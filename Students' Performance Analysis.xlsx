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PERSONAL PC\Downloads\"/>
    </mc:Choice>
  </mc:AlternateContent>
  <xr:revisionPtr revIDLastSave="0" documentId="13_ncr:1_{14B2C79D-5537-4707-B5F3-AD8E702EF192}" xr6:coauthVersionLast="47" xr6:coauthVersionMax="47" xr10:uidLastSave="{00000000-0000-0000-0000-000000000000}"/>
  <bookViews>
    <workbookView xWindow="-120" yWindow="-120" windowWidth="20730" windowHeight="11160" xr2:uid="{00000000-000D-0000-FFFF-FFFF00000000}"/>
  </bookViews>
  <sheets>
    <sheet name="exams" sheetId="1" r:id="rId1"/>
    <sheet name="Dashboard" sheetId="5" r:id="rId2"/>
    <sheet name="Pivot chart" sheetId="4" r:id="rId3"/>
    <sheet name="Table" sheetId="2" r:id="rId4"/>
  </sheets>
  <definedNames>
    <definedName name="Slicer_gender">#N/A</definedName>
  </definedNames>
  <calcPr calcId="181029"/>
  <pivotCaches>
    <pivotCache cacheId="0" r:id="rId5"/>
    <pivotCache cacheId="1" r:id="rId6"/>
    <pivotCache cacheId="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42" i="2" l="1"/>
  <c r="K314" i="2"/>
  <c r="K356" i="2"/>
  <c r="K358" i="2"/>
  <c r="K368" i="2"/>
  <c r="K388" i="2"/>
  <c r="K390" i="2"/>
  <c r="K400" i="2"/>
  <c r="K420" i="2"/>
  <c r="K422" i="2"/>
  <c r="K432" i="2"/>
  <c r="K452" i="2"/>
  <c r="K464" i="2"/>
  <c r="K480" i="2"/>
  <c r="K496" i="2"/>
  <c r="K508" i="2"/>
  <c r="K516" i="2"/>
  <c r="K518" i="2"/>
  <c r="K524" i="2"/>
  <c r="K532" i="2"/>
  <c r="K537" i="2"/>
  <c r="K549" i="2"/>
  <c r="K553" i="2"/>
  <c r="K554" i="2"/>
  <c r="K565" i="2"/>
  <c r="K569" i="2"/>
  <c r="K581" i="2"/>
  <c r="K585" i="2"/>
  <c r="K586" i="2"/>
  <c r="K597" i="2"/>
  <c r="K601" i="2"/>
  <c r="K613" i="2"/>
  <c r="K617" i="2"/>
  <c r="K618" i="2"/>
  <c r="J2" i="2"/>
  <c r="K2" i="2" s="1"/>
  <c r="J3" i="2"/>
  <c r="K3" i="2" s="1"/>
  <c r="J4" i="2"/>
  <c r="K4" i="2" s="1"/>
  <c r="J5" i="2"/>
  <c r="K5" i="2" s="1"/>
  <c r="J6" i="2"/>
  <c r="K6" i="2" s="1"/>
  <c r="J7" i="2"/>
  <c r="K7" i="2" s="1"/>
  <c r="J8" i="2"/>
  <c r="K8" i="2" s="1"/>
  <c r="J9" i="2"/>
  <c r="K9" i="2" s="1"/>
  <c r="J10" i="2"/>
  <c r="K10" i="2" s="1"/>
  <c r="J11" i="2"/>
  <c r="K11" i="2" s="1"/>
  <c r="J12" i="2"/>
  <c r="K12" i="2" s="1"/>
  <c r="J13" i="2"/>
  <c r="K13" i="2" s="1"/>
  <c r="J14" i="2"/>
  <c r="K14" i="2" s="1"/>
  <c r="J15" i="2"/>
  <c r="K15" i="2" s="1"/>
  <c r="J16" i="2"/>
  <c r="K16" i="2" s="1"/>
  <c r="J17" i="2"/>
  <c r="K17" i="2" s="1"/>
  <c r="J18" i="2"/>
  <c r="K18" i="2" s="1"/>
  <c r="J19" i="2"/>
  <c r="K19" i="2" s="1"/>
  <c r="J20" i="2"/>
  <c r="K20" i="2" s="1"/>
  <c r="J21" i="2"/>
  <c r="K21" i="2" s="1"/>
  <c r="J22" i="2"/>
  <c r="K22" i="2" s="1"/>
  <c r="J23" i="2"/>
  <c r="K23" i="2" s="1"/>
  <c r="J24" i="2"/>
  <c r="K24" i="2" s="1"/>
  <c r="J25" i="2"/>
  <c r="K25" i="2" s="1"/>
  <c r="J26" i="2"/>
  <c r="K26" i="2" s="1"/>
  <c r="J27" i="2"/>
  <c r="K27" i="2" s="1"/>
  <c r="J28" i="2"/>
  <c r="K28" i="2" s="1"/>
  <c r="J29" i="2"/>
  <c r="K29" i="2" s="1"/>
  <c r="J30" i="2"/>
  <c r="K30" i="2" s="1"/>
  <c r="J31" i="2"/>
  <c r="K31" i="2" s="1"/>
  <c r="J32" i="2"/>
  <c r="K32" i="2" s="1"/>
  <c r="J33" i="2"/>
  <c r="K33" i="2" s="1"/>
  <c r="J34" i="2"/>
  <c r="K34" i="2" s="1"/>
  <c r="J35" i="2"/>
  <c r="K35" i="2" s="1"/>
  <c r="J36" i="2"/>
  <c r="K36" i="2" s="1"/>
  <c r="J37" i="2"/>
  <c r="K37" i="2" s="1"/>
  <c r="J38" i="2"/>
  <c r="K38" i="2" s="1"/>
  <c r="J39" i="2"/>
  <c r="K39" i="2" s="1"/>
  <c r="J40" i="2"/>
  <c r="K40" i="2" s="1"/>
  <c r="J41" i="2"/>
  <c r="K41" i="2" s="1"/>
  <c r="J42" i="2"/>
  <c r="K42" i="2" s="1"/>
  <c r="J43" i="2"/>
  <c r="K43" i="2" s="1"/>
  <c r="J44" i="2"/>
  <c r="K44" i="2" s="1"/>
  <c r="J45" i="2"/>
  <c r="K45" i="2" s="1"/>
  <c r="J46" i="2"/>
  <c r="K46" i="2" s="1"/>
  <c r="J47" i="2"/>
  <c r="K47" i="2" s="1"/>
  <c r="J48" i="2"/>
  <c r="K48" i="2" s="1"/>
  <c r="J49" i="2"/>
  <c r="K49" i="2" s="1"/>
  <c r="J50" i="2"/>
  <c r="K50" i="2" s="1"/>
  <c r="J51" i="2"/>
  <c r="K51" i="2" s="1"/>
  <c r="J52" i="2"/>
  <c r="K52" i="2" s="1"/>
  <c r="J53" i="2"/>
  <c r="K53" i="2" s="1"/>
  <c r="J54" i="2"/>
  <c r="K54" i="2" s="1"/>
  <c r="J55" i="2"/>
  <c r="K55" i="2" s="1"/>
  <c r="J56" i="2"/>
  <c r="K56" i="2" s="1"/>
  <c r="J57" i="2"/>
  <c r="K57" i="2" s="1"/>
  <c r="J58" i="2"/>
  <c r="K58" i="2" s="1"/>
  <c r="J59" i="2"/>
  <c r="K59" i="2" s="1"/>
  <c r="J60" i="2"/>
  <c r="K60" i="2" s="1"/>
  <c r="J61" i="2"/>
  <c r="K61" i="2" s="1"/>
  <c r="J62" i="2"/>
  <c r="K62" i="2" s="1"/>
  <c r="J63" i="2"/>
  <c r="K63" i="2" s="1"/>
  <c r="J64" i="2"/>
  <c r="K64" i="2" s="1"/>
  <c r="J65" i="2"/>
  <c r="K65" i="2" s="1"/>
  <c r="J66" i="2"/>
  <c r="K66" i="2" s="1"/>
  <c r="J67" i="2"/>
  <c r="K67" i="2" s="1"/>
  <c r="J68" i="2"/>
  <c r="K68" i="2" s="1"/>
  <c r="J69" i="2"/>
  <c r="K69" i="2" s="1"/>
  <c r="J70" i="2"/>
  <c r="K70" i="2" s="1"/>
  <c r="J71" i="2"/>
  <c r="K71" i="2" s="1"/>
  <c r="J72" i="2"/>
  <c r="K72" i="2" s="1"/>
  <c r="J73" i="2"/>
  <c r="K73" i="2" s="1"/>
  <c r="J74" i="2"/>
  <c r="K74" i="2" s="1"/>
  <c r="J75" i="2"/>
  <c r="K75" i="2" s="1"/>
  <c r="J76" i="2"/>
  <c r="K76" i="2" s="1"/>
  <c r="J77" i="2"/>
  <c r="K77" i="2" s="1"/>
  <c r="J78" i="2"/>
  <c r="K78" i="2" s="1"/>
  <c r="J79" i="2"/>
  <c r="K79" i="2" s="1"/>
  <c r="J80" i="2"/>
  <c r="K80" i="2" s="1"/>
  <c r="J81" i="2"/>
  <c r="K81" i="2" s="1"/>
  <c r="J82" i="2"/>
  <c r="K82" i="2" s="1"/>
  <c r="J83" i="2"/>
  <c r="K83" i="2" s="1"/>
  <c r="J84" i="2"/>
  <c r="K84" i="2" s="1"/>
  <c r="J85" i="2"/>
  <c r="K85" i="2" s="1"/>
  <c r="J86" i="2"/>
  <c r="K86" i="2" s="1"/>
  <c r="J87" i="2"/>
  <c r="K87" i="2" s="1"/>
  <c r="J88" i="2"/>
  <c r="K88" i="2" s="1"/>
  <c r="J89" i="2"/>
  <c r="K89" i="2" s="1"/>
  <c r="J90" i="2"/>
  <c r="K90" i="2" s="1"/>
  <c r="J91" i="2"/>
  <c r="K91" i="2" s="1"/>
  <c r="J92" i="2"/>
  <c r="K92" i="2" s="1"/>
  <c r="J93" i="2"/>
  <c r="K93" i="2" s="1"/>
  <c r="J94" i="2"/>
  <c r="K94" i="2" s="1"/>
  <c r="J95" i="2"/>
  <c r="K95" i="2" s="1"/>
  <c r="J96" i="2"/>
  <c r="K96" i="2" s="1"/>
  <c r="J97" i="2"/>
  <c r="K97" i="2" s="1"/>
  <c r="J98" i="2"/>
  <c r="K98" i="2" s="1"/>
  <c r="J99" i="2"/>
  <c r="K99" i="2" s="1"/>
  <c r="J100" i="2"/>
  <c r="K100" i="2" s="1"/>
  <c r="J101" i="2"/>
  <c r="K101" i="2" s="1"/>
  <c r="J102" i="2"/>
  <c r="K102" i="2" s="1"/>
  <c r="J103" i="2"/>
  <c r="K103" i="2" s="1"/>
  <c r="J104" i="2"/>
  <c r="K104" i="2" s="1"/>
  <c r="J105" i="2"/>
  <c r="K105" i="2" s="1"/>
  <c r="J106" i="2"/>
  <c r="K106" i="2" s="1"/>
  <c r="J107" i="2"/>
  <c r="K107" i="2" s="1"/>
  <c r="J108" i="2"/>
  <c r="K108" i="2" s="1"/>
  <c r="J109" i="2"/>
  <c r="K109" i="2" s="1"/>
  <c r="J110" i="2"/>
  <c r="K110" i="2" s="1"/>
  <c r="J111" i="2"/>
  <c r="K111" i="2" s="1"/>
  <c r="J112" i="2"/>
  <c r="K112" i="2" s="1"/>
  <c r="J113" i="2"/>
  <c r="K113" i="2" s="1"/>
  <c r="J114" i="2"/>
  <c r="K114" i="2" s="1"/>
  <c r="J115" i="2"/>
  <c r="K115" i="2" s="1"/>
  <c r="J116" i="2"/>
  <c r="K116" i="2" s="1"/>
  <c r="J117" i="2"/>
  <c r="K117" i="2" s="1"/>
  <c r="J118" i="2"/>
  <c r="K118" i="2" s="1"/>
  <c r="J119" i="2"/>
  <c r="K119" i="2" s="1"/>
  <c r="J120" i="2"/>
  <c r="K120" i="2" s="1"/>
  <c r="J121" i="2"/>
  <c r="K121" i="2" s="1"/>
  <c r="J122" i="2"/>
  <c r="K122" i="2" s="1"/>
  <c r="J123" i="2"/>
  <c r="K123" i="2" s="1"/>
  <c r="J124" i="2"/>
  <c r="K124" i="2" s="1"/>
  <c r="J125" i="2"/>
  <c r="K125" i="2" s="1"/>
  <c r="J126" i="2"/>
  <c r="K126" i="2" s="1"/>
  <c r="J127" i="2"/>
  <c r="K127" i="2" s="1"/>
  <c r="J128" i="2"/>
  <c r="K128" i="2" s="1"/>
  <c r="J129" i="2"/>
  <c r="K129" i="2" s="1"/>
  <c r="J130" i="2"/>
  <c r="K130" i="2" s="1"/>
  <c r="J131" i="2"/>
  <c r="K131" i="2" s="1"/>
  <c r="J132" i="2"/>
  <c r="K132" i="2" s="1"/>
  <c r="J133" i="2"/>
  <c r="K133" i="2" s="1"/>
  <c r="J134" i="2"/>
  <c r="K134" i="2" s="1"/>
  <c r="J135" i="2"/>
  <c r="K135" i="2" s="1"/>
  <c r="J136" i="2"/>
  <c r="K136" i="2" s="1"/>
  <c r="J137" i="2"/>
  <c r="K137" i="2" s="1"/>
  <c r="J138" i="2"/>
  <c r="K138" i="2" s="1"/>
  <c r="J139" i="2"/>
  <c r="K139" i="2" s="1"/>
  <c r="J140" i="2"/>
  <c r="K140" i="2" s="1"/>
  <c r="J141" i="2"/>
  <c r="K141" i="2" s="1"/>
  <c r="J142" i="2"/>
  <c r="J143" i="2"/>
  <c r="K143" i="2" s="1"/>
  <c r="J144" i="2"/>
  <c r="K144" i="2" s="1"/>
  <c r="J145" i="2"/>
  <c r="K145" i="2" s="1"/>
  <c r="J146" i="2"/>
  <c r="K146" i="2" s="1"/>
  <c r="J147" i="2"/>
  <c r="K147" i="2" s="1"/>
  <c r="J148" i="2"/>
  <c r="K148" i="2" s="1"/>
  <c r="J149" i="2"/>
  <c r="K149" i="2" s="1"/>
  <c r="J150" i="2"/>
  <c r="K150" i="2" s="1"/>
  <c r="J151" i="2"/>
  <c r="K151" i="2" s="1"/>
  <c r="J152" i="2"/>
  <c r="K152" i="2" s="1"/>
  <c r="J153" i="2"/>
  <c r="K153" i="2" s="1"/>
  <c r="J154" i="2"/>
  <c r="K154" i="2" s="1"/>
  <c r="J155" i="2"/>
  <c r="K155" i="2" s="1"/>
  <c r="J156" i="2"/>
  <c r="K156" i="2" s="1"/>
  <c r="J157" i="2"/>
  <c r="K157" i="2" s="1"/>
  <c r="J158" i="2"/>
  <c r="K158" i="2" s="1"/>
  <c r="J159" i="2"/>
  <c r="K159" i="2" s="1"/>
  <c r="J160" i="2"/>
  <c r="K160" i="2" s="1"/>
  <c r="J161" i="2"/>
  <c r="K161" i="2" s="1"/>
  <c r="J162" i="2"/>
  <c r="K162" i="2" s="1"/>
  <c r="J163" i="2"/>
  <c r="K163" i="2" s="1"/>
  <c r="J164" i="2"/>
  <c r="K164" i="2" s="1"/>
  <c r="J165" i="2"/>
  <c r="K165" i="2" s="1"/>
  <c r="J166" i="2"/>
  <c r="K166" i="2" s="1"/>
  <c r="J167" i="2"/>
  <c r="K167" i="2" s="1"/>
  <c r="J168" i="2"/>
  <c r="K168" i="2" s="1"/>
  <c r="J169" i="2"/>
  <c r="K169" i="2" s="1"/>
  <c r="J170" i="2"/>
  <c r="K170" i="2" s="1"/>
  <c r="J171" i="2"/>
  <c r="K171" i="2" s="1"/>
  <c r="J172" i="2"/>
  <c r="K172" i="2" s="1"/>
  <c r="J173" i="2"/>
  <c r="K173" i="2" s="1"/>
  <c r="J174" i="2"/>
  <c r="K174" i="2" s="1"/>
  <c r="J175" i="2"/>
  <c r="K175" i="2" s="1"/>
  <c r="J176" i="2"/>
  <c r="K176" i="2" s="1"/>
  <c r="J177" i="2"/>
  <c r="K177" i="2" s="1"/>
  <c r="J178" i="2"/>
  <c r="K178" i="2" s="1"/>
  <c r="J179" i="2"/>
  <c r="K179" i="2" s="1"/>
  <c r="J180" i="2"/>
  <c r="K180" i="2" s="1"/>
  <c r="J181" i="2"/>
  <c r="K181" i="2" s="1"/>
  <c r="J182" i="2"/>
  <c r="K182" i="2" s="1"/>
  <c r="J183" i="2"/>
  <c r="K183" i="2" s="1"/>
  <c r="J184" i="2"/>
  <c r="K184" i="2" s="1"/>
  <c r="J185" i="2"/>
  <c r="K185" i="2" s="1"/>
  <c r="J186" i="2"/>
  <c r="K186" i="2" s="1"/>
  <c r="J187" i="2"/>
  <c r="K187" i="2" s="1"/>
  <c r="J188" i="2"/>
  <c r="K188" i="2" s="1"/>
  <c r="J189" i="2"/>
  <c r="K189" i="2" s="1"/>
  <c r="J190" i="2"/>
  <c r="K190" i="2" s="1"/>
  <c r="J191" i="2"/>
  <c r="K191" i="2" s="1"/>
  <c r="J192" i="2"/>
  <c r="K192" i="2" s="1"/>
  <c r="J193" i="2"/>
  <c r="K193" i="2" s="1"/>
  <c r="J194" i="2"/>
  <c r="K194" i="2" s="1"/>
  <c r="J195" i="2"/>
  <c r="K195" i="2" s="1"/>
  <c r="J196" i="2"/>
  <c r="K196" i="2" s="1"/>
  <c r="J197" i="2"/>
  <c r="K197" i="2" s="1"/>
  <c r="J198" i="2"/>
  <c r="K198" i="2" s="1"/>
  <c r="J199" i="2"/>
  <c r="K199" i="2" s="1"/>
  <c r="J200" i="2"/>
  <c r="K200" i="2" s="1"/>
  <c r="J201" i="2"/>
  <c r="K201" i="2" s="1"/>
  <c r="J202" i="2"/>
  <c r="K202" i="2" s="1"/>
  <c r="J203" i="2"/>
  <c r="K203" i="2" s="1"/>
  <c r="J204" i="2"/>
  <c r="K204" i="2" s="1"/>
  <c r="J205" i="2"/>
  <c r="K205" i="2" s="1"/>
  <c r="J206" i="2"/>
  <c r="K206" i="2" s="1"/>
  <c r="J207" i="2"/>
  <c r="K207" i="2" s="1"/>
  <c r="J208" i="2"/>
  <c r="K208" i="2" s="1"/>
  <c r="J209" i="2"/>
  <c r="K209" i="2" s="1"/>
  <c r="J210" i="2"/>
  <c r="K210" i="2" s="1"/>
  <c r="J211" i="2"/>
  <c r="K211" i="2" s="1"/>
  <c r="J212" i="2"/>
  <c r="K212" i="2" s="1"/>
  <c r="J213" i="2"/>
  <c r="K213" i="2" s="1"/>
  <c r="J214" i="2"/>
  <c r="K214" i="2" s="1"/>
  <c r="J215" i="2"/>
  <c r="K215" i="2" s="1"/>
  <c r="J216" i="2"/>
  <c r="K216" i="2" s="1"/>
  <c r="J217" i="2"/>
  <c r="K217" i="2" s="1"/>
  <c r="J218" i="2"/>
  <c r="K218" i="2" s="1"/>
  <c r="J219" i="2"/>
  <c r="K219" i="2" s="1"/>
  <c r="J220" i="2"/>
  <c r="K220" i="2" s="1"/>
  <c r="J221" i="2"/>
  <c r="K221" i="2" s="1"/>
  <c r="J222" i="2"/>
  <c r="K222" i="2" s="1"/>
  <c r="J223" i="2"/>
  <c r="K223" i="2" s="1"/>
  <c r="J224" i="2"/>
  <c r="K224" i="2" s="1"/>
  <c r="J225" i="2"/>
  <c r="K225" i="2" s="1"/>
  <c r="J226" i="2"/>
  <c r="K226" i="2" s="1"/>
  <c r="J227" i="2"/>
  <c r="K227" i="2" s="1"/>
  <c r="J228" i="2"/>
  <c r="K228" i="2" s="1"/>
  <c r="J229" i="2"/>
  <c r="K229" i="2" s="1"/>
  <c r="J230" i="2"/>
  <c r="K230" i="2" s="1"/>
  <c r="J231" i="2"/>
  <c r="K231" i="2" s="1"/>
  <c r="J232" i="2"/>
  <c r="K232" i="2" s="1"/>
  <c r="J233" i="2"/>
  <c r="K233" i="2" s="1"/>
  <c r="J234" i="2"/>
  <c r="K234" i="2" s="1"/>
  <c r="J235" i="2"/>
  <c r="K235" i="2" s="1"/>
  <c r="J236" i="2"/>
  <c r="K236" i="2" s="1"/>
  <c r="J237" i="2"/>
  <c r="K237" i="2" s="1"/>
  <c r="J238" i="2"/>
  <c r="K238" i="2" s="1"/>
  <c r="J239" i="2"/>
  <c r="K239" i="2" s="1"/>
  <c r="J240" i="2"/>
  <c r="K240" i="2" s="1"/>
  <c r="J241" i="2"/>
  <c r="K241" i="2" s="1"/>
  <c r="J242" i="2"/>
  <c r="K242" i="2" s="1"/>
  <c r="J243" i="2"/>
  <c r="K243" i="2" s="1"/>
  <c r="J244" i="2"/>
  <c r="K244" i="2" s="1"/>
  <c r="J245" i="2"/>
  <c r="K245" i="2" s="1"/>
  <c r="J246" i="2"/>
  <c r="K246" i="2" s="1"/>
  <c r="J247" i="2"/>
  <c r="K247" i="2" s="1"/>
  <c r="J248" i="2"/>
  <c r="K248" i="2" s="1"/>
  <c r="J249" i="2"/>
  <c r="K249" i="2" s="1"/>
  <c r="J250" i="2"/>
  <c r="K250" i="2" s="1"/>
  <c r="J251" i="2"/>
  <c r="K251" i="2" s="1"/>
  <c r="J252" i="2"/>
  <c r="K252" i="2" s="1"/>
  <c r="J253" i="2"/>
  <c r="K253" i="2" s="1"/>
  <c r="J254" i="2"/>
  <c r="K254" i="2" s="1"/>
  <c r="J255" i="2"/>
  <c r="K255" i="2" s="1"/>
  <c r="J256" i="2"/>
  <c r="K256" i="2" s="1"/>
  <c r="J257" i="2"/>
  <c r="K257" i="2" s="1"/>
  <c r="J258" i="2"/>
  <c r="K258" i="2" s="1"/>
  <c r="J259" i="2"/>
  <c r="K259" i="2" s="1"/>
  <c r="J260" i="2"/>
  <c r="K260" i="2" s="1"/>
  <c r="J261" i="2"/>
  <c r="K261" i="2" s="1"/>
  <c r="J262" i="2"/>
  <c r="K262" i="2" s="1"/>
  <c r="J263" i="2"/>
  <c r="K263" i="2" s="1"/>
  <c r="J264" i="2"/>
  <c r="K264" i="2" s="1"/>
  <c r="J265" i="2"/>
  <c r="K265" i="2" s="1"/>
  <c r="J266" i="2"/>
  <c r="K266" i="2" s="1"/>
  <c r="J267" i="2"/>
  <c r="K267" i="2" s="1"/>
  <c r="J268" i="2"/>
  <c r="K268" i="2" s="1"/>
  <c r="J269" i="2"/>
  <c r="K269" i="2" s="1"/>
  <c r="J270" i="2"/>
  <c r="K270" i="2" s="1"/>
  <c r="J271" i="2"/>
  <c r="K271" i="2" s="1"/>
  <c r="J272" i="2"/>
  <c r="K272" i="2" s="1"/>
  <c r="J273" i="2"/>
  <c r="K273" i="2" s="1"/>
  <c r="J274" i="2"/>
  <c r="K274" i="2" s="1"/>
  <c r="J275" i="2"/>
  <c r="K275" i="2" s="1"/>
  <c r="J276" i="2"/>
  <c r="K276" i="2" s="1"/>
  <c r="J277" i="2"/>
  <c r="K277" i="2" s="1"/>
  <c r="J278" i="2"/>
  <c r="K278" i="2" s="1"/>
  <c r="J279" i="2"/>
  <c r="K279" i="2" s="1"/>
  <c r="J280" i="2"/>
  <c r="K280" i="2" s="1"/>
  <c r="J281" i="2"/>
  <c r="K281" i="2" s="1"/>
  <c r="J282" i="2"/>
  <c r="K282" i="2" s="1"/>
  <c r="J283" i="2"/>
  <c r="K283" i="2" s="1"/>
  <c r="J284" i="2"/>
  <c r="K284" i="2" s="1"/>
  <c r="J285" i="2"/>
  <c r="K285" i="2" s="1"/>
  <c r="J286" i="2"/>
  <c r="K286" i="2" s="1"/>
  <c r="J287" i="2"/>
  <c r="K287" i="2" s="1"/>
  <c r="J288" i="2"/>
  <c r="K288" i="2" s="1"/>
  <c r="J289" i="2"/>
  <c r="K289" i="2" s="1"/>
  <c r="J290" i="2"/>
  <c r="K290" i="2" s="1"/>
  <c r="J291" i="2"/>
  <c r="K291" i="2" s="1"/>
  <c r="J292" i="2"/>
  <c r="K292" i="2" s="1"/>
  <c r="J293" i="2"/>
  <c r="K293" i="2" s="1"/>
  <c r="J294" i="2"/>
  <c r="K294" i="2" s="1"/>
  <c r="J295" i="2"/>
  <c r="K295" i="2" s="1"/>
  <c r="J296" i="2"/>
  <c r="K296" i="2" s="1"/>
  <c r="J297" i="2"/>
  <c r="K297" i="2" s="1"/>
  <c r="J298" i="2"/>
  <c r="K298" i="2" s="1"/>
  <c r="J299" i="2"/>
  <c r="K299" i="2" s="1"/>
  <c r="J300" i="2"/>
  <c r="K300" i="2" s="1"/>
  <c r="J301" i="2"/>
  <c r="K301" i="2" s="1"/>
  <c r="J302" i="2"/>
  <c r="K302" i="2" s="1"/>
  <c r="J303" i="2"/>
  <c r="K303" i="2" s="1"/>
  <c r="J304" i="2"/>
  <c r="K304" i="2" s="1"/>
  <c r="J305" i="2"/>
  <c r="K305" i="2" s="1"/>
  <c r="J306" i="2"/>
  <c r="K306" i="2" s="1"/>
  <c r="J307" i="2"/>
  <c r="K307" i="2" s="1"/>
  <c r="J308" i="2"/>
  <c r="K308" i="2" s="1"/>
  <c r="J309" i="2"/>
  <c r="K309" i="2" s="1"/>
  <c r="J310" i="2"/>
  <c r="K310" i="2" s="1"/>
  <c r="J311" i="2"/>
  <c r="K311" i="2" s="1"/>
  <c r="J312" i="2"/>
  <c r="K312" i="2" s="1"/>
  <c r="J313" i="2"/>
  <c r="K313" i="2" s="1"/>
  <c r="J314" i="2"/>
  <c r="J315" i="2"/>
  <c r="K315" i="2" s="1"/>
  <c r="J316" i="2"/>
  <c r="K316" i="2" s="1"/>
  <c r="J317" i="2"/>
  <c r="K317" i="2" s="1"/>
  <c r="J318" i="2"/>
  <c r="K318" i="2" s="1"/>
  <c r="J319" i="2"/>
  <c r="K319" i="2" s="1"/>
  <c r="J320" i="2"/>
  <c r="K320" i="2" s="1"/>
  <c r="J321" i="2"/>
  <c r="K321" i="2" s="1"/>
  <c r="J322" i="2"/>
  <c r="K322" i="2" s="1"/>
  <c r="J323" i="2"/>
  <c r="K323" i="2" s="1"/>
  <c r="J324" i="2"/>
  <c r="K324" i="2" s="1"/>
  <c r="J325" i="2"/>
  <c r="K325" i="2" s="1"/>
  <c r="J326" i="2"/>
  <c r="K326" i="2" s="1"/>
  <c r="J327" i="2"/>
  <c r="K327" i="2" s="1"/>
  <c r="J328" i="2"/>
  <c r="K328" i="2" s="1"/>
  <c r="J329" i="2"/>
  <c r="K329" i="2" s="1"/>
  <c r="J330" i="2"/>
  <c r="K330" i="2" s="1"/>
  <c r="J331" i="2"/>
  <c r="K331" i="2" s="1"/>
  <c r="J332" i="2"/>
  <c r="K332" i="2" s="1"/>
  <c r="J333" i="2"/>
  <c r="K333" i="2" s="1"/>
  <c r="J334" i="2"/>
  <c r="K334" i="2" s="1"/>
  <c r="J335" i="2"/>
  <c r="K335" i="2" s="1"/>
  <c r="J336" i="2"/>
  <c r="K336" i="2" s="1"/>
  <c r="J337" i="2"/>
  <c r="K337" i="2" s="1"/>
  <c r="J338" i="2"/>
  <c r="K338" i="2" s="1"/>
  <c r="J339" i="2"/>
  <c r="K339" i="2" s="1"/>
  <c r="J340" i="2"/>
  <c r="K340" i="2" s="1"/>
  <c r="J341" i="2"/>
  <c r="K341" i="2" s="1"/>
  <c r="J342" i="2"/>
  <c r="K342" i="2" s="1"/>
  <c r="J343" i="2"/>
  <c r="K343" i="2" s="1"/>
  <c r="J344" i="2"/>
  <c r="K344" i="2" s="1"/>
  <c r="J345" i="2"/>
  <c r="K345" i="2" s="1"/>
  <c r="J346" i="2"/>
  <c r="K346" i="2" s="1"/>
  <c r="J347" i="2"/>
  <c r="K347" i="2" s="1"/>
  <c r="J348" i="2"/>
  <c r="K348" i="2" s="1"/>
  <c r="J349" i="2"/>
  <c r="K349" i="2" s="1"/>
  <c r="J350" i="2"/>
  <c r="K350" i="2" s="1"/>
  <c r="J351" i="2"/>
  <c r="K351" i="2" s="1"/>
  <c r="J352" i="2"/>
  <c r="K352" i="2" s="1"/>
  <c r="J353" i="2"/>
  <c r="K353" i="2" s="1"/>
  <c r="J354" i="2"/>
  <c r="K354" i="2" s="1"/>
  <c r="J355" i="2"/>
  <c r="K355" i="2" s="1"/>
  <c r="J356" i="2"/>
  <c r="J357" i="2"/>
  <c r="K357" i="2" s="1"/>
  <c r="J358" i="2"/>
  <c r="J359" i="2"/>
  <c r="K359" i="2" s="1"/>
  <c r="J360" i="2"/>
  <c r="K360" i="2" s="1"/>
  <c r="J361" i="2"/>
  <c r="K361" i="2" s="1"/>
  <c r="J362" i="2"/>
  <c r="K362" i="2" s="1"/>
  <c r="J363" i="2"/>
  <c r="K363" i="2" s="1"/>
  <c r="J364" i="2"/>
  <c r="K364" i="2" s="1"/>
  <c r="J365" i="2"/>
  <c r="K365" i="2" s="1"/>
  <c r="J366" i="2"/>
  <c r="K366" i="2" s="1"/>
  <c r="J367" i="2"/>
  <c r="K367" i="2" s="1"/>
  <c r="J368" i="2"/>
  <c r="J369" i="2"/>
  <c r="K369" i="2" s="1"/>
  <c r="J370" i="2"/>
  <c r="K370" i="2" s="1"/>
  <c r="J371" i="2"/>
  <c r="K371" i="2" s="1"/>
  <c r="J372" i="2"/>
  <c r="K372" i="2" s="1"/>
  <c r="J373" i="2"/>
  <c r="K373" i="2" s="1"/>
  <c r="J374" i="2"/>
  <c r="K374" i="2" s="1"/>
  <c r="J375" i="2"/>
  <c r="K375" i="2" s="1"/>
  <c r="J376" i="2"/>
  <c r="K376" i="2" s="1"/>
  <c r="J377" i="2"/>
  <c r="K377" i="2" s="1"/>
  <c r="J378" i="2"/>
  <c r="K378" i="2" s="1"/>
  <c r="J379" i="2"/>
  <c r="K379" i="2" s="1"/>
  <c r="J380" i="2"/>
  <c r="K380" i="2" s="1"/>
  <c r="J381" i="2"/>
  <c r="K381" i="2" s="1"/>
  <c r="J382" i="2"/>
  <c r="K382" i="2" s="1"/>
  <c r="J383" i="2"/>
  <c r="K383" i="2" s="1"/>
  <c r="J384" i="2"/>
  <c r="K384" i="2" s="1"/>
  <c r="J385" i="2"/>
  <c r="K385" i="2" s="1"/>
  <c r="J386" i="2"/>
  <c r="K386" i="2" s="1"/>
  <c r="J387" i="2"/>
  <c r="K387" i="2" s="1"/>
  <c r="J388" i="2"/>
  <c r="J389" i="2"/>
  <c r="K389" i="2" s="1"/>
  <c r="J390" i="2"/>
  <c r="J391" i="2"/>
  <c r="K391" i="2" s="1"/>
  <c r="J392" i="2"/>
  <c r="K392" i="2" s="1"/>
  <c r="J393" i="2"/>
  <c r="K393" i="2" s="1"/>
  <c r="J394" i="2"/>
  <c r="K394" i="2" s="1"/>
  <c r="J395" i="2"/>
  <c r="K395" i="2" s="1"/>
  <c r="J396" i="2"/>
  <c r="K396" i="2" s="1"/>
  <c r="J397" i="2"/>
  <c r="K397" i="2" s="1"/>
  <c r="J398" i="2"/>
  <c r="K398" i="2" s="1"/>
  <c r="J399" i="2"/>
  <c r="K399" i="2" s="1"/>
  <c r="J400" i="2"/>
  <c r="J401" i="2"/>
  <c r="K401" i="2" s="1"/>
  <c r="J402" i="2"/>
  <c r="K402" i="2" s="1"/>
  <c r="J403" i="2"/>
  <c r="K403" i="2" s="1"/>
  <c r="J404" i="2"/>
  <c r="K404" i="2" s="1"/>
  <c r="J405" i="2"/>
  <c r="K405" i="2" s="1"/>
  <c r="J406" i="2"/>
  <c r="K406" i="2" s="1"/>
  <c r="J407" i="2"/>
  <c r="K407" i="2" s="1"/>
  <c r="J408" i="2"/>
  <c r="K408" i="2" s="1"/>
  <c r="J409" i="2"/>
  <c r="K409" i="2" s="1"/>
  <c r="J410" i="2"/>
  <c r="K410" i="2" s="1"/>
  <c r="J411" i="2"/>
  <c r="K411" i="2" s="1"/>
  <c r="J412" i="2"/>
  <c r="K412" i="2" s="1"/>
  <c r="J413" i="2"/>
  <c r="K413" i="2" s="1"/>
  <c r="J414" i="2"/>
  <c r="K414" i="2" s="1"/>
  <c r="J415" i="2"/>
  <c r="K415" i="2" s="1"/>
  <c r="J416" i="2"/>
  <c r="K416" i="2" s="1"/>
  <c r="J417" i="2"/>
  <c r="K417" i="2" s="1"/>
  <c r="J418" i="2"/>
  <c r="K418" i="2" s="1"/>
  <c r="J419" i="2"/>
  <c r="K419" i="2" s="1"/>
  <c r="J420" i="2"/>
  <c r="J421" i="2"/>
  <c r="K421" i="2" s="1"/>
  <c r="J422" i="2"/>
  <c r="J423" i="2"/>
  <c r="K423" i="2" s="1"/>
  <c r="J424" i="2"/>
  <c r="K424" i="2" s="1"/>
  <c r="J425" i="2"/>
  <c r="K425" i="2" s="1"/>
  <c r="J426" i="2"/>
  <c r="K426" i="2" s="1"/>
  <c r="J427" i="2"/>
  <c r="K427" i="2" s="1"/>
  <c r="J428" i="2"/>
  <c r="K428" i="2" s="1"/>
  <c r="J429" i="2"/>
  <c r="K429" i="2" s="1"/>
  <c r="J430" i="2"/>
  <c r="K430" i="2" s="1"/>
  <c r="J431" i="2"/>
  <c r="K431" i="2" s="1"/>
  <c r="J432" i="2"/>
  <c r="J433" i="2"/>
  <c r="K433" i="2" s="1"/>
  <c r="J434" i="2"/>
  <c r="K434" i="2" s="1"/>
  <c r="J435" i="2"/>
  <c r="K435" i="2" s="1"/>
  <c r="J436" i="2"/>
  <c r="K436" i="2" s="1"/>
  <c r="J437" i="2"/>
  <c r="K437" i="2" s="1"/>
  <c r="J438" i="2"/>
  <c r="K438" i="2" s="1"/>
  <c r="J439" i="2"/>
  <c r="K439" i="2" s="1"/>
  <c r="J440" i="2"/>
  <c r="K440" i="2" s="1"/>
  <c r="J441" i="2"/>
  <c r="K441" i="2" s="1"/>
  <c r="J442" i="2"/>
  <c r="K442" i="2" s="1"/>
  <c r="J443" i="2"/>
  <c r="K443" i="2" s="1"/>
  <c r="J444" i="2"/>
  <c r="K444" i="2" s="1"/>
  <c r="J445" i="2"/>
  <c r="K445" i="2" s="1"/>
  <c r="J446" i="2"/>
  <c r="K446" i="2" s="1"/>
  <c r="J447" i="2"/>
  <c r="K447" i="2" s="1"/>
  <c r="J448" i="2"/>
  <c r="K448" i="2" s="1"/>
  <c r="J449" i="2"/>
  <c r="K449" i="2" s="1"/>
  <c r="J450" i="2"/>
  <c r="K450" i="2" s="1"/>
  <c r="J451" i="2"/>
  <c r="K451" i="2" s="1"/>
  <c r="J452" i="2"/>
  <c r="J453" i="2"/>
  <c r="K453" i="2" s="1"/>
  <c r="J454" i="2"/>
  <c r="K454" i="2" s="1"/>
  <c r="J455" i="2"/>
  <c r="K455" i="2" s="1"/>
  <c r="J456" i="2"/>
  <c r="K456" i="2" s="1"/>
  <c r="J457" i="2"/>
  <c r="K457" i="2" s="1"/>
  <c r="J458" i="2"/>
  <c r="K458" i="2" s="1"/>
  <c r="J459" i="2"/>
  <c r="K459" i="2" s="1"/>
  <c r="J460" i="2"/>
  <c r="K460" i="2" s="1"/>
  <c r="J461" i="2"/>
  <c r="K461" i="2" s="1"/>
  <c r="J462" i="2"/>
  <c r="K462" i="2" s="1"/>
  <c r="J463" i="2"/>
  <c r="K463" i="2" s="1"/>
  <c r="J464" i="2"/>
  <c r="J465" i="2"/>
  <c r="K465" i="2" s="1"/>
  <c r="J466" i="2"/>
  <c r="K466" i="2" s="1"/>
  <c r="J467" i="2"/>
  <c r="K467" i="2" s="1"/>
  <c r="J468" i="2"/>
  <c r="K468" i="2" s="1"/>
  <c r="J469" i="2"/>
  <c r="K469" i="2" s="1"/>
  <c r="J470" i="2"/>
  <c r="K470" i="2" s="1"/>
  <c r="J471" i="2"/>
  <c r="K471" i="2" s="1"/>
  <c r="J472" i="2"/>
  <c r="K472" i="2" s="1"/>
  <c r="J473" i="2"/>
  <c r="K473" i="2" s="1"/>
  <c r="J474" i="2"/>
  <c r="K474" i="2" s="1"/>
  <c r="J475" i="2"/>
  <c r="K475" i="2" s="1"/>
  <c r="J476" i="2"/>
  <c r="K476" i="2" s="1"/>
  <c r="J477" i="2"/>
  <c r="K477" i="2" s="1"/>
  <c r="J478" i="2"/>
  <c r="K478" i="2" s="1"/>
  <c r="J479" i="2"/>
  <c r="K479" i="2" s="1"/>
  <c r="J480" i="2"/>
  <c r="J481" i="2"/>
  <c r="K481" i="2" s="1"/>
  <c r="J482" i="2"/>
  <c r="K482" i="2" s="1"/>
  <c r="J483" i="2"/>
  <c r="K483" i="2" s="1"/>
  <c r="J484" i="2"/>
  <c r="K484" i="2" s="1"/>
  <c r="J485" i="2"/>
  <c r="K485" i="2" s="1"/>
  <c r="J486" i="2"/>
  <c r="K486" i="2" s="1"/>
  <c r="J487" i="2"/>
  <c r="K487" i="2" s="1"/>
  <c r="J488" i="2"/>
  <c r="K488" i="2" s="1"/>
  <c r="J489" i="2"/>
  <c r="K489" i="2" s="1"/>
  <c r="J490" i="2"/>
  <c r="K490" i="2" s="1"/>
  <c r="J491" i="2"/>
  <c r="K491" i="2" s="1"/>
  <c r="J492" i="2"/>
  <c r="K492" i="2" s="1"/>
  <c r="J493" i="2"/>
  <c r="K493" i="2" s="1"/>
  <c r="J494" i="2"/>
  <c r="K494" i="2" s="1"/>
  <c r="J495" i="2"/>
  <c r="K495" i="2" s="1"/>
  <c r="J496" i="2"/>
  <c r="J497" i="2"/>
  <c r="K497" i="2" s="1"/>
  <c r="J498" i="2"/>
  <c r="K498" i="2" s="1"/>
  <c r="J499" i="2"/>
  <c r="K499" i="2" s="1"/>
  <c r="J500" i="2"/>
  <c r="K500" i="2" s="1"/>
  <c r="J501" i="2"/>
  <c r="K501" i="2" s="1"/>
  <c r="J502" i="2"/>
  <c r="K502" i="2" s="1"/>
  <c r="J503" i="2"/>
  <c r="K503" i="2" s="1"/>
  <c r="J504" i="2"/>
  <c r="K504" i="2" s="1"/>
  <c r="J505" i="2"/>
  <c r="K505" i="2" s="1"/>
  <c r="J506" i="2"/>
  <c r="K506" i="2" s="1"/>
  <c r="J507" i="2"/>
  <c r="K507" i="2" s="1"/>
  <c r="J508" i="2"/>
  <c r="J509" i="2"/>
  <c r="K509" i="2" s="1"/>
  <c r="J510" i="2"/>
  <c r="K510" i="2" s="1"/>
  <c r="J511" i="2"/>
  <c r="K511" i="2" s="1"/>
  <c r="J512" i="2"/>
  <c r="K512" i="2" s="1"/>
  <c r="J513" i="2"/>
  <c r="K513" i="2" s="1"/>
  <c r="J514" i="2"/>
  <c r="K514" i="2" s="1"/>
  <c r="J515" i="2"/>
  <c r="K515" i="2" s="1"/>
  <c r="J516" i="2"/>
  <c r="J517" i="2"/>
  <c r="K517" i="2" s="1"/>
  <c r="J518" i="2"/>
  <c r="J519" i="2"/>
  <c r="K519" i="2" s="1"/>
  <c r="J520" i="2"/>
  <c r="K520" i="2" s="1"/>
  <c r="J521" i="2"/>
  <c r="K521" i="2" s="1"/>
  <c r="J522" i="2"/>
  <c r="K522" i="2" s="1"/>
  <c r="J523" i="2"/>
  <c r="K523" i="2" s="1"/>
  <c r="J524" i="2"/>
  <c r="J525" i="2"/>
  <c r="K525" i="2" s="1"/>
  <c r="J526" i="2"/>
  <c r="K526" i="2" s="1"/>
  <c r="J527" i="2"/>
  <c r="K527" i="2" s="1"/>
  <c r="J528" i="2"/>
  <c r="K528" i="2" s="1"/>
  <c r="J529" i="2"/>
  <c r="K529" i="2" s="1"/>
  <c r="J530" i="2"/>
  <c r="K530" i="2" s="1"/>
  <c r="J531" i="2"/>
  <c r="K531" i="2" s="1"/>
  <c r="J532" i="2"/>
  <c r="J533" i="2"/>
  <c r="K533" i="2" s="1"/>
  <c r="J534" i="2"/>
  <c r="K534" i="2" s="1"/>
  <c r="J535" i="2"/>
  <c r="K535" i="2" s="1"/>
  <c r="J536" i="2"/>
  <c r="K536" i="2" s="1"/>
  <c r="J537" i="2"/>
  <c r="J538" i="2"/>
  <c r="K538" i="2" s="1"/>
  <c r="J539" i="2"/>
  <c r="K539" i="2" s="1"/>
  <c r="J540" i="2"/>
  <c r="K540" i="2" s="1"/>
  <c r="J541" i="2"/>
  <c r="K541" i="2" s="1"/>
  <c r="J542" i="2"/>
  <c r="K542" i="2" s="1"/>
  <c r="J543" i="2"/>
  <c r="K543" i="2" s="1"/>
  <c r="J544" i="2"/>
  <c r="K544" i="2" s="1"/>
  <c r="J545" i="2"/>
  <c r="K545" i="2" s="1"/>
  <c r="J546" i="2"/>
  <c r="K546" i="2" s="1"/>
  <c r="J547" i="2"/>
  <c r="K547" i="2" s="1"/>
  <c r="J548" i="2"/>
  <c r="K548" i="2" s="1"/>
  <c r="J549" i="2"/>
  <c r="J550" i="2"/>
  <c r="K550" i="2" s="1"/>
  <c r="J551" i="2"/>
  <c r="K551" i="2" s="1"/>
  <c r="J552" i="2"/>
  <c r="K552" i="2" s="1"/>
  <c r="J553" i="2"/>
  <c r="J554" i="2"/>
  <c r="J555" i="2"/>
  <c r="K555" i="2" s="1"/>
  <c r="J556" i="2"/>
  <c r="K556" i="2" s="1"/>
  <c r="J557" i="2"/>
  <c r="K557" i="2" s="1"/>
  <c r="J558" i="2"/>
  <c r="K558" i="2" s="1"/>
  <c r="J559" i="2"/>
  <c r="K559" i="2" s="1"/>
  <c r="J560" i="2"/>
  <c r="K560" i="2" s="1"/>
  <c r="J561" i="2"/>
  <c r="K561" i="2" s="1"/>
  <c r="J562" i="2"/>
  <c r="K562" i="2" s="1"/>
  <c r="J563" i="2"/>
  <c r="K563" i="2" s="1"/>
  <c r="J564" i="2"/>
  <c r="K564" i="2" s="1"/>
  <c r="J565" i="2"/>
  <c r="J566" i="2"/>
  <c r="K566" i="2" s="1"/>
  <c r="J567" i="2"/>
  <c r="K567" i="2" s="1"/>
  <c r="J568" i="2"/>
  <c r="K568" i="2" s="1"/>
  <c r="J569" i="2"/>
  <c r="J570" i="2"/>
  <c r="K570" i="2" s="1"/>
  <c r="J571" i="2"/>
  <c r="K571" i="2" s="1"/>
  <c r="J572" i="2"/>
  <c r="K572" i="2" s="1"/>
  <c r="J573" i="2"/>
  <c r="K573" i="2" s="1"/>
  <c r="J574" i="2"/>
  <c r="K574" i="2" s="1"/>
  <c r="J575" i="2"/>
  <c r="K575" i="2" s="1"/>
  <c r="J576" i="2"/>
  <c r="K576" i="2" s="1"/>
  <c r="J577" i="2"/>
  <c r="K577" i="2" s="1"/>
  <c r="J578" i="2"/>
  <c r="K578" i="2" s="1"/>
  <c r="J579" i="2"/>
  <c r="K579" i="2" s="1"/>
  <c r="J580" i="2"/>
  <c r="K580" i="2" s="1"/>
  <c r="J581" i="2"/>
  <c r="J582" i="2"/>
  <c r="K582" i="2" s="1"/>
  <c r="J583" i="2"/>
  <c r="K583" i="2" s="1"/>
  <c r="J584" i="2"/>
  <c r="K584" i="2" s="1"/>
  <c r="J585" i="2"/>
  <c r="J586" i="2"/>
  <c r="J587" i="2"/>
  <c r="K587" i="2" s="1"/>
  <c r="J588" i="2"/>
  <c r="K588" i="2" s="1"/>
  <c r="J589" i="2"/>
  <c r="K589" i="2" s="1"/>
  <c r="J590" i="2"/>
  <c r="K590" i="2" s="1"/>
  <c r="J591" i="2"/>
  <c r="K591" i="2" s="1"/>
  <c r="J592" i="2"/>
  <c r="K592" i="2" s="1"/>
  <c r="J593" i="2"/>
  <c r="K593" i="2" s="1"/>
  <c r="J594" i="2"/>
  <c r="K594" i="2" s="1"/>
  <c r="J595" i="2"/>
  <c r="K595" i="2" s="1"/>
  <c r="J596" i="2"/>
  <c r="K596" i="2" s="1"/>
  <c r="J597" i="2"/>
  <c r="J598" i="2"/>
  <c r="K598" i="2" s="1"/>
  <c r="J599" i="2"/>
  <c r="K599" i="2" s="1"/>
  <c r="J600" i="2"/>
  <c r="K600" i="2" s="1"/>
  <c r="J601" i="2"/>
  <c r="J602" i="2"/>
  <c r="K602" i="2" s="1"/>
  <c r="J603" i="2"/>
  <c r="K603" i="2" s="1"/>
  <c r="J604" i="2"/>
  <c r="K604" i="2" s="1"/>
  <c r="J605" i="2"/>
  <c r="K605" i="2" s="1"/>
  <c r="J606" i="2"/>
  <c r="K606" i="2" s="1"/>
  <c r="J607" i="2"/>
  <c r="K607" i="2" s="1"/>
  <c r="J608" i="2"/>
  <c r="K608" i="2" s="1"/>
  <c r="J609" i="2"/>
  <c r="K609" i="2" s="1"/>
  <c r="J610" i="2"/>
  <c r="K610" i="2" s="1"/>
  <c r="J611" i="2"/>
  <c r="K611" i="2" s="1"/>
  <c r="J612" i="2"/>
  <c r="K612" i="2" s="1"/>
  <c r="J613" i="2"/>
  <c r="J614" i="2"/>
  <c r="K614" i="2" s="1"/>
  <c r="J615" i="2"/>
  <c r="K615" i="2" s="1"/>
  <c r="J616" i="2"/>
  <c r="K616" i="2" s="1"/>
  <c r="J617" i="2"/>
  <c r="J618" i="2"/>
  <c r="J619" i="2"/>
  <c r="K619" i="2" s="1"/>
  <c r="J620" i="2"/>
  <c r="K620" i="2" s="1"/>
  <c r="J621" i="2"/>
  <c r="K621" i="2" s="1"/>
  <c r="J622" i="2"/>
  <c r="K622" i="2" s="1"/>
  <c r="J623" i="2"/>
  <c r="K623" i="2" s="1"/>
  <c r="J624" i="2"/>
  <c r="K624" i="2" s="1"/>
  <c r="J625" i="2"/>
  <c r="K625" i="2" s="1"/>
  <c r="J626" i="2"/>
  <c r="K626" i="2" s="1"/>
  <c r="J627" i="2"/>
  <c r="K627" i="2" s="1"/>
  <c r="J628" i="2"/>
  <c r="K628" i="2" s="1"/>
  <c r="J629" i="2"/>
  <c r="K629" i="2" s="1"/>
  <c r="J630" i="2"/>
  <c r="K630" i="2" s="1"/>
  <c r="J631" i="2"/>
  <c r="K631" i="2" s="1"/>
  <c r="J632" i="2"/>
  <c r="K632" i="2" s="1"/>
  <c r="J633" i="2"/>
  <c r="K633" i="2" s="1"/>
  <c r="J634" i="2"/>
  <c r="K634" i="2" s="1"/>
  <c r="J635" i="2"/>
  <c r="K635" i="2" s="1"/>
  <c r="J636" i="2"/>
  <c r="K636" i="2" s="1"/>
  <c r="J637" i="2"/>
  <c r="K637" i="2" s="1"/>
  <c r="J638" i="2"/>
  <c r="K638" i="2" s="1"/>
  <c r="J639" i="2"/>
  <c r="K639" i="2" s="1"/>
  <c r="J640" i="2"/>
  <c r="K640" i="2" s="1"/>
  <c r="J641" i="2"/>
  <c r="K641" i="2" s="1"/>
  <c r="J642" i="2"/>
  <c r="K642" i="2" s="1"/>
  <c r="J643" i="2"/>
  <c r="K643" i="2" s="1"/>
  <c r="J644" i="2"/>
  <c r="K644" i="2" s="1"/>
  <c r="J645" i="2"/>
  <c r="K645" i="2" s="1"/>
  <c r="J646" i="2"/>
  <c r="K646" i="2" s="1"/>
  <c r="J647" i="2"/>
  <c r="K647" i="2" s="1"/>
  <c r="J648" i="2"/>
  <c r="K648" i="2" s="1"/>
  <c r="J649" i="2"/>
  <c r="K649" i="2" s="1"/>
  <c r="J650" i="2"/>
  <c r="K650" i="2" s="1"/>
  <c r="J651" i="2"/>
  <c r="K651" i="2" s="1"/>
  <c r="J652" i="2"/>
  <c r="K652" i="2" s="1"/>
  <c r="J653" i="2"/>
  <c r="K653" i="2" s="1"/>
  <c r="J654" i="2"/>
  <c r="K654" i="2" s="1"/>
  <c r="J655" i="2"/>
  <c r="K655" i="2" s="1"/>
  <c r="J656" i="2"/>
  <c r="K656" i="2" s="1"/>
  <c r="J657" i="2"/>
  <c r="K657" i="2" s="1"/>
  <c r="J658" i="2"/>
  <c r="K658" i="2" s="1"/>
  <c r="J659" i="2"/>
  <c r="K659" i="2" s="1"/>
  <c r="J660" i="2"/>
  <c r="K660" i="2" s="1"/>
  <c r="J661" i="2"/>
  <c r="K661" i="2" s="1"/>
  <c r="J662" i="2"/>
  <c r="K662" i="2" s="1"/>
  <c r="J663" i="2"/>
  <c r="K663" i="2" s="1"/>
  <c r="J664" i="2"/>
  <c r="K664" i="2" s="1"/>
  <c r="J665" i="2"/>
  <c r="K665" i="2" s="1"/>
  <c r="J666" i="2"/>
  <c r="K666" i="2" s="1"/>
  <c r="J667" i="2"/>
  <c r="K667" i="2" s="1"/>
  <c r="J668" i="2"/>
  <c r="K668" i="2" s="1"/>
  <c r="J669" i="2"/>
  <c r="K669" i="2" s="1"/>
  <c r="J670" i="2"/>
  <c r="K670" i="2" s="1"/>
  <c r="J671" i="2"/>
  <c r="K671" i="2" s="1"/>
  <c r="J672" i="2"/>
  <c r="K672" i="2" s="1"/>
  <c r="J673" i="2"/>
  <c r="K673" i="2" s="1"/>
  <c r="J674" i="2"/>
  <c r="K674" i="2" s="1"/>
  <c r="J675" i="2"/>
  <c r="K675" i="2" s="1"/>
  <c r="J676" i="2"/>
  <c r="K676" i="2" s="1"/>
  <c r="J677" i="2"/>
  <c r="K677" i="2" s="1"/>
  <c r="J678" i="2"/>
  <c r="K678" i="2" s="1"/>
  <c r="J679" i="2"/>
  <c r="K679" i="2" s="1"/>
  <c r="J680" i="2"/>
  <c r="K680" i="2" s="1"/>
  <c r="J681" i="2"/>
  <c r="K681" i="2" s="1"/>
  <c r="J682" i="2"/>
  <c r="K682" i="2" s="1"/>
  <c r="J683" i="2"/>
  <c r="K683" i="2" s="1"/>
  <c r="J684" i="2"/>
  <c r="K684" i="2" s="1"/>
  <c r="J685" i="2"/>
  <c r="K685" i="2" s="1"/>
  <c r="J686" i="2"/>
  <c r="K686" i="2" s="1"/>
  <c r="J687" i="2"/>
  <c r="K687" i="2" s="1"/>
  <c r="J688" i="2"/>
  <c r="K688" i="2" s="1"/>
  <c r="J689" i="2"/>
  <c r="K689" i="2" s="1"/>
  <c r="J690" i="2"/>
  <c r="K690" i="2" s="1"/>
  <c r="J691" i="2"/>
  <c r="K691" i="2" s="1"/>
  <c r="J692" i="2"/>
  <c r="K692" i="2" s="1"/>
  <c r="J693" i="2"/>
  <c r="K693" i="2" s="1"/>
  <c r="J694" i="2"/>
  <c r="K694" i="2" s="1"/>
  <c r="J695" i="2"/>
  <c r="K695" i="2" s="1"/>
  <c r="J696" i="2"/>
  <c r="K696" i="2" s="1"/>
  <c r="J697" i="2"/>
  <c r="K697" i="2" s="1"/>
  <c r="J698" i="2"/>
  <c r="K698" i="2" s="1"/>
  <c r="J699" i="2"/>
  <c r="K699" i="2" s="1"/>
  <c r="J700" i="2"/>
  <c r="K700" i="2" s="1"/>
  <c r="J701" i="2"/>
  <c r="K701" i="2" s="1"/>
  <c r="J702" i="2"/>
  <c r="K702" i="2" s="1"/>
  <c r="J703" i="2"/>
  <c r="K703" i="2" s="1"/>
  <c r="J704" i="2"/>
  <c r="K704" i="2" s="1"/>
  <c r="J705" i="2"/>
  <c r="K705" i="2" s="1"/>
  <c r="J706" i="2"/>
  <c r="K706" i="2" s="1"/>
  <c r="J707" i="2"/>
  <c r="K707" i="2" s="1"/>
  <c r="J708" i="2"/>
  <c r="K708" i="2" s="1"/>
  <c r="J709" i="2"/>
  <c r="K709" i="2" s="1"/>
  <c r="J710" i="2"/>
  <c r="K710" i="2" s="1"/>
  <c r="J711" i="2"/>
  <c r="K711" i="2" s="1"/>
  <c r="J712" i="2"/>
  <c r="K712" i="2" s="1"/>
  <c r="J713" i="2"/>
  <c r="K713" i="2" s="1"/>
  <c r="J714" i="2"/>
  <c r="K714" i="2" s="1"/>
  <c r="J715" i="2"/>
  <c r="K715" i="2" s="1"/>
  <c r="J716" i="2"/>
  <c r="K716" i="2" s="1"/>
  <c r="J717" i="2"/>
  <c r="K717" i="2" s="1"/>
  <c r="J718" i="2"/>
  <c r="K718" i="2" s="1"/>
  <c r="J719" i="2"/>
  <c r="K719" i="2" s="1"/>
  <c r="J720" i="2"/>
  <c r="K720" i="2" s="1"/>
  <c r="J721" i="2"/>
  <c r="K721" i="2" s="1"/>
  <c r="J722" i="2"/>
  <c r="K722" i="2" s="1"/>
  <c r="J723" i="2"/>
  <c r="K723" i="2" s="1"/>
  <c r="J724" i="2"/>
  <c r="K724" i="2" s="1"/>
  <c r="J725" i="2"/>
  <c r="K725" i="2" s="1"/>
  <c r="J726" i="2"/>
  <c r="K726" i="2" s="1"/>
  <c r="J727" i="2"/>
  <c r="K727" i="2" s="1"/>
  <c r="J728" i="2"/>
  <c r="K728" i="2" s="1"/>
  <c r="J729" i="2"/>
  <c r="K729" i="2" s="1"/>
  <c r="J730" i="2"/>
  <c r="K730" i="2" s="1"/>
  <c r="J731" i="2"/>
  <c r="K731" i="2" s="1"/>
  <c r="J732" i="2"/>
  <c r="K732" i="2" s="1"/>
  <c r="J733" i="2"/>
  <c r="K733" i="2" s="1"/>
  <c r="J734" i="2"/>
  <c r="K734" i="2" s="1"/>
  <c r="J735" i="2"/>
  <c r="K735" i="2" s="1"/>
  <c r="J736" i="2"/>
  <c r="K736" i="2" s="1"/>
  <c r="J737" i="2"/>
  <c r="K737" i="2" s="1"/>
  <c r="J738" i="2"/>
  <c r="K738" i="2" s="1"/>
  <c r="J739" i="2"/>
  <c r="K739" i="2" s="1"/>
  <c r="J740" i="2"/>
  <c r="K740" i="2" s="1"/>
  <c r="J741" i="2"/>
  <c r="K741" i="2" s="1"/>
  <c r="J742" i="2"/>
  <c r="K742" i="2" s="1"/>
  <c r="J743" i="2"/>
  <c r="K743" i="2" s="1"/>
  <c r="J744" i="2"/>
  <c r="K744" i="2" s="1"/>
  <c r="J745" i="2"/>
  <c r="K745" i="2" s="1"/>
  <c r="J746" i="2"/>
  <c r="K746" i="2" s="1"/>
  <c r="J747" i="2"/>
  <c r="K747" i="2" s="1"/>
  <c r="J748" i="2"/>
  <c r="K748" i="2" s="1"/>
  <c r="J749" i="2"/>
  <c r="K749" i="2" s="1"/>
  <c r="J750" i="2"/>
  <c r="K750" i="2" s="1"/>
  <c r="J751" i="2"/>
  <c r="K751" i="2" s="1"/>
  <c r="J752" i="2"/>
  <c r="K752" i="2" s="1"/>
  <c r="J753" i="2"/>
  <c r="K753" i="2" s="1"/>
  <c r="J754" i="2"/>
  <c r="K754" i="2" s="1"/>
  <c r="J755" i="2"/>
  <c r="K755" i="2" s="1"/>
  <c r="J756" i="2"/>
  <c r="K756" i="2" s="1"/>
  <c r="J757" i="2"/>
  <c r="K757" i="2" s="1"/>
  <c r="J758" i="2"/>
  <c r="K758" i="2" s="1"/>
  <c r="J759" i="2"/>
  <c r="K759" i="2" s="1"/>
  <c r="J760" i="2"/>
  <c r="K760" i="2" s="1"/>
  <c r="J761" i="2"/>
  <c r="K761" i="2" s="1"/>
  <c r="J762" i="2"/>
  <c r="K762" i="2" s="1"/>
  <c r="J763" i="2"/>
  <c r="K763" i="2" s="1"/>
  <c r="J764" i="2"/>
  <c r="K764" i="2" s="1"/>
  <c r="J765" i="2"/>
  <c r="K765" i="2" s="1"/>
  <c r="J766" i="2"/>
  <c r="K766" i="2" s="1"/>
  <c r="J767" i="2"/>
  <c r="K767" i="2" s="1"/>
  <c r="J768" i="2"/>
  <c r="K768" i="2" s="1"/>
  <c r="J769" i="2"/>
  <c r="K769" i="2" s="1"/>
  <c r="J770" i="2"/>
  <c r="K770" i="2" s="1"/>
  <c r="J771" i="2"/>
  <c r="K771" i="2" s="1"/>
  <c r="J772" i="2"/>
  <c r="K772" i="2" s="1"/>
  <c r="J773" i="2"/>
  <c r="K773" i="2" s="1"/>
  <c r="J774" i="2"/>
  <c r="K774" i="2" s="1"/>
  <c r="J775" i="2"/>
  <c r="K775" i="2" s="1"/>
  <c r="J776" i="2"/>
  <c r="K776" i="2" s="1"/>
  <c r="J777" i="2"/>
  <c r="K777" i="2" s="1"/>
  <c r="J778" i="2"/>
  <c r="K778" i="2" s="1"/>
  <c r="J779" i="2"/>
  <c r="K779" i="2" s="1"/>
  <c r="J780" i="2"/>
  <c r="K780" i="2" s="1"/>
  <c r="J781" i="2"/>
  <c r="K781" i="2" s="1"/>
  <c r="J782" i="2"/>
  <c r="K782" i="2" s="1"/>
  <c r="J783" i="2"/>
  <c r="K783" i="2" s="1"/>
  <c r="J784" i="2"/>
  <c r="K784" i="2" s="1"/>
  <c r="J785" i="2"/>
  <c r="K785" i="2" s="1"/>
  <c r="J786" i="2"/>
  <c r="K786" i="2" s="1"/>
  <c r="J787" i="2"/>
  <c r="K787" i="2" s="1"/>
  <c r="J788" i="2"/>
  <c r="K788" i="2" s="1"/>
  <c r="J789" i="2"/>
  <c r="K789" i="2" s="1"/>
  <c r="J790" i="2"/>
  <c r="K790" i="2" s="1"/>
  <c r="J791" i="2"/>
  <c r="K791" i="2" s="1"/>
  <c r="J792" i="2"/>
  <c r="K792" i="2" s="1"/>
  <c r="J793" i="2"/>
  <c r="K793" i="2" s="1"/>
  <c r="J794" i="2"/>
  <c r="K794" i="2" s="1"/>
  <c r="J795" i="2"/>
  <c r="K795" i="2" s="1"/>
  <c r="J796" i="2"/>
  <c r="K796" i="2" s="1"/>
  <c r="J797" i="2"/>
  <c r="K797" i="2" s="1"/>
  <c r="J798" i="2"/>
  <c r="K798" i="2" s="1"/>
  <c r="J799" i="2"/>
  <c r="K799" i="2" s="1"/>
  <c r="J800" i="2"/>
  <c r="K800" i="2" s="1"/>
  <c r="J801" i="2"/>
  <c r="K801" i="2" s="1"/>
  <c r="J802" i="2"/>
  <c r="K802" i="2" s="1"/>
  <c r="J803" i="2"/>
  <c r="K803" i="2" s="1"/>
  <c r="J804" i="2"/>
  <c r="K804" i="2" s="1"/>
  <c r="J805" i="2"/>
  <c r="K805" i="2" s="1"/>
  <c r="J806" i="2"/>
  <c r="K806" i="2" s="1"/>
  <c r="J807" i="2"/>
  <c r="K807" i="2" s="1"/>
  <c r="J808" i="2"/>
  <c r="K808" i="2" s="1"/>
  <c r="J809" i="2"/>
  <c r="K809" i="2" s="1"/>
  <c r="J810" i="2"/>
  <c r="K810" i="2" s="1"/>
  <c r="J811" i="2"/>
  <c r="K811" i="2" s="1"/>
  <c r="J812" i="2"/>
  <c r="K812" i="2" s="1"/>
  <c r="J813" i="2"/>
  <c r="K813" i="2" s="1"/>
  <c r="J814" i="2"/>
  <c r="K814" i="2" s="1"/>
  <c r="J815" i="2"/>
  <c r="K815" i="2" s="1"/>
  <c r="J816" i="2"/>
  <c r="K816" i="2" s="1"/>
  <c r="J817" i="2"/>
  <c r="K817" i="2" s="1"/>
  <c r="J818" i="2"/>
  <c r="K818" i="2" s="1"/>
  <c r="J819" i="2"/>
  <c r="K819" i="2" s="1"/>
  <c r="J820" i="2"/>
  <c r="K820" i="2" s="1"/>
  <c r="J821" i="2"/>
  <c r="K821" i="2" s="1"/>
  <c r="J822" i="2"/>
  <c r="K822" i="2" s="1"/>
  <c r="J823" i="2"/>
  <c r="K823" i="2" s="1"/>
  <c r="J824" i="2"/>
  <c r="K824" i="2" s="1"/>
  <c r="J825" i="2"/>
  <c r="K825" i="2" s="1"/>
  <c r="J826" i="2"/>
  <c r="K826" i="2" s="1"/>
  <c r="J827" i="2"/>
  <c r="K827" i="2" s="1"/>
  <c r="J828" i="2"/>
  <c r="K828" i="2" s="1"/>
  <c r="J829" i="2"/>
  <c r="K829" i="2" s="1"/>
  <c r="J830" i="2"/>
  <c r="K830" i="2" s="1"/>
  <c r="J831" i="2"/>
  <c r="K831" i="2" s="1"/>
  <c r="J832" i="2"/>
  <c r="K832" i="2" s="1"/>
  <c r="J833" i="2"/>
  <c r="K833" i="2" s="1"/>
  <c r="J834" i="2"/>
  <c r="K834" i="2" s="1"/>
  <c r="J835" i="2"/>
  <c r="K835" i="2" s="1"/>
  <c r="J836" i="2"/>
  <c r="K836" i="2" s="1"/>
  <c r="J837" i="2"/>
  <c r="K837" i="2" s="1"/>
  <c r="J838" i="2"/>
  <c r="K838" i="2" s="1"/>
  <c r="J839" i="2"/>
  <c r="K839" i="2" s="1"/>
  <c r="J840" i="2"/>
  <c r="K840" i="2" s="1"/>
  <c r="J841" i="2"/>
  <c r="K841" i="2" s="1"/>
  <c r="J842" i="2"/>
  <c r="K842" i="2" s="1"/>
  <c r="J843" i="2"/>
  <c r="K843" i="2" s="1"/>
  <c r="J844" i="2"/>
  <c r="K844" i="2" s="1"/>
  <c r="J845" i="2"/>
  <c r="K845" i="2" s="1"/>
  <c r="J846" i="2"/>
  <c r="K846" i="2" s="1"/>
  <c r="J847" i="2"/>
  <c r="K847" i="2" s="1"/>
  <c r="J848" i="2"/>
  <c r="K848" i="2" s="1"/>
  <c r="J849" i="2"/>
  <c r="K849" i="2" s="1"/>
  <c r="J850" i="2"/>
  <c r="K850" i="2" s="1"/>
  <c r="J851" i="2"/>
  <c r="K851" i="2" s="1"/>
  <c r="J852" i="2"/>
  <c r="K852" i="2" s="1"/>
  <c r="J853" i="2"/>
  <c r="K853" i="2" s="1"/>
  <c r="J854" i="2"/>
  <c r="K854" i="2" s="1"/>
  <c r="J855" i="2"/>
  <c r="K855" i="2" s="1"/>
  <c r="J856" i="2"/>
  <c r="K856" i="2" s="1"/>
  <c r="J857" i="2"/>
  <c r="K857" i="2" s="1"/>
  <c r="J858" i="2"/>
  <c r="K858" i="2" s="1"/>
  <c r="J859" i="2"/>
  <c r="K859" i="2" s="1"/>
  <c r="J860" i="2"/>
  <c r="K860" i="2" s="1"/>
  <c r="J861" i="2"/>
  <c r="K861" i="2" s="1"/>
  <c r="J862" i="2"/>
  <c r="K862" i="2" s="1"/>
  <c r="J863" i="2"/>
  <c r="K863" i="2" s="1"/>
  <c r="J864" i="2"/>
  <c r="K864" i="2" s="1"/>
  <c r="J865" i="2"/>
  <c r="K865" i="2" s="1"/>
  <c r="J866" i="2"/>
  <c r="K866" i="2" s="1"/>
  <c r="J867" i="2"/>
  <c r="K867" i="2" s="1"/>
  <c r="J868" i="2"/>
  <c r="K868" i="2" s="1"/>
  <c r="J869" i="2"/>
  <c r="K869" i="2" s="1"/>
  <c r="J870" i="2"/>
  <c r="K870" i="2" s="1"/>
  <c r="J871" i="2"/>
  <c r="K871" i="2" s="1"/>
  <c r="J872" i="2"/>
  <c r="K872" i="2" s="1"/>
  <c r="J873" i="2"/>
  <c r="K873" i="2" s="1"/>
  <c r="J874" i="2"/>
  <c r="K874" i="2" s="1"/>
  <c r="J875" i="2"/>
  <c r="K875" i="2" s="1"/>
  <c r="J876" i="2"/>
  <c r="K876" i="2" s="1"/>
  <c r="J877" i="2"/>
  <c r="K877" i="2" s="1"/>
  <c r="J878" i="2"/>
  <c r="K878" i="2" s="1"/>
  <c r="J879" i="2"/>
  <c r="K879" i="2" s="1"/>
  <c r="J880" i="2"/>
  <c r="K880" i="2" s="1"/>
  <c r="J881" i="2"/>
  <c r="K881" i="2" s="1"/>
  <c r="J882" i="2"/>
  <c r="K882" i="2" s="1"/>
  <c r="J883" i="2"/>
  <c r="K883" i="2" s="1"/>
  <c r="J884" i="2"/>
  <c r="K884" i="2" s="1"/>
  <c r="J885" i="2"/>
  <c r="K885" i="2" s="1"/>
  <c r="J886" i="2"/>
  <c r="K886" i="2" s="1"/>
  <c r="J887" i="2"/>
  <c r="K887" i="2" s="1"/>
  <c r="J888" i="2"/>
  <c r="K888" i="2" s="1"/>
  <c r="J889" i="2"/>
  <c r="K889" i="2" s="1"/>
  <c r="J890" i="2"/>
  <c r="K890" i="2" s="1"/>
  <c r="J891" i="2"/>
  <c r="K891" i="2" s="1"/>
  <c r="J892" i="2"/>
  <c r="K892" i="2" s="1"/>
  <c r="J893" i="2"/>
  <c r="K893" i="2" s="1"/>
  <c r="J894" i="2"/>
  <c r="K894" i="2" s="1"/>
  <c r="J895" i="2"/>
  <c r="K895" i="2" s="1"/>
  <c r="J896" i="2"/>
  <c r="K896" i="2" s="1"/>
  <c r="J897" i="2"/>
  <c r="K897" i="2" s="1"/>
  <c r="J898" i="2"/>
  <c r="K898" i="2" s="1"/>
  <c r="J899" i="2"/>
  <c r="K899" i="2" s="1"/>
  <c r="J900" i="2"/>
  <c r="K900" i="2" s="1"/>
  <c r="J901" i="2"/>
  <c r="K901" i="2" s="1"/>
  <c r="J902" i="2"/>
  <c r="K902" i="2" s="1"/>
  <c r="J903" i="2"/>
  <c r="K903" i="2" s="1"/>
  <c r="J904" i="2"/>
  <c r="K904" i="2" s="1"/>
  <c r="J905" i="2"/>
  <c r="K905" i="2" s="1"/>
  <c r="J906" i="2"/>
  <c r="K906" i="2" s="1"/>
  <c r="J907" i="2"/>
  <c r="K907" i="2" s="1"/>
  <c r="J908" i="2"/>
  <c r="K908" i="2" s="1"/>
  <c r="J909" i="2"/>
  <c r="K909" i="2" s="1"/>
  <c r="J910" i="2"/>
  <c r="K910" i="2" s="1"/>
  <c r="J911" i="2"/>
  <c r="K911" i="2" s="1"/>
  <c r="J912" i="2"/>
  <c r="K912" i="2" s="1"/>
  <c r="J913" i="2"/>
  <c r="K913" i="2" s="1"/>
  <c r="J914" i="2"/>
  <c r="K914" i="2" s="1"/>
  <c r="J915" i="2"/>
  <c r="K915" i="2" s="1"/>
  <c r="J916" i="2"/>
  <c r="K916" i="2" s="1"/>
  <c r="J917" i="2"/>
  <c r="K917" i="2" s="1"/>
  <c r="J918" i="2"/>
  <c r="K918" i="2" s="1"/>
  <c r="J919" i="2"/>
  <c r="K919" i="2" s="1"/>
  <c r="J920" i="2"/>
  <c r="K920" i="2" s="1"/>
  <c r="J921" i="2"/>
  <c r="K921" i="2" s="1"/>
  <c r="J922" i="2"/>
  <c r="K922" i="2" s="1"/>
  <c r="J923" i="2"/>
  <c r="K923" i="2" s="1"/>
  <c r="J924" i="2"/>
  <c r="K924" i="2" s="1"/>
  <c r="J925" i="2"/>
  <c r="K925" i="2" s="1"/>
  <c r="J926" i="2"/>
  <c r="K926" i="2" s="1"/>
  <c r="J927" i="2"/>
  <c r="K927" i="2" s="1"/>
  <c r="J928" i="2"/>
  <c r="K928" i="2" s="1"/>
  <c r="J929" i="2"/>
  <c r="K929" i="2" s="1"/>
  <c r="J930" i="2"/>
  <c r="K930" i="2" s="1"/>
  <c r="J931" i="2"/>
  <c r="K931" i="2" s="1"/>
  <c r="J932" i="2"/>
  <c r="K932" i="2" s="1"/>
  <c r="J933" i="2"/>
  <c r="K933" i="2" s="1"/>
  <c r="J934" i="2"/>
  <c r="K934" i="2" s="1"/>
  <c r="J935" i="2"/>
  <c r="K935" i="2" s="1"/>
  <c r="J936" i="2"/>
  <c r="K936" i="2" s="1"/>
  <c r="J937" i="2"/>
  <c r="K937" i="2" s="1"/>
  <c r="J938" i="2"/>
  <c r="K938" i="2" s="1"/>
  <c r="J939" i="2"/>
  <c r="K939" i="2" s="1"/>
  <c r="J940" i="2"/>
  <c r="K940" i="2" s="1"/>
  <c r="J941" i="2"/>
  <c r="K941" i="2" s="1"/>
  <c r="J942" i="2"/>
  <c r="K942" i="2" s="1"/>
  <c r="J943" i="2"/>
  <c r="K943" i="2" s="1"/>
  <c r="J944" i="2"/>
  <c r="K944" i="2" s="1"/>
  <c r="J945" i="2"/>
  <c r="K945" i="2" s="1"/>
  <c r="J946" i="2"/>
  <c r="K946" i="2" s="1"/>
  <c r="J947" i="2"/>
  <c r="K947" i="2" s="1"/>
  <c r="J948" i="2"/>
  <c r="K948" i="2" s="1"/>
  <c r="J949" i="2"/>
  <c r="K949" i="2" s="1"/>
  <c r="J950" i="2"/>
  <c r="K950" i="2" s="1"/>
  <c r="J951" i="2"/>
  <c r="K951" i="2" s="1"/>
  <c r="J952" i="2"/>
  <c r="K952" i="2" s="1"/>
  <c r="J953" i="2"/>
  <c r="K953" i="2" s="1"/>
  <c r="J954" i="2"/>
  <c r="K954" i="2" s="1"/>
  <c r="J955" i="2"/>
  <c r="K955" i="2" s="1"/>
  <c r="J956" i="2"/>
  <c r="K956" i="2" s="1"/>
  <c r="J957" i="2"/>
  <c r="K957" i="2" s="1"/>
  <c r="J958" i="2"/>
  <c r="K958" i="2" s="1"/>
  <c r="J959" i="2"/>
  <c r="K959" i="2" s="1"/>
  <c r="J960" i="2"/>
  <c r="K960" i="2" s="1"/>
  <c r="J961" i="2"/>
  <c r="K961" i="2" s="1"/>
  <c r="J962" i="2"/>
  <c r="K962" i="2" s="1"/>
  <c r="J963" i="2"/>
  <c r="K963" i="2" s="1"/>
  <c r="J964" i="2"/>
  <c r="K964" i="2" s="1"/>
  <c r="J965" i="2"/>
  <c r="K965" i="2" s="1"/>
  <c r="J966" i="2"/>
  <c r="K966" i="2" s="1"/>
  <c r="J967" i="2"/>
  <c r="K967" i="2" s="1"/>
  <c r="J968" i="2"/>
  <c r="K968" i="2" s="1"/>
  <c r="J969" i="2"/>
  <c r="K969" i="2" s="1"/>
  <c r="J970" i="2"/>
  <c r="K970" i="2" s="1"/>
  <c r="J971" i="2"/>
  <c r="K971" i="2" s="1"/>
  <c r="J972" i="2"/>
  <c r="K972" i="2" s="1"/>
  <c r="J973" i="2"/>
  <c r="K973" i="2" s="1"/>
  <c r="J974" i="2"/>
  <c r="K974" i="2" s="1"/>
  <c r="J975" i="2"/>
  <c r="K975" i="2" s="1"/>
  <c r="J976" i="2"/>
  <c r="K976" i="2" s="1"/>
  <c r="J977" i="2"/>
  <c r="K977" i="2" s="1"/>
  <c r="J978" i="2"/>
  <c r="K978" i="2" s="1"/>
  <c r="J979" i="2"/>
  <c r="K979" i="2" s="1"/>
  <c r="J980" i="2"/>
  <c r="K980" i="2" s="1"/>
  <c r="J981" i="2"/>
  <c r="K981" i="2" s="1"/>
  <c r="J982" i="2"/>
  <c r="K982" i="2" s="1"/>
  <c r="J983" i="2"/>
  <c r="K983" i="2" s="1"/>
  <c r="J984" i="2"/>
  <c r="K984" i="2" s="1"/>
  <c r="J985" i="2"/>
  <c r="K985" i="2" s="1"/>
  <c r="J986" i="2"/>
  <c r="K986" i="2" s="1"/>
  <c r="J987" i="2"/>
  <c r="K987" i="2" s="1"/>
  <c r="J988" i="2"/>
  <c r="K988" i="2" s="1"/>
  <c r="J989" i="2"/>
  <c r="K989" i="2" s="1"/>
  <c r="J990" i="2"/>
  <c r="K990" i="2" s="1"/>
  <c r="J991" i="2"/>
  <c r="K991" i="2" s="1"/>
  <c r="J992" i="2"/>
  <c r="K992" i="2" s="1"/>
  <c r="J993" i="2"/>
  <c r="K993" i="2" s="1"/>
  <c r="J994" i="2"/>
  <c r="K994" i="2" s="1"/>
  <c r="J995" i="2"/>
  <c r="K995" i="2" s="1"/>
  <c r="J996" i="2"/>
  <c r="K996" i="2" s="1"/>
  <c r="J997" i="2"/>
  <c r="K997" i="2" s="1"/>
  <c r="J998" i="2"/>
  <c r="K998" i="2" s="1"/>
  <c r="J999" i="2"/>
  <c r="K999" i="2" s="1"/>
  <c r="J1000" i="2"/>
  <c r="K1000" i="2" s="1"/>
  <c r="J1001" i="2"/>
  <c r="K1001" i="2"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 i="1"/>
  <c r="D2" i="4"/>
  <c r="D6" i="4"/>
  <c r="D12" i="4"/>
  <c r="D9" i="4"/>
</calcChain>
</file>

<file path=xl/sharedStrings.xml><?xml version="1.0" encoding="utf-8"?>
<sst xmlns="http://schemas.openxmlformats.org/spreadsheetml/2006/main" count="11111" uniqueCount="1042">
  <si>
    <t>gender</t>
  </si>
  <si>
    <t>race/ethnicity</t>
  </si>
  <si>
    <t>parental level of education</t>
  </si>
  <si>
    <t>lunch</t>
  </si>
  <si>
    <t>test preparation course</t>
  </si>
  <si>
    <t>math score</t>
  </si>
  <si>
    <t>reading score</t>
  </si>
  <si>
    <t>writing score</t>
  </si>
  <si>
    <t>male</t>
  </si>
  <si>
    <t>group A</t>
  </si>
  <si>
    <t>high school</t>
  </si>
  <si>
    <t>standard</t>
  </si>
  <si>
    <t>completed</t>
  </si>
  <si>
    <t>female</t>
  </si>
  <si>
    <t>group D</t>
  </si>
  <si>
    <t>some high school</t>
  </si>
  <si>
    <t>free/reduced</t>
  </si>
  <si>
    <t>none</t>
  </si>
  <si>
    <t>group E</t>
  </si>
  <si>
    <t>some college</t>
  </si>
  <si>
    <t>group B</t>
  </si>
  <si>
    <t>associate's degree</t>
  </si>
  <si>
    <t>bachelor's degree</t>
  </si>
  <si>
    <t>group C</t>
  </si>
  <si>
    <t>master's degree</t>
  </si>
  <si>
    <t>Over All Score</t>
  </si>
  <si>
    <t>Row Labels</t>
  </si>
  <si>
    <t>Column Labels</t>
  </si>
  <si>
    <t>ID</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</si>
  <si>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</si>
  <si>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</si>
  <si>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</si>
  <si>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</si>
  <si>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</si>
  <si>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</si>
  <si>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</si>
  <si>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</si>
  <si>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</si>
  <si>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</si>
  <si>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</si>
  <si>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</si>
  <si>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</si>
  <si>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</si>
  <si>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</si>
  <si>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</si>
  <si>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</si>
  <si>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</si>
  <si>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</si>
  <si>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</si>
  <si>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</si>
  <si>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</si>
  <si>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</si>
  <si>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</si>
  <si>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</si>
  <si>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</si>
  <si>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</si>
  <si>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</si>
  <si>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</si>
  <si>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</si>
  <si>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</si>
  <si>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</si>
  <si>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</si>
  <si>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</si>
  <si>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</si>
  <si>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</si>
  <si>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</si>
  <si>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</si>
  <si>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</si>
  <si>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</si>
  <si>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</si>
  <si>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</si>
  <si>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</si>
  <si>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</si>
  <si>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</si>
  <si>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</si>
  <si>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</si>
  <si>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</si>
  <si>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</si>
  <si>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</si>
  <si>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</si>
  <si>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</si>
  <si>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</si>
  <si>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</si>
  <si>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</si>
  <si>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</si>
  <si>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</si>
  <si>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</si>
  <si>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</si>
  <si>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</si>
  <si>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</si>
  <si>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</si>
  <si>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</si>
  <si>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</si>
  <si>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</si>
  <si>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</si>
  <si>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</si>
  <si>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</si>
  <si>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</si>
  <si>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</si>
  <si>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</si>
  <si>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</si>
  <si>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</si>
  <si>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</si>
  <si>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</si>
  <si>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</si>
  <si>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</si>
  <si>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</si>
  <si>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</si>
  <si>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</si>
  <si>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</si>
  <si>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</si>
  <si>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</si>
  <si>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</si>
  <si>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</si>
  <si>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</si>
  <si>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</si>
  <si>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</si>
  <si>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</si>
  <si>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</si>
  <si>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</si>
  <si>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</si>
  <si>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</si>
  <si>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</si>
  <si>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</si>
  <si>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</si>
  <si>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</si>
  <si>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</si>
  <si>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</si>
  <si>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</si>
  <si>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</si>
  <si>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</si>
  <si>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</si>
  <si>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</si>
  <si>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</si>
  <si>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</si>
  <si>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</si>
  <si>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</si>
  <si>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</si>
  <si>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</si>
  <si>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</si>
  <si>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</si>
  <si>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</si>
  <si>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</si>
  <si>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</si>
  <si>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</si>
  <si>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</si>
  <si>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</si>
  <si>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</si>
  <si>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</si>
  <si>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</si>
  <si>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</si>
  <si>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</si>
  <si>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</si>
  <si>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</si>
  <si>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</si>
  <si>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</si>
  <si>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</si>
  <si>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</si>
  <si>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</si>
  <si>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</si>
  <si>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</si>
  <si>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</si>
  <si>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</si>
  <si>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</si>
  <si>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</si>
  <si>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</si>
  <si>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</si>
  <si>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</si>
  <si>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</si>
  <si>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</si>
  <si>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</si>
  <si>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</si>
  <si>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</si>
  <si>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</si>
  <si>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</si>
  <si>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</si>
  <si>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</si>
  <si>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</si>
  <si>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</si>
  <si>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</si>
  <si>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</si>
  <si>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</si>
  <si>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</si>
  <si>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</si>
  <si>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</si>
  <si>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</si>
  <si>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</si>
  <si>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</si>
  <si>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</si>
  <si>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</si>
  <si>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</si>
  <si>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</si>
  <si>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</si>
  <si>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</si>
  <si>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</si>
  <si>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</si>
  <si>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</si>
  <si>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</si>
  <si>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</si>
  <si>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</si>
  <si>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</si>
  <si>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</si>
  <si>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</si>
  <si>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</si>
  <si>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</si>
  <si>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</si>
  <si>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</si>
  <si>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</si>
  <si>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</si>
  <si>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</si>
  <si>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</si>
  <si>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</si>
  <si>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</si>
  <si>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</si>
  <si>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</si>
  <si>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</si>
  <si>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</si>
  <si>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</si>
  <si>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</si>
  <si>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</si>
  <si>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</si>
  <si>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</si>
  <si>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</si>
  <si>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</si>
  <si>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</si>
  <si>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</si>
  <si>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</si>
  <si>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</si>
  <si>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</si>
  <si>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</si>
  <si>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</si>
  <si>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</si>
  <si>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</si>
  <si>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</si>
  <si>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</si>
  <si>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</si>
  <si>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</si>
  <si>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</si>
  <si>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</si>
  <si>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</si>
  <si>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</si>
  <si>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</si>
  <si>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</si>
  <si>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</si>
  <si>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</si>
  <si>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</si>
  <si>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</si>
  <si>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</si>
  <si>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</si>
  <si>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</si>
  <si>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</si>
  <si>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</si>
  <si>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</si>
  <si>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</si>
  <si>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</si>
  <si>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</si>
  <si>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</si>
  <si>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</si>
  <si>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</si>
  <si>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</si>
  <si>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</si>
  <si>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</si>
  <si>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</si>
  <si>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</si>
  <si>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</si>
  <si>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</si>
  <si>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</si>
  <si>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</si>
  <si>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</si>
  <si>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</si>
  <si>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</si>
  <si>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</si>
  <si>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</si>
  <si>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</si>
  <si>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</si>
  <si>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</si>
  <si>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</si>
  <si>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</si>
  <si>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</si>
  <si>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</si>
  <si>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</si>
  <si>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</si>
  <si>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</si>
  <si>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</si>
  <si>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</si>
  <si>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</si>
  <si>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</si>
  <si>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</si>
  <si>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</si>
  <si>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</si>
  <si>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</si>
  <si>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</si>
  <si>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</si>
  <si>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</si>
  <si>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</si>
  <si>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</si>
  <si>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</si>
  <si>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</si>
  <si>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</si>
  <si>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</si>
  <si>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</si>
  <si>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</si>
  <si>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</si>
  <si>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</si>
  <si>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</si>
  <si>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</si>
  <si>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</si>
  <si>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</si>
  <si>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</si>
  <si>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</si>
  <si>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</si>
  <si>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</si>
  <si>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</si>
  <si>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</si>
  <si>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</si>
  <si>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</si>
  <si>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</si>
  <si>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</si>
  <si>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</si>
  <si>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</si>
  <si>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</si>
  <si>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</si>
  <si>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</si>
  <si>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</si>
  <si>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</si>
  <si>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</si>
  <si>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</si>
  <si>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</si>
  <si>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</si>
  <si>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</si>
  <si>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</si>
  <si>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</si>
  <si>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</si>
  <si>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</si>
  <si>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</si>
  <si>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</si>
  <si>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</si>
  <si>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</si>
  <si>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</si>
  <si>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</si>
  <si>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</si>
  <si>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</si>
  <si>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</si>
  <si>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</si>
  <si>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</si>
  <si>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</si>
  <si>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</si>
  <si>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</si>
  <si>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</si>
  <si>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</si>
  <si>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</si>
  <si>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</si>
  <si>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</si>
  <si>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</si>
  <si>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</si>
  <si>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</si>
  <si>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</si>
  <si>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</si>
  <si>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</si>
  <si>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</si>
  <si>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</si>
  <si>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</si>
  <si>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</si>
  <si>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</si>
  <si>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</si>
  <si>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</si>
  <si>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</si>
  <si>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</si>
  <si>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</si>
  <si>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</si>
  <si>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</si>
  <si>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</si>
  <si>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</si>
  <si>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</si>
  <si>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</si>
  <si>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</si>
  <si>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</si>
  <si>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</si>
  <si>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</si>
  <si>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</si>
  <si>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</si>
  <si>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</si>
  <si>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</si>
  <si>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</si>
  <si>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</si>
  <si>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</si>
  <si>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</si>
  <si>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</si>
  <si>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</si>
  <si>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</si>
  <si>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</si>
  <si>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</si>
  <si>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</si>
  <si>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</si>
  <si>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</si>
  <si>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</si>
  <si>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</si>
  <si>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</si>
  <si>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</si>
  <si>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</si>
  <si>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</si>
  <si>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</si>
  <si>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</si>
  <si>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</si>
  <si>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</si>
  <si>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</si>
  <si>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</si>
  <si>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</si>
  <si>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</si>
  <si>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</si>
  <si>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</si>
  <si>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</si>
  <si>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</si>
  <si>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</si>
  <si>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</si>
  <si>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</si>
  <si>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</si>
  <si>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</si>
  <si>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</si>
  <si>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</si>
  <si>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</si>
  <si>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</si>
  <si>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</si>
  <si>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</si>
  <si>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</si>
  <si>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</si>
  <si>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</si>
  <si>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</si>
  <si>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</si>
  <si>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</si>
  <si>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</si>
  <si>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</si>
  <si>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</si>
  <si>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</si>
  <si>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</si>
  <si>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</si>
  <si>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</si>
  <si>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</si>
  <si>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</si>
  <si>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</si>
  <si>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</si>
  <si>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</si>
  <si>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</si>
  <si>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</si>
  <si>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</si>
  <si>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</si>
  <si>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</si>
  <si>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</si>
  <si>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</si>
  <si>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</si>
  <si>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</si>
  <si>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</si>
  <si>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</si>
  <si>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</si>
  <si>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</si>
  <si>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</si>
  <si>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</si>
  <si>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</si>
  <si>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</si>
  <si>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</si>
  <si>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</si>
  <si>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</si>
  <si>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</si>
  <si>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</si>
  <si>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</si>
  <si>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</si>
  <si>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</si>
  <si>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</si>
  <si>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</si>
  <si>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</si>
  <si>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</si>
  <si>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</si>
  <si>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</si>
  <si>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</si>
  <si>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</si>
  <si>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</si>
  <si>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</si>
  <si>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</si>
  <si>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</si>
  <si>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</si>
  <si>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</si>
  <si>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</si>
  <si>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</si>
  <si>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</si>
  <si>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</si>
  <si>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</si>
  <si>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</si>
  <si>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</si>
  <si>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</si>
  <si>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</si>
  <si>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</si>
  <si>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</si>
  <si>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</si>
  <si>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</si>
  <si>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</si>
  <si>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</si>
  <si>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</si>
  <si>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</si>
  <si>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</si>
  <si>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</si>
  <si>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</si>
  <si>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</si>
  <si>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</si>
  <si>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</si>
  <si>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</si>
  <si>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</si>
  <si>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</si>
  <si>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</si>
  <si>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</si>
  <si>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</si>
  <si>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</si>
  <si>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</si>
  <si>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</si>
  <si>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</si>
  <si>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</si>
  <si>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</si>
  <si>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</si>
  <si>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</si>
  <si>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</si>
  <si>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</si>
  <si>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</si>
  <si>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</si>
  <si>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</si>
  <si>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</si>
  <si>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</si>
  <si>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</si>
  <si>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</si>
  <si>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</si>
  <si>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</si>
  <si>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</si>
  <si>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</si>
  <si>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</si>
  <si>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</si>
  <si>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</si>
  <si>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</si>
  <si>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</si>
  <si>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</si>
  <si>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</si>
  <si>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</si>
  <si>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</si>
  <si>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</si>
  <si>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</si>
  <si>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</si>
  <si>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</si>
  <si>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</si>
  <si>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</si>
  <si>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</si>
  <si>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</si>
  <si>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</si>
  <si>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</si>
  <si>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</si>
  <si>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</si>
  <si>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</si>
  <si>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</si>
  <si>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</si>
  <si>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</si>
  <si>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</si>
  <si>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</si>
  <si>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</si>
  <si>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</si>
  <si>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</si>
  <si>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</si>
  <si>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</si>
  <si>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</si>
  <si>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</si>
  <si>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</si>
  <si>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</si>
  <si>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</si>
  <si>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</si>
  <si>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</si>
  <si>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</si>
  <si>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</si>
  <si>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</si>
  <si>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</si>
  <si>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</si>
  <si>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</si>
  <si>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</si>
  <si>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</si>
  <si>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</si>
  <si>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</si>
  <si>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</si>
  <si>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</si>
  <si>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</si>
  <si>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</si>
  <si>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</si>
  <si>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</si>
  <si>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</si>
  <si>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</si>
  <si>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</si>
  <si>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</si>
  <si>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</si>
  <si>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</si>
  <si>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</si>
  <si>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</si>
  <si>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</si>
  <si>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</si>
  <si>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</si>
  <si>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</si>
  <si>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</si>
  <si>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</si>
  <si>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</si>
  <si>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</si>
  <si>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</si>
  <si>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</si>
  <si>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</si>
  <si>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</si>
  <si>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</si>
  <si>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</si>
  <si>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</si>
  <si>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</si>
  <si>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</si>
  <si>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</si>
  <si>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</si>
  <si>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</si>
  <si>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</si>
  <si>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</si>
  <si>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</si>
  <si>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</si>
  <si>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</si>
  <si>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</si>
  <si>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</si>
  <si>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</si>
  <si>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</si>
  <si>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</si>
  <si>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</si>
  <si>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</si>
  <si>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</si>
  <si>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</si>
  <si>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</si>
  <si>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</si>
  <si>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</si>
  <si>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</si>
  <si>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</si>
  <si>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</si>
  <si>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</si>
  <si>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</si>
  <si>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</si>
  <si>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</si>
  <si>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</si>
  <si>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</si>
  <si>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</si>
  <si>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</si>
  <si>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</si>
  <si>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</si>
  <si>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</si>
  <si>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</si>
  <si>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</si>
  <si>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</si>
  <si>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</si>
  <si>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</si>
  <si>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</si>
  <si>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</si>
  <si>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</si>
  <si>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</si>
  <si>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</si>
  <si>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</si>
  <si>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</si>
  <si>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</si>
  <si>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</si>
  <si>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</si>
  <si>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</si>
  <si>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</si>
  <si>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</si>
  <si>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</si>
  <si>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</si>
  <si>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</si>
  <si>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</si>
  <si>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</si>
  <si>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</si>
  <si>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</si>
  <si>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</si>
  <si>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</si>
  <si>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</si>
  <si>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</si>
  <si>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</si>
  <si>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</si>
  <si>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</si>
  <si>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</si>
  <si>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</si>
  <si>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</si>
  <si>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</si>
  <si>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</si>
  <si>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</si>
  <si>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</si>
  <si>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</si>
  <si>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</si>
  <si>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</si>
  <si>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</si>
  <si>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</si>
  <si>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</si>
  <si>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</si>
  <si>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</si>
  <si>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</si>
  <si>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</si>
  <si>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</si>
  <si>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</si>
  <si>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</si>
  <si>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</si>
  <si>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</si>
  <si>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</si>
  <si>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</si>
  <si>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</si>
  <si>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</si>
  <si>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</si>
  <si>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</si>
  <si>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</si>
  <si>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</si>
  <si>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</si>
  <si>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</si>
  <si>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</si>
  <si>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</si>
  <si>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</si>
  <si>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</si>
  <si>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</si>
  <si>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</si>
  <si>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</si>
  <si>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</si>
  <si>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</si>
  <si>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</si>
  <si>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</si>
  <si>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</si>
  <si>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</si>
  <si>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</si>
  <si>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</si>
  <si>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</si>
  <si>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</si>
  <si>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</si>
  <si>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</si>
  <si>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</si>
  <si>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</si>
  <si>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</si>
  <si>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</si>
  <si>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</si>
  <si>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</si>
  <si>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</si>
  <si>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</si>
  <si>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</si>
  <si>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</si>
  <si>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</si>
  <si>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</si>
  <si>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</si>
  <si>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</si>
  <si>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</si>
  <si>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</si>
  <si>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</si>
  <si>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</si>
  <si>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</si>
  <si>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</si>
  <si>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</si>
  <si>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</si>
  <si>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</si>
  <si>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</si>
  <si>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</si>
  <si>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</si>
  <si>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</si>
  <si>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</si>
  <si>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</si>
  <si>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</si>
  <si>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</si>
  <si>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</si>
  <si>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</si>
  <si>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</si>
  <si>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</si>
  <si>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</si>
  <si>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</si>
  <si>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</si>
  <si>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</si>
  <si>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</si>
  <si>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</si>
  <si>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</si>
  <si>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</si>
  <si>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</si>
  <si>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</si>
  <si>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</si>
  <si>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</si>
  <si>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</si>
  <si>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</si>
  <si>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</si>
  <si>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</si>
  <si>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</si>
  <si>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</si>
  <si>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</si>
  <si>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</si>
  <si>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</si>
  <si>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</si>
  <si>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</si>
  <si>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</si>
  <si>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</si>
  <si>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</si>
  <si>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</si>
  <si>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</si>
  <si>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</si>
  <si>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C764</t>
  </si>
  <si>
    <t>C765</t>
  </si>
  <si>
    <t>C766</t>
  </si>
  <si>
    <t>C767</t>
  </si>
  <si>
    <t>C768</t>
  </si>
  <si>
    <t>C769</t>
  </si>
  <si>
    <t>C770</t>
  </si>
  <si>
    <t>C771</t>
  </si>
  <si>
    <t>C772</t>
  </si>
  <si>
    <t>C773</t>
  </si>
  <si>
    <t>C774</t>
  </si>
  <si>
    <t>C775</t>
  </si>
  <si>
    <t>C776</t>
  </si>
  <si>
    <t>C777</t>
  </si>
  <si>
    <t>C778</t>
  </si>
  <si>
    <t>C779</t>
  </si>
  <si>
    <t>C780</t>
  </si>
  <si>
    <t>C781</t>
  </si>
  <si>
    <t>C782</t>
  </si>
  <si>
    <t>C783</t>
  </si>
  <si>
    <t>C784</t>
  </si>
  <si>
    <t>C785</t>
  </si>
  <si>
    <t>C786</t>
  </si>
  <si>
    <t>C787</t>
  </si>
  <si>
    <t>C788</t>
  </si>
  <si>
    <t>C789</t>
  </si>
  <si>
    <t>C790</t>
  </si>
  <si>
    <t>C791</t>
  </si>
  <si>
    <t>C792</t>
  </si>
  <si>
    <t>C793</t>
  </si>
  <si>
    <t>C794</t>
  </si>
  <si>
    <t>C795</t>
  </si>
  <si>
    <t>C796</t>
  </si>
  <si>
    <t>C797</t>
  </si>
  <si>
    <t>C798</t>
  </si>
  <si>
    <t>C799</t>
  </si>
  <si>
    <t>C800</t>
  </si>
  <si>
    <t>C801</t>
  </si>
  <si>
    <t>C802</t>
  </si>
  <si>
    <t>C803</t>
  </si>
  <si>
    <t>C804</t>
  </si>
  <si>
    <t>C805</t>
  </si>
  <si>
    <t>C806</t>
  </si>
  <si>
    <t>C807</t>
  </si>
  <si>
    <t>C808</t>
  </si>
  <si>
    <t>C809</t>
  </si>
  <si>
    <t>C810</t>
  </si>
  <si>
    <t>C811</t>
  </si>
  <si>
    <t>C812</t>
  </si>
  <si>
    <t>C813</t>
  </si>
  <si>
    <t>C814</t>
  </si>
  <si>
    <t>C815</t>
  </si>
  <si>
    <t>C816</t>
  </si>
  <si>
    <t>C817</t>
  </si>
  <si>
    <t>C818</t>
  </si>
  <si>
    <t>C819</t>
  </si>
  <si>
    <t>C820</t>
  </si>
  <si>
    <t>C821</t>
  </si>
  <si>
    <t>C822</t>
  </si>
  <si>
    <t>C823</t>
  </si>
  <si>
    <t>C824</t>
  </si>
  <si>
    <t>C825</t>
  </si>
  <si>
    <t>C826</t>
  </si>
  <si>
    <t>C827</t>
  </si>
  <si>
    <t>C828</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</si>
  <si>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</si>
  <si>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</si>
  <si>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</si>
  <si>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</si>
  <si>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</si>
  <si>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</si>
  <si>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</si>
  <si>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</si>
  <si>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</si>
  <si>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</si>
  <si>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</si>
  <si>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</si>
  <si>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</si>
  <si>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</si>
  <si>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</si>
  <si>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</si>
  <si>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</si>
  <si>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</si>
  <si>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</si>
  <si>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</si>
  <si>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</si>
  <si>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</si>
  <si>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</si>
  <si>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</si>
  <si>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C853</t>
  </si>
  <si>
    <t>C854</t>
  </si>
  <si>
    <t>C855</t>
  </si>
  <si>
    <t>C856</t>
  </si>
  <si>
    <t>C857</t>
  </si>
  <si>
    <t>C858</t>
  </si>
  <si>
    <t>C859</t>
  </si>
  <si>
    <t>C860</t>
  </si>
  <si>
    <t>C861</t>
  </si>
  <si>
    <t>C862</t>
  </si>
  <si>
    <t>C863</t>
  </si>
  <si>
    <t>C864</t>
  </si>
  <si>
    <t>C865</t>
  </si>
  <si>
    <t>C866</t>
  </si>
  <si>
    <t>C867</t>
  </si>
  <si>
    <t>C868</t>
  </si>
  <si>
    <t>C869</t>
  </si>
  <si>
    <t>C870</t>
  </si>
  <si>
    <t>C871</t>
  </si>
  <si>
    <t>C872</t>
  </si>
  <si>
    <t>C873</t>
  </si>
  <si>
    <t>C874</t>
  </si>
  <si>
    <t>C875</t>
  </si>
  <si>
    <t>C876</t>
  </si>
  <si>
    <t>C877</t>
  </si>
  <si>
    <t>C878</t>
  </si>
  <si>
    <t>C879</t>
  </si>
  <si>
    <t>C880</t>
  </si>
  <si>
    <t>C881</t>
  </si>
  <si>
    <t>C882</t>
  </si>
  <si>
    <t>C883</t>
  </si>
  <si>
    <t>C884</t>
  </si>
  <si>
    <t>C885</t>
  </si>
  <si>
    <t>C886</t>
  </si>
  <si>
    <t>C887</t>
  </si>
  <si>
    <t>C888</t>
  </si>
  <si>
    <t>C889</t>
  </si>
  <si>
    <t>C890</t>
  </si>
  <si>
    <t>C891</t>
  </si>
  <si>
    <t>C892</t>
  </si>
  <si>
    <t>C893</t>
  </si>
  <si>
    <t>C894</t>
  </si>
  <si>
    <t>C895</t>
  </si>
  <si>
    <t>C896</t>
  </si>
  <si>
    <t>C897</t>
  </si>
  <si>
    <t>C898</t>
  </si>
  <si>
    <t>C899</t>
  </si>
  <si>
    <t>C900</t>
  </si>
  <si>
    <t>C901</t>
  </si>
  <si>
    <t>C902</t>
  </si>
  <si>
    <t>C903</t>
  </si>
  <si>
    <t>C904</t>
  </si>
  <si>
    <t>C905</t>
  </si>
  <si>
    <t>C906</t>
  </si>
  <si>
    <t>C907</t>
  </si>
  <si>
    <t>C908</t>
  </si>
  <si>
    <t>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</si>
  <si>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</si>
  <si>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</si>
  <si>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</si>
  <si>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</si>
  <si>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</si>
  <si>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</si>
  <si>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</si>
  <si>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</si>
  <si>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</si>
  <si>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</si>
  <si>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</si>
  <si>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</si>
  <si>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</si>
  <si>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</si>
  <si>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</si>
  <si>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</si>
  <si>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</si>
  <si>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</si>
  <si>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</si>
  <si>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</si>
  <si>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</si>
  <si>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</si>
  <si>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</si>
  <si>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</si>
  <si>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</si>
  <si>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</si>
  <si>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</si>
  <si>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</si>
  <si>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</si>
  <si>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</si>
  <si>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</si>
  <si>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</si>
  <si>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</si>
  <si>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</si>
  <si>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</si>
  <si>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</si>
  <si>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</si>
  <si>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</si>
  <si>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</si>
  <si>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</si>
  <si>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</si>
  <si>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</si>
  <si>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</si>
  <si>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</si>
  <si>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</si>
  <si>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</si>
  <si>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</si>
  <si>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</si>
  <si>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</si>
  <si>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</si>
  <si>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</si>
  <si>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</si>
  <si>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</si>
  <si>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</si>
  <si>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</si>
  <si>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</si>
  <si>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</si>
  <si>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</si>
  <si>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</si>
  <si>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</si>
  <si>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</si>
  <si>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</si>
  <si>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</si>
  <si>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</si>
  <si>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C974</t>
  </si>
  <si>
    <t>C975</t>
  </si>
  <si>
    <t>C976</t>
  </si>
  <si>
    <t>C977</t>
  </si>
  <si>
    <t>C978</t>
  </si>
  <si>
    <t>C979</t>
  </si>
  <si>
    <t>C980</t>
  </si>
  <si>
    <t>C981</t>
  </si>
  <si>
    <t>C982</t>
  </si>
  <si>
    <t>C983</t>
  </si>
  <si>
    <t>C984</t>
  </si>
  <si>
    <t>C985</t>
  </si>
  <si>
    <t>C986</t>
  </si>
  <si>
    <t>C987</t>
  </si>
  <si>
    <t>C988</t>
  </si>
  <si>
    <t>C989</t>
  </si>
  <si>
    <t>C990</t>
  </si>
  <si>
    <t>C991</t>
  </si>
  <si>
    <t>C992</t>
  </si>
  <si>
    <t>C993</t>
  </si>
  <si>
    <t>C994</t>
  </si>
  <si>
    <t>C995</t>
  </si>
  <si>
    <t>C996</t>
  </si>
  <si>
    <t>C997</t>
  </si>
  <si>
    <t>C998</t>
  </si>
  <si>
    <t>C999</t>
  </si>
  <si>
    <t>C1000</t>
  </si>
  <si>
    <t>Total Students</t>
  </si>
  <si>
    <t>EducationalLevel</t>
  </si>
  <si>
    <t>Average of math score</t>
  </si>
  <si>
    <t>Average of reading score</t>
  </si>
  <si>
    <t>Average of writing score</t>
  </si>
  <si>
    <t>Preparation</t>
  </si>
  <si>
    <t>Gender</t>
  </si>
  <si>
    <t>Race</t>
  </si>
  <si>
    <t>Lunch</t>
  </si>
  <si>
    <t>Total score</t>
  </si>
  <si>
    <t>average score</t>
  </si>
  <si>
    <t>Average of average score</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</si>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</sst>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4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dxf>
    <dxf>
      <numFmt numFmtId="0" formatCode="General"/>
    </dxf>
    <dxf>
      <numFmt numFmtId="164" formatCode="0.0"/>
    </dxf>
    <dxf>
      <numFmt numFmtId="164" formatCode="0.0"/>
    </dxf>
    <dxf>
      <numFmt numFmtId="35" formatCode="_(* #,##0.00_);_(* \(#,##0.00\);_(* &quot;-&quot;??_);_(@_)"/>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s>
  <tableStyles count="2" defaultTableStyle="TableStyleMedium2" defaultPivotStyle="PivotStyleLight16">
    <tableStyle name="Slicer Style 1" pivot="0" table="0" count="0" xr9:uid="{0364BF63-C0D7-4991-B6B2-8A34F5C341F3}"/>
    <tableStyle name="Slicer Style 2" pivot="0" table="0" count="1" xr9:uid="{EDDA0992-5CC8-4C05-9B26-1A3E67B79F16}"/>
  </tableStyles>
  <colors>
    <mruColors>
      <color rgb="FF26B65D"/>
      <color rgb="FF48A536"/>
      <color rgb="FFCAA8D4"/>
      <color rgb="FF2AD45F"/>
    </mruColors>
  </colors>
  <extLst>
    <ext xmlns:x14="http://schemas.microsoft.com/office/spreadsheetml/2009/9/main" uri="{46F421CA-312F-682f-3DD2-61675219B42D}">
      <x14:dxfs count="1">
        <dxf>
          <font>
            <b/>
            <i val="0"/>
            <color theme="2" tint="-0.24994659260841701"/>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[exams 1.xlsx]Pivot chart!PivotTable5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baseline="0">
                <a:solidFill>
                  <a:schemeClr val="tx1"/>
                </a:solidFill>
              </a:rPr>
              <a:t>Total student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90380346182848"/>
          <c:y val="0.21681781140622014"/>
          <c:w val="0.75202178702467259"/>
          <c:h val="0.78318218859377986"/>
        </c:manualLayout>
      </c:layout>
      <c:barChart>
        <c:barDir val="bar"/>
        <c:grouping val="clustered"/>
        <c:varyColors val="0"/>
        <c:ser>
          <c:idx val="0"/>
          <c:order val="0"/>
          <c:tx>
            <c:strRef>
              <c:f>'Pivot chart'!$H$5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chart'!$G$6:$G$11</c:f>
              <c:strCache>
                <c:ptCount val="6"/>
                <c:pt idx="0">
                  <c:v>master's degree</c:v>
                </c:pt>
                <c:pt idx="1">
                  <c:v>bachelor's degree</c:v>
                </c:pt>
                <c:pt idx="2">
                  <c:v>some high school</c:v>
                </c:pt>
                <c:pt idx="3">
                  <c:v>high school</c:v>
                </c:pt>
                <c:pt idx="4">
                  <c:v>associate's degree</c:v>
                </c:pt>
                <c:pt idx="5">
                  <c:v>some college</c:v>
                </c:pt>
              </c:strCache>
            </c:strRef>
          </c:cat>
          <c:val>
            <c:numRef>
              <c:f>'Pivot chart'!$H$6:$H$11</c:f>
              <c:numCache>
                <c:formatCode>General</c:formatCode>
                <c:ptCount val="6"/>
                <c:pt idx="0">
                  <c:v>70</c:v>
                </c:pt>
                <c:pt idx="1">
                  <c:v>112</c:v>
                </c:pt>
                <c:pt idx="2">
                  <c:v>191</c:v>
                </c:pt>
                <c:pt idx="3">
                  <c:v>202</c:v>
                </c:pt>
                <c:pt idx="4">
                  <c:v>203</c:v>
                </c:pt>
                <c:pt idx="5">
                  <c:v>222</c:v>
                </c:pt>
              </c:numCache>
            </c:numRef>
          </c:val>
          <c:extLst>
            <c:ext xmlns:c16="http://schemas.microsoft.com/office/drawing/2014/chart" uri="{C3380CC4-5D6E-409C-BE32-E72D297353CC}">
              <c16:uniqueId val="{00000008-3657-433C-8C31-85E751E1D90C}"/>
            </c:ext>
          </c:extLst>
        </c:ser>
        <c:dLbls>
          <c:dLblPos val="outEnd"/>
          <c:showLegendKey val="0"/>
          <c:showVal val="1"/>
          <c:showCatName val="0"/>
          <c:showSerName val="0"/>
          <c:showPercent val="0"/>
          <c:showBubbleSize val="0"/>
        </c:dLbls>
        <c:gapWidth val="182"/>
        <c:axId val="680541528"/>
        <c:axId val="680537592"/>
      </c:barChart>
      <c:catAx>
        <c:axId val="680541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80537592"/>
        <c:crosses val="autoZero"/>
        <c:auto val="1"/>
        <c:lblAlgn val="ctr"/>
        <c:lblOffset val="100"/>
        <c:noMultiLvlLbl val="0"/>
      </c:catAx>
      <c:valAx>
        <c:axId val="680537592"/>
        <c:scaling>
          <c:orientation val="minMax"/>
        </c:scaling>
        <c:delete val="1"/>
        <c:axPos val="b"/>
        <c:numFmt formatCode="General" sourceLinked="1"/>
        <c:majorTickMark val="none"/>
        <c:minorTickMark val="none"/>
        <c:tickLblPos val="nextTo"/>
        <c:crossAx val="680541528"/>
        <c:crosses val="autoZero"/>
        <c:crossBetween val="between"/>
      </c:valAx>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6B65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[exams 1.xlsx]Pivot chart!PivotTable7</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baseline="0">
                <a:solidFill>
                  <a:schemeClr val="tx1"/>
                </a:solidFill>
              </a:rPr>
              <a:t>Avg math score by preparation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968069372033229E-3"/>
          <c:y val="7.917869939971986E-2"/>
          <c:w val="0.92050591696026463"/>
          <c:h val="0.73577136191309422"/>
        </c:manualLayout>
      </c:layout>
      <c:barChart>
        <c:barDir val="col"/>
        <c:grouping val="clustered"/>
        <c:varyColors val="0"/>
        <c:ser>
          <c:idx val="0"/>
          <c:order val="0"/>
          <c:tx>
            <c:strRef>
              <c:f>'Pivot chart'!$B$20:$B$21</c:f>
              <c:strCache>
                <c:ptCount val="1"/>
                <c:pt idx="0">
                  <c:v>none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chart'!$A$22:$A$23</c:f>
              <c:strCache>
                <c:ptCount val="2"/>
                <c:pt idx="0">
                  <c:v>female</c:v>
                </c:pt>
                <c:pt idx="1">
                  <c:v>male</c:v>
                </c:pt>
              </c:strCache>
            </c:strRef>
          </c:cat>
          <c:val>
            <c:numRef>
              <c:f>'Pivot chart'!$B$22:$B$23</c:f>
              <c:numCache>
                <c:formatCode>0.0</c:formatCode>
                <c:ptCount val="2"/>
                <c:pt idx="0">
                  <c:v>61.860681114551085</c:v>
                </c:pt>
                <c:pt idx="1">
                  <c:v>67.456140350877192</c:v>
                </c:pt>
              </c:numCache>
            </c:numRef>
          </c:val>
          <c:extLst>
            <c:ext xmlns:c16="http://schemas.microsoft.com/office/drawing/2014/chart" uri="{C3380CC4-5D6E-409C-BE32-E72D297353CC}">
              <c16:uniqueId val="{00000000-CC7B-465C-9DC6-0288D6330C5B}"/>
            </c:ext>
          </c:extLst>
        </c:ser>
        <c:ser>
          <c:idx val="1"/>
          <c:order val="1"/>
          <c:tx>
            <c:strRef>
              <c:f>'Pivot chart'!$C$20:$C$21</c:f>
              <c:strCache>
                <c:ptCount val="1"/>
                <c:pt idx="0">
                  <c:v>completed</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chart'!$A$22:$A$23</c:f>
              <c:strCache>
                <c:ptCount val="2"/>
                <c:pt idx="0">
                  <c:v>female</c:v>
                </c:pt>
                <c:pt idx="1">
                  <c:v>male</c:v>
                </c:pt>
              </c:strCache>
            </c:strRef>
          </c:cat>
          <c:val>
            <c:numRef>
              <c:f>'Pivot chart'!$C$22:$C$23</c:f>
              <c:numCache>
                <c:formatCode>0.0</c:formatCode>
                <c:ptCount val="2"/>
                <c:pt idx="0">
                  <c:v>65.893749999999997</c:v>
                </c:pt>
                <c:pt idx="1">
                  <c:v>73.15428571428572</c:v>
                </c:pt>
              </c:numCache>
            </c:numRef>
          </c:val>
          <c:extLst>
            <c:ext xmlns:c16="http://schemas.microsoft.com/office/drawing/2014/chart" uri="{C3380CC4-5D6E-409C-BE32-E72D297353CC}">
              <c16:uniqueId val="{00000009-BE07-44E3-8E9E-83CF6A46B0FF}"/>
            </c:ext>
          </c:extLst>
        </c:ser>
        <c:dLbls>
          <c:dLblPos val="outEnd"/>
          <c:showLegendKey val="0"/>
          <c:showVal val="1"/>
          <c:showCatName val="0"/>
          <c:showSerName val="0"/>
          <c:showPercent val="0"/>
          <c:showBubbleSize val="0"/>
        </c:dLbls>
        <c:gapWidth val="219"/>
        <c:overlap val="-27"/>
        <c:axId val="613770504"/>
        <c:axId val="613763288"/>
      </c:barChart>
      <c:catAx>
        <c:axId val="613770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13763288"/>
        <c:crosses val="autoZero"/>
        <c:auto val="1"/>
        <c:lblAlgn val="ctr"/>
        <c:lblOffset val="100"/>
        <c:noMultiLvlLbl val="0"/>
      </c:catAx>
      <c:valAx>
        <c:axId val="613763288"/>
        <c:scaling>
          <c:orientation val="minMax"/>
        </c:scaling>
        <c:delete val="1"/>
        <c:axPos val="l"/>
        <c:numFmt formatCode="0.0" sourceLinked="1"/>
        <c:majorTickMark val="out"/>
        <c:minorTickMark val="none"/>
        <c:tickLblPos val="nextTo"/>
        <c:crossAx val="613770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6B65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 1.xlsx]Pivot chart!PivotTable6</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baseline="0">
                <a:solidFill>
                  <a:schemeClr val="tx1"/>
                </a:solidFill>
              </a:rPr>
              <a:t>Avg reading score by preparation</a:t>
            </a:r>
          </a:p>
          <a:p>
            <a:pPr>
              <a:defRPr>
                <a:solidFill>
                  <a:schemeClr val="tx1"/>
                </a:solidFill>
              </a:defRPr>
            </a:pPr>
            <a:endParaRPr lang="en-US" sz="1200" b="1"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chart'!$G$24:$G$25</c:f>
              <c:strCache>
                <c:ptCount val="1"/>
                <c:pt idx="0">
                  <c:v>none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chart'!$F$26:$F$27</c:f>
              <c:strCache>
                <c:ptCount val="2"/>
                <c:pt idx="0">
                  <c:v>male</c:v>
                </c:pt>
                <c:pt idx="1">
                  <c:v>female</c:v>
                </c:pt>
              </c:strCache>
            </c:strRef>
          </c:cat>
          <c:val>
            <c:numRef>
              <c:f>'Pivot chart'!$G$26:$G$27</c:f>
              <c:numCache>
                <c:formatCode>0.0</c:formatCode>
                <c:ptCount val="2"/>
                <c:pt idx="0">
                  <c:v>63.190058479532162</c:v>
                </c:pt>
                <c:pt idx="1">
                  <c:v>69.879256965944279</c:v>
                </c:pt>
              </c:numCache>
            </c:numRef>
          </c:val>
          <c:extLst>
            <c:ext xmlns:c16="http://schemas.microsoft.com/office/drawing/2014/chart" uri="{C3380CC4-5D6E-409C-BE32-E72D297353CC}">
              <c16:uniqueId val="{00000000-A1E6-43BF-91D8-E067662EE6B8}"/>
            </c:ext>
          </c:extLst>
        </c:ser>
        <c:ser>
          <c:idx val="1"/>
          <c:order val="1"/>
          <c:tx>
            <c:strRef>
              <c:f>'Pivot chart'!$H$24:$H$25</c:f>
              <c:strCache>
                <c:ptCount val="1"/>
                <c:pt idx="0">
                  <c:v>completed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chart'!$F$26:$F$27</c:f>
              <c:strCache>
                <c:ptCount val="2"/>
                <c:pt idx="0">
                  <c:v>male</c:v>
                </c:pt>
                <c:pt idx="1">
                  <c:v>female</c:v>
                </c:pt>
              </c:strCache>
            </c:strRef>
          </c:cat>
          <c:val>
            <c:numRef>
              <c:f>'Pivot chart'!$H$26:$H$27</c:f>
              <c:numCache>
                <c:formatCode>0.0</c:formatCode>
                <c:ptCount val="2"/>
                <c:pt idx="0">
                  <c:v>72.394285714285715</c:v>
                </c:pt>
                <c:pt idx="1">
                  <c:v>75.943749999999994</c:v>
                </c:pt>
              </c:numCache>
            </c:numRef>
          </c:val>
          <c:extLst>
            <c:ext xmlns:c16="http://schemas.microsoft.com/office/drawing/2014/chart" uri="{C3380CC4-5D6E-409C-BE32-E72D297353CC}">
              <c16:uniqueId val="{00000009-EA3D-42A8-94B7-158F90E19987}"/>
            </c:ext>
          </c:extLst>
        </c:ser>
        <c:dLbls>
          <c:dLblPos val="outEnd"/>
          <c:showLegendKey val="0"/>
          <c:showVal val="1"/>
          <c:showCatName val="0"/>
          <c:showSerName val="0"/>
          <c:showPercent val="0"/>
          <c:showBubbleSize val="0"/>
        </c:dLbls>
        <c:gapWidth val="219"/>
        <c:overlap val="-27"/>
        <c:axId val="389698328"/>
        <c:axId val="389698656"/>
      </c:barChart>
      <c:catAx>
        <c:axId val="389698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89698656"/>
        <c:crosses val="autoZero"/>
        <c:auto val="1"/>
        <c:lblAlgn val="ctr"/>
        <c:lblOffset val="100"/>
        <c:noMultiLvlLbl val="0"/>
      </c:catAx>
      <c:valAx>
        <c:axId val="389698656"/>
        <c:scaling>
          <c:orientation val="minMax"/>
        </c:scaling>
        <c:delete val="1"/>
        <c:axPos val="l"/>
        <c:numFmt formatCode="0.0" sourceLinked="1"/>
        <c:majorTickMark val="none"/>
        <c:minorTickMark val="none"/>
        <c:tickLblPos val="nextTo"/>
        <c:crossAx val="389698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6B65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 1.xlsx]Pivot chart!PivotTable16</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baseline="0">
                <a:solidFill>
                  <a:schemeClr val="tx1"/>
                </a:solidFill>
              </a:rPr>
              <a:t>Avg writing score by preparation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chart'!$G$13:$G$14</c:f>
              <c:strCache>
                <c:ptCount val="1"/>
                <c:pt idx="0">
                  <c:v>none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chart'!$F$15:$F$16</c:f>
              <c:strCache>
                <c:ptCount val="2"/>
                <c:pt idx="0">
                  <c:v>male</c:v>
                </c:pt>
                <c:pt idx="1">
                  <c:v>female</c:v>
                </c:pt>
              </c:strCache>
            </c:strRef>
          </c:cat>
          <c:val>
            <c:numRef>
              <c:f>'Pivot chart'!$G$15:$G$16</c:f>
              <c:numCache>
                <c:formatCode>0.0</c:formatCode>
                <c:ptCount val="2"/>
                <c:pt idx="0">
                  <c:v>60.07309941520468</c:v>
                </c:pt>
                <c:pt idx="1">
                  <c:v>68.662538699690401</c:v>
                </c:pt>
              </c:numCache>
            </c:numRef>
          </c:val>
          <c:extLst>
            <c:ext xmlns:c16="http://schemas.microsoft.com/office/drawing/2014/chart" uri="{C3380CC4-5D6E-409C-BE32-E72D297353CC}">
              <c16:uniqueId val="{00000000-EECD-4B1E-85DC-30271C4ECD75}"/>
            </c:ext>
          </c:extLst>
        </c:ser>
        <c:ser>
          <c:idx val="1"/>
          <c:order val="1"/>
          <c:tx>
            <c:strRef>
              <c:f>'Pivot chart'!$H$13:$H$14</c:f>
              <c:strCache>
                <c:ptCount val="1"/>
                <c:pt idx="0">
                  <c:v>completed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chart'!$F$15:$F$16</c:f>
              <c:strCache>
                <c:ptCount val="2"/>
                <c:pt idx="0">
                  <c:v>male</c:v>
                </c:pt>
                <c:pt idx="1">
                  <c:v>female</c:v>
                </c:pt>
              </c:strCache>
            </c:strRef>
          </c:cat>
          <c:val>
            <c:numRef>
              <c:f>'Pivot chart'!$H$15:$H$16</c:f>
              <c:numCache>
                <c:formatCode>0.0</c:formatCode>
                <c:ptCount val="2"/>
                <c:pt idx="0">
                  <c:v>71.760000000000005</c:v>
                </c:pt>
                <c:pt idx="1">
                  <c:v>77.856250000000003</c:v>
                </c:pt>
              </c:numCache>
            </c:numRef>
          </c:val>
          <c:extLst>
            <c:ext xmlns:c16="http://schemas.microsoft.com/office/drawing/2014/chart" uri="{C3380CC4-5D6E-409C-BE32-E72D297353CC}">
              <c16:uniqueId val="{00000009-92D3-4BBF-B330-4ABE46C49E75}"/>
            </c:ext>
          </c:extLst>
        </c:ser>
        <c:dLbls>
          <c:dLblPos val="outEnd"/>
          <c:showLegendKey val="0"/>
          <c:showVal val="1"/>
          <c:showCatName val="0"/>
          <c:showSerName val="0"/>
          <c:showPercent val="0"/>
          <c:showBubbleSize val="0"/>
        </c:dLbls>
        <c:gapWidth val="219"/>
        <c:overlap val="-27"/>
        <c:axId val="621154112"/>
        <c:axId val="621155752"/>
      </c:barChart>
      <c:catAx>
        <c:axId val="62115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21155752"/>
        <c:crosses val="autoZero"/>
        <c:auto val="1"/>
        <c:lblAlgn val="ctr"/>
        <c:lblOffset val="100"/>
        <c:noMultiLvlLbl val="0"/>
      </c:catAx>
      <c:valAx>
        <c:axId val="621155752"/>
        <c:scaling>
          <c:orientation val="minMax"/>
        </c:scaling>
        <c:delete val="1"/>
        <c:axPos val="l"/>
        <c:numFmt formatCode="0.0" sourceLinked="1"/>
        <c:majorTickMark val="none"/>
        <c:minorTickMark val="none"/>
        <c:tickLblPos val="nextTo"/>
        <c:crossAx val="621154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6B65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[exams 1.xlsx]Pivot chart!PivotTable4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baseline="0">
                <a:solidFill>
                  <a:schemeClr val="tx1"/>
                </a:solidFill>
              </a:rPr>
              <a:t>Total student by race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chart'!$A$14:$A$18</c:f>
              <c:strCache>
                <c:ptCount val="5"/>
                <c:pt idx="0">
                  <c:v>group A</c:v>
                </c:pt>
                <c:pt idx="1">
                  <c:v>group B</c:v>
                </c:pt>
                <c:pt idx="2">
                  <c:v>group C</c:v>
                </c:pt>
                <c:pt idx="3">
                  <c:v>group D</c:v>
                </c:pt>
                <c:pt idx="4">
                  <c:v>group E</c:v>
                </c:pt>
              </c:strCache>
            </c:strRef>
          </c:cat>
          <c:val>
            <c:numRef>
              <c:f>'Pivot chart'!$B$14:$B$18</c:f>
              <c:numCache>
                <c:formatCode>General</c:formatCode>
                <c:ptCount val="5"/>
                <c:pt idx="0">
                  <c:v>79</c:v>
                </c:pt>
                <c:pt idx="1">
                  <c:v>205</c:v>
                </c:pt>
                <c:pt idx="2">
                  <c:v>323</c:v>
                </c:pt>
                <c:pt idx="3">
                  <c:v>262</c:v>
                </c:pt>
                <c:pt idx="4">
                  <c:v>131</c:v>
                </c:pt>
              </c:numCache>
            </c:numRef>
          </c:val>
          <c:extLst>
            <c:ext xmlns:c16="http://schemas.microsoft.com/office/drawing/2014/chart" uri="{C3380CC4-5D6E-409C-BE32-E72D297353CC}">
              <c16:uniqueId val="{00000004-EF5E-4C15-94B1-F10483E27852}"/>
            </c:ext>
          </c:extLst>
        </c:ser>
        <c:dLbls>
          <c:dLblPos val="outEnd"/>
          <c:showLegendKey val="0"/>
          <c:showVal val="1"/>
          <c:showCatName val="0"/>
          <c:showSerName val="0"/>
          <c:showPercent val="0"/>
          <c:showBubbleSize val="0"/>
        </c:dLbls>
        <c:gapWidth val="219"/>
        <c:overlap val="-27"/>
        <c:axId val="503214448"/>
        <c:axId val="503215104"/>
      </c:barChart>
      <c:catAx>
        <c:axId val="50321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03215104"/>
        <c:crosses val="autoZero"/>
        <c:auto val="1"/>
        <c:lblAlgn val="ctr"/>
        <c:lblOffset val="100"/>
        <c:noMultiLvlLbl val="0"/>
      </c:catAx>
      <c:valAx>
        <c:axId val="503215104"/>
        <c:scaling>
          <c:orientation val="minMax"/>
        </c:scaling>
        <c:delete val="1"/>
        <c:axPos val="l"/>
        <c:numFmt formatCode="General" sourceLinked="1"/>
        <c:majorTickMark val="none"/>
        <c:minorTickMark val="none"/>
        <c:tickLblPos val="nextTo"/>
        <c:crossAx val="50321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6B65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[exams 1.xlsx]Pivot chart!PivotTable9</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baseline="0">
                <a:solidFill>
                  <a:schemeClr val="tx1"/>
                </a:solidFill>
              </a:rPr>
              <a:t>Avg score by race</a:t>
            </a:r>
          </a:p>
        </c:rich>
      </c:tx>
      <c:layout>
        <c:manualLayout>
          <c:xMode val="edge"/>
          <c:yMode val="edge"/>
          <c:x val="0.35251377952755908"/>
          <c:y val="1.38888888888888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chart'!$H$37:$H$38</c:f>
              <c:strCache>
                <c:ptCount val="1"/>
                <c:pt idx="0">
                  <c:v>male</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chart'!$G$39:$G$43</c:f>
              <c:strCache>
                <c:ptCount val="5"/>
                <c:pt idx="0">
                  <c:v>group A</c:v>
                </c:pt>
                <c:pt idx="1">
                  <c:v>group B</c:v>
                </c:pt>
                <c:pt idx="2">
                  <c:v>group C</c:v>
                </c:pt>
                <c:pt idx="3">
                  <c:v>group D</c:v>
                </c:pt>
                <c:pt idx="4">
                  <c:v>group E</c:v>
                </c:pt>
              </c:strCache>
            </c:strRef>
          </c:cat>
          <c:val>
            <c:numRef>
              <c:f>'Pivot chart'!$H$39:$H$43</c:f>
              <c:numCache>
                <c:formatCode>0.0</c:formatCode>
                <c:ptCount val="5"/>
                <c:pt idx="0">
                  <c:v>63.317460317460309</c:v>
                </c:pt>
                <c:pt idx="1">
                  <c:v>65.095238095238102</c:v>
                </c:pt>
                <c:pt idx="2">
                  <c:v>62.891518737672591</c:v>
                </c:pt>
                <c:pt idx="3">
                  <c:v>70.124999999999986</c:v>
                </c:pt>
                <c:pt idx="4">
                  <c:v>71.76793248945151</c:v>
                </c:pt>
              </c:numCache>
            </c:numRef>
          </c:val>
          <c:extLst>
            <c:ext xmlns:c16="http://schemas.microsoft.com/office/drawing/2014/chart" uri="{C3380CC4-5D6E-409C-BE32-E72D297353CC}">
              <c16:uniqueId val="{00000000-43FA-40B6-9AF4-31A73B88CD97}"/>
            </c:ext>
          </c:extLst>
        </c:ser>
        <c:ser>
          <c:idx val="1"/>
          <c:order val="1"/>
          <c:tx>
            <c:strRef>
              <c:f>'Pivot chart'!$I$37:$I$38</c:f>
              <c:strCache>
                <c:ptCount val="1"/>
                <c:pt idx="0">
                  <c:v>female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chart'!$G$39:$G$43</c:f>
              <c:strCache>
                <c:ptCount val="5"/>
                <c:pt idx="0">
                  <c:v>group A</c:v>
                </c:pt>
                <c:pt idx="1">
                  <c:v>group B</c:v>
                </c:pt>
                <c:pt idx="2">
                  <c:v>group C</c:v>
                </c:pt>
                <c:pt idx="3">
                  <c:v>group D</c:v>
                </c:pt>
                <c:pt idx="4">
                  <c:v>group E</c:v>
                </c:pt>
              </c:strCache>
            </c:strRef>
          </c:cat>
          <c:val>
            <c:numRef>
              <c:f>'Pivot chart'!$I$39:$I$43</c:f>
              <c:numCache>
                <c:formatCode>0.0</c:formatCode>
                <c:ptCount val="5"/>
                <c:pt idx="0">
                  <c:v>71</c:v>
                </c:pt>
                <c:pt idx="1">
                  <c:v>65.529239766081858</c:v>
                </c:pt>
                <c:pt idx="2">
                  <c:v>66.640692640692649</c:v>
                </c:pt>
                <c:pt idx="3">
                  <c:v>72.370370370370367</c:v>
                </c:pt>
                <c:pt idx="4">
                  <c:v>73.365384615384627</c:v>
                </c:pt>
              </c:numCache>
            </c:numRef>
          </c:val>
          <c:extLst>
            <c:ext xmlns:c16="http://schemas.microsoft.com/office/drawing/2014/chart" uri="{C3380CC4-5D6E-409C-BE32-E72D297353CC}">
              <c16:uniqueId val="{00000001-43FA-40B6-9AF4-31A73B88CD97}"/>
            </c:ext>
          </c:extLst>
        </c:ser>
        <c:dLbls>
          <c:dLblPos val="outEnd"/>
          <c:showLegendKey val="0"/>
          <c:showVal val="1"/>
          <c:showCatName val="0"/>
          <c:showSerName val="0"/>
          <c:showPercent val="0"/>
          <c:showBubbleSize val="0"/>
        </c:dLbls>
        <c:gapWidth val="182"/>
        <c:axId val="389081208"/>
        <c:axId val="389075960"/>
      </c:barChart>
      <c:catAx>
        <c:axId val="389081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89075960"/>
        <c:crosses val="autoZero"/>
        <c:auto val="1"/>
        <c:lblAlgn val="ctr"/>
        <c:lblOffset val="100"/>
        <c:noMultiLvlLbl val="0"/>
      </c:catAx>
      <c:valAx>
        <c:axId val="389075960"/>
        <c:scaling>
          <c:orientation val="minMax"/>
        </c:scaling>
        <c:delete val="1"/>
        <c:axPos val="l"/>
        <c:numFmt formatCode="0.0" sourceLinked="1"/>
        <c:majorTickMark val="none"/>
        <c:minorTickMark val="none"/>
        <c:tickLblPos val="nextTo"/>
        <c:crossAx val="389081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6B65D"/>
      </a:solid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274204</xdr:colOff>
      <xdr:row>0</xdr:row>
      <xdr:rowOff>168091</xdr:rowOff>
    </xdr:from>
    <xdr:to>
      <xdr:col>29</xdr:col>
      <xdr:colOff>285749</xdr:colOff>
      <xdr:row>37</xdr:row>
      <xdr:rowOff>74706</xdr:rowOff>
    </xdr:to>
    <xdr:sp macro="" textlink="">
      <xdr:nvSpPr>
        <xdr:cNvPr id="11" name="Rectangle 10">
          <a:extLst>
            <a:ext uri="{FF2B5EF4-FFF2-40B4-BE49-F238E27FC236}">
              <a16:creationId xmlns:a16="http://schemas.microsoft.com/office/drawing/2014/main" id="{EE97AAC4-F6BB-BC80-C6BD-6767C6BE65B6}"/>
            </a:ext>
          </a:extLst>
        </xdr:cNvPr>
        <xdr:cNvSpPr/>
      </xdr:nvSpPr>
      <xdr:spPr>
        <a:xfrm>
          <a:off x="274204" y="168091"/>
          <a:ext cx="17979159" cy="6848320"/>
        </a:xfrm>
        <a:prstGeom prst="rect">
          <a:avLst/>
        </a:prstGeom>
        <a:solidFill>
          <a:schemeClr val="accent2">
            <a:lumMod val="40000"/>
            <a:lumOff val="60000"/>
          </a:schemeClr>
        </a:solidFill>
        <a:ln>
          <a:solidFill>
            <a:srgbClr val="26B65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a:solidFill>
                <a:schemeClr val="accent2">
                  <a:lumMod val="75000"/>
                </a:schemeClr>
              </a:solidFill>
            </a:rPr>
            <a:t>STUDENTS'</a:t>
          </a:r>
          <a:r>
            <a:rPr lang="en-US" sz="2800" b="0" baseline="0">
              <a:solidFill>
                <a:schemeClr val="accent2">
                  <a:lumMod val="75000"/>
                </a:schemeClr>
              </a:solidFill>
            </a:rPr>
            <a:t> PERFORMANCE ANALYSIS</a:t>
          </a:r>
          <a:endParaRPr lang="en-US" sz="2800" b="0">
            <a:solidFill>
              <a:schemeClr val="accent2">
                <a:lumMod val="75000"/>
              </a:schemeClr>
            </a:solidFill>
          </a:endParaRPr>
        </a:p>
      </xdr:txBody>
    </xdr:sp>
    <xdr:clientData/>
  </xdr:twoCellAnchor>
  <xdr:twoCellAnchor>
    <xdr:from>
      <xdr:col>0</xdr:col>
      <xdr:colOff>542393</xdr:colOff>
      <xdr:row>23</xdr:row>
      <xdr:rowOff>61067</xdr:rowOff>
    </xdr:from>
    <xdr:to>
      <xdr:col>10</xdr:col>
      <xdr:colOff>109681</xdr:colOff>
      <xdr:row>36</xdr:row>
      <xdr:rowOff>26801</xdr:rowOff>
    </xdr:to>
    <xdr:graphicFrame macro="">
      <xdr:nvGraphicFramePr>
        <xdr:cNvPr id="2" name="Chart 1">
          <a:extLst>
            <a:ext uri="{FF2B5EF4-FFF2-40B4-BE49-F238E27FC236}">
              <a16:creationId xmlns:a16="http://schemas.microsoft.com/office/drawing/2014/main" id="{AB5070A6-6211-42E6-BD89-BEFFA3515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375656</xdr:colOff>
      <xdr:row>3</xdr:row>
      <xdr:rowOff>23822</xdr:rowOff>
    </xdr:from>
    <xdr:to>
      <xdr:col>7</xdr:col>
      <xdr:colOff>331931</xdr:colOff>
      <xdr:row>7</xdr:row>
      <xdr:rowOff>68849</xdr:rowOff>
    </xdr:to>
    <xdr:sp macro="" textlink="">
      <xdr:nvSpPr>
        <xdr:cNvPr id="4" name="Rectangle: Rounded Corners 3">
          <a:extLst>
            <a:ext uri="{FF2B5EF4-FFF2-40B4-BE49-F238E27FC236}">
              <a16:creationId xmlns:a16="http://schemas.microsoft.com/office/drawing/2014/main" id="{223F0DA2-4D3B-0ADC-D60C-D1C1D69ABB5A}"/>
            </a:ext>
          </a:extLst>
        </xdr:cNvPr>
        <xdr:cNvSpPr/>
      </xdr:nvSpPr>
      <xdr:spPr>
        <a:xfrm>
          <a:off x="981792" y="586663"/>
          <a:ext cx="3593094" cy="795481"/>
        </a:xfrm>
        <a:prstGeom prst="roundRect">
          <a:avLst/>
        </a:prstGeom>
        <a:solidFill>
          <a:srgbClr val="26B6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Total Students</a:t>
          </a:r>
        </a:p>
      </xdr:txBody>
    </xdr:sp>
    <xdr:clientData/>
  </xdr:twoCellAnchor>
  <xdr:twoCellAnchor>
    <xdr:from>
      <xdr:col>3</xdr:col>
      <xdr:colOff>504754</xdr:colOff>
      <xdr:row>5</xdr:row>
      <xdr:rowOff>55066</xdr:rowOff>
    </xdr:from>
    <xdr:to>
      <xdr:col>5</xdr:col>
      <xdr:colOff>380929</xdr:colOff>
      <xdr:row>6</xdr:row>
      <xdr:rowOff>176842</xdr:rowOff>
    </xdr:to>
    <xdr:sp macro="" textlink="'Pivot chart'!D12">
      <xdr:nvSpPr>
        <xdr:cNvPr id="16" name="TextBox 15">
          <a:extLst>
            <a:ext uri="{FF2B5EF4-FFF2-40B4-BE49-F238E27FC236}">
              <a16:creationId xmlns:a16="http://schemas.microsoft.com/office/drawing/2014/main" id="{DD3388A5-EFEF-DF67-BE62-E939AD4B2E88}"/>
            </a:ext>
          </a:extLst>
        </xdr:cNvPr>
        <xdr:cNvSpPr txBox="1"/>
      </xdr:nvSpPr>
      <xdr:spPr>
        <a:xfrm>
          <a:off x="2323163" y="993134"/>
          <a:ext cx="1088448" cy="309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FCB59A-5F13-4B12-BCF8-7D835CA92DB2}" type="TxLink">
            <a:rPr lang="en-US" sz="2000" b="0" i="0" u="none" strike="noStrike">
              <a:ln>
                <a:noFill/>
              </a:ln>
              <a:solidFill>
                <a:schemeClr val="bg1"/>
              </a:solidFill>
              <a:latin typeface="Calibri"/>
              <a:cs typeface="Calibri"/>
            </a:rPr>
            <a:pPr algn="ctr"/>
            <a:t>1000</a:t>
          </a:fld>
          <a:endParaRPr lang="en-US" sz="2000">
            <a:ln>
              <a:noFill/>
            </a:ln>
            <a:solidFill>
              <a:schemeClr val="bg1"/>
            </a:solidFill>
          </a:endParaRPr>
        </a:p>
      </xdr:txBody>
    </xdr:sp>
    <xdr:clientData/>
  </xdr:twoCellAnchor>
  <xdr:twoCellAnchor>
    <xdr:from>
      <xdr:col>7</xdr:col>
      <xdr:colOff>375226</xdr:colOff>
      <xdr:row>3</xdr:row>
      <xdr:rowOff>28864</xdr:rowOff>
    </xdr:from>
    <xdr:to>
      <xdr:col>12</xdr:col>
      <xdr:colOff>505114</xdr:colOff>
      <xdr:row>7</xdr:row>
      <xdr:rowOff>72160</xdr:rowOff>
    </xdr:to>
    <xdr:sp macro="" textlink="">
      <xdr:nvSpPr>
        <xdr:cNvPr id="18" name="Rectangle: Rounded Corners 17">
          <a:extLst>
            <a:ext uri="{FF2B5EF4-FFF2-40B4-BE49-F238E27FC236}">
              <a16:creationId xmlns:a16="http://schemas.microsoft.com/office/drawing/2014/main" id="{0E37BEB9-E65E-5DD5-F039-3406B4B93148}"/>
            </a:ext>
          </a:extLst>
        </xdr:cNvPr>
        <xdr:cNvSpPr/>
      </xdr:nvSpPr>
      <xdr:spPr>
        <a:xfrm>
          <a:off x="4618181" y="591705"/>
          <a:ext cx="3362615" cy="793750"/>
        </a:xfrm>
        <a:prstGeom prst="roundRect">
          <a:avLst/>
        </a:prstGeom>
        <a:solidFill>
          <a:srgbClr val="26B6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Average</a:t>
          </a:r>
          <a:r>
            <a:rPr lang="en-US" sz="2400" b="1" baseline="0"/>
            <a:t> </a:t>
          </a:r>
          <a:r>
            <a:rPr lang="en-US" sz="2400" b="1"/>
            <a:t>math</a:t>
          </a:r>
          <a:r>
            <a:rPr lang="en-US" sz="2400" b="1" baseline="0"/>
            <a:t> score</a:t>
          </a:r>
          <a:endParaRPr lang="en-US" sz="2400" b="1"/>
        </a:p>
      </xdr:txBody>
    </xdr:sp>
    <xdr:clientData/>
  </xdr:twoCellAnchor>
  <xdr:twoCellAnchor>
    <xdr:from>
      <xdr:col>34</xdr:col>
      <xdr:colOff>526080</xdr:colOff>
      <xdr:row>31</xdr:row>
      <xdr:rowOff>108984</xdr:rowOff>
    </xdr:from>
    <xdr:to>
      <xdr:col>37</xdr:col>
      <xdr:colOff>211756</xdr:colOff>
      <xdr:row>34</xdr:row>
      <xdr:rowOff>108983</xdr:rowOff>
    </xdr:to>
    <xdr:sp macro="" textlink="">
      <xdr:nvSpPr>
        <xdr:cNvPr id="19" name="Rectangle: Rounded Corners 18">
          <a:extLst>
            <a:ext uri="{FF2B5EF4-FFF2-40B4-BE49-F238E27FC236}">
              <a16:creationId xmlns:a16="http://schemas.microsoft.com/office/drawing/2014/main" id="{AF9E8A6B-3ED7-775D-3ED4-7F28C66728FB}"/>
            </a:ext>
          </a:extLst>
        </xdr:cNvPr>
        <xdr:cNvSpPr/>
      </xdr:nvSpPr>
      <xdr:spPr>
        <a:xfrm>
          <a:off x="21342535" y="6014484"/>
          <a:ext cx="1504085" cy="571499"/>
        </a:xfrm>
        <a:prstGeom prst="roundRect">
          <a:avLst/>
        </a:prstGeom>
        <a:solidFill>
          <a:srgbClr val="26B6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Students</a:t>
          </a:r>
        </a:p>
      </xdr:txBody>
    </xdr:sp>
    <xdr:clientData/>
  </xdr:twoCellAnchor>
  <xdr:twoCellAnchor>
    <xdr:from>
      <xdr:col>34</xdr:col>
      <xdr:colOff>374242</xdr:colOff>
      <xdr:row>15</xdr:row>
      <xdr:rowOff>177901</xdr:rowOff>
    </xdr:from>
    <xdr:to>
      <xdr:col>37</xdr:col>
      <xdr:colOff>70104</xdr:colOff>
      <xdr:row>18</xdr:row>
      <xdr:rowOff>177900</xdr:rowOff>
    </xdr:to>
    <xdr:sp macro="" textlink="">
      <xdr:nvSpPr>
        <xdr:cNvPr id="20" name="Rectangle: Rounded Corners 19">
          <a:extLst>
            <a:ext uri="{FF2B5EF4-FFF2-40B4-BE49-F238E27FC236}">
              <a16:creationId xmlns:a16="http://schemas.microsoft.com/office/drawing/2014/main" id="{4B11086C-5AFA-DC45-7287-7B47D6E27913}"/>
            </a:ext>
          </a:extLst>
        </xdr:cNvPr>
        <xdr:cNvSpPr/>
      </xdr:nvSpPr>
      <xdr:spPr>
        <a:xfrm>
          <a:off x="21190697" y="3035401"/>
          <a:ext cx="1514271" cy="571499"/>
        </a:xfrm>
        <a:prstGeom prst="roundRect">
          <a:avLst/>
        </a:prstGeom>
        <a:solidFill>
          <a:srgbClr val="26B6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Students</a:t>
          </a:r>
        </a:p>
      </xdr:txBody>
    </xdr:sp>
    <xdr:clientData/>
  </xdr:twoCellAnchor>
  <xdr:twoCellAnchor>
    <xdr:from>
      <xdr:col>18</xdr:col>
      <xdr:colOff>592859</xdr:colOff>
      <xdr:row>3</xdr:row>
      <xdr:rowOff>64655</xdr:rowOff>
    </xdr:from>
    <xdr:to>
      <xdr:col>23</xdr:col>
      <xdr:colOff>562841</xdr:colOff>
      <xdr:row>7</xdr:row>
      <xdr:rowOff>72160</xdr:rowOff>
    </xdr:to>
    <xdr:sp macro="" textlink="">
      <xdr:nvSpPr>
        <xdr:cNvPr id="21" name="Rectangle: Rounded Corners 20">
          <a:extLst>
            <a:ext uri="{FF2B5EF4-FFF2-40B4-BE49-F238E27FC236}">
              <a16:creationId xmlns:a16="http://schemas.microsoft.com/office/drawing/2014/main" id="{213F0023-0191-9352-1EFE-06E2F84BD308}"/>
            </a:ext>
          </a:extLst>
        </xdr:cNvPr>
        <xdr:cNvSpPr/>
      </xdr:nvSpPr>
      <xdr:spPr>
        <a:xfrm>
          <a:off x="11705359" y="627496"/>
          <a:ext cx="3000664" cy="757959"/>
        </a:xfrm>
        <a:prstGeom prst="roundRect">
          <a:avLst/>
        </a:prstGeom>
        <a:solidFill>
          <a:srgbClr val="26B6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Avg</a:t>
          </a:r>
          <a:r>
            <a:rPr lang="en-US" sz="2400" b="1" baseline="0"/>
            <a:t> writing score</a:t>
          </a:r>
          <a:endParaRPr lang="en-US" sz="2400" b="1"/>
        </a:p>
      </xdr:txBody>
    </xdr:sp>
    <xdr:clientData/>
  </xdr:twoCellAnchor>
  <xdr:twoCellAnchor>
    <xdr:from>
      <xdr:col>12</xdr:col>
      <xdr:colOff>562838</xdr:colOff>
      <xdr:row>3</xdr:row>
      <xdr:rowOff>28865</xdr:rowOff>
    </xdr:from>
    <xdr:to>
      <xdr:col>18</xdr:col>
      <xdr:colOff>548406</xdr:colOff>
      <xdr:row>7</xdr:row>
      <xdr:rowOff>76199</xdr:rowOff>
    </xdr:to>
    <xdr:sp macro="" textlink="">
      <xdr:nvSpPr>
        <xdr:cNvPr id="22" name="Rectangle: Rounded Corners 21">
          <a:extLst>
            <a:ext uri="{FF2B5EF4-FFF2-40B4-BE49-F238E27FC236}">
              <a16:creationId xmlns:a16="http://schemas.microsoft.com/office/drawing/2014/main" id="{563FA2F7-FD07-987D-C416-DD4537088DE0}"/>
            </a:ext>
          </a:extLst>
        </xdr:cNvPr>
        <xdr:cNvSpPr/>
      </xdr:nvSpPr>
      <xdr:spPr>
        <a:xfrm>
          <a:off x="8038520" y="591706"/>
          <a:ext cx="3622386" cy="797788"/>
        </a:xfrm>
        <a:prstGeom prst="roundRect">
          <a:avLst/>
        </a:prstGeom>
        <a:solidFill>
          <a:srgbClr val="26B6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Average</a:t>
          </a:r>
          <a:r>
            <a:rPr lang="en-US" sz="2400" b="1" baseline="0"/>
            <a:t> </a:t>
          </a:r>
          <a:r>
            <a:rPr lang="en-US" sz="2400" b="1"/>
            <a:t>reading score</a:t>
          </a:r>
        </a:p>
      </xdr:txBody>
    </xdr:sp>
    <xdr:clientData/>
  </xdr:twoCellAnchor>
  <xdr:twoCellAnchor>
    <xdr:from>
      <xdr:col>8</xdr:col>
      <xdr:colOff>562552</xdr:colOff>
      <xdr:row>5</xdr:row>
      <xdr:rowOff>100733</xdr:rowOff>
    </xdr:from>
    <xdr:to>
      <xdr:col>10</xdr:col>
      <xdr:colOff>442190</xdr:colOff>
      <xdr:row>6</xdr:row>
      <xdr:rowOff>167408</xdr:rowOff>
    </xdr:to>
    <xdr:sp macro="" textlink="'Pivot chart'!D2">
      <xdr:nvSpPr>
        <xdr:cNvPr id="23" name="TextBox 22">
          <a:extLst>
            <a:ext uri="{FF2B5EF4-FFF2-40B4-BE49-F238E27FC236}">
              <a16:creationId xmlns:a16="http://schemas.microsoft.com/office/drawing/2014/main" id="{D54E93C1-5801-A9DE-B58E-7B37B363EC77}"/>
            </a:ext>
          </a:extLst>
        </xdr:cNvPr>
        <xdr:cNvSpPr txBox="1"/>
      </xdr:nvSpPr>
      <xdr:spPr>
        <a:xfrm>
          <a:off x="5613688" y="1038801"/>
          <a:ext cx="1091911" cy="254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F212D3-C71B-4D4E-9791-8017E8FFF30E}" type="TxLink">
            <a:rPr lang="en-US" sz="1800" b="0" i="0" u="none" strike="noStrike">
              <a:ln>
                <a:noFill/>
              </a:ln>
              <a:solidFill>
                <a:schemeClr val="bg1"/>
              </a:solidFill>
              <a:latin typeface="Calibri"/>
              <a:cs typeface="Calibri"/>
            </a:rPr>
            <a:pPr algn="ctr"/>
            <a:t>66.40</a:t>
          </a:fld>
          <a:endParaRPr lang="en-US" sz="2400">
            <a:ln>
              <a:noFill/>
            </a:ln>
            <a:solidFill>
              <a:schemeClr val="bg1"/>
            </a:solidFill>
          </a:endParaRPr>
        </a:p>
      </xdr:txBody>
    </xdr:sp>
    <xdr:clientData/>
  </xdr:twoCellAnchor>
  <xdr:twoCellAnchor>
    <xdr:from>
      <xdr:col>14</xdr:col>
      <xdr:colOff>399762</xdr:colOff>
      <xdr:row>5</xdr:row>
      <xdr:rowOff>86012</xdr:rowOff>
    </xdr:from>
    <xdr:to>
      <xdr:col>16</xdr:col>
      <xdr:colOff>283729</xdr:colOff>
      <xdr:row>6</xdr:row>
      <xdr:rowOff>149800</xdr:rowOff>
    </xdr:to>
    <xdr:sp macro="" textlink="'Pivot chart'!D6">
      <xdr:nvSpPr>
        <xdr:cNvPr id="24" name="TextBox 23">
          <a:extLst>
            <a:ext uri="{FF2B5EF4-FFF2-40B4-BE49-F238E27FC236}">
              <a16:creationId xmlns:a16="http://schemas.microsoft.com/office/drawing/2014/main" id="{4D6D1510-E7CA-A776-2E7B-0183A41BFF37}"/>
            </a:ext>
          </a:extLst>
        </xdr:cNvPr>
        <xdr:cNvSpPr txBox="1"/>
      </xdr:nvSpPr>
      <xdr:spPr>
        <a:xfrm>
          <a:off x="9087717" y="1024080"/>
          <a:ext cx="1096239" cy="251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16F74F-E95F-45F5-ABEC-984DDFC2DE65}" type="TxLink">
            <a:rPr lang="en-US" sz="1600" b="0" i="0" u="none" strike="noStrike">
              <a:ln>
                <a:noFill/>
              </a:ln>
              <a:solidFill>
                <a:schemeClr val="bg1"/>
              </a:solidFill>
              <a:latin typeface="Calibri"/>
              <a:cs typeface="Calibri"/>
            </a:rPr>
            <a:pPr algn="ctr"/>
            <a:t>69.0</a:t>
          </a:fld>
          <a:endParaRPr lang="en-US" sz="2800">
            <a:ln>
              <a:noFill/>
            </a:ln>
            <a:solidFill>
              <a:schemeClr val="bg1"/>
            </a:solidFill>
          </a:endParaRPr>
        </a:p>
      </xdr:txBody>
    </xdr:sp>
    <xdr:clientData/>
  </xdr:twoCellAnchor>
  <xdr:twoCellAnchor>
    <xdr:from>
      <xdr:col>20</xdr:col>
      <xdr:colOff>208105</xdr:colOff>
      <xdr:row>5</xdr:row>
      <xdr:rowOff>89188</xdr:rowOff>
    </xdr:from>
    <xdr:to>
      <xdr:col>22</xdr:col>
      <xdr:colOff>84280</xdr:colOff>
      <xdr:row>6</xdr:row>
      <xdr:rowOff>155863</xdr:rowOff>
    </xdr:to>
    <xdr:sp macro="" textlink="'Pivot chart'!D9">
      <xdr:nvSpPr>
        <xdr:cNvPr id="25" name="TextBox 24">
          <a:extLst>
            <a:ext uri="{FF2B5EF4-FFF2-40B4-BE49-F238E27FC236}">
              <a16:creationId xmlns:a16="http://schemas.microsoft.com/office/drawing/2014/main" id="{217EBCD5-035C-4B30-8608-0344C588553A}"/>
            </a:ext>
          </a:extLst>
        </xdr:cNvPr>
        <xdr:cNvSpPr txBox="1"/>
      </xdr:nvSpPr>
      <xdr:spPr>
        <a:xfrm>
          <a:off x="12532878" y="1027256"/>
          <a:ext cx="1088447" cy="254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BD3074-61D9-4695-A648-FCBC027AB4FC}" type="TxLink">
            <a:rPr lang="en-US" sz="1800" b="0" i="0" u="none" strike="noStrike">
              <a:ln>
                <a:noFill/>
              </a:ln>
              <a:solidFill>
                <a:schemeClr val="bg1"/>
              </a:solidFill>
              <a:latin typeface="Calibri"/>
              <a:cs typeface="Calibri"/>
            </a:rPr>
            <a:pPr algn="ctr"/>
            <a:t>67.74</a:t>
          </a:fld>
          <a:endParaRPr lang="en-US" sz="4000">
            <a:ln>
              <a:noFill/>
            </a:ln>
            <a:solidFill>
              <a:schemeClr val="bg1"/>
            </a:solidFill>
          </a:endParaRPr>
        </a:p>
      </xdr:txBody>
    </xdr:sp>
    <xdr:clientData/>
  </xdr:twoCellAnchor>
  <xdr:twoCellAnchor>
    <xdr:from>
      <xdr:col>0</xdr:col>
      <xdr:colOff>571501</xdr:colOff>
      <xdr:row>9</xdr:row>
      <xdr:rowOff>81643</xdr:rowOff>
    </xdr:from>
    <xdr:to>
      <xdr:col>10</xdr:col>
      <xdr:colOff>51955</xdr:colOff>
      <xdr:row>22</xdr:row>
      <xdr:rowOff>93148</xdr:rowOff>
    </xdr:to>
    <xdr:graphicFrame macro="">
      <xdr:nvGraphicFramePr>
        <xdr:cNvPr id="5" name="Chart 4">
          <a:extLst>
            <a:ext uri="{FF2B5EF4-FFF2-40B4-BE49-F238E27FC236}">
              <a16:creationId xmlns:a16="http://schemas.microsoft.com/office/drawing/2014/main" id="{A29324D3-5606-4B8A-B3EC-0C0A8A018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207819</xdr:colOff>
      <xdr:row>9</xdr:row>
      <xdr:rowOff>59376</xdr:rowOff>
    </xdr:from>
    <xdr:to>
      <xdr:col>29</xdr:col>
      <xdr:colOff>55912</xdr:colOff>
      <xdr:row>22</xdr:row>
      <xdr:rowOff>43295</xdr:rowOff>
    </xdr:to>
    <xdr:graphicFrame macro="">
      <xdr:nvGraphicFramePr>
        <xdr:cNvPr id="6" name="Chart 5">
          <a:extLst>
            <a:ext uri="{FF2B5EF4-FFF2-40B4-BE49-F238E27FC236}">
              <a16:creationId xmlns:a16="http://schemas.microsoft.com/office/drawing/2014/main" id="{2669B6C1-50A1-40FC-B1E4-51DF357DF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190121</xdr:colOff>
      <xdr:row>9</xdr:row>
      <xdr:rowOff>76696</xdr:rowOff>
    </xdr:from>
    <xdr:to>
      <xdr:col>20</xdr:col>
      <xdr:colOff>51948</xdr:colOff>
      <xdr:row>22</xdr:row>
      <xdr:rowOff>60615</xdr:rowOff>
    </xdr:to>
    <xdr:graphicFrame macro="">
      <xdr:nvGraphicFramePr>
        <xdr:cNvPr id="7" name="Chart 6">
          <a:extLst>
            <a:ext uri="{FF2B5EF4-FFF2-40B4-BE49-F238E27FC236}">
              <a16:creationId xmlns:a16="http://schemas.microsoft.com/office/drawing/2014/main" id="{CB6D2B1E-F9CA-4A7D-8B35-709CDFB36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279561</xdr:colOff>
      <xdr:row>23</xdr:row>
      <xdr:rowOff>66676</xdr:rowOff>
    </xdr:from>
    <xdr:to>
      <xdr:col>20</xdr:col>
      <xdr:colOff>51952</xdr:colOff>
      <xdr:row>36</xdr:row>
      <xdr:rowOff>12370</xdr:rowOff>
    </xdr:to>
    <xdr:graphicFrame macro="">
      <xdr:nvGraphicFramePr>
        <xdr:cNvPr id="8" name="Chart 7">
          <a:extLst>
            <a:ext uri="{FF2B5EF4-FFF2-40B4-BE49-F238E27FC236}">
              <a16:creationId xmlns:a16="http://schemas.microsoft.com/office/drawing/2014/main" id="{92C0FDB7-DBF8-4A49-862D-E67B2FD0C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298824</xdr:colOff>
      <xdr:row>7</xdr:row>
      <xdr:rowOff>186929</xdr:rowOff>
    </xdr:from>
    <xdr:to>
      <xdr:col>29</xdr:col>
      <xdr:colOff>346363</xdr:colOff>
      <xdr:row>8</xdr:row>
      <xdr:rowOff>51673</xdr:rowOff>
    </xdr:to>
    <xdr:cxnSp macro="">
      <xdr:nvCxnSpPr>
        <xdr:cNvPr id="12" name="Straight Connector 11">
          <a:extLst>
            <a:ext uri="{FF2B5EF4-FFF2-40B4-BE49-F238E27FC236}">
              <a16:creationId xmlns:a16="http://schemas.microsoft.com/office/drawing/2014/main" id="{A2EDBE54-E369-6C0A-AB46-31A51B8ACA3A}"/>
            </a:ext>
          </a:extLst>
        </xdr:cNvPr>
        <xdr:cNvCxnSpPr/>
      </xdr:nvCxnSpPr>
      <xdr:spPr>
        <a:xfrm>
          <a:off x="298824" y="1500224"/>
          <a:ext cx="17827539" cy="52358"/>
        </a:xfrm>
        <a:prstGeom prst="line">
          <a:avLst/>
        </a:prstGeom>
        <a:ln>
          <a:solidFill>
            <a:srgbClr val="26B65D"/>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216477</xdr:colOff>
      <xdr:row>3</xdr:row>
      <xdr:rowOff>32700</xdr:rowOff>
    </xdr:from>
    <xdr:to>
      <xdr:col>29</xdr:col>
      <xdr:colOff>57727</xdr:colOff>
      <xdr:row>7</xdr:row>
      <xdr:rowOff>129889</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65B945B9-3358-435F-816F-17CB9AE41E1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965795" y="595541"/>
              <a:ext cx="3059546" cy="847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173182</xdr:colOff>
      <xdr:row>23</xdr:row>
      <xdr:rowOff>17318</xdr:rowOff>
    </xdr:from>
    <xdr:to>
      <xdr:col>29</xdr:col>
      <xdr:colOff>51954</xdr:colOff>
      <xdr:row>36</xdr:row>
      <xdr:rowOff>41566</xdr:rowOff>
    </xdr:to>
    <xdr:graphicFrame macro="">
      <xdr:nvGraphicFramePr>
        <xdr:cNvPr id="14" name="Chart 13">
          <a:extLst>
            <a:ext uri="{FF2B5EF4-FFF2-40B4-BE49-F238E27FC236}">
              <a16:creationId xmlns:a16="http://schemas.microsoft.com/office/drawing/2014/main" id="{5DA7E409-4BB0-4187-AF5B-7926DA5B3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PC" refreshedDate="45167.573502546293" createdVersion="8" refreshedVersion="8" minRefreshableVersion="3" recordCount="1000" xr:uid="{2BE3663E-8BCA-4934-8BD4-F11E146E5D11}">
  <cacheSource type="worksheet">
    <worksheetSource ref="A1:A1001" sheet="Table"/>
  </cacheSource>
  <cacheFields count="1">
    <cacheField name="I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PC" refreshedDate="45167.573503125001" createdVersion="8" refreshedVersion="8" minRefreshableVersion="3" recordCount="1001" xr:uid="{19BC87A0-B155-445B-B243-31F65BE607AC}">
  <cacheSource type="worksheet">
    <worksheetSource ref="A1:I1048576" sheet="Table"/>
  </cacheSource>
  <cacheFields count="9">
    <cacheField name="ID" numFmtId="0">
      <sharedItems containsBlank="1"/>
    </cacheField>
    <cacheField name="gender" numFmtId="0">
      <sharedItems containsBlank="1" count="3">
        <s v="male"/>
        <s v="female"/>
        <m/>
      </sharedItems>
    </cacheField>
    <cacheField name="race/ethnicity" numFmtId="0">
      <sharedItems containsBlank="1" count="6">
        <s v="group A"/>
        <s v="group D"/>
        <s v="group E"/>
        <s v="group B"/>
        <s v="group C"/>
        <m/>
      </sharedItems>
    </cacheField>
    <cacheField name="parental level of education" numFmtId="0">
      <sharedItems containsBlank="1" count="7">
        <s v="high school"/>
        <s v="some high school"/>
        <s v="some college"/>
        <s v="associate's degree"/>
        <s v="bachelor's degree"/>
        <s v="master's degree"/>
        <m/>
      </sharedItems>
    </cacheField>
    <cacheField name="lunch" numFmtId="0">
      <sharedItems containsBlank="1" count="3">
        <s v="standard"/>
        <s v="free/reduced"/>
        <m/>
      </sharedItems>
    </cacheField>
    <cacheField name="test preparation course" numFmtId="0">
      <sharedItems containsBlank="1" count="3">
        <s v="completed"/>
        <s v="none"/>
        <m/>
      </sharedItems>
    </cacheField>
    <cacheField name="math score" numFmtId="0">
      <sharedItems containsString="0" containsBlank="1" containsNumber="1" containsInteger="1" minValue="13" maxValue="100"/>
    </cacheField>
    <cacheField name="reading score" numFmtId="0">
      <sharedItems containsString="0" containsBlank="1" containsNumber="1" containsInteger="1" minValue="27" maxValue="100"/>
    </cacheField>
    <cacheField name="writing score" numFmtId="0">
      <sharedItems containsString="0" containsBlank="1" containsNumber="1" containsInteger="1" minValue="23" maxValue="100"/>
    </cacheField>
  </cacheFields>
  <extLst>
    <ext xmlns:x14="http://schemas.microsoft.com/office/spreadsheetml/2009/9/main" uri="{725AE2AE-9491-48be-B2B4-4EB974FC3084}">
      <x14:pivotCacheDefinition pivotCacheId="81520695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PC" refreshedDate="45167.57350972222" createdVersion="8" refreshedVersion="8" minRefreshableVersion="3" recordCount="1001" xr:uid="{0E79D932-E716-4D24-9CD8-A764E9233158}">
  <cacheSource type="worksheet">
    <worksheetSource ref="A1:K1048576" sheet="Table"/>
  </cacheSource>
  <cacheFields count="11">
    <cacheField name="ID" numFmtId="0">
      <sharedItems containsBlank="1"/>
    </cacheField>
    <cacheField name="gender" numFmtId="0">
      <sharedItems containsBlank="1" count="3">
        <s v="male"/>
        <s v="female"/>
        <m/>
      </sharedItems>
    </cacheField>
    <cacheField name="race/ethnicity" numFmtId="0">
      <sharedItems containsBlank="1" count="6">
        <s v="group A"/>
        <s v="group D"/>
        <s v="group E"/>
        <s v="group B"/>
        <s v="group C"/>
        <m/>
      </sharedItems>
    </cacheField>
    <cacheField name="parental level of education" numFmtId="0">
      <sharedItems containsBlank="1"/>
    </cacheField>
    <cacheField name="lunch" numFmtId="0">
      <sharedItems containsBlank="1"/>
    </cacheField>
    <cacheField name="test preparation course" numFmtId="0">
      <sharedItems containsBlank="1"/>
    </cacheField>
    <cacheField name="math score" numFmtId="0">
      <sharedItems containsString="0" containsBlank="1" containsNumber="1" containsInteger="1" minValue="13" maxValue="100"/>
    </cacheField>
    <cacheField name="reading score" numFmtId="0">
      <sharedItems containsString="0" containsBlank="1" containsNumber="1" containsInteger="1" minValue="27" maxValue="100"/>
    </cacheField>
    <cacheField name="writing score" numFmtId="0">
      <sharedItems containsString="0" containsBlank="1" containsNumber="1" containsInteger="1" minValue="23" maxValue="100"/>
    </cacheField>
    <cacheField name="Total score" numFmtId="0">
      <sharedItems containsString="0" containsBlank="1" containsNumber="1" containsInteger="1" minValue="65" maxValue="300"/>
    </cacheField>
    <cacheField name="average score" numFmtId="0">
      <sharedItems containsString="0" containsBlank="1" containsNumber="1" minValue="21.666666666666668"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1"/>
  </r>
  <r>
    <s v="C2"/>
  </r>
  <r>
    <s v="C3"/>
  </r>
  <r>
    <s v="C4"/>
  </r>
  <r>
    <s v="C5"/>
  </r>
  <r>
    <s v="C6"/>
  </r>
  <r>
    <s v="C7"/>
  </r>
  <r>
    <s v="C8"/>
  </r>
  <r>
    <s v="C9"/>
  </r>
  <r>
    <s v="C10"/>
  </r>
  <r>
    <s v="C11"/>
  </r>
  <r>
    <s v="C12"/>
  </r>
  <r>
    <s v="C13"/>
  </r>
  <r>
    <s v="C14"/>
  </r>
  <r>
    <s v="C15"/>
  </r>
  <r>
    <s v="C16"/>
  </r>
  <r>
    <s v="C17"/>
  </r>
  <r>
    <s v="C18"/>
  </r>
  <r>
    <s v="C19"/>
  </r>
  <r>
    <s v="C20"/>
  </r>
  <r>
    <s v="C21"/>
  </r>
  <r>
    <s v="C22"/>
  </r>
  <r>
    <s v="C23"/>
  </r>
  <r>
    <s v="C24"/>
  </r>
  <r>
    <s v="C25"/>
  </r>
  <r>
    <s v="C26"/>
  </r>
  <r>
    <s v="C27"/>
  </r>
  <r>
    <s v="C28"/>
  </r>
  <r>
    <s v="C29"/>
  </r>
  <r>
    <s v="C30"/>
  </r>
  <r>
    <s v="C31"/>
  </r>
  <r>
    <s v="C32"/>
  </r>
  <r>
    <s v="C33"/>
  </r>
  <r>
    <s v="C34"/>
  </r>
  <r>
    <s v="C35"/>
  </r>
  <r>
    <s v="C36"/>
  </r>
  <r>
    <s v="C37"/>
  </r>
  <r>
    <s v="C38"/>
  </r>
  <r>
    <s v="C39"/>
  </r>
  <r>
    <s v="C40"/>
  </r>
  <r>
    <s v="C41"/>
  </r>
  <r>
    <s v="C42"/>
  </r>
  <r>
    <s v="C43"/>
  </r>
  <r>
    <s v="C44"/>
  </r>
  <r>
    <s v="C45"/>
  </r>
  <r>
    <s v="C46"/>
  </r>
  <r>
    <s v="C47"/>
  </r>
  <r>
    <s v="C48"/>
  </r>
  <r>
    <s v="C49"/>
  </r>
  <r>
    <s v="C50"/>
  </r>
  <r>
    <s v="C51"/>
  </r>
  <r>
    <s v="C52"/>
  </r>
  <r>
    <s v="C53"/>
  </r>
  <r>
    <s v="C54"/>
  </r>
  <r>
    <s v="C55"/>
  </r>
  <r>
    <s v="C56"/>
  </r>
  <r>
    <s v="C57"/>
  </r>
  <r>
    <s v="C58"/>
  </r>
  <r>
    <s v="C59"/>
  </r>
  <r>
    <s v="C60"/>
  </r>
  <r>
    <s v="C61"/>
  </r>
  <r>
    <s v="C62"/>
  </r>
  <r>
    <s v="C63"/>
  </r>
  <r>
    <s v="C64"/>
  </r>
  <r>
    <s v="C65"/>
  </r>
  <r>
    <s v="C66"/>
  </r>
  <r>
    <s v="C67"/>
  </r>
  <r>
    <s v="C68"/>
  </r>
  <r>
    <s v="C69"/>
  </r>
  <r>
    <s v="C70"/>
  </r>
  <r>
    <s v="C71"/>
  </r>
  <r>
    <s v="C72"/>
  </r>
  <r>
    <s v="C73"/>
  </r>
  <r>
    <s v="C74"/>
  </r>
  <r>
    <s v="C75"/>
  </r>
  <r>
    <s v="C76"/>
  </r>
  <r>
    <s v="C77"/>
  </r>
  <r>
    <s v="C78"/>
  </r>
  <r>
    <s v="C79"/>
  </r>
  <r>
    <s v="C80"/>
  </r>
  <r>
    <s v="C81"/>
  </r>
  <r>
    <s v="C82"/>
  </r>
  <r>
    <s v="C83"/>
  </r>
  <r>
    <s v="C84"/>
  </r>
  <r>
    <s v="C85"/>
  </r>
  <r>
    <s v="C86"/>
  </r>
  <r>
    <s v="C87"/>
  </r>
  <r>
    <s v="C88"/>
  </r>
  <r>
    <s v="C89"/>
  </r>
  <r>
    <s v="C90"/>
  </r>
  <r>
    <s v="C91"/>
  </r>
  <r>
    <s v="C92"/>
  </r>
  <r>
    <s v="C93"/>
  </r>
  <r>
    <s v="C94"/>
  </r>
  <r>
    <s v="C95"/>
  </r>
  <r>
    <s v="C96"/>
  </r>
  <r>
    <s v="C97"/>
  </r>
  <r>
    <s v="C98"/>
  </r>
  <r>
    <s v="C99"/>
  </r>
  <r>
    <s v="C100"/>
  </r>
  <r>
    <s v="C101"/>
  </r>
  <r>
    <s v="C102"/>
  </r>
  <r>
    <s v="C103"/>
  </r>
  <r>
    <s v="C104"/>
  </r>
  <r>
    <s v="C105"/>
  </r>
  <r>
    <s v="C106"/>
  </r>
  <r>
    <s v="C107"/>
  </r>
  <r>
    <s v="C108"/>
  </r>
  <r>
    <s v="C109"/>
  </r>
  <r>
    <s v="C110"/>
  </r>
  <r>
    <s v="C111"/>
  </r>
  <r>
    <s v="C112"/>
  </r>
  <r>
    <s v="C113"/>
  </r>
  <r>
    <s v="C114"/>
  </r>
  <r>
    <s v="C115"/>
  </r>
  <r>
    <s v="C116"/>
  </r>
  <r>
    <s v="C117"/>
  </r>
  <r>
    <s v="C118"/>
  </r>
  <r>
    <s v="C119"/>
  </r>
  <r>
    <s v="C120"/>
  </r>
  <r>
    <s v="C121"/>
  </r>
  <r>
    <s v="C122"/>
  </r>
  <r>
    <s v="C123"/>
  </r>
  <r>
    <s v="C124"/>
  </r>
  <r>
    <s v="C125"/>
  </r>
  <r>
    <s v="C126"/>
  </r>
  <r>
    <s v="C127"/>
  </r>
  <r>
    <s v="C128"/>
  </r>
  <r>
    <s v="C129"/>
  </r>
  <r>
    <s v="C130"/>
  </r>
  <r>
    <s v="C131"/>
  </r>
  <r>
    <s v="C132"/>
  </r>
  <r>
    <s v="C133"/>
  </r>
  <r>
    <s v="C134"/>
  </r>
  <r>
    <s v="C135"/>
  </r>
  <r>
    <s v="C136"/>
  </r>
  <r>
    <s v="C137"/>
  </r>
  <r>
    <s v="C138"/>
  </r>
  <r>
    <s v="C139"/>
  </r>
  <r>
    <s v="C140"/>
  </r>
  <r>
    <s v="C141"/>
  </r>
  <r>
    <s v="C142"/>
  </r>
  <r>
    <s v="C143"/>
  </r>
  <r>
    <s v="C144"/>
  </r>
  <r>
    <s v="C145"/>
  </r>
  <r>
    <s v="C146"/>
  </r>
  <r>
    <s v="C147"/>
  </r>
  <r>
    <s v="C148"/>
  </r>
  <r>
    <s v="C149"/>
  </r>
  <r>
    <s v="C150"/>
  </r>
  <r>
    <s v="C151"/>
  </r>
  <r>
    <s v="C152"/>
  </r>
  <r>
    <s v="C153"/>
  </r>
  <r>
    <s v="C154"/>
  </r>
  <r>
    <s v="C155"/>
  </r>
  <r>
    <s v="C156"/>
  </r>
  <r>
    <s v="C157"/>
  </r>
  <r>
    <s v="C158"/>
  </r>
  <r>
    <s v="C159"/>
  </r>
  <r>
    <s v="C160"/>
  </r>
  <r>
    <s v="C161"/>
  </r>
  <r>
    <s v="C162"/>
  </r>
  <r>
    <s v="C163"/>
  </r>
  <r>
    <s v="C164"/>
  </r>
  <r>
    <s v="C165"/>
  </r>
  <r>
    <s v="C166"/>
  </r>
  <r>
    <s v="C167"/>
  </r>
  <r>
    <s v="C168"/>
  </r>
  <r>
    <s v="C169"/>
  </r>
  <r>
    <s v="C170"/>
  </r>
  <r>
    <s v="C171"/>
  </r>
  <r>
    <s v="C172"/>
  </r>
  <r>
    <s v="C173"/>
  </r>
  <r>
    <s v="C174"/>
  </r>
  <r>
    <s v="C175"/>
  </r>
  <r>
    <s v="C176"/>
  </r>
  <r>
    <s v="C177"/>
  </r>
  <r>
    <s v="C178"/>
  </r>
  <r>
    <s v="C179"/>
  </r>
  <r>
    <s v="C180"/>
  </r>
  <r>
    <s v="C181"/>
  </r>
  <r>
    <s v="C182"/>
  </r>
  <r>
    <s v="C183"/>
  </r>
  <r>
    <s v="C184"/>
  </r>
  <r>
    <s v="C185"/>
  </r>
  <r>
    <s v="C186"/>
  </r>
  <r>
    <s v="C187"/>
  </r>
  <r>
    <s v="C188"/>
  </r>
  <r>
    <s v="C189"/>
  </r>
  <r>
    <s v="C190"/>
  </r>
  <r>
    <s v="C191"/>
  </r>
  <r>
    <s v="C192"/>
  </r>
  <r>
    <s v="C193"/>
  </r>
  <r>
    <s v="C194"/>
  </r>
  <r>
    <s v="C195"/>
  </r>
  <r>
    <s v="C196"/>
  </r>
  <r>
    <s v="C197"/>
  </r>
  <r>
    <s v="C198"/>
  </r>
  <r>
    <s v="C199"/>
  </r>
  <r>
    <s v="C200"/>
  </r>
  <r>
    <s v="C201"/>
  </r>
  <r>
    <s v="C202"/>
  </r>
  <r>
    <s v="C203"/>
  </r>
  <r>
    <s v="C204"/>
  </r>
  <r>
    <s v="C205"/>
  </r>
  <r>
    <s v="C206"/>
  </r>
  <r>
    <s v="C207"/>
  </r>
  <r>
    <s v="C208"/>
  </r>
  <r>
    <s v="C209"/>
  </r>
  <r>
    <s v="C210"/>
  </r>
  <r>
    <s v="C211"/>
  </r>
  <r>
    <s v="C212"/>
  </r>
  <r>
    <s v="C213"/>
  </r>
  <r>
    <s v="C214"/>
  </r>
  <r>
    <s v="C215"/>
  </r>
  <r>
    <s v="C216"/>
  </r>
  <r>
    <s v="C217"/>
  </r>
  <r>
    <s v="C218"/>
  </r>
  <r>
    <s v="C219"/>
  </r>
  <r>
    <s v="C220"/>
  </r>
  <r>
    <s v="C221"/>
  </r>
  <r>
    <s v="C222"/>
  </r>
  <r>
    <s v="C223"/>
  </r>
  <r>
    <s v="C224"/>
  </r>
  <r>
    <s v="C225"/>
  </r>
  <r>
    <s v="C226"/>
  </r>
  <r>
    <s v="C227"/>
  </r>
  <r>
    <s v="C228"/>
  </r>
  <r>
    <s v="C229"/>
  </r>
  <r>
    <s v="C230"/>
  </r>
  <r>
    <s v="C231"/>
  </r>
  <r>
    <s v="C232"/>
  </r>
  <r>
    <s v="C233"/>
  </r>
  <r>
    <s v="C234"/>
  </r>
  <r>
    <s v="C235"/>
  </r>
  <r>
    <s v="C236"/>
  </r>
  <r>
    <s v="C237"/>
  </r>
  <r>
    <s v="C238"/>
  </r>
  <r>
    <s v="C239"/>
  </r>
  <r>
    <s v="C240"/>
  </r>
  <r>
    <s v="C241"/>
  </r>
  <r>
    <s v="C242"/>
  </r>
  <r>
    <s v="C243"/>
  </r>
  <r>
    <s v="C244"/>
  </r>
  <r>
    <s v="C245"/>
  </r>
  <r>
    <s v="C246"/>
  </r>
  <r>
    <s v="C247"/>
  </r>
  <r>
    <s v="C248"/>
  </r>
  <r>
    <s v="C249"/>
  </r>
  <r>
    <s v="C250"/>
  </r>
  <r>
    <s v="C251"/>
  </r>
  <r>
    <s v="C252"/>
  </r>
  <r>
    <s v="C253"/>
  </r>
  <r>
    <s v="C254"/>
  </r>
  <r>
    <s v="C255"/>
  </r>
  <r>
    <s v="C256"/>
  </r>
  <r>
    <s v="C257"/>
  </r>
  <r>
    <s v="C258"/>
  </r>
  <r>
    <s v="C259"/>
  </r>
  <r>
    <s v="C260"/>
  </r>
  <r>
    <s v="C261"/>
  </r>
  <r>
    <s v="C262"/>
  </r>
  <r>
    <s v="C263"/>
  </r>
  <r>
    <s v="C264"/>
  </r>
  <r>
    <s v="C265"/>
  </r>
  <r>
    <s v="C266"/>
  </r>
  <r>
    <s v="C267"/>
  </r>
  <r>
    <s v="C268"/>
  </r>
  <r>
    <s v="C269"/>
  </r>
  <r>
    <s v="C270"/>
  </r>
  <r>
    <s v="C271"/>
  </r>
  <r>
    <s v="C272"/>
  </r>
  <r>
    <s v="C273"/>
  </r>
  <r>
    <s v="C274"/>
  </r>
  <r>
    <s v="C275"/>
  </r>
  <r>
    <s v="C276"/>
  </r>
  <r>
    <s v="C277"/>
  </r>
  <r>
    <s v="C278"/>
  </r>
  <r>
    <s v="C279"/>
  </r>
  <r>
    <s v="C280"/>
  </r>
  <r>
    <s v="C281"/>
  </r>
  <r>
    <s v="C282"/>
  </r>
  <r>
    <s v="C283"/>
  </r>
  <r>
    <s v="C284"/>
  </r>
  <r>
    <s v="C285"/>
  </r>
  <r>
    <s v="C286"/>
  </r>
  <r>
    <s v="C287"/>
  </r>
  <r>
    <s v="C288"/>
  </r>
  <r>
    <s v="C289"/>
  </r>
  <r>
    <s v="C290"/>
  </r>
  <r>
    <s v="C291"/>
  </r>
  <r>
    <s v="C292"/>
  </r>
  <r>
    <s v="C293"/>
  </r>
  <r>
    <s v="C294"/>
  </r>
  <r>
    <s v="C295"/>
  </r>
  <r>
    <s v="C296"/>
  </r>
  <r>
    <s v="C297"/>
  </r>
  <r>
    <s v="C298"/>
  </r>
  <r>
    <s v="C299"/>
  </r>
  <r>
    <s v="C300"/>
  </r>
  <r>
    <s v="C301"/>
  </r>
  <r>
    <s v="C302"/>
  </r>
  <r>
    <s v="C303"/>
  </r>
  <r>
    <s v="C304"/>
  </r>
  <r>
    <s v="C305"/>
  </r>
  <r>
    <s v="C306"/>
  </r>
  <r>
    <s v="C307"/>
  </r>
  <r>
    <s v="C308"/>
  </r>
  <r>
    <s v="C309"/>
  </r>
  <r>
    <s v="C310"/>
  </r>
  <r>
    <s v="C311"/>
  </r>
  <r>
    <s v="C312"/>
  </r>
  <r>
    <s v="C313"/>
  </r>
  <r>
    <s v="C314"/>
  </r>
  <r>
    <s v="C315"/>
  </r>
  <r>
    <s v="C316"/>
  </r>
  <r>
    <s v="C317"/>
  </r>
  <r>
    <s v="C318"/>
  </r>
  <r>
    <s v="C319"/>
  </r>
  <r>
    <s v="C320"/>
  </r>
  <r>
    <s v="C321"/>
  </r>
  <r>
    <s v="C322"/>
  </r>
  <r>
    <s v="C323"/>
  </r>
  <r>
    <s v="C324"/>
  </r>
  <r>
    <s v="C325"/>
  </r>
  <r>
    <s v="C326"/>
  </r>
  <r>
    <s v="C327"/>
  </r>
  <r>
    <s v="C328"/>
  </r>
  <r>
    <s v="C329"/>
  </r>
  <r>
    <s v="C330"/>
  </r>
  <r>
    <s v="C331"/>
  </r>
  <r>
    <s v="C332"/>
  </r>
  <r>
    <s v="C333"/>
  </r>
  <r>
    <s v="C334"/>
  </r>
  <r>
    <s v="C335"/>
  </r>
  <r>
    <s v="C336"/>
  </r>
  <r>
    <s v="C337"/>
  </r>
  <r>
    <s v="C338"/>
  </r>
  <r>
    <s v="C339"/>
  </r>
  <r>
    <s v="C340"/>
  </r>
  <r>
    <s v="C341"/>
  </r>
  <r>
    <s v="C342"/>
  </r>
  <r>
    <s v="C343"/>
  </r>
  <r>
    <s v="C344"/>
  </r>
  <r>
    <s v="C345"/>
  </r>
  <r>
    <s v="C346"/>
  </r>
  <r>
    <s v="C347"/>
  </r>
  <r>
    <s v="C348"/>
  </r>
  <r>
    <s v="C349"/>
  </r>
  <r>
    <s v="C350"/>
  </r>
  <r>
    <s v="C351"/>
  </r>
  <r>
    <s v="C352"/>
  </r>
  <r>
    <s v="C353"/>
  </r>
  <r>
    <s v="C354"/>
  </r>
  <r>
    <s v="C355"/>
  </r>
  <r>
    <s v="C356"/>
  </r>
  <r>
    <s v="C357"/>
  </r>
  <r>
    <s v="C358"/>
  </r>
  <r>
    <s v="C359"/>
  </r>
  <r>
    <s v="C360"/>
  </r>
  <r>
    <s v="C361"/>
  </r>
  <r>
    <s v="C362"/>
  </r>
  <r>
    <s v="C363"/>
  </r>
  <r>
    <s v="C364"/>
  </r>
  <r>
    <s v="C365"/>
  </r>
  <r>
    <s v="C366"/>
  </r>
  <r>
    <s v="C367"/>
  </r>
  <r>
    <s v="C368"/>
  </r>
  <r>
    <s v="C369"/>
  </r>
  <r>
    <s v="C370"/>
  </r>
  <r>
    <s v="C371"/>
  </r>
  <r>
    <s v="C372"/>
  </r>
  <r>
    <s v="C373"/>
  </r>
  <r>
    <s v="C374"/>
  </r>
  <r>
    <s v="C375"/>
  </r>
  <r>
    <s v="C376"/>
  </r>
  <r>
    <s v="C377"/>
  </r>
  <r>
    <s v="C378"/>
  </r>
  <r>
    <s v="C379"/>
  </r>
  <r>
    <s v="C380"/>
  </r>
  <r>
    <s v="C381"/>
  </r>
  <r>
    <s v="C382"/>
  </r>
  <r>
    <s v="C383"/>
  </r>
  <r>
    <s v="C384"/>
  </r>
  <r>
    <s v="C385"/>
  </r>
  <r>
    <s v="C386"/>
  </r>
  <r>
    <s v="C387"/>
  </r>
  <r>
    <s v="C388"/>
  </r>
  <r>
    <s v="C389"/>
  </r>
  <r>
    <s v="C390"/>
  </r>
  <r>
    <s v="C391"/>
  </r>
  <r>
    <s v="C392"/>
  </r>
  <r>
    <s v="C393"/>
  </r>
  <r>
    <s v="C394"/>
  </r>
  <r>
    <s v="C395"/>
  </r>
  <r>
    <s v="C396"/>
  </r>
  <r>
    <s v="C397"/>
  </r>
  <r>
    <s v="C398"/>
  </r>
  <r>
    <s v="C399"/>
  </r>
  <r>
    <s v="C400"/>
  </r>
  <r>
    <s v="C401"/>
  </r>
  <r>
    <s v="C402"/>
  </r>
  <r>
    <s v="C403"/>
  </r>
  <r>
    <s v="C404"/>
  </r>
  <r>
    <s v="C405"/>
  </r>
  <r>
    <s v="C406"/>
  </r>
  <r>
    <s v="C407"/>
  </r>
  <r>
    <s v="C408"/>
  </r>
  <r>
    <s v="C409"/>
  </r>
  <r>
    <s v="C410"/>
  </r>
  <r>
    <s v="C411"/>
  </r>
  <r>
    <s v="C412"/>
  </r>
  <r>
    <s v="C413"/>
  </r>
  <r>
    <s v="C414"/>
  </r>
  <r>
    <s v="C415"/>
  </r>
  <r>
    <s v="C416"/>
  </r>
  <r>
    <s v="C417"/>
  </r>
  <r>
    <s v="C418"/>
  </r>
  <r>
    <s v="C419"/>
  </r>
  <r>
    <s v="C420"/>
  </r>
  <r>
    <s v="C421"/>
  </r>
  <r>
    <s v="C422"/>
  </r>
  <r>
    <s v="C423"/>
  </r>
  <r>
    <s v="C424"/>
  </r>
  <r>
    <s v="C425"/>
  </r>
  <r>
    <s v="C426"/>
  </r>
  <r>
    <s v="C427"/>
  </r>
  <r>
    <s v="C428"/>
  </r>
  <r>
    <s v="C429"/>
  </r>
  <r>
    <s v="C430"/>
  </r>
  <r>
    <s v="C431"/>
  </r>
  <r>
    <s v="C432"/>
  </r>
  <r>
    <s v="C433"/>
  </r>
  <r>
    <s v="C434"/>
  </r>
  <r>
    <s v="C435"/>
  </r>
  <r>
    <s v="C436"/>
  </r>
  <r>
    <s v="C437"/>
  </r>
  <r>
    <s v="C438"/>
  </r>
  <r>
    <s v="C439"/>
  </r>
  <r>
    <s v="C440"/>
  </r>
  <r>
    <s v="C441"/>
  </r>
  <r>
    <s v="C442"/>
  </r>
  <r>
    <s v="C443"/>
  </r>
  <r>
    <s v="C444"/>
  </r>
  <r>
    <s v="C445"/>
  </r>
  <r>
    <s v="C446"/>
  </r>
  <r>
    <s v="C447"/>
  </r>
  <r>
    <s v="C448"/>
  </r>
  <r>
    <s v="C449"/>
  </r>
  <r>
    <s v="C450"/>
  </r>
  <r>
    <s v="C451"/>
  </r>
  <r>
    <s v="C452"/>
  </r>
  <r>
    <s v="C453"/>
  </r>
  <r>
    <s v="C454"/>
  </r>
  <r>
    <s v="C455"/>
  </r>
  <r>
    <s v="C456"/>
  </r>
  <r>
    <s v="C457"/>
  </r>
  <r>
    <s v="C458"/>
  </r>
  <r>
    <s v="C459"/>
  </r>
  <r>
    <s v="C460"/>
  </r>
  <r>
    <s v="C461"/>
  </r>
  <r>
    <s v="C462"/>
  </r>
  <r>
    <s v="C463"/>
  </r>
  <r>
    <s v="C464"/>
  </r>
  <r>
    <s v="C465"/>
  </r>
  <r>
    <s v="C466"/>
  </r>
  <r>
    <s v="C467"/>
  </r>
  <r>
    <s v="C468"/>
  </r>
  <r>
    <s v="C469"/>
  </r>
  <r>
    <s v="C470"/>
  </r>
  <r>
    <s v="C471"/>
  </r>
  <r>
    <s v="C472"/>
  </r>
  <r>
    <s v="C473"/>
  </r>
  <r>
    <s v="C474"/>
  </r>
  <r>
    <s v="C475"/>
  </r>
  <r>
    <s v="C476"/>
  </r>
  <r>
    <s v="C477"/>
  </r>
  <r>
    <s v="C478"/>
  </r>
  <r>
    <s v="C479"/>
  </r>
  <r>
    <s v="C480"/>
  </r>
  <r>
    <s v="C481"/>
  </r>
  <r>
    <s v="C482"/>
  </r>
  <r>
    <s v="C483"/>
  </r>
  <r>
    <s v="C484"/>
  </r>
  <r>
    <s v="C485"/>
  </r>
  <r>
    <s v="C486"/>
  </r>
  <r>
    <s v="C487"/>
  </r>
  <r>
    <s v="C488"/>
  </r>
  <r>
    <s v="C489"/>
  </r>
  <r>
    <s v="C490"/>
  </r>
  <r>
    <s v="C491"/>
  </r>
  <r>
    <s v="C492"/>
  </r>
  <r>
    <s v="C493"/>
  </r>
  <r>
    <s v="C494"/>
  </r>
  <r>
    <s v="C495"/>
  </r>
  <r>
    <s v="C496"/>
  </r>
  <r>
    <s v="C497"/>
  </r>
  <r>
    <s v="C498"/>
  </r>
  <r>
    <s v="C499"/>
  </r>
  <r>
    <s v="C500"/>
  </r>
  <r>
    <s v="C501"/>
  </r>
  <r>
    <s v="C502"/>
  </r>
  <r>
    <s v="C503"/>
  </r>
  <r>
    <s v="C504"/>
  </r>
  <r>
    <s v="C505"/>
  </r>
  <r>
    <s v="C506"/>
  </r>
  <r>
    <s v="C507"/>
  </r>
  <r>
    <s v="C508"/>
  </r>
  <r>
    <s v="C509"/>
  </r>
  <r>
    <s v="C510"/>
  </r>
  <r>
    <s v="C511"/>
  </r>
  <r>
    <s v="C512"/>
  </r>
  <r>
    <s v="C513"/>
  </r>
  <r>
    <s v="C514"/>
  </r>
  <r>
    <s v="C515"/>
  </r>
  <r>
    <s v="C516"/>
  </r>
  <r>
    <s v="C517"/>
  </r>
  <r>
    <s v="C518"/>
  </r>
  <r>
    <s v="C519"/>
  </r>
  <r>
    <s v="C520"/>
  </r>
  <r>
    <s v="C521"/>
  </r>
  <r>
    <s v="C522"/>
  </r>
  <r>
    <s v="C523"/>
  </r>
  <r>
    <s v="C524"/>
  </r>
  <r>
    <s v="C525"/>
  </r>
  <r>
    <s v="C526"/>
  </r>
  <r>
    <s v="C527"/>
  </r>
  <r>
    <s v="C528"/>
  </r>
  <r>
    <s v="C529"/>
  </r>
  <r>
    <s v="C530"/>
  </r>
  <r>
    <s v="C531"/>
  </r>
  <r>
    <s v="C532"/>
  </r>
  <r>
    <s v="C533"/>
  </r>
  <r>
    <s v="C534"/>
  </r>
  <r>
    <s v="C535"/>
  </r>
  <r>
    <s v="C536"/>
  </r>
  <r>
    <s v="C537"/>
  </r>
  <r>
    <s v="C538"/>
  </r>
  <r>
    <s v="C539"/>
  </r>
  <r>
    <s v="C540"/>
  </r>
  <r>
    <s v="C541"/>
  </r>
  <r>
    <s v="C542"/>
  </r>
  <r>
    <s v="C543"/>
  </r>
  <r>
    <s v="C544"/>
  </r>
  <r>
    <s v="C545"/>
  </r>
  <r>
    <s v="C546"/>
  </r>
  <r>
    <s v="C547"/>
  </r>
  <r>
    <s v="C548"/>
  </r>
  <r>
    <s v="C549"/>
  </r>
  <r>
    <s v="C550"/>
  </r>
  <r>
    <s v="C551"/>
  </r>
  <r>
    <s v="C552"/>
  </r>
  <r>
    <s v="C553"/>
  </r>
  <r>
    <s v="C554"/>
  </r>
  <r>
    <s v="C555"/>
  </r>
  <r>
    <s v="C556"/>
  </r>
  <r>
    <s v="C557"/>
  </r>
  <r>
    <s v="C558"/>
  </r>
  <r>
    <s v="C559"/>
  </r>
  <r>
    <s v="C560"/>
  </r>
  <r>
    <s v="C561"/>
  </r>
  <r>
    <s v="C562"/>
  </r>
  <r>
    <s v="C563"/>
  </r>
  <r>
    <s v="C564"/>
  </r>
  <r>
    <s v="C565"/>
  </r>
  <r>
    <s v="C566"/>
  </r>
  <r>
    <s v="C567"/>
  </r>
  <r>
    <s v="C568"/>
  </r>
  <r>
    <s v="C569"/>
  </r>
  <r>
    <s v="C570"/>
  </r>
  <r>
    <s v="C571"/>
  </r>
  <r>
    <s v="C572"/>
  </r>
  <r>
    <s v="C573"/>
  </r>
  <r>
    <s v="C574"/>
  </r>
  <r>
    <s v="C575"/>
  </r>
  <r>
    <s v="C576"/>
  </r>
  <r>
    <s v="C577"/>
  </r>
  <r>
    <s v="C578"/>
  </r>
  <r>
    <s v="C579"/>
  </r>
  <r>
    <s v="C580"/>
  </r>
  <r>
    <s v="C581"/>
  </r>
  <r>
    <s v="C582"/>
  </r>
  <r>
    <s v="C583"/>
  </r>
  <r>
    <s v="C584"/>
  </r>
  <r>
    <s v="C585"/>
  </r>
  <r>
    <s v="C586"/>
  </r>
  <r>
    <s v="C587"/>
  </r>
  <r>
    <s v="C588"/>
  </r>
  <r>
    <s v="C589"/>
  </r>
  <r>
    <s v="C590"/>
  </r>
  <r>
    <s v="C591"/>
  </r>
  <r>
    <s v="C592"/>
  </r>
  <r>
    <s v="C593"/>
  </r>
  <r>
    <s v="C594"/>
  </r>
  <r>
    <s v="C595"/>
  </r>
  <r>
    <s v="C596"/>
  </r>
  <r>
    <s v="C597"/>
  </r>
  <r>
    <s v="C598"/>
  </r>
  <r>
    <s v="C599"/>
  </r>
  <r>
    <s v="C600"/>
  </r>
  <r>
    <s v="C601"/>
  </r>
  <r>
    <s v="C602"/>
  </r>
  <r>
    <s v="C603"/>
  </r>
  <r>
    <s v="C604"/>
  </r>
  <r>
    <s v="C605"/>
  </r>
  <r>
    <s v="C606"/>
  </r>
  <r>
    <s v="C607"/>
  </r>
  <r>
    <s v="C608"/>
  </r>
  <r>
    <s v="C609"/>
  </r>
  <r>
    <s v="C610"/>
  </r>
  <r>
    <s v="C611"/>
  </r>
  <r>
    <s v="C612"/>
  </r>
  <r>
    <s v="C613"/>
  </r>
  <r>
    <s v="C614"/>
  </r>
  <r>
    <s v="C615"/>
  </r>
  <r>
    <s v="C616"/>
  </r>
  <r>
    <s v="C617"/>
  </r>
  <r>
    <s v="C618"/>
  </r>
  <r>
    <s v="C619"/>
  </r>
  <r>
    <s v="C620"/>
  </r>
  <r>
    <s v="C621"/>
  </r>
  <r>
    <s v="C622"/>
  </r>
  <r>
    <s v="C623"/>
  </r>
  <r>
    <s v="C624"/>
  </r>
  <r>
    <s v="C625"/>
  </r>
  <r>
    <s v="C626"/>
  </r>
  <r>
    <s v="C627"/>
  </r>
  <r>
    <s v="C628"/>
  </r>
  <r>
    <s v="C629"/>
  </r>
  <r>
    <s v="C630"/>
  </r>
  <r>
    <s v="C631"/>
  </r>
  <r>
    <s v="C632"/>
  </r>
  <r>
    <s v="C633"/>
  </r>
  <r>
    <s v="C634"/>
  </r>
  <r>
    <s v="C635"/>
  </r>
  <r>
    <s v="C636"/>
  </r>
  <r>
    <s v="C637"/>
  </r>
  <r>
    <s v="C638"/>
  </r>
  <r>
    <s v="C639"/>
  </r>
  <r>
    <s v="C640"/>
  </r>
  <r>
    <s v="C641"/>
  </r>
  <r>
    <s v="C642"/>
  </r>
  <r>
    <s v="C643"/>
  </r>
  <r>
    <s v="C644"/>
  </r>
  <r>
    <s v="C645"/>
  </r>
  <r>
    <s v="C646"/>
  </r>
  <r>
    <s v="C647"/>
  </r>
  <r>
    <s v="C648"/>
  </r>
  <r>
    <s v="C649"/>
  </r>
  <r>
    <s v="C650"/>
  </r>
  <r>
    <s v="C651"/>
  </r>
  <r>
    <s v="C652"/>
  </r>
  <r>
    <s v="C653"/>
  </r>
  <r>
    <s v="C654"/>
  </r>
  <r>
    <s v="C655"/>
  </r>
  <r>
    <s v="C656"/>
  </r>
  <r>
    <s v="C657"/>
  </r>
  <r>
    <s v="C658"/>
  </r>
  <r>
    <s v="C659"/>
  </r>
  <r>
    <s v="C660"/>
  </r>
  <r>
    <s v="C661"/>
  </r>
  <r>
    <s v="C662"/>
  </r>
  <r>
    <s v="C663"/>
  </r>
  <r>
    <s v="C664"/>
  </r>
  <r>
    <s v="C665"/>
  </r>
  <r>
    <s v="C666"/>
  </r>
  <r>
    <s v="C667"/>
  </r>
  <r>
    <s v="C668"/>
  </r>
  <r>
    <s v="C669"/>
  </r>
  <r>
    <s v="C670"/>
  </r>
  <r>
    <s v="C671"/>
  </r>
  <r>
    <s v="C672"/>
  </r>
  <r>
    <s v="C673"/>
  </r>
  <r>
    <s v="C674"/>
  </r>
  <r>
    <s v="C675"/>
  </r>
  <r>
    <s v="C676"/>
  </r>
  <r>
    <s v="C677"/>
  </r>
  <r>
    <s v="C678"/>
  </r>
  <r>
    <s v="C679"/>
  </r>
  <r>
    <s v="C680"/>
  </r>
  <r>
    <s v="C681"/>
  </r>
  <r>
    <s v="C682"/>
  </r>
  <r>
    <s v="C683"/>
  </r>
  <r>
    <s v="C684"/>
  </r>
  <r>
    <s v="C685"/>
  </r>
  <r>
    <s v="C686"/>
  </r>
  <r>
    <s v="C687"/>
  </r>
  <r>
    <s v="C688"/>
  </r>
  <r>
    <s v="C689"/>
  </r>
  <r>
    <s v="C690"/>
  </r>
  <r>
    <s v="C691"/>
  </r>
  <r>
    <s v="C692"/>
  </r>
  <r>
    <s v="C693"/>
  </r>
  <r>
    <s v="C694"/>
  </r>
  <r>
    <s v="C695"/>
  </r>
  <r>
    <s v="C696"/>
  </r>
  <r>
    <s v="C697"/>
  </r>
  <r>
    <s v="C698"/>
  </r>
  <r>
    <s v="C699"/>
  </r>
  <r>
    <s v="C700"/>
  </r>
  <r>
    <s v="C701"/>
  </r>
  <r>
    <s v="C702"/>
  </r>
  <r>
    <s v="C703"/>
  </r>
  <r>
    <s v="C704"/>
  </r>
  <r>
    <s v="C705"/>
  </r>
  <r>
    <s v="C706"/>
  </r>
  <r>
    <s v="C707"/>
  </r>
  <r>
    <s v="C708"/>
  </r>
  <r>
    <s v="C709"/>
  </r>
  <r>
    <s v="C710"/>
  </r>
  <r>
    <s v="C711"/>
  </r>
  <r>
    <s v="C712"/>
  </r>
  <r>
    <s v="C713"/>
  </r>
  <r>
    <s v="C714"/>
  </r>
  <r>
    <s v="C715"/>
  </r>
  <r>
    <s v="C716"/>
  </r>
  <r>
    <s v="C717"/>
  </r>
  <r>
    <s v="C718"/>
  </r>
  <r>
    <s v="C719"/>
  </r>
  <r>
    <s v="C720"/>
  </r>
  <r>
    <s v="C721"/>
  </r>
  <r>
    <s v="C722"/>
  </r>
  <r>
    <s v="C723"/>
  </r>
  <r>
    <s v="C724"/>
  </r>
  <r>
    <s v="C725"/>
  </r>
  <r>
    <s v="C726"/>
  </r>
  <r>
    <s v="C727"/>
  </r>
  <r>
    <s v="C728"/>
  </r>
  <r>
    <s v="C729"/>
  </r>
  <r>
    <s v="C730"/>
  </r>
  <r>
    <s v="C731"/>
  </r>
  <r>
    <s v="C732"/>
  </r>
  <r>
    <s v="C733"/>
  </r>
  <r>
    <s v="C734"/>
  </r>
  <r>
    <s v="C735"/>
  </r>
  <r>
    <s v="C736"/>
  </r>
  <r>
    <s v="C737"/>
  </r>
  <r>
    <s v="C738"/>
  </r>
  <r>
    <s v="C739"/>
  </r>
  <r>
    <s v="C740"/>
  </r>
  <r>
    <s v="C741"/>
  </r>
  <r>
    <s v="C742"/>
  </r>
  <r>
    <s v="C743"/>
  </r>
  <r>
    <s v="C744"/>
  </r>
  <r>
    <s v="C745"/>
  </r>
  <r>
    <s v="C746"/>
  </r>
  <r>
    <s v="C747"/>
  </r>
  <r>
    <s v="C748"/>
  </r>
  <r>
    <s v="C749"/>
  </r>
  <r>
    <s v="C750"/>
  </r>
  <r>
    <s v="C751"/>
  </r>
  <r>
    <s v="C752"/>
  </r>
  <r>
    <s v="C753"/>
  </r>
  <r>
    <s v="C754"/>
  </r>
  <r>
    <s v="C755"/>
  </r>
  <r>
    <s v="C756"/>
  </r>
  <r>
    <s v="C757"/>
  </r>
  <r>
    <s v="C758"/>
  </r>
  <r>
    <s v="C759"/>
  </r>
  <r>
    <s v="C760"/>
  </r>
  <r>
    <s v="C761"/>
  </r>
  <r>
    <s v="C762"/>
  </r>
  <r>
    <s v="C763"/>
  </r>
  <r>
    <s v="C764"/>
  </r>
  <r>
    <s v="C765"/>
  </r>
  <r>
    <s v="C766"/>
  </r>
  <r>
    <s v="C767"/>
  </r>
  <r>
    <s v="C768"/>
  </r>
  <r>
    <s v="C769"/>
  </r>
  <r>
    <s v="C770"/>
  </r>
  <r>
    <s v="C771"/>
  </r>
  <r>
    <s v="C772"/>
  </r>
  <r>
    <s v="C773"/>
  </r>
  <r>
    <s v="C774"/>
  </r>
  <r>
    <s v="C775"/>
  </r>
  <r>
    <s v="C776"/>
  </r>
  <r>
    <s v="C777"/>
  </r>
  <r>
    <s v="C778"/>
  </r>
  <r>
    <s v="C779"/>
  </r>
  <r>
    <s v="C780"/>
  </r>
  <r>
    <s v="C781"/>
  </r>
  <r>
    <s v="C782"/>
  </r>
  <r>
    <s v="C783"/>
  </r>
  <r>
    <s v="C784"/>
  </r>
  <r>
    <s v="C785"/>
  </r>
  <r>
    <s v="C786"/>
  </r>
  <r>
    <s v="C787"/>
  </r>
  <r>
    <s v="C788"/>
  </r>
  <r>
    <s v="C789"/>
  </r>
  <r>
    <s v="C790"/>
  </r>
  <r>
    <s v="C791"/>
  </r>
  <r>
    <s v="C792"/>
  </r>
  <r>
    <s v="C793"/>
  </r>
  <r>
    <s v="C794"/>
  </r>
  <r>
    <s v="C795"/>
  </r>
  <r>
    <s v="C796"/>
  </r>
  <r>
    <s v="C797"/>
  </r>
  <r>
    <s v="C798"/>
  </r>
  <r>
    <s v="C799"/>
  </r>
  <r>
    <s v="C800"/>
  </r>
  <r>
    <s v="C801"/>
  </r>
  <r>
    <s v="C802"/>
  </r>
  <r>
    <s v="C803"/>
  </r>
  <r>
    <s v="C804"/>
  </r>
  <r>
    <s v="C805"/>
  </r>
  <r>
    <s v="C806"/>
  </r>
  <r>
    <s v="C807"/>
  </r>
  <r>
    <s v="C808"/>
  </r>
  <r>
    <s v="C809"/>
  </r>
  <r>
    <s v="C810"/>
  </r>
  <r>
    <s v="C811"/>
  </r>
  <r>
    <s v="C812"/>
  </r>
  <r>
    <s v="C813"/>
  </r>
  <r>
    <s v="C814"/>
  </r>
  <r>
    <s v="C815"/>
  </r>
  <r>
    <s v="C816"/>
  </r>
  <r>
    <s v="C817"/>
  </r>
  <r>
    <s v="C818"/>
  </r>
  <r>
    <s v="C819"/>
  </r>
  <r>
    <s v="C820"/>
  </r>
  <r>
    <s v="C821"/>
  </r>
  <r>
    <s v="C822"/>
  </r>
  <r>
    <s v="C823"/>
  </r>
  <r>
    <s v="C824"/>
  </r>
  <r>
    <s v="C825"/>
  </r>
  <r>
    <s v="C826"/>
  </r>
  <r>
    <s v="C827"/>
  </r>
  <r>
    <s v="C828"/>
  </r>
  <r>
    <s v="C829"/>
  </r>
  <r>
    <s v="C830"/>
  </r>
  <r>
    <s v="C831"/>
  </r>
  <r>
    <s v="C832"/>
  </r>
  <r>
    <s v="C833"/>
  </r>
  <r>
    <s v="C834"/>
  </r>
  <r>
    <s v="C835"/>
  </r>
  <r>
    <s v="C836"/>
  </r>
  <r>
    <s v="C837"/>
  </r>
  <r>
    <s v="C838"/>
  </r>
  <r>
    <s v="C839"/>
  </r>
  <r>
    <s v="C840"/>
  </r>
  <r>
    <s v="C841"/>
  </r>
  <r>
    <s v="C842"/>
  </r>
  <r>
    <s v="C843"/>
  </r>
  <r>
    <s v="C844"/>
  </r>
  <r>
    <s v="C845"/>
  </r>
  <r>
    <s v="C846"/>
  </r>
  <r>
    <s v="C847"/>
  </r>
  <r>
    <s v="C848"/>
  </r>
  <r>
    <s v="C849"/>
  </r>
  <r>
    <s v="C850"/>
  </r>
  <r>
    <s v="C851"/>
  </r>
  <r>
    <s v="C852"/>
  </r>
  <r>
    <s v="C853"/>
  </r>
  <r>
    <s v="C854"/>
  </r>
  <r>
    <s v="C855"/>
  </r>
  <r>
    <s v="C856"/>
  </r>
  <r>
    <s v="C857"/>
  </r>
  <r>
    <s v="C858"/>
  </r>
  <r>
    <s v="C859"/>
  </r>
  <r>
    <s v="C860"/>
  </r>
  <r>
    <s v="C861"/>
  </r>
  <r>
    <s v="C862"/>
  </r>
  <r>
    <s v="C863"/>
  </r>
  <r>
    <s v="C864"/>
  </r>
  <r>
    <s v="C865"/>
  </r>
  <r>
    <s v="C866"/>
  </r>
  <r>
    <s v="C867"/>
  </r>
  <r>
    <s v="C868"/>
  </r>
  <r>
    <s v="C869"/>
  </r>
  <r>
    <s v="C870"/>
  </r>
  <r>
    <s v="C871"/>
  </r>
  <r>
    <s v="C872"/>
  </r>
  <r>
    <s v="C873"/>
  </r>
  <r>
    <s v="C874"/>
  </r>
  <r>
    <s v="C875"/>
  </r>
  <r>
    <s v="C876"/>
  </r>
  <r>
    <s v="C877"/>
  </r>
  <r>
    <s v="C878"/>
  </r>
  <r>
    <s v="C879"/>
  </r>
  <r>
    <s v="C880"/>
  </r>
  <r>
    <s v="C881"/>
  </r>
  <r>
    <s v="C882"/>
  </r>
  <r>
    <s v="C883"/>
  </r>
  <r>
    <s v="C884"/>
  </r>
  <r>
    <s v="C885"/>
  </r>
  <r>
    <s v="C886"/>
  </r>
  <r>
    <s v="C887"/>
  </r>
  <r>
    <s v="C888"/>
  </r>
  <r>
    <s v="C889"/>
  </r>
  <r>
    <s v="C890"/>
  </r>
  <r>
    <s v="C891"/>
  </r>
  <r>
    <s v="C892"/>
  </r>
  <r>
    <s v="C893"/>
  </r>
  <r>
    <s v="C894"/>
  </r>
  <r>
    <s v="C895"/>
  </r>
  <r>
    <s v="C896"/>
  </r>
  <r>
    <s v="C897"/>
  </r>
  <r>
    <s v="C898"/>
  </r>
  <r>
    <s v="C899"/>
  </r>
  <r>
    <s v="C900"/>
  </r>
  <r>
    <s v="C901"/>
  </r>
  <r>
    <s v="C902"/>
  </r>
  <r>
    <s v="C903"/>
  </r>
  <r>
    <s v="C904"/>
  </r>
  <r>
    <s v="C905"/>
  </r>
  <r>
    <s v="C906"/>
  </r>
  <r>
    <s v="C907"/>
  </r>
  <r>
    <s v="C908"/>
  </r>
  <r>
    <s v="C909"/>
  </r>
  <r>
    <s v="C910"/>
  </r>
  <r>
    <s v="C911"/>
  </r>
  <r>
    <s v="C912"/>
  </r>
  <r>
    <s v="C913"/>
  </r>
  <r>
    <s v="C914"/>
  </r>
  <r>
    <s v="C915"/>
  </r>
  <r>
    <s v="C916"/>
  </r>
  <r>
    <s v="C917"/>
  </r>
  <r>
    <s v="C918"/>
  </r>
  <r>
    <s v="C919"/>
  </r>
  <r>
    <s v="C920"/>
  </r>
  <r>
    <s v="C921"/>
  </r>
  <r>
    <s v="C922"/>
  </r>
  <r>
    <s v="C923"/>
  </r>
  <r>
    <s v="C924"/>
  </r>
  <r>
    <s v="C925"/>
  </r>
  <r>
    <s v="C926"/>
  </r>
  <r>
    <s v="C927"/>
  </r>
  <r>
    <s v="C928"/>
  </r>
  <r>
    <s v="C929"/>
  </r>
  <r>
    <s v="C930"/>
  </r>
  <r>
    <s v="C931"/>
  </r>
  <r>
    <s v="C932"/>
  </r>
  <r>
    <s v="C933"/>
  </r>
  <r>
    <s v="C934"/>
  </r>
  <r>
    <s v="C935"/>
  </r>
  <r>
    <s v="C936"/>
  </r>
  <r>
    <s v="C937"/>
  </r>
  <r>
    <s v="C938"/>
  </r>
  <r>
    <s v="C939"/>
  </r>
  <r>
    <s v="C940"/>
  </r>
  <r>
    <s v="C941"/>
  </r>
  <r>
    <s v="C942"/>
  </r>
  <r>
    <s v="C943"/>
  </r>
  <r>
    <s v="C944"/>
  </r>
  <r>
    <s v="C945"/>
  </r>
  <r>
    <s v="C946"/>
  </r>
  <r>
    <s v="C947"/>
  </r>
  <r>
    <s v="C948"/>
  </r>
  <r>
    <s v="C949"/>
  </r>
  <r>
    <s v="C950"/>
  </r>
  <r>
    <s v="C951"/>
  </r>
  <r>
    <s v="C952"/>
  </r>
  <r>
    <s v="C953"/>
  </r>
  <r>
    <s v="C954"/>
  </r>
  <r>
    <s v="C955"/>
  </r>
  <r>
    <s v="C956"/>
  </r>
  <r>
    <s v="C957"/>
  </r>
  <r>
    <s v="C958"/>
  </r>
  <r>
    <s v="C959"/>
  </r>
  <r>
    <s v="C960"/>
  </r>
  <r>
    <s v="C961"/>
  </r>
  <r>
    <s v="C962"/>
  </r>
  <r>
    <s v="C963"/>
  </r>
  <r>
    <s v="C964"/>
  </r>
  <r>
    <s v="C965"/>
  </r>
  <r>
    <s v="C966"/>
  </r>
  <r>
    <s v="C967"/>
  </r>
  <r>
    <s v="C968"/>
  </r>
  <r>
    <s v="C969"/>
  </r>
  <r>
    <s v="C970"/>
  </r>
  <r>
    <s v="C971"/>
  </r>
  <r>
    <s v="C972"/>
  </r>
  <r>
    <s v="C973"/>
  </r>
  <r>
    <s v="C974"/>
  </r>
  <r>
    <s v="C975"/>
  </r>
  <r>
    <s v="C976"/>
  </r>
  <r>
    <s v="C977"/>
  </r>
  <r>
    <s v="C978"/>
  </r>
  <r>
    <s v="C979"/>
  </r>
  <r>
    <s v="C980"/>
  </r>
  <r>
    <s v="C981"/>
  </r>
  <r>
    <s v="C982"/>
  </r>
  <r>
    <s v="C983"/>
  </r>
  <r>
    <s v="C984"/>
  </r>
  <r>
    <s v="C985"/>
  </r>
  <r>
    <s v="C986"/>
  </r>
  <r>
    <s v="C987"/>
  </r>
  <r>
    <s v="C988"/>
  </r>
  <r>
    <s v="C989"/>
  </r>
  <r>
    <s v="C990"/>
  </r>
  <r>
    <s v="C991"/>
  </r>
  <r>
    <s v="C992"/>
  </r>
  <r>
    <s v="C993"/>
  </r>
  <r>
    <s v="C994"/>
  </r>
  <r>
    <s v="C995"/>
  </r>
  <r>
    <s v="C996"/>
  </r>
  <r>
    <s v="C997"/>
  </r>
  <r>
    <s v="C998"/>
  </r>
  <r>
    <s v="C999"/>
  </r>
  <r>
    <s v="C1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C1"/>
    <x v="0"/>
    <x v="0"/>
    <x v="0"/>
    <x v="0"/>
    <x v="0"/>
    <n v="67"/>
    <n v="67"/>
    <n v="63"/>
  </r>
  <r>
    <s v="C2"/>
    <x v="1"/>
    <x v="1"/>
    <x v="1"/>
    <x v="1"/>
    <x v="1"/>
    <n v="40"/>
    <n v="59"/>
    <n v="55"/>
  </r>
  <r>
    <s v="C3"/>
    <x v="0"/>
    <x v="2"/>
    <x v="2"/>
    <x v="1"/>
    <x v="1"/>
    <n v="59"/>
    <n v="60"/>
    <n v="50"/>
  </r>
  <r>
    <s v="C4"/>
    <x v="0"/>
    <x v="3"/>
    <x v="0"/>
    <x v="0"/>
    <x v="1"/>
    <n v="77"/>
    <n v="78"/>
    <n v="68"/>
  </r>
  <r>
    <s v="C5"/>
    <x v="0"/>
    <x v="2"/>
    <x v="3"/>
    <x v="0"/>
    <x v="0"/>
    <n v="78"/>
    <n v="73"/>
    <n v="68"/>
  </r>
  <r>
    <s v="C6"/>
    <x v="1"/>
    <x v="1"/>
    <x v="0"/>
    <x v="0"/>
    <x v="1"/>
    <n v="63"/>
    <n v="77"/>
    <n v="76"/>
  </r>
  <r>
    <s v="C7"/>
    <x v="1"/>
    <x v="0"/>
    <x v="4"/>
    <x v="0"/>
    <x v="1"/>
    <n v="62"/>
    <n v="59"/>
    <n v="63"/>
  </r>
  <r>
    <s v="C8"/>
    <x v="0"/>
    <x v="2"/>
    <x v="2"/>
    <x v="0"/>
    <x v="0"/>
    <n v="93"/>
    <n v="88"/>
    <n v="84"/>
  </r>
  <r>
    <s v="C9"/>
    <x v="0"/>
    <x v="1"/>
    <x v="0"/>
    <x v="0"/>
    <x v="1"/>
    <n v="63"/>
    <n v="56"/>
    <n v="65"/>
  </r>
  <r>
    <s v="C10"/>
    <x v="0"/>
    <x v="4"/>
    <x v="2"/>
    <x v="1"/>
    <x v="1"/>
    <n v="47"/>
    <n v="42"/>
    <n v="45"/>
  </r>
  <r>
    <s v="C11"/>
    <x v="0"/>
    <x v="2"/>
    <x v="2"/>
    <x v="0"/>
    <x v="0"/>
    <n v="99"/>
    <n v="83"/>
    <n v="85"/>
  </r>
  <r>
    <s v="C12"/>
    <x v="1"/>
    <x v="1"/>
    <x v="0"/>
    <x v="0"/>
    <x v="0"/>
    <n v="80"/>
    <n v="87"/>
    <n v="90"/>
  </r>
  <r>
    <s v="C13"/>
    <x v="0"/>
    <x v="1"/>
    <x v="3"/>
    <x v="0"/>
    <x v="0"/>
    <n v="77"/>
    <n v="87"/>
    <n v="85"/>
  </r>
  <r>
    <s v="C14"/>
    <x v="0"/>
    <x v="4"/>
    <x v="0"/>
    <x v="0"/>
    <x v="0"/>
    <n v="74"/>
    <n v="74"/>
    <n v="73"/>
  </r>
  <r>
    <s v="C15"/>
    <x v="0"/>
    <x v="2"/>
    <x v="1"/>
    <x v="0"/>
    <x v="0"/>
    <n v="81"/>
    <n v="87"/>
    <n v="85"/>
  </r>
  <r>
    <s v="C16"/>
    <x v="0"/>
    <x v="2"/>
    <x v="3"/>
    <x v="1"/>
    <x v="1"/>
    <n v="69"/>
    <n v="61"/>
    <n v="57"/>
  </r>
  <r>
    <s v="C17"/>
    <x v="0"/>
    <x v="3"/>
    <x v="0"/>
    <x v="0"/>
    <x v="1"/>
    <n v="58"/>
    <n v="47"/>
    <n v="42"/>
  </r>
  <r>
    <s v="C18"/>
    <x v="1"/>
    <x v="4"/>
    <x v="3"/>
    <x v="0"/>
    <x v="0"/>
    <n v="54"/>
    <n v="62"/>
    <n v="65"/>
  </r>
  <r>
    <s v="C19"/>
    <x v="1"/>
    <x v="4"/>
    <x v="3"/>
    <x v="1"/>
    <x v="1"/>
    <n v="23"/>
    <n v="44"/>
    <n v="44"/>
  </r>
  <r>
    <s v="C20"/>
    <x v="0"/>
    <x v="4"/>
    <x v="2"/>
    <x v="1"/>
    <x v="1"/>
    <n v="39"/>
    <n v="32"/>
    <n v="31"/>
  </r>
  <r>
    <s v="C21"/>
    <x v="1"/>
    <x v="4"/>
    <x v="3"/>
    <x v="0"/>
    <x v="1"/>
    <n v="83"/>
    <n v="76"/>
    <n v="88"/>
  </r>
  <r>
    <s v="C22"/>
    <x v="0"/>
    <x v="4"/>
    <x v="3"/>
    <x v="0"/>
    <x v="1"/>
    <n v="58"/>
    <n v="52"/>
    <n v="55"/>
  </r>
  <r>
    <s v="C23"/>
    <x v="0"/>
    <x v="3"/>
    <x v="2"/>
    <x v="0"/>
    <x v="0"/>
    <n v="71"/>
    <n v="69"/>
    <n v="73"/>
  </r>
  <r>
    <s v="C24"/>
    <x v="1"/>
    <x v="3"/>
    <x v="2"/>
    <x v="1"/>
    <x v="1"/>
    <n v="44"/>
    <n v="55"/>
    <n v="54"/>
  </r>
  <r>
    <s v="C25"/>
    <x v="0"/>
    <x v="2"/>
    <x v="1"/>
    <x v="1"/>
    <x v="1"/>
    <n v="46"/>
    <n v="38"/>
    <n v="32"/>
  </r>
  <r>
    <s v="C26"/>
    <x v="0"/>
    <x v="4"/>
    <x v="0"/>
    <x v="1"/>
    <x v="1"/>
    <n v="51"/>
    <n v="45"/>
    <n v="42"/>
  </r>
  <r>
    <s v="C27"/>
    <x v="1"/>
    <x v="4"/>
    <x v="1"/>
    <x v="0"/>
    <x v="1"/>
    <n v="53"/>
    <n v="60"/>
    <n v="56"/>
  </r>
  <r>
    <s v="C28"/>
    <x v="0"/>
    <x v="2"/>
    <x v="0"/>
    <x v="0"/>
    <x v="1"/>
    <n v="71"/>
    <n v="68"/>
    <n v="60"/>
  </r>
  <r>
    <s v="C29"/>
    <x v="1"/>
    <x v="3"/>
    <x v="0"/>
    <x v="0"/>
    <x v="0"/>
    <n v="74"/>
    <n v="89"/>
    <n v="89"/>
  </r>
  <r>
    <s v="C30"/>
    <x v="1"/>
    <x v="0"/>
    <x v="1"/>
    <x v="1"/>
    <x v="1"/>
    <n v="33"/>
    <n v="54"/>
    <n v="51"/>
  </r>
  <r>
    <s v="C31"/>
    <x v="0"/>
    <x v="3"/>
    <x v="2"/>
    <x v="0"/>
    <x v="1"/>
    <n v="87"/>
    <n v="79"/>
    <n v="77"/>
  </r>
  <r>
    <s v="C32"/>
    <x v="0"/>
    <x v="0"/>
    <x v="4"/>
    <x v="1"/>
    <x v="1"/>
    <n v="78"/>
    <n v="74"/>
    <n v="73"/>
  </r>
  <r>
    <s v="C33"/>
    <x v="0"/>
    <x v="0"/>
    <x v="1"/>
    <x v="1"/>
    <x v="0"/>
    <n v="40"/>
    <n v="41"/>
    <n v="39"/>
  </r>
  <r>
    <s v="C34"/>
    <x v="1"/>
    <x v="3"/>
    <x v="3"/>
    <x v="0"/>
    <x v="0"/>
    <n v="65"/>
    <n v="65"/>
    <n v="71"/>
  </r>
  <r>
    <s v="C35"/>
    <x v="1"/>
    <x v="3"/>
    <x v="4"/>
    <x v="0"/>
    <x v="0"/>
    <n v="79"/>
    <n v="88"/>
    <n v="89"/>
  </r>
  <r>
    <s v="C36"/>
    <x v="1"/>
    <x v="0"/>
    <x v="4"/>
    <x v="0"/>
    <x v="1"/>
    <n v="68"/>
    <n v="74"/>
    <n v="74"/>
  </r>
  <r>
    <s v="C37"/>
    <x v="1"/>
    <x v="4"/>
    <x v="2"/>
    <x v="0"/>
    <x v="0"/>
    <n v="57"/>
    <n v="77"/>
    <n v="75"/>
  </r>
  <r>
    <s v="C38"/>
    <x v="0"/>
    <x v="3"/>
    <x v="0"/>
    <x v="1"/>
    <x v="1"/>
    <n v="67"/>
    <n v="65"/>
    <n v="54"/>
  </r>
  <r>
    <s v="C39"/>
    <x v="1"/>
    <x v="3"/>
    <x v="2"/>
    <x v="1"/>
    <x v="0"/>
    <n v="58"/>
    <n v="68"/>
    <n v="73"/>
  </r>
  <r>
    <s v="C40"/>
    <x v="0"/>
    <x v="2"/>
    <x v="3"/>
    <x v="0"/>
    <x v="1"/>
    <n v="98"/>
    <n v="81"/>
    <n v="77"/>
  </r>
  <r>
    <s v="C41"/>
    <x v="1"/>
    <x v="3"/>
    <x v="5"/>
    <x v="1"/>
    <x v="1"/>
    <n v="54"/>
    <n v="75"/>
    <n v="72"/>
  </r>
  <r>
    <s v="C42"/>
    <x v="0"/>
    <x v="1"/>
    <x v="0"/>
    <x v="0"/>
    <x v="1"/>
    <n v="77"/>
    <n v="67"/>
    <n v="64"/>
  </r>
  <r>
    <s v="C43"/>
    <x v="0"/>
    <x v="2"/>
    <x v="0"/>
    <x v="0"/>
    <x v="0"/>
    <n v="87"/>
    <n v="79"/>
    <n v="82"/>
  </r>
  <r>
    <s v="C44"/>
    <x v="1"/>
    <x v="4"/>
    <x v="5"/>
    <x v="0"/>
    <x v="1"/>
    <n v="58"/>
    <n v="70"/>
    <n v="70"/>
  </r>
  <r>
    <s v="C45"/>
    <x v="0"/>
    <x v="2"/>
    <x v="0"/>
    <x v="0"/>
    <x v="1"/>
    <n v="100"/>
    <n v="88"/>
    <n v="87"/>
  </r>
  <r>
    <s v="C46"/>
    <x v="0"/>
    <x v="4"/>
    <x v="4"/>
    <x v="0"/>
    <x v="1"/>
    <n v="60"/>
    <n v="46"/>
    <n v="51"/>
  </r>
  <r>
    <s v="C47"/>
    <x v="0"/>
    <x v="4"/>
    <x v="3"/>
    <x v="1"/>
    <x v="1"/>
    <n v="64"/>
    <n v="63"/>
    <n v="57"/>
  </r>
  <r>
    <s v="C48"/>
    <x v="1"/>
    <x v="2"/>
    <x v="1"/>
    <x v="0"/>
    <x v="0"/>
    <n v="65"/>
    <n v="76"/>
    <n v="78"/>
  </r>
  <r>
    <s v="C49"/>
    <x v="1"/>
    <x v="1"/>
    <x v="0"/>
    <x v="0"/>
    <x v="1"/>
    <n v="68"/>
    <n v="72"/>
    <n v="73"/>
  </r>
  <r>
    <s v="C50"/>
    <x v="0"/>
    <x v="4"/>
    <x v="3"/>
    <x v="1"/>
    <x v="0"/>
    <n v="60"/>
    <n v="63"/>
    <n v="57"/>
  </r>
  <r>
    <s v="C51"/>
    <x v="0"/>
    <x v="1"/>
    <x v="0"/>
    <x v="0"/>
    <x v="1"/>
    <n v="65"/>
    <n v="68"/>
    <n v="64"/>
  </r>
  <r>
    <s v="C52"/>
    <x v="1"/>
    <x v="4"/>
    <x v="1"/>
    <x v="1"/>
    <x v="1"/>
    <n v="52"/>
    <n v="58"/>
    <n v="60"/>
  </r>
  <r>
    <s v="C53"/>
    <x v="1"/>
    <x v="4"/>
    <x v="3"/>
    <x v="0"/>
    <x v="1"/>
    <n v="74"/>
    <n v="81"/>
    <n v="85"/>
  </r>
  <r>
    <s v="C54"/>
    <x v="1"/>
    <x v="4"/>
    <x v="0"/>
    <x v="1"/>
    <x v="1"/>
    <n v="36"/>
    <n v="53"/>
    <n v="49"/>
  </r>
  <r>
    <s v="C55"/>
    <x v="0"/>
    <x v="1"/>
    <x v="0"/>
    <x v="1"/>
    <x v="1"/>
    <n v="57"/>
    <n v="57"/>
    <n v="47"/>
  </r>
  <r>
    <s v="C56"/>
    <x v="1"/>
    <x v="4"/>
    <x v="2"/>
    <x v="0"/>
    <x v="0"/>
    <n v="56"/>
    <n v="60"/>
    <n v="62"/>
  </r>
  <r>
    <s v="C57"/>
    <x v="1"/>
    <x v="4"/>
    <x v="4"/>
    <x v="0"/>
    <x v="0"/>
    <n v="67"/>
    <n v="80"/>
    <n v="84"/>
  </r>
  <r>
    <s v="C58"/>
    <x v="0"/>
    <x v="1"/>
    <x v="3"/>
    <x v="0"/>
    <x v="0"/>
    <n v="88"/>
    <n v="87"/>
    <n v="83"/>
  </r>
  <r>
    <s v="C59"/>
    <x v="1"/>
    <x v="1"/>
    <x v="2"/>
    <x v="1"/>
    <x v="1"/>
    <n v="42"/>
    <n v="61"/>
    <n v="51"/>
  </r>
  <r>
    <s v="C60"/>
    <x v="0"/>
    <x v="2"/>
    <x v="1"/>
    <x v="0"/>
    <x v="1"/>
    <n v="68"/>
    <n v="51"/>
    <n v="48"/>
  </r>
  <r>
    <s v="C61"/>
    <x v="0"/>
    <x v="1"/>
    <x v="2"/>
    <x v="1"/>
    <x v="1"/>
    <n v="76"/>
    <n v="66"/>
    <n v="68"/>
  </r>
  <r>
    <s v="C62"/>
    <x v="1"/>
    <x v="2"/>
    <x v="1"/>
    <x v="0"/>
    <x v="1"/>
    <n v="58"/>
    <n v="63"/>
    <n v="59"/>
  </r>
  <r>
    <s v="C63"/>
    <x v="0"/>
    <x v="2"/>
    <x v="1"/>
    <x v="0"/>
    <x v="0"/>
    <n v="69"/>
    <n v="67"/>
    <n v="62"/>
  </r>
  <r>
    <s v="C64"/>
    <x v="0"/>
    <x v="0"/>
    <x v="4"/>
    <x v="0"/>
    <x v="0"/>
    <n v="77"/>
    <n v="82"/>
    <n v="78"/>
  </r>
  <r>
    <s v="C65"/>
    <x v="0"/>
    <x v="1"/>
    <x v="5"/>
    <x v="0"/>
    <x v="0"/>
    <n v="83"/>
    <n v="93"/>
    <n v="97"/>
  </r>
  <r>
    <s v="C66"/>
    <x v="1"/>
    <x v="4"/>
    <x v="1"/>
    <x v="1"/>
    <x v="0"/>
    <n v="49"/>
    <n v="74"/>
    <n v="70"/>
  </r>
  <r>
    <s v="C67"/>
    <x v="0"/>
    <x v="4"/>
    <x v="0"/>
    <x v="0"/>
    <x v="1"/>
    <n v="71"/>
    <n v="60"/>
    <n v="56"/>
  </r>
  <r>
    <s v="C68"/>
    <x v="1"/>
    <x v="1"/>
    <x v="1"/>
    <x v="1"/>
    <x v="1"/>
    <n v="47"/>
    <n v="46"/>
    <n v="49"/>
  </r>
  <r>
    <s v="C69"/>
    <x v="0"/>
    <x v="3"/>
    <x v="0"/>
    <x v="0"/>
    <x v="1"/>
    <n v="79"/>
    <n v="64"/>
    <n v="60"/>
  </r>
  <r>
    <s v="C70"/>
    <x v="1"/>
    <x v="4"/>
    <x v="0"/>
    <x v="0"/>
    <x v="1"/>
    <n v="60"/>
    <n v="64"/>
    <n v="57"/>
  </r>
  <r>
    <s v="C71"/>
    <x v="1"/>
    <x v="4"/>
    <x v="3"/>
    <x v="0"/>
    <x v="0"/>
    <n v="56"/>
    <n v="68"/>
    <n v="73"/>
  </r>
  <r>
    <s v="C72"/>
    <x v="0"/>
    <x v="4"/>
    <x v="3"/>
    <x v="0"/>
    <x v="1"/>
    <n v="57"/>
    <n v="52"/>
    <n v="47"/>
  </r>
  <r>
    <s v="C73"/>
    <x v="1"/>
    <x v="3"/>
    <x v="2"/>
    <x v="0"/>
    <x v="1"/>
    <n v="49"/>
    <n v="70"/>
    <n v="63"/>
  </r>
  <r>
    <s v="C74"/>
    <x v="1"/>
    <x v="4"/>
    <x v="1"/>
    <x v="0"/>
    <x v="0"/>
    <n v="79"/>
    <n v="76"/>
    <n v="81"/>
  </r>
  <r>
    <s v="C75"/>
    <x v="0"/>
    <x v="3"/>
    <x v="5"/>
    <x v="1"/>
    <x v="1"/>
    <n v="71"/>
    <n v="76"/>
    <n v="67"/>
  </r>
  <r>
    <s v="C76"/>
    <x v="1"/>
    <x v="4"/>
    <x v="0"/>
    <x v="0"/>
    <x v="1"/>
    <n v="71"/>
    <n v="77"/>
    <n v="70"/>
  </r>
  <r>
    <s v="C77"/>
    <x v="1"/>
    <x v="4"/>
    <x v="2"/>
    <x v="0"/>
    <x v="1"/>
    <n v="47"/>
    <n v="63"/>
    <n v="59"/>
  </r>
  <r>
    <s v="C78"/>
    <x v="1"/>
    <x v="1"/>
    <x v="0"/>
    <x v="1"/>
    <x v="1"/>
    <n v="72"/>
    <n v="91"/>
    <n v="81"/>
  </r>
  <r>
    <s v="C79"/>
    <x v="0"/>
    <x v="4"/>
    <x v="3"/>
    <x v="0"/>
    <x v="1"/>
    <n v="78"/>
    <n v="73"/>
    <n v="76"/>
  </r>
  <r>
    <s v="C80"/>
    <x v="0"/>
    <x v="1"/>
    <x v="1"/>
    <x v="0"/>
    <x v="1"/>
    <n v="54"/>
    <n v="43"/>
    <n v="45"/>
  </r>
  <r>
    <s v="C81"/>
    <x v="1"/>
    <x v="3"/>
    <x v="4"/>
    <x v="0"/>
    <x v="1"/>
    <n v="46"/>
    <n v="59"/>
    <n v="62"/>
  </r>
  <r>
    <s v="C82"/>
    <x v="1"/>
    <x v="1"/>
    <x v="1"/>
    <x v="1"/>
    <x v="1"/>
    <n v="31"/>
    <n v="38"/>
    <n v="42"/>
  </r>
  <r>
    <s v="C83"/>
    <x v="1"/>
    <x v="4"/>
    <x v="3"/>
    <x v="1"/>
    <x v="1"/>
    <n v="51"/>
    <n v="59"/>
    <n v="59"/>
  </r>
  <r>
    <s v="C84"/>
    <x v="0"/>
    <x v="3"/>
    <x v="0"/>
    <x v="0"/>
    <x v="0"/>
    <n v="78"/>
    <n v="76"/>
    <n v="73"/>
  </r>
  <r>
    <s v="C85"/>
    <x v="1"/>
    <x v="3"/>
    <x v="3"/>
    <x v="1"/>
    <x v="1"/>
    <n v="32"/>
    <n v="41"/>
    <n v="39"/>
  </r>
  <r>
    <s v="C86"/>
    <x v="1"/>
    <x v="4"/>
    <x v="1"/>
    <x v="0"/>
    <x v="1"/>
    <n v="53"/>
    <n v="71"/>
    <n v="69"/>
  </r>
  <r>
    <s v="C87"/>
    <x v="1"/>
    <x v="4"/>
    <x v="2"/>
    <x v="1"/>
    <x v="1"/>
    <n v="63"/>
    <n v="76"/>
    <n v="69"/>
  </r>
  <r>
    <s v="C88"/>
    <x v="0"/>
    <x v="1"/>
    <x v="2"/>
    <x v="0"/>
    <x v="1"/>
    <n v="97"/>
    <n v="93"/>
    <n v="88"/>
  </r>
  <r>
    <s v="C89"/>
    <x v="1"/>
    <x v="1"/>
    <x v="2"/>
    <x v="0"/>
    <x v="1"/>
    <n v="56"/>
    <n v="52"/>
    <n v="61"/>
  </r>
  <r>
    <s v="C90"/>
    <x v="0"/>
    <x v="3"/>
    <x v="0"/>
    <x v="0"/>
    <x v="1"/>
    <n v="72"/>
    <n v="76"/>
    <n v="72"/>
  </r>
  <r>
    <s v="C91"/>
    <x v="0"/>
    <x v="4"/>
    <x v="2"/>
    <x v="1"/>
    <x v="1"/>
    <n v="57"/>
    <n v="47"/>
    <n v="42"/>
  </r>
  <r>
    <s v="C92"/>
    <x v="0"/>
    <x v="3"/>
    <x v="1"/>
    <x v="0"/>
    <x v="1"/>
    <n v="74"/>
    <n v="71"/>
    <n v="70"/>
  </r>
  <r>
    <s v="C93"/>
    <x v="1"/>
    <x v="1"/>
    <x v="5"/>
    <x v="0"/>
    <x v="1"/>
    <n v="81"/>
    <n v="81"/>
    <n v="87"/>
  </r>
  <r>
    <s v="C94"/>
    <x v="0"/>
    <x v="1"/>
    <x v="4"/>
    <x v="0"/>
    <x v="0"/>
    <n v="94"/>
    <n v="87"/>
    <n v="93"/>
  </r>
  <r>
    <s v="C95"/>
    <x v="0"/>
    <x v="3"/>
    <x v="5"/>
    <x v="1"/>
    <x v="1"/>
    <n v="81"/>
    <n v="73"/>
    <n v="72"/>
  </r>
  <r>
    <s v="C96"/>
    <x v="1"/>
    <x v="4"/>
    <x v="0"/>
    <x v="0"/>
    <x v="0"/>
    <n v="58"/>
    <n v="63"/>
    <n v="67"/>
  </r>
  <r>
    <s v="C97"/>
    <x v="1"/>
    <x v="2"/>
    <x v="3"/>
    <x v="0"/>
    <x v="0"/>
    <n v="95"/>
    <n v="100"/>
    <n v="100"/>
  </r>
  <r>
    <s v="C98"/>
    <x v="0"/>
    <x v="3"/>
    <x v="0"/>
    <x v="1"/>
    <x v="1"/>
    <n v="45"/>
    <n v="52"/>
    <n v="49"/>
  </r>
  <r>
    <s v="C99"/>
    <x v="0"/>
    <x v="0"/>
    <x v="2"/>
    <x v="0"/>
    <x v="1"/>
    <n v="63"/>
    <n v="50"/>
    <n v="49"/>
  </r>
  <r>
    <s v="C100"/>
    <x v="0"/>
    <x v="3"/>
    <x v="3"/>
    <x v="0"/>
    <x v="1"/>
    <n v="60"/>
    <n v="54"/>
    <n v="53"/>
  </r>
  <r>
    <s v="C101"/>
    <x v="0"/>
    <x v="4"/>
    <x v="2"/>
    <x v="1"/>
    <x v="0"/>
    <n v="54"/>
    <n v="61"/>
    <n v="62"/>
  </r>
  <r>
    <s v="C102"/>
    <x v="0"/>
    <x v="4"/>
    <x v="2"/>
    <x v="0"/>
    <x v="0"/>
    <n v="75"/>
    <n v="78"/>
    <n v="79"/>
  </r>
  <r>
    <s v="C103"/>
    <x v="0"/>
    <x v="2"/>
    <x v="0"/>
    <x v="0"/>
    <x v="1"/>
    <n v="79"/>
    <n v="78"/>
    <n v="77"/>
  </r>
  <r>
    <s v="C104"/>
    <x v="0"/>
    <x v="1"/>
    <x v="0"/>
    <x v="0"/>
    <x v="1"/>
    <n v="66"/>
    <n v="67"/>
    <n v="67"/>
  </r>
  <r>
    <s v="C105"/>
    <x v="1"/>
    <x v="3"/>
    <x v="2"/>
    <x v="0"/>
    <x v="1"/>
    <n v="47"/>
    <n v="58"/>
    <n v="58"/>
  </r>
  <r>
    <s v="C106"/>
    <x v="1"/>
    <x v="1"/>
    <x v="4"/>
    <x v="0"/>
    <x v="1"/>
    <n v="70"/>
    <n v="78"/>
    <n v="82"/>
  </r>
  <r>
    <s v="C107"/>
    <x v="0"/>
    <x v="1"/>
    <x v="0"/>
    <x v="0"/>
    <x v="1"/>
    <n v="82"/>
    <n v="74"/>
    <n v="73"/>
  </r>
  <r>
    <s v="C108"/>
    <x v="0"/>
    <x v="0"/>
    <x v="4"/>
    <x v="0"/>
    <x v="1"/>
    <n v="56"/>
    <n v="38"/>
    <n v="44"/>
  </r>
  <r>
    <s v="C109"/>
    <x v="0"/>
    <x v="3"/>
    <x v="3"/>
    <x v="0"/>
    <x v="1"/>
    <n v="92"/>
    <n v="78"/>
    <n v="71"/>
  </r>
  <r>
    <s v="C110"/>
    <x v="0"/>
    <x v="4"/>
    <x v="2"/>
    <x v="1"/>
    <x v="1"/>
    <n v="30"/>
    <n v="33"/>
    <n v="33"/>
  </r>
  <r>
    <s v="C111"/>
    <x v="1"/>
    <x v="4"/>
    <x v="2"/>
    <x v="0"/>
    <x v="0"/>
    <n v="79"/>
    <n v="88"/>
    <n v="86"/>
  </r>
  <r>
    <s v="C112"/>
    <x v="1"/>
    <x v="1"/>
    <x v="1"/>
    <x v="0"/>
    <x v="1"/>
    <n v="41"/>
    <n v="52"/>
    <n v="47"/>
  </r>
  <r>
    <s v="C113"/>
    <x v="1"/>
    <x v="4"/>
    <x v="5"/>
    <x v="0"/>
    <x v="1"/>
    <n v="63"/>
    <n v="82"/>
    <n v="71"/>
  </r>
  <r>
    <s v="C114"/>
    <x v="0"/>
    <x v="0"/>
    <x v="4"/>
    <x v="1"/>
    <x v="1"/>
    <n v="43"/>
    <n v="34"/>
    <n v="33"/>
  </r>
  <r>
    <s v="C115"/>
    <x v="0"/>
    <x v="1"/>
    <x v="0"/>
    <x v="0"/>
    <x v="1"/>
    <n v="77"/>
    <n v="76"/>
    <n v="74"/>
  </r>
  <r>
    <s v="C116"/>
    <x v="0"/>
    <x v="3"/>
    <x v="3"/>
    <x v="0"/>
    <x v="0"/>
    <n v="76"/>
    <n v="79"/>
    <n v="76"/>
  </r>
  <r>
    <s v="C117"/>
    <x v="1"/>
    <x v="2"/>
    <x v="2"/>
    <x v="1"/>
    <x v="1"/>
    <n v="49"/>
    <n v="61"/>
    <n v="63"/>
  </r>
  <r>
    <s v="C118"/>
    <x v="0"/>
    <x v="4"/>
    <x v="3"/>
    <x v="0"/>
    <x v="0"/>
    <n v="59"/>
    <n v="57"/>
    <n v="55"/>
  </r>
  <r>
    <s v="C119"/>
    <x v="0"/>
    <x v="3"/>
    <x v="4"/>
    <x v="1"/>
    <x v="1"/>
    <n v="59"/>
    <n v="70"/>
    <n v="58"/>
  </r>
  <r>
    <s v="C120"/>
    <x v="1"/>
    <x v="1"/>
    <x v="1"/>
    <x v="0"/>
    <x v="0"/>
    <n v="76"/>
    <n v="90"/>
    <n v="87"/>
  </r>
  <r>
    <s v="C121"/>
    <x v="1"/>
    <x v="4"/>
    <x v="0"/>
    <x v="0"/>
    <x v="0"/>
    <n v="55"/>
    <n v="71"/>
    <n v="71"/>
  </r>
  <r>
    <s v="C122"/>
    <x v="1"/>
    <x v="1"/>
    <x v="4"/>
    <x v="0"/>
    <x v="0"/>
    <n v="78"/>
    <n v="87"/>
    <n v="89"/>
  </r>
  <r>
    <s v="C123"/>
    <x v="1"/>
    <x v="4"/>
    <x v="4"/>
    <x v="0"/>
    <x v="0"/>
    <n v="51"/>
    <n v="53"/>
    <n v="62"/>
  </r>
  <r>
    <s v="C124"/>
    <x v="1"/>
    <x v="4"/>
    <x v="1"/>
    <x v="0"/>
    <x v="0"/>
    <n v="41"/>
    <n v="43"/>
    <n v="45"/>
  </r>
  <r>
    <s v="C125"/>
    <x v="1"/>
    <x v="1"/>
    <x v="3"/>
    <x v="0"/>
    <x v="1"/>
    <n v="74"/>
    <n v="78"/>
    <n v="86"/>
  </r>
  <r>
    <s v="C126"/>
    <x v="0"/>
    <x v="4"/>
    <x v="5"/>
    <x v="0"/>
    <x v="1"/>
    <n v="62"/>
    <n v="54"/>
    <n v="58"/>
  </r>
  <r>
    <s v="C127"/>
    <x v="0"/>
    <x v="1"/>
    <x v="3"/>
    <x v="0"/>
    <x v="1"/>
    <n v="77"/>
    <n v="71"/>
    <n v="64"/>
  </r>
  <r>
    <s v="C128"/>
    <x v="0"/>
    <x v="4"/>
    <x v="1"/>
    <x v="0"/>
    <x v="1"/>
    <n v="45"/>
    <n v="52"/>
    <n v="45"/>
  </r>
  <r>
    <s v="C129"/>
    <x v="0"/>
    <x v="2"/>
    <x v="2"/>
    <x v="0"/>
    <x v="0"/>
    <n v="100"/>
    <n v="84"/>
    <n v="87"/>
  </r>
  <r>
    <s v="C130"/>
    <x v="1"/>
    <x v="1"/>
    <x v="3"/>
    <x v="1"/>
    <x v="0"/>
    <n v="83"/>
    <n v="95"/>
    <n v="100"/>
  </r>
  <r>
    <s v="C131"/>
    <x v="1"/>
    <x v="2"/>
    <x v="3"/>
    <x v="1"/>
    <x v="0"/>
    <n v="77"/>
    <n v="75"/>
    <n v="82"/>
  </r>
  <r>
    <s v="C132"/>
    <x v="0"/>
    <x v="4"/>
    <x v="0"/>
    <x v="0"/>
    <x v="0"/>
    <n v="66"/>
    <n v="70"/>
    <n v="64"/>
  </r>
  <r>
    <s v="C133"/>
    <x v="0"/>
    <x v="3"/>
    <x v="2"/>
    <x v="0"/>
    <x v="1"/>
    <n v="65"/>
    <n v="63"/>
    <n v="57"/>
  </r>
  <r>
    <s v="C134"/>
    <x v="0"/>
    <x v="1"/>
    <x v="3"/>
    <x v="0"/>
    <x v="1"/>
    <n v="62"/>
    <n v="55"/>
    <n v="56"/>
  </r>
  <r>
    <s v="C135"/>
    <x v="0"/>
    <x v="2"/>
    <x v="2"/>
    <x v="0"/>
    <x v="1"/>
    <n v="55"/>
    <n v="54"/>
    <n v="54"/>
  </r>
  <r>
    <s v="C136"/>
    <x v="0"/>
    <x v="4"/>
    <x v="1"/>
    <x v="1"/>
    <x v="1"/>
    <n v="73"/>
    <n v="78"/>
    <n v="69"/>
  </r>
  <r>
    <s v="C137"/>
    <x v="0"/>
    <x v="0"/>
    <x v="2"/>
    <x v="0"/>
    <x v="0"/>
    <n v="73"/>
    <n v="81"/>
    <n v="76"/>
  </r>
  <r>
    <s v="C138"/>
    <x v="1"/>
    <x v="3"/>
    <x v="3"/>
    <x v="0"/>
    <x v="0"/>
    <n v="48"/>
    <n v="66"/>
    <n v="68"/>
  </r>
  <r>
    <s v="C139"/>
    <x v="0"/>
    <x v="1"/>
    <x v="2"/>
    <x v="1"/>
    <x v="1"/>
    <n v="52"/>
    <n v="44"/>
    <n v="49"/>
  </r>
  <r>
    <s v="C140"/>
    <x v="1"/>
    <x v="4"/>
    <x v="1"/>
    <x v="1"/>
    <x v="1"/>
    <n v="60"/>
    <n v="72"/>
    <n v="64"/>
  </r>
  <r>
    <s v="C141"/>
    <x v="0"/>
    <x v="3"/>
    <x v="3"/>
    <x v="1"/>
    <x v="1"/>
    <n v="68"/>
    <n v="63"/>
    <n v="57"/>
  </r>
  <r>
    <s v="C142"/>
    <x v="1"/>
    <x v="1"/>
    <x v="2"/>
    <x v="1"/>
    <x v="1"/>
    <n v="65"/>
    <n v="77"/>
    <n v="83"/>
  </r>
  <r>
    <s v="C143"/>
    <x v="1"/>
    <x v="1"/>
    <x v="4"/>
    <x v="0"/>
    <x v="1"/>
    <n v="86"/>
    <n v="83"/>
    <n v="87"/>
  </r>
  <r>
    <s v="C144"/>
    <x v="1"/>
    <x v="3"/>
    <x v="3"/>
    <x v="0"/>
    <x v="1"/>
    <n v="55"/>
    <n v="62"/>
    <n v="60"/>
  </r>
  <r>
    <s v="C145"/>
    <x v="0"/>
    <x v="3"/>
    <x v="5"/>
    <x v="0"/>
    <x v="0"/>
    <n v="80"/>
    <n v="71"/>
    <n v="68"/>
  </r>
  <r>
    <s v="C146"/>
    <x v="1"/>
    <x v="3"/>
    <x v="0"/>
    <x v="1"/>
    <x v="1"/>
    <n v="51"/>
    <n v="57"/>
    <n v="57"/>
  </r>
  <r>
    <s v="C147"/>
    <x v="1"/>
    <x v="3"/>
    <x v="1"/>
    <x v="0"/>
    <x v="0"/>
    <n v="63"/>
    <n v="61"/>
    <n v="66"/>
  </r>
  <r>
    <s v="C148"/>
    <x v="0"/>
    <x v="2"/>
    <x v="2"/>
    <x v="0"/>
    <x v="1"/>
    <n v="60"/>
    <n v="55"/>
    <n v="46"/>
  </r>
  <r>
    <s v="C149"/>
    <x v="1"/>
    <x v="2"/>
    <x v="4"/>
    <x v="0"/>
    <x v="0"/>
    <n v="100"/>
    <n v="100"/>
    <n v="100"/>
  </r>
  <r>
    <s v="C150"/>
    <x v="0"/>
    <x v="0"/>
    <x v="3"/>
    <x v="1"/>
    <x v="1"/>
    <n v="46"/>
    <n v="44"/>
    <n v="44"/>
  </r>
  <r>
    <s v="C151"/>
    <x v="1"/>
    <x v="4"/>
    <x v="2"/>
    <x v="0"/>
    <x v="0"/>
    <n v="67"/>
    <n v="78"/>
    <n v="80"/>
  </r>
  <r>
    <s v="C152"/>
    <x v="1"/>
    <x v="4"/>
    <x v="0"/>
    <x v="1"/>
    <x v="1"/>
    <n v="54"/>
    <n v="67"/>
    <n v="59"/>
  </r>
  <r>
    <s v="C153"/>
    <x v="1"/>
    <x v="3"/>
    <x v="3"/>
    <x v="0"/>
    <x v="1"/>
    <n v="63"/>
    <n v="79"/>
    <n v="76"/>
  </r>
  <r>
    <s v="C154"/>
    <x v="0"/>
    <x v="1"/>
    <x v="4"/>
    <x v="0"/>
    <x v="1"/>
    <n v="68"/>
    <n v="66"/>
    <n v="73"/>
  </r>
  <r>
    <s v="C155"/>
    <x v="1"/>
    <x v="4"/>
    <x v="3"/>
    <x v="1"/>
    <x v="1"/>
    <n v="54"/>
    <n v="63"/>
    <n v="58"/>
  </r>
  <r>
    <s v="C156"/>
    <x v="1"/>
    <x v="4"/>
    <x v="2"/>
    <x v="0"/>
    <x v="1"/>
    <n v="43"/>
    <n v="44"/>
    <n v="47"/>
  </r>
  <r>
    <s v="C157"/>
    <x v="0"/>
    <x v="3"/>
    <x v="0"/>
    <x v="1"/>
    <x v="1"/>
    <n v="64"/>
    <n v="64"/>
    <n v="59"/>
  </r>
  <r>
    <s v="C158"/>
    <x v="1"/>
    <x v="2"/>
    <x v="3"/>
    <x v="1"/>
    <x v="1"/>
    <n v="92"/>
    <n v="87"/>
    <n v="87"/>
  </r>
  <r>
    <s v="C159"/>
    <x v="1"/>
    <x v="1"/>
    <x v="3"/>
    <x v="1"/>
    <x v="1"/>
    <n v="82"/>
    <n v="95"/>
    <n v="93"/>
  </r>
  <r>
    <s v="C160"/>
    <x v="0"/>
    <x v="2"/>
    <x v="1"/>
    <x v="1"/>
    <x v="1"/>
    <n v="84"/>
    <n v="78"/>
    <n v="79"/>
  </r>
  <r>
    <s v="C161"/>
    <x v="1"/>
    <x v="1"/>
    <x v="3"/>
    <x v="0"/>
    <x v="0"/>
    <n v="84"/>
    <n v="98"/>
    <n v="97"/>
  </r>
  <r>
    <s v="C162"/>
    <x v="0"/>
    <x v="1"/>
    <x v="3"/>
    <x v="1"/>
    <x v="1"/>
    <n v="65"/>
    <n v="63"/>
    <n v="65"/>
  </r>
  <r>
    <s v="C163"/>
    <x v="1"/>
    <x v="4"/>
    <x v="4"/>
    <x v="0"/>
    <x v="1"/>
    <n v="83"/>
    <n v="92"/>
    <n v="91"/>
  </r>
  <r>
    <s v="C164"/>
    <x v="1"/>
    <x v="3"/>
    <x v="1"/>
    <x v="0"/>
    <x v="0"/>
    <n v="70"/>
    <n v="75"/>
    <n v="75"/>
  </r>
  <r>
    <s v="C165"/>
    <x v="0"/>
    <x v="0"/>
    <x v="4"/>
    <x v="0"/>
    <x v="0"/>
    <n v="66"/>
    <n v="72"/>
    <n v="70"/>
  </r>
  <r>
    <s v="C166"/>
    <x v="1"/>
    <x v="1"/>
    <x v="4"/>
    <x v="0"/>
    <x v="0"/>
    <n v="71"/>
    <n v="87"/>
    <n v="92"/>
  </r>
  <r>
    <s v="C167"/>
    <x v="0"/>
    <x v="3"/>
    <x v="4"/>
    <x v="0"/>
    <x v="1"/>
    <n v="66"/>
    <n v="64"/>
    <n v="58"/>
  </r>
  <r>
    <s v="C168"/>
    <x v="1"/>
    <x v="3"/>
    <x v="1"/>
    <x v="0"/>
    <x v="0"/>
    <n v="57"/>
    <n v="64"/>
    <n v="68"/>
  </r>
  <r>
    <s v="C169"/>
    <x v="1"/>
    <x v="4"/>
    <x v="5"/>
    <x v="0"/>
    <x v="1"/>
    <n v="86"/>
    <n v="90"/>
    <n v="93"/>
  </r>
  <r>
    <s v="C170"/>
    <x v="1"/>
    <x v="0"/>
    <x v="0"/>
    <x v="0"/>
    <x v="1"/>
    <n v="80"/>
    <n v="85"/>
    <n v="83"/>
  </r>
  <r>
    <s v="C171"/>
    <x v="1"/>
    <x v="3"/>
    <x v="0"/>
    <x v="0"/>
    <x v="1"/>
    <n v="62"/>
    <n v="60"/>
    <n v="59"/>
  </r>
  <r>
    <s v="C172"/>
    <x v="1"/>
    <x v="1"/>
    <x v="2"/>
    <x v="0"/>
    <x v="1"/>
    <n v="71"/>
    <n v="71"/>
    <n v="76"/>
  </r>
  <r>
    <s v="C173"/>
    <x v="1"/>
    <x v="4"/>
    <x v="2"/>
    <x v="1"/>
    <x v="0"/>
    <n v="57"/>
    <n v="66"/>
    <n v="71"/>
  </r>
  <r>
    <s v="C174"/>
    <x v="0"/>
    <x v="0"/>
    <x v="1"/>
    <x v="1"/>
    <x v="0"/>
    <n v="69"/>
    <n v="64"/>
    <n v="62"/>
  </r>
  <r>
    <s v="C175"/>
    <x v="0"/>
    <x v="3"/>
    <x v="2"/>
    <x v="0"/>
    <x v="0"/>
    <n v="83"/>
    <n v="74"/>
    <n v="72"/>
  </r>
  <r>
    <s v="C176"/>
    <x v="1"/>
    <x v="1"/>
    <x v="2"/>
    <x v="1"/>
    <x v="1"/>
    <n v="50"/>
    <n v="56"/>
    <n v="60"/>
  </r>
  <r>
    <s v="C177"/>
    <x v="1"/>
    <x v="4"/>
    <x v="4"/>
    <x v="0"/>
    <x v="1"/>
    <n v="55"/>
    <n v="56"/>
    <n v="56"/>
  </r>
  <r>
    <s v="C178"/>
    <x v="0"/>
    <x v="3"/>
    <x v="1"/>
    <x v="1"/>
    <x v="1"/>
    <n v="55"/>
    <n v="53"/>
    <n v="51"/>
  </r>
  <r>
    <s v="C179"/>
    <x v="1"/>
    <x v="1"/>
    <x v="2"/>
    <x v="1"/>
    <x v="0"/>
    <n v="83"/>
    <n v="93"/>
    <n v="95"/>
  </r>
  <r>
    <s v="C180"/>
    <x v="0"/>
    <x v="1"/>
    <x v="0"/>
    <x v="0"/>
    <x v="0"/>
    <n v="89"/>
    <n v="87"/>
    <n v="86"/>
  </r>
  <r>
    <s v="C181"/>
    <x v="1"/>
    <x v="1"/>
    <x v="1"/>
    <x v="0"/>
    <x v="1"/>
    <n v="51"/>
    <n v="62"/>
    <n v="64"/>
  </r>
  <r>
    <s v="C182"/>
    <x v="1"/>
    <x v="4"/>
    <x v="2"/>
    <x v="0"/>
    <x v="1"/>
    <n v="48"/>
    <n v="52"/>
    <n v="49"/>
  </r>
  <r>
    <s v="C183"/>
    <x v="1"/>
    <x v="2"/>
    <x v="4"/>
    <x v="0"/>
    <x v="1"/>
    <n v="84"/>
    <n v="95"/>
    <n v="89"/>
  </r>
  <r>
    <s v="C184"/>
    <x v="1"/>
    <x v="4"/>
    <x v="3"/>
    <x v="0"/>
    <x v="1"/>
    <n v="69"/>
    <n v="83"/>
    <n v="76"/>
  </r>
  <r>
    <s v="C185"/>
    <x v="1"/>
    <x v="4"/>
    <x v="3"/>
    <x v="0"/>
    <x v="0"/>
    <n v="75"/>
    <n v="85"/>
    <n v="87"/>
  </r>
  <r>
    <s v="C186"/>
    <x v="1"/>
    <x v="4"/>
    <x v="5"/>
    <x v="0"/>
    <x v="1"/>
    <n v="91"/>
    <n v="100"/>
    <n v="99"/>
  </r>
  <r>
    <s v="C187"/>
    <x v="0"/>
    <x v="3"/>
    <x v="0"/>
    <x v="0"/>
    <x v="1"/>
    <n v="76"/>
    <n v="77"/>
    <n v="67"/>
  </r>
  <r>
    <s v="C188"/>
    <x v="0"/>
    <x v="2"/>
    <x v="1"/>
    <x v="1"/>
    <x v="1"/>
    <n v="63"/>
    <n v="61"/>
    <n v="59"/>
  </r>
  <r>
    <s v="C189"/>
    <x v="0"/>
    <x v="1"/>
    <x v="0"/>
    <x v="0"/>
    <x v="1"/>
    <n v="73"/>
    <n v="65"/>
    <n v="64"/>
  </r>
  <r>
    <s v="C190"/>
    <x v="0"/>
    <x v="3"/>
    <x v="1"/>
    <x v="1"/>
    <x v="0"/>
    <n v="52"/>
    <n v="63"/>
    <n v="53"/>
  </r>
  <r>
    <s v="C191"/>
    <x v="0"/>
    <x v="3"/>
    <x v="1"/>
    <x v="0"/>
    <x v="0"/>
    <n v="58"/>
    <n v="57"/>
    <n v="53"/>
  </r>
  <r>
    <s v="C192"/>
    <x v="1"/>
    <x v="3"/>
    <x v="1"/>
    <x v="0"/>
    <x v="1"/>
    <n v="33"/>
    <n v="51"/>
    <n v="51"/>
  </r>
  <r>
    <s v="C193"/>
    <x v="0"/>
    <x v="2"/>
    <x v="1"/>
    <x v="1"/>
    <x v="1"/>
    <n v="68"/>
    <n v="62"/>
    <n v="61"/>
  </r>
  <r>
    <s v="C194"/>
    <x v="1"/>
    <x v="4"/>
    <x v="3"/>
    <x v="0"/>
    <x v="0"/>
    <n v="77"/>
    <n v="91"/>
    <n v="89"/>
  </r>
  <r>
    <s v="C195"/>
    <x v="1"/>
    <x v="4"/>
    <x v="4"/>
    <x v="0"/>
    <x v="1"/>
    <n v="64"/>
    <n v="64"/>
    <n v="66"/>
  </r>
  <r>
    <s v="C196"/>
    <x v="1"/>
    <x v="1"/>
    <x v="1"/>
    <x v="1"/>
    <x v="1"/>
    <n v="39"/>
    <n v="49"/>
    <n v="48"/>
  </r>
  <r>
    <s v="C197"/>
    <x v="0"/>
    <x v="1"/>
    <x v="4"/>
    <x v="0"/>
    <x v="1"/>
    <n v="50"/>
    <n v="46"/>
    <n v="48"/>
  </r>
  <r>
    <s v="C198"/>
    <x v="0"/>
    <x v="0"/>
    <x v="5"/>
    <x v="1"/>
    <x v="1"/>
    <n v="53"/>
    <n v="57"/>
    <n v="51"/>
  </r>
  <r>
    <s v="C199"/>
    <x v="1"/>
    <x v="3"/>
    <x v="3"/>
    <x v="0"/>
    <x v="0"/>
    <n v="54"/>
    <n v="62"/>
    <n v="70"/>
  </r>
  <r>
    <s v="C200"/>
    <x v="0"/>
    <x v="1"/>
    <x v="0"/>
    <x v="0"/>
    <x v="1"/>
    <n v="74"/>
    <n v="63"/>
    <n v="65"/>
  </r>
  <r>
    <s v="C201"/>
    <x v="1"/>
    <x v="1"/>
    <x v="3"/>
    <x v="0"/>
    <x v="0"/>
    <n v="50"/>
    <n v="63"/>
    <n v="65"/>
  </r>
  <r>
    <s v="C202"/>
    <x v="0"/>
    <x v="2"/>
    <x v="3"/>
    <x v="0"/>
    <x v="1"/>
    <n v="55"/>
    <n v="54"/>
    <n v="47"/>
  </r>
  <r>
    <s v="C203"/>
    <x v="0"/>
    <x v="4"/>
    <x v="2"/>
    <x v="0"/>
    <x v="1"/>
    <n v="77"/>
    <n v="64"/>
    <n v="70"/>
  </r>
  <r>
    <s v="C204"/>
    <x v="1"/>
    <x v="3"/>
    <x v="1"/>
    <x v="0"/>
    <x v="0"/>
    <n v="49"/>
    <n v="64"/>
    <n v="67"/>
  </r>
  <r>
    <s v="C205"/>
    <x v="1"/>
    <x v="1"/>
    <x v="3"/>
    <x v="1"/>
    <x v="1"/>
    <n v="66"/>
    <n v="83"/>
    <n v="82"/>
  </r>
  <r>
    <s v="C206"/>
    <x v="0"/>
    <x v="3"/>
    <x v="1"/>
    <x v="0"/>
    <x v="0"/>
    <n v="77"/>
    <n v="74"/>
    <n v="75"/>
  </r>
  <r>
    <s v="C207"/>
    <x v="1"/>
    <x v="0"/>
    <x v="5"/>
    <x v="0"/>
    <x v="0"/>
    <n v="74"/>
    <n v="78"/>
    <n v="84"/>
  </r>
  <r>
    <s v="C208"/>
    <x v="0"/>
    <x v="4"/>
    <x v="2"/>
    <x v="0"/>
    <x v="1"/>
    <n v="85"/>
    <n v="78"/>
    <n v="81"/>
  </r>
  <r>
    <s v="C209"/>
    <x v="1"/>
    <x v="0"/>
    <x v="2"/>
    <x v="0"/>
    <x v="1"/>
    <n v="77"/>
    <n v="86"/>
    <n v="84"/>
  </r>
  <r>
    <s v="C210"/>
    <x v="1"/>
    <x v="3"/>
    <x v="3"/>
    <x v="0"/>
    <x v="1"/>
    <n v="64"/>
    <n v="62"/>
    <n v="66"/>
  </r>
  <r>
    <s v="C211"/>
    <x v="1"/>
    <x v="1"/>
    <x v="0"/>
    <x v="1"/>
    <x v="0"/>
    <n v="61"/>
    <n v="69"/>
    <n v="68"/>
  </r>
  <r>
    <s v="C212"/>
    <x v="0"/>
    <x v="1"/>
    <x v="3"/>
    <x v="0"/>
    <x v="1"/>
    <n v="97"/>
    <n v="88"/>
    <n v="85"/>
  </r>
  <r>
    <s v="C213"/>
    <x v="0"/>
    <x v="4"/>
    <x v="2"/>
    <x v="0"/>
    <x v="0"/>
    <n v="66"/>
    <n v="75"/>
    <n v="70"/>
  </r>
  <r>
    <s v="C214"/>
    <x v="0"/>
    <x v="4"/>
    <x v="1"/>
    <x v="0"/>
    <x v="1"/>
    <n v="62"/>
    <n v="66"/>
    <n v="64"/>
  </r>
  <r>
    <s v="C215"/>
    <x v="1"/>
    <x v="2"/>
    <x v="1"/>
    <x v="0"/>
    <x v="0"/>
    <n v="64"/>
    <n v="80"/>
    <n v="77"/>
  </r>
  <r>
    <s v="C216"/>
    <x v="1"/>
    <x v="3"/>
    <x v="4"/>
    <x v="1"/>
    <x v="1"/>
    <n v="55"/>
    <n v="57"/>
    <n v="60"/>
  </r>
  <r>
    <s v="C217"/>
    <x v="1"/>
    <x v="3"/>
    <x v="3"/>
    <x v="0"/>
    <x v="1"/>
    <n v="53"/>
    <n v="72"/>
    <n v="66"/>
  </r>
  <r>
    <s v="C218"/>
    <x v="1"/>
    <x v="1"/>
    <x v="2"/>
    <x v="1"/>
    <x v="1"/>
    <n v="71"/>
    <n v="81"/>
    <n v="77"/>
  </r>
  <r>
    <s v="C219"/>
    <x v="0"/>
    <x v="3"/>
    <x v="0"/>
    <x v="1"/>
    <x v="0"/>
    <n v="66"/>
    <n v="59"/>
    <n v="68"/>
  </r>
  <r>
    <s v="C220"/>
    <x v="0"/>
    <x v="4"/>
    <x v="3"/>
    <x v="0"/>
    <x v="1"/>
    <n v="68"/>
    <n v="61"/>
    <n v="62"/>
  </r>
  <r>
    <s v="C221"/>
    <x v="0"/>
    <x v="1"/>
    <x v="2"/>
    <x v="0"/>
    <x v="1"/>
    <n v="89"/>
    <n v="90"/>
    <n v="83"/>
  </r>
  <r>
    <s v="C222"/>
    <x v="0"/>
    <x v="4"/>
    <x v="3"/>
    <x v="0"/>
    <x v="0"/>
    <n v="65"/>
    <n v="69"/>
    <n v="74"/>
  </r>
  <r>
    <s v="C223"/>
    <x v="1"/>
    <x v="3"/>
    <x v="1"/>
    <x v="0"/>
    <x v="1"/>
    <n v="43"/>
    <n v="48"/>
    <n v="44"/>
  </r>
  <r>
    <s v="C224"/>
    <x v="1"/>
    <x v="1"/>
    <x v="5"/>
    <x v="0"/>
    <x v="1"/>
    <n v="79"/>
    <n v="77"/>
    <n v="83"/>
  </r>
  <r>
    <s v="C225"/>
    <x v="0"/>
    <x v="1"/>
    <x v="4"/>
    <x v="0"/>
    <x v="1"/>
    <n v="99"/>
    <n v="94"/>
    <n v="97"/>
  </r>
  <r>
    <s v="C226"/>
    <x v="0"/>
    <x v="1"/>
    <x v="1"/>
    <x v="0"/>
    <x v="1"/>
    <n v="82"/>
    <n v="69"/>
    <n v="72"/>
  </r>
  <r>
    <s v="C227"/>
    <x v="0"/>
    <x v="1"/>
    <x v="2"/>
    <x v="1"/>
    <x v="0"/>
    <n v="35"/>
    <n v="36"/>
    <n v="39"/>
  </r>
  <r>
    <s v="C228"/>
    <x v="1"/>
    <x v="1"/>
    <x v="4"/>
    <x v="1"/>
    <x v="1"/>
    <n v="61"/>
    <n v="71"/>
    <n v="73"/>
  </r>
  <r>
    <s v="C229"/>
    <x v="1"/>
    <x v="1"/>
    <x v="0"/>
    <x v="0"/>
    <x v="1"/>
    <n v="76"/>
    <n v="80"/>
    <n v="81"/>
  </r>
  <r>
    <s v="C230"/>
    <x v="0"/>
    <x v="4"/>
    <x v="3"/>
    <x v="1"/>
    <x v="0"/>
    <n v="94"/>
    <n v="83"/>
    <n v="82"/>
  </r>
  <r>
    <s v="C231"/>
    <x v="1"/>
    <x v="4"/>
    <x v="0"/>
    <x v="0"/>
    <x v="1"/>
    <n v="75"/>
    <n v="90"/>
    <n v="78"/>
  </r>
  <r>
    <s v="C232"/>
    <x v="0"/>
    <x v="3"/>
    <x v="2"/>
    <x v="0"/>
    <x v="1"/>
    <n v="81"/>
    <n v="75"/>
    <n v="70"/>
  </r>
  <r>
    <s v="C233"/>
    <x v="0"/>
    <x v="4"/>
    <x v="2"/>
    <x v="1"/>
    <x v="1"/>
    <n v="35"/>
    <n v="44"/>
    <n v="33"/>
  </r>
  <r>
    <s v="C234"/>
    <x v="0"/>
    <x v="4"/>
    <x v="2"/>
    <x v="0"/>
    <x v="1"/>
    <n v="76"/>
    <n v="74"/>
    <n v="72"/>
  </r>
  <r>
    <s v="C235"/>
    <x v="1"/>
    <x v="3"/>
    <x v="4"/>
    <x v="0"/>
    <x v="1"/>
    <n v="58"/>
    <n v="79"/>
    <n v="82"/>
  </r>
  <r>
    <s v="C236"/>
    <x v="0"/>
    <x v="4"/>
    <x v="3"/>
    <x v="0"/>
    <x v="0"/>
    <n v="100"/>
    <n v="91"/>
    <n v="90"/>
  </r>
  <r>
    <s v="C237"/>
    <x v="1"/>
    <x v="4"/>
    <x v="4"/>
    <x v="0"/>
    <x v="1"/>
    <n v="53"/>
    <n v="68"/>
    <n v="64"/>
  </r>
  <r>
    <s v="C238"/>
    <x v="1"/>
    <x v="1"/>
    <x v="0"/>
    <x v="0"/>
    <x v="1"/>
    <n v="82"/>
    <n v="95"/>
    <n v="96"/>
  </r>
  <r>
    <s v="C239"/>
    <x v="0"/>
    <x v="3"/>
    <x v="3"/>
    <x v="0"/>
    <x v="1"/>
    <n v="76"/>
    <n v="62"/>
    <n v="64"/>
  </r>
  <r>
    <s v="C240"/>
    <x v="0"/>
    <x v="4"/>
    <x v="4"/>
    <x v="0"/>
    <x v="0"/>
    <n v="83"/>
    <n v="75"/>
    <n v="75"/>
  </r>
  <r>
    <s v="C241"/>
    <x v="1"/>
    <x v="1"/>
    <x v="2"/>
    <x v="0"/>
    <x v="1"/>
    <n v="72"/>
    <n v="84"/>
    <n v="82"/>
  </r>
  <r>
    <s v="C242"/>
    <x v="0"/>
    <x v="1"/>
    <x v="3"/>
    <x v="0"/>
    <x v="0"/>
    <n v="76"/>
    <n v="76"/>
    <n v="83"/>
  </r>
  <r>
    <s v="C243"/>
    <x v="0"/>
    <x v="1"/>
    <x v="1"/>
    <x v="0"/>
    <x v="1"/>
    <n v="66"/>
    <n v="64"/>
    <n v="58"/>
  </r>
  <r>
    <s v="C244"/>
    <x v="0"/>
    <x v="4"/>
    <x v="2"/>
    <x v="0"/>
    <x v="1"/>
    <n v="63"/>
    <n v="65"/>
    <n v="63"/>
  </r>
  <r>
    <s v="C245"/>
    <x v="0"/>
    <x v="3"/>
    <x v="1"/>
    <x v="0"/>
    <x v="1"/>
    <n v="36"/>
    <n v="34"/>
    <n v="28"/>
  </r>
  <r>
    <s v="C246"/>
    <x v="0"/>
    <x v="4"/>
    <x v="0"/>
    <x v="0"/>
    <x v="1"/>
    <n v="68"/>
    <n v="74"/>
    <n v="71"/>
  </r>
  <r>
    <s v="C247"/>
    <x v="1"/>
    <x v="4"/>
    <x v="1"/>
    <x v="1"/>
    <x v="0"/>
    <n v="40"/>
    <n v="52"/>
    <n v="42"/>
  </r>
  <r>
    <s v="C248"/>
    <x v="0"/>
    <x v="1"/>
    <x v="1"/>
    <x v="0"/>
    <x v="1"/>
    <n v="68"/>
    <n v="71"/>
    <n v="61"/>
  </r>
  <r>
    <s v="C249"/>
    <x v="0"/>
    <x v="4"/>
    <x v="3"/>
    <x v="0"/>
    <x v="0"/>
    <n v="56"/>
    <n v="54"/>
    <n v="52"/>
  </r>
  <r>
    <s v="C250"/>
    <x v="1"/>
    <x v="1"/>
    <x v="3"/>
    <x v="1"/>
    <x v="1"/>
    <n v="74"/>
    <n v="83"/>
    <n v="80"/>
  </r>
  <r>
    <s v="C251"/>
    <x v="1"/>
    <x v="1"/>
    <x v="2"/>
    <x v="1"/>
    <x v="1"/>
    <n v="53"/>
    <n v="70"/>
    <n v="71"/>
  </r>
  <r>
    <s v="C252"/>
    <x v="0"/>
    <x v="3"/>
    <x v="1"/>
    <x v="0"/>
    <x v="1"/>
    <n v="88"/>
    <n v="65"/>
    <n v="70"/>
  </r>
  <r>
    <s v="C253"/>
    <x v="0"/>
    <x v="1"/>
    <x v="1"/>
    <x v="0"/>
    <x v="1"/>
    <n v="67"/>
    <n v="63"/>
    <n v="61"/>
  </r>
  <r>
    <s v="C254"/>
    <x v="1"/>
    <x v="3"/>
    <x v="3"/>
    <x v="0"/>
    <x v="1"/>
    <n v="60"/>
    <n v="76"/>
    <n v="65"/>
  </r>
  <r>
    <s v="C255"/>
    <x v="1"/>
    <x v="4"/>
    <x v="0"/>
    <x v="1"/>
    <x v="1"/>
    <n v="51"/>
    <n v="61"/>
    <n v="54"/>
  </r>
  <r>
    <s v="C256"/>
    <x v="1"/>
    <x v="1"/>
    <x v="1"/>
    <x v="0"/>
    <x v="1"/>
    <n v="53"/>
    <n v="66"/>
    <n v="59"/>
  </r>
  <r>
    <s v="C257"/>
    <x v="0"/>
    <x v="0"/>
    <x v="4"/>
    <x v="0"/>
    <x v="1"/>
    <n v="80"/>
    <n v="78"/>
    <n v="74"/>
  </r>
  <r>
    <s v="C258"/>
    <x v="1"/>
    <x v="2"/>
    <x v="1"/>
    <x v="0"/>
    <x v="1"/>
    <n v="69"/>
    <n v="71"/>
    <n v="67"/>
  </r>
  <r>
    <s v="C259"/>
    <x v="1"/>
    <x v="3"/>
    <x v="1"/>
    <x v="1"/>
    <x v="1"/>
    <n v="64"/>
    <n v="79"/>
    <n v="70"/>
  </r>
  <r>
    <s v="C260"/>
    <x v="1"/>
    <x v="1"/>
    <x v="3"/>
    <x v="1"/>
    <x v="0"/>
    <n v="80"/>
    <n v="87"/>
    <n v="89"/>
  </r>
  <r>
    <s v="C261"/>
    <x v="1"/>
    <x v="0"/>
    <x v="1"/>
    <x v="0"/>
    <x v="1"/>
    <n v="58"/>
    <n v="72"/>
    <n v="62"/>
  </r>
  <r>
    <s v="C262"/>
    <x v="1"/>
    <x v="4"/>
    <x v="0"/>
    <x v="0"/>
    <x v="1"/>
    <n v="39"/>
    <n v="46"/>
    <n v="50"/>
  </r>
  <r>
    <s v="C263"/>
    <x v="0"/>
    <x v="1"/>
    <x v="1"/>
    <x v="0"/>
    <x v="1"/>
    <n v="64"/>
    <n v="56"/>
    <n v="50"/>
  </r>
  <r>
    <s v="C264"/>
    <x v="0"/>
    <x v="1"/>
    <x v="3"/>
    <x v="0"/>
    <x v="1"/>
    <n v="61"/>
    <n v="66"/>
    <n v="63"/>
  </r>
  <r>
    <s v="C265"/>
    <x v="0"/>
    <x v="1"/>
    <x v="1"/>
    <x v="0"/>
    <x v="0"/>
    <n v="90"/>
    <n v="82"/>
    <n v="88"/>
  </r>
  <r>
    <s v="C266"/>
    <x v="0"/>
    <x v="1"/>
    <x v="1"/>
    <x v="0"/>
    <x v="1"/>
    <n v="73"/>
    <n v="71"/>
    <n v="64"/>
  </r>
  <r>
    <s v="C267"/>
    <x v="0"/>
    <x v="4"/>
    <x v="3"/>
    <x v="0"/>
    <x v="1"/>
    <n v="73"/>
    <n v="73"/>
    <n v="70"/>
  </r>
  <r>
    <s v="C268"/>
    <x v="1"/>
    <x v="1"/>
    <x v="3"/>
    <x v="0"/>
    <x v="1"/>
    <n v="67"/>
    <n v="76"/>
    <n v="77"/>
  </r>
  <r>
    <s v="C269"/>
    <x v="1"/>
    <x v="3"/>
    <x v="2"/>
    <x v="0"/>
    <x v="1"/>
    <n v="57"/>
    <n v="58"/>
    <n v="62"/>
  </r>
  <r>
    <s v="C270"/>
    <x v="1"/>
    <x v="2"/>
    <x v="2"/>
    <x v="0"/>
    <x v="1"/>
    <n v="65"/>
    <n v="73"/>
    <n v="72"/>
  </r>
  <r>
    <s v="C271"/>
    <x v="1"/>
    <x v="4"/>
    <x v="1"/>
    <x v="0"/>
    <x v="1"/>
    <n v="71"/>
    <n v="72"/>
    <n v="71"/>
  </r>
  <r>
    <s v="C272"/>
    <x v="1"/>
    <x v="1"/>
    <x v="1"/>
    <x v="0"/>
    <x v="1"/>
    <n v="59"/>
    <n v="69"/>
    <n v="72"/>
  </r>
  <r>
    <s v="C273"/>
    <x v="0"/>
    <x v="3"/>
    <x v="0"/>
    <x v="0"/>
    <x v="0"/>
    <n v="74"/>
    <n v="71"/>
    <n v="65"/>
  </r>
  <r>
    <s v="C274"/>
    <x v="1"/>
    <x v="2"/>
    <x v="0"/>
    <x v="0"/>
    <x v="1"/>
    <n v="93"/>
    <n v="100"/>
    <n v="93"/>
  </r>
  <r>
    <s v="C275"/>
    <x v="1"/>
    <x v="3"/>
    <x v="1"/>
    <x v="0"/>
    <x v="0"/>
    <n v="85"/>
    <n v="93"/>
    <n v="92"/>
  </r>
  <r>
    <s v="C276"/>
    <x v="1"/>
    <x v="2"/>
    <x v="1"/>
    <x v="0"/>
    <x v="1"/>
    <n v="76"/>
    <n v="83"/>
    <n v="79"/>
  </r>
  <r>
    <s v="C277"/>
    <x v="1"/>
    <x v="1"/>
    <x v="0"/>
    <x v="1"/>
    <x v="1"/>
    <n v="58"/>
    <n v="72"/>
    <n v="70"/>
  </r>
  <r>
    <s v="C278"/>
    <x v="1"/>
    <x v="2"/>
    <x v="3"/>
    <x v="0"/>
    <x v="1"/>
    <n v="72"/>
    <n v="77"/>
    <n v="77"/>
  </r>
  <r>
    <s v="C279"/>
    <x v="1"/>
    <x v="3"/>
    <x v="0"/>
    <x v="0"/>
    <x v="1"/>
    <n v="40"/>
    <n v="49"/>
    <n v="47"/>
  </r>
  <r>
    <s v="C280"/>
    <x v="0"/>
    <x v="1"/>
    <x v="0"/>
    <x v="0"/>
    <x v="0"/>
    <n v="75"/>
    <n v="73"/>
    <n v="66"/>
  </r>
  <r>
    <s v="C281"/>
    <x v="0"/>
    <x v="1"/>
    <x v="1"/>
    <x v="0"/>
    <x v="1"/>
    <n v="85"/>
    <n v="81"/>
    <n v="80"/>
  </r>
  <r>
    <s v="C282"/>
    <x v="0"/>
    <x v="2"/>
    <x v="3"/>
    <x v="0"/>
    <x v="0"/>
    <n v="100"/>
    <n v="100"/>
    <n v="100"/>
  </r>
  <r>
    <s v="C283"/>
    <x v="1"/>
    <x v="3"/>
    <x v="2"/>
    <x v="1"/>
    <x v="0"/>
    <n v="53"/>
    <n v="65"/>
    <n v="66"/>
  </r>
  <r>
    <s v="C284"/>
    <x v="0"/>
    <x v="1"/>
    <x v="2"/>
    <x v="1"/>
    <x v="1"/>
    <n v="40"/>
    <n v="42"/>
    <n v="39"/>
  </r>
  <r>
    <s v="C285"/>
    <x v="0"/>
    <x v="3"/>
    <x v="4"/>
    <x v="1"/>
    <x v="1"/>
    <n v="49"/>
    <n v="49"/>
    <n v="49"/>
  </r>
  <r>
    <s v="C286"/>
    <x v="0"/>
    <x v="4"/>
    <x v="3"/>
    <x v="0"/>
    <x v="1"/>
    <n v="77"/>
    <n v="80"/>
    <n v="80"/>
  </r>
  <r>
    <s v="C287"/>
    <x v="1"/>
    <x v="1"/>
    <x v="0"/>
    <x v="0"/>
    <x v="1"/>
    <n v="82"/>
    <n v="89"/>
    <n v="84"/>
  </r>
  <r>
    <s v="C288"/>
    <x v="0"/>
    <x v="4"/>
    <x v="2"/>
    <x v="0"/>
    <x v="1"/>
    <n v="55"/>
    <n v="48"/>
    <n v="42"/>
  </r>
  <r>
    <s v="C289"/>
    <x v="1"/>
    <x v="4"/>
    <x v="1"/>
    <x v="1"/>
    <x v="1"/>
    <n v="62"/>
    <n v="71"/>
    <n v="77"/>
  </r>
  <r>
    <s v="C290"/>
    <x v="0"/>
    <x v="3"/>
    <x v="0"/>
    <x v="0"/>
    <x v="0"/>
    <n v="69"/>
    <n v="63"/>
    <n v="59"/>
  </r>
  <r>
    <s v="C291"/>
    <x v="0"/>
    <x v="4"/>
    <x v="3"/>
    <x v="0"/>
    <x v="1"/>
    <n v="78"/>
    <n v="74"/>
    <n v="76"/>
  </r>
  <r>
    <s v="C292"/>
    <x v="1"/>
    <x v="3"/>
    <x v="0"/>
    <x v="1"/>
    <x v="0"/>
    <n v="71"/>
    <n v="77"/>
    <n v="82"/>
  </r>
  <r>
    <s v="C293"/>
    <x v="0"/>
    <x v="1"/>
    <x v="2"/>
    <x v="1"/>
    <x v="0"/>
    <n v="59"/>
    <n v="71"/>
    <n v="66"/>
  </r>
  <r>
    <s v="C294"/>
    <x v="1"/>
    <x v="1"/>
    <x v="0"/>
    <x v="1"/>
    <x v="1"/>
    <n v="60"/>
    <n v="75"/>
    <n v="70"/>
  </r>
  <r>
    <s v="C295"/>
    <x v="1"/>
    <x v="4"/>
    <x v="4"/>
    <x v="1"/>
    <x v="0"/>
    <n v="43"/>
    <n v="60"/>
    <n v="60"/>
  </r>
  <r>
    <s v="C296"/>
    <x v="1"/>
    <x v="4"/>
    <x v="1"/>
    <x v="0"/>
    <x v="1"/>
    <n v="77"/>
    <n v="83"/>
    <n v="86"/>
  </r>
  <r>
    <s v="C297"/>
    <x v="0"/>
    <x v="1"/>
    <x v="1"/>
    <x v="1"/>
    <x v="1"/>
    <n v="50"/>
    <n v="47"/>
    <n v="46"/>
  </r>
  <r>
    <s v="C298"/>
    <x v="1"/>
    <x v="2"/>
    <x v="4"/>
    <x v="1"/>
    <x v="1"/>
    <n v="56"/>
    <n v="58"/>
    <n v="52"/>
  </r>
  <r>
    <s v="C299"/>
    <x v="0"/>
    <x v="3"/>
    <x v="0"/>
    <x v="0"/>
    <x v="1"/>
    <n v="69"/>
    <n v="58"/>
    <n v="50"/>
  </r>
  <r>
    <s v="C300"/>
    <x v="0"/>
    <x v="1"/>
    <x v="0"/>
    <x v="0"/>
    <x v="1"/>
    <n v="47"/>
    <n v="43"/>
    <n v="39"/>
  </r>
  <r>
    <s v="C301"/>
    <x v="0"/>
    <x v="3"/>
    <x v="2"/>
    <x v="1"/>
    <x v="1"/>
    <n v="43"/>
    <n v="28"/>
    <n v="24"/>
  </r>
  <r>
    <s v="C302"/>
    <x v="0"/>
    <x v="0"/>
    <x v="1"/>
    <x v="1"/>
    <x v="1"/>
    <n v="48"/>
    <n v="39"/>
    <n v="40"/>
  </r>
  <r>
    <s v="C303"/>
    <x v="0"/>
    <x v="4"/>
    <x v="0"/>
    <x v="1"/>
    <x v="1"/>
    <n v="55"/>
    <n v="62"/>
    <n v="49"/>
  </r>
  <r>
    <s v="C304"/>
    <x v="0"/>
    <x v="4"/>
    <x v="2"/>
    <x v="0"/>
    <x v="1"/>
    <n v="73"/>
    <n v="68"/>
    <n v="66"/>
  </r>
  <r>
    <s v="C305"/>
    <x v="0"/>
    <x v="1"/>
    <x v="4"/>
    <x v="0"/>
    <x v="1"/>
    <n v="71"/>
    <n v="63"/>
    <n v="66"/>
  </r>
  <r>
    <s v="C306"/>
    <x v="1"/>
    <x v="3"/>
    <x v="2"/>
    <x v="0"/>
    <x v="1"/>
    <n v="54"/>
    <n v="57"/>
    <n v="60"/>
  </r>
  <r>
    <s v="C307"/>
    <x v="0"/>
    <x v="4"/>
    <x v="0"/>
    <x v="0"/>
    <x v="1"/>
    <n v="66"/>
    <n v="61"/>
    <n v="63"/>
  </r>
  <r>
    <s v="C308"/>
    <x v="0"/>
    <x v="0"/>
    <x v="5"/>
    <x v="0"/>
    <x v="1"/>
    <n v="63"/>
    <n v="63"/>
    <n v="67"/>
  </r>
  <r>
    <s v="C309"/>
    <x v="1"/>
    <x v="1"/>
    <x v="4"/>
    <x v="0"/>
    <x v="1"/>
    <n v="66"/>
    <n v="81"/>
    <n v="73"/>
  </r>
  <r>
    <s v="C310"/>
    <x v="0"/>
    <x v="4"/>
    <x v="4"/>
    <x v="0"/>
    <x v="0"/>
    <n v="79"/>
    <n v="80"/>
    <n v="75"/>
  </r>
  <r>
    <s v="C311"/>
    <x v="0"/>
    <x v="1"/>
    <x v="3"/>
    <x v="1"/>
    <x v="0"/>
    <n v="73"/>
    <n v="69"/>
    <n v="70"/>
  </r>
  <r>
    <s v="C312"/>
    <x v="1"/>
    <x v="4"/>
    <x v="1"/>
    <x v="0"/>
    <x v="1"/>
    <n v="36"/>
    <n v="57"/>
    <n v="53"/>
  </r>
  <r>
    <s v="C313"/>
    <x v="0"/>
    <x v="4"/>
    <x v="3"/>
    <x v="1"/>
    <x v="1"/>
    <n v="50"/>
    <n v="48"/>
    <n v="43"/>
  </r>
  <r>
    <s v="C314"/>
    <x v="0"/>
    <x v="2"/>
    <x v="2"/>
    <x v="0"/>
    <x v="0"/>
    <n v="87"/>
    <n v="78"/>
    <n v="80"/>
  </r>
  <r>
    <s v="C315"/>
    <x v="0"/>
    <x v="4"/>
    <x v="3"/>
    <x v="0"/>
    <x v="1"/>
    <n v="71"/>
    <n v="68"/>
    <n v="63"/>
  </r>
  <r>
    <s v="C316"/>
    <x v="1"/>
    <x v="4"/>
    <x v="3"/>
    <x v="0"/>
    <x v="0"/>
    <n v="85"/>
    <n v="87"/>
    <n v="94"/>
  </r>
  <r>
    <s v="C317"/>
    <x v="1"/>
    <x v="4"/>
    <x v="0"/>
    <x v="0"/>
    <x v="0"/>
    <n v="58"/>
    <n v="67"/>
    <n v="64"/>
  </r>
  <r>
    <s v="C318"/>
    <x v="0"/>
    <x v="4"/>
    <x v="2"/>
    <x v="0"/>
    <x v="1"/>
    <n v="86"/>
    <n v="83"/>
    <n v="81"/>
  </r>
  <r>
    <s v="C319"/>
    <x v="1"/>
    <x v="1"/>
    <x v="1"/>
    <x v="1"/>
    <x v="1"/>
    <n v="64"/>
    <n v="86"/>
    <n v="89"/>
  </r>
  <r>
    <s v="C320"/>
    <x v="0"/>
    <x v="1"/>
    <x v="2"/>
    <x v="0"/>
    <x v="1"/>
    <n v="83"/>
    <n v="85"/>
    <n v="79"/>
  </r>
  <r>
    <s v="C321"/>
    <x v="0"/>
    <x v="2"/>
    <x v="0"/>
    <x v="1"/>
    <x v="0"/>
    <n v="58"/>
    <n v="56"/>
    <n v="49"/>
  </r>
  <r>
    <s v="C322"/>
    <x v="1"/>
    <x v="4"/>
    <x v="2"/>
    <x v="1"/>
    <x v="0"/>
    <n v="59"/>
    <n v="83"/>
    <n v="81"/>
  </r>
  <r>
    <s v="C323"/>
    <x v="1"/>
    <x v="4"/>
    <x v="0"/>
    <x v="0"/>
    <x v="1"/>
    <n v="40"/>
    <n v="58"/>
    <n v="54"/>
  </r>
  <r>
    <s v="C324"/>
    <x v="0"/>
    <x v="1"/>
    <x v="3"/>
    <x v="0"/>
    <x v="0"/>
    <n v="82"/>
    <n v="83"/>
    <n v="85"/>
  </r>
  <r>
    <s v="C325"/>
    <x v="0"/>
    <x v="2"/>
    <x v="1"/>
    <x v="0"/>
    <x v="1"/>
    <n v="87"/>
    <n v="84"/>
    <n v="80"/>
  </r>
  <r>
    <s v="C326"/>
    <x v="1"/>
    <x v="4"/>
    <x v="1"/>
    <x v="0"/>
    <x v="1"/>
    <n v="62"/>
    <n v="65"/>
    <n v="64"/>
  </r>
  <r>
    <s v="C327"/>
    <x v="0"/>
    <x v="3"/>
    <x v="3"/>
    <x v="1"/>
    <x v="0"/>
    <n v="76"/>
    <n v="80"/>
    <n v="78"/>
  </r>
  <r>
    <s v="C328"/>
    <x v="1"/>
    <x v="0"/>
    <x v="0"/>
    <x v="0"/>
    <x v="1"/>
    <n v="63"/>
    <n v="69"/>
    <n v="60"/>
  </r>
  <r>
    <s v="C329"/>
    <x v="0"/>
    <x v="1"/>
    <x v="2"/>
    <x v="1"/>
    <x v="0"/>
    <n v="58"/>
    <n v="60"/>
    <n v="59"/>
  </r>
  <r>
    <s v="C330"/>
    <x v="0"/>
    <x v="1"/>
    <x v="3"/>
    <x v="0"/>
    <x v="0"/>
    <n v="61"/>
    <n v="63"/>
    <n v="65"/>
  </r>
  <r>
    <s v="C331"/>
    <x v="0"/>
    <x v="4"/>
    <x v="2"/>
    <x v="0"/>
    <x v="1"/>
    <n v="78"/>
    <n v="69"/>
    <n v="71"/>
  </r>
  <r>
    <s v="C332"/>
    <x v="1"/>
    <x v="4"/>
    <x v="4"/>
    <x v="1"/>
    <x v="0"/>
    <n v="78"/>
    <n v="90"/>
    <n v="81"/>
  </r>
  <r>
    <s v="C333"/>
    <x v="0"/>
    <x v="4"/>
    <x v="2"/>
    <x v="0"/>
    <x v="1"/>
    <n v="56"/>
    <n v="54"/>
    <n v="43"/>
  </r>
  <r>
    <s v="C334"/>
    <x v="0"/>
    <x v="1"/>
    <x v="1"/>
    <x v="0"/>
    <x v="1"/>
    <n v="96"/>
    <n v="83"/>
    <n v="82"/>
  </r>
  <r>
    <s v="C335"/>
    <x v="0"/>
    <x v="4"/>
    <x v="0"/>
    <x v="0"/>
    <x v="1"/>
    <n v="48"/>
    <n v="43"/>
    <n v="40"/>
  </r>
  <r>
    <s v="C336"/>
    <x v="0"/>
    <x v="4"/>
    <x v="3"/>
    <x v="0"/>
    <x v="0"/>
    <n v="70"/>
    <n v="76"/>
    <n v="72"/>
  </r>
  <r>
    <s v="C337"/>
    <x v="0"/>
    <x v="1"/>
    <x v="2"/>
    <x v="1"/>
    <x v="1"/>
    <n v="43"/>
    <n v="68"/>
    <n v="58"/>
  </r>
  <r>
    <s v="C338"/>
    <x v="1"/>
    <x v="2"/>
    <x v="0"/>
    <x v="1"/>
    <x v="1"/>
    <n v="45"/>
    <n v="46"/>
    <n v="49"/>
  </r>
  <r>
    <s v="C339"/>
    <x v="1"/>
    <x v="4"/>
    <x v="3"/>
    <x v="0"/>
    <x v="1"/>
    <n v="58"/>
    <n v="68"/>
    <n v="62"/>
  </r>
  <r>
    <s v="C340"/>
    <x v="1"/>
    <x v="0"/>
    <x v="0"/>
    <x v="0"/>
    <x v="0"/>
    <n v="70"/>
    <n v="73"/>
    <n v="80"/>
  </r>
  <r>
    <s v="C341"/>
    <x v="1"/>
    <x v="2"/>
    <x v="1"/>
    <x v="0"/>
    <x v="1"/>
    <n v="60"/>
    <n v="61"/>
    <n v="58"/>
  </r>
  <r>
    <s v="C342"/>
    <x v="0"/>
    <x v="4"/>
    <x v="1"/>
    <x v="1"/>
    <x v="1"/>
    <n v="52"/>
    <n v="53"/>
    <n v="47"/>
  </r>
  <r>
    <s v="C343"/>
    <x v="0"/>
    <x v="4"/>
    <x v="3"/>
    <x v="1"/>
    <x v="1"/>
    <n v="61"/>
    <n v="62"/>
    <n v="54"/>
  </r>
  <r>
    <s v="C344"/>
    <x v="1"/>
    <x v="1"/>
    <x v="1"/>
    <x v="0"/>
    <x v="1"/>
    <n v="55"/>
    <n v="70"/>
    <n v="61"/>
  </r>
  <r>
    <s v="C345"/>
    <x v="0"/>
    <x v="3"/>
    <x v="0"/>
    <x v="0"/>
    <x v="0"/>
    <n v="80"/>
    <n v="80"/>
    <n v="79"/>
  </r>
  <r>
    <s v="C346"/>
    <x v="0"/>
    <x v="1"/>
    <x v="2"/>
    <x v="1"/>
    <x v="1"/>
    <n v="63"/>
    <n v="60"/>
    <n v="54"/>
  </r>
  <r>
    <s v="C347"/>
    <x v="1"/>
    <x v="3"/>
    <x v="5"/>
    <x v="0"/>
    <x v="1"/>
    <n v="79"/>
    <n v="79"/>
    <n v="87"/>
  </r>
  <r>
    <s v="C348"/>
    <x v="0"/>
    <x v="0"/>
    <x v="3"/>
    <x v="0"/>
    <x v="1"/>
    <n v="74"/>
    <n v="78"/>
    <n v="72"/>
  </r>
  <r>
    <s v="C349"/>
    <x v="1"/>
    <x v="3"/>
    <x v="2"/>
    <x v="1"/>
    <x v="0"/>
    <n v="46"/>
    <n v="58"/>
    <n v="64"/>
  </r>
  <r>
    <s v="C350"/>
    <x v="1"/>
    <x v="3"/>
    <x v="1"/>
    <x v="0"/>
    <x v="0"/>
    <n v="72"/>
    <n v="88"/>
    <n v="92"/>
  </r>
  <r>
    <s v="C351"/>
    <x v="1"/>
    <x v="2"/>
    <x v="1"/>
    <x v="1"/>
    <x v="1"/>
    <n v="58"/>
    <n v="64"/>
    <n v="64"/>
  </r>
  <r>
    <s v="C352"/>
    <x v="1"/>
    <x v="2"/>
    <x v="5"/>
    <x v="0"/>
    <x v="1"/>
    <n v="47"/>
    <n v="50"/>
    <n v="47"/>
  </r>
  <r>
    <s v="C353"/>
    <x v="1"/>
    <x v="1"/>
    <x v="4"/>
    <x v="0"/>
    <x v="0"/>
    <n v="68"/>
    <n v="78"/>
    <n v="84"/>
  </r>
  <r>
    <s v="C354"/>
    <x v="0"/>
    <x v="1"/>
    <x v="4"/>
    <x v="1"/>
    <x v="0"/>
    <n v="68"/>
    <n v="71"/>
    <n v="67"/>
  </r>
  <r>
    <s v="C355"/>
    <x v="1"/>
    <x v="1"/>
    <x v="0"/>
    <x v="0"/>
    <x v="1"/>
    <n v="65"/>
    <n v="75"/>
    <n v="68"/>
  </r>
  <r>
    <s v="C356"/>
    <x v="1"/>
    <x v="3"/>
    <x v="3"/>
    <x v="0"/>
    <x v="1"/>
    <n v="50"/>
    <n v="54"/>
    <n v="51"/>
  </r>
  <r>
    <s v="C357"/>
    <x v="1"/>
    <x v="3"/>
    <x v="0"/>
    <x v="1"/>
    <x v="0"/>
    <n v="48"/>
    <n v="71"/>
    <n v="68"/>
  </r>
  <r>
    <s v="C358"/>
    <x v="1"/>
    <x v="3"/>
    <x v="4"/>
    <x v="0"/>
    <x v="1"/>
    <n v="58"/>
    <n v="60"/>
    <n v="64"/>
  </r>
  <r>
    <s v="C359"/>
    <x v="0"/>
    <x v="4"/>
    <x v="1"/>
    <x v="1"/>
    <x v="0"/>
    <n v="71"/>
    <n v="74"/>
    <n v="68"/>
  </r>
  <r>
    <s v="C360"/>
    <x v="0"/>
    <x v="1"/>
    <x v="1"/>
    <x v="1"/>
    <x v="0"/>
    <n v="58"/>
    <n v="52"/>
    <n v="48"/>
  </r>
  <r>
    <s v="C361"/>
    <x v="1"/>
    <x v="0"/>
    <x v="2"/>
    <x v="1"/>
    <x v="1"/>
    <n v="66"/>
    <n v="90"/>
    <n v="83"/>
  </r>
  <r>
    <s v="C362"/>
    <x v="0"/>
    <x v="4"/>
    <x v="2"/>
    <x v="1"/>
    <x v="1"/>
    <n v="44"/>
    <n v="53"/>
    <n v="43"/>
  </r>
  <r>
    <s v="C363"/>
    <x v="1"/>
    <x v="3"/>
    <x v="1"/>
    <x v="0"/>
    <x v="0"/>
    <n v="51"/>
    <n v="63"/>
    <n v="66"/>
  </r>
  <r>
    <s v="C364"/>
    <x v="0"/>
    <x v="0"/>
    <x v="2"/>
    <x v="0"/>
    <x v="0"/>
    <n v="78"/>
    <n v="83"/>
    <n v="77"/>
  </r>
  <r>
    <s v="C365"/>
    <x v="0"/>
    <x v="4"/>
    <x v="0"/>
    <x v="0"/>
    <x v="1"/>
    <n v="72"/>
    <n v="71"/>
    <n v="65"/>
  </r>
  <r>
    <s v="C366"/>
    <x v="1"/>
    <x v="1"/>
    <x v="3"/>
    <x v="0"/>
    <x v="1"/>
    <n v="60"/>
    <n v="64"/>
    <n v="67"/>
  </r>
  <r>
    <s v="C367"/>
    <x v="1"/>
    <x v="4"/>
    <x v="3"/>
    <x v="1"/>
    <x v="1"/>
    <n v="55"/>
    <n v="61"/>
    <n v="60"/>
  </r>
  <r>
    <s v="C368"/>
    <x v="0"/>
    <x v="3"/>
    <x v="1"/>
    <x v="0"/>
    <x v="1"/>
    <n v="64"/>
    <n v="67"/>
    <n v="64"/>
  </r>
  <r>
    <s v="C369"/>
    <x v="1"/>
    <x v="4"/>
    <x v="1"/>
    <x v="1"/>
    <x v="1"/>
    <n v="57"/>
    <n v="64"/>
    <n v="60"/>
  </r>
  <r>
    <s v="C370"/>
    <x v="1"/>
    <x v="0"/>
    <x v="0"/>
    <x v="0"/>
    <x v="1"/>
    <n v="70"/>
    <n v="75"/>
    <n v="74"/>
  </r>
  <r>
    <s v="C371"/>
    <x v="0"/>
    <x v="1"/>
    <x v="1"/>
    <x v="0"/>
    <x v="0"/>
    <n v="84"/>
    <n v="72"/>
    <n v="76"/>
  </r>
  <r>
    <s v="C372"/>
    <x v="1"/>
    <x v="3"/>
    <x v="2"/>
    <x v="0"/>
    <x v="0"/>
    <n v="66"/>
    <n v="71"/>
    <n v="76"/>
  </r>
  <r>
    <s v="C373"/>
    <x v="1"/>
    <x v="4"/>
    <x v="4"/>
    <x v="1"/>
    <x v="0"/>
    <n v="56"/>
    <n v="65"/>
    <n v="73"/>
  </r>
  <r>
    <s v="C374"/>
    <x v="0"/>
    <x v="2"/>
    <x v="2"/>
    <x v="1"/>
    <x v="0"/>
    <n v="59"/>
    <n v="53"/>
    <n v="56"/>
  </r>
  <r>
    <s v="C375"/>
    <x v="1"/>
    <x v="2"/>
    <x v="4"/>
    <x v="0"/>
    <x v="1"/>
    <n v="87"/>
    <n v="89"/>
    <n v="84"/>
  </r>
  <r>
    <s v="C376"/>
    <x v="0"/>
    <x v="2"/>
    <x v="0"/>
    <x v="1"/>
    <x v="1"/>
    <n v="73"/>
    <n v="75"/>
    <n v="64"/>
  </r>
  <r>
    <s v="C377"/>
    <x v="1"/>
    <x v="0"/>
    <x v="0"/>
    <x v="0"/>
    <x v="1"/>
    <n v="85"/>
    <n v="91"/>
    <n v="89"/>
  </r>
  <r>
    <s v="C378"/>
    <x v="0"/>
    <x v="3"/>
    <x v="2"/>
    <x v="1"/>
    <x v="1"/>
    <n v="49"/>
    <n v="54"/>
    <n v="42"/>
  </r>
  <r>
    <s v="C379"/>
    <x v="1"/>
    <x v="4"/>
    <x v="4"/>
    <x v="0"/>
    <x v="0"/>
    <n v="82"/>
    <n v="87"/>
    <n v="90"/>
  </r>
  <r>
    <s v="C380"/>
    <x v="1"/>
    <x v="1"/>
    <x v="2"/>
    <x v="0"/>
    <x v="1"/>
    <n v="80"/>
    <n v="90"/>
    <n v="90"/>
  </r>
  <r>
    <s v="C381"/>
    <x v="1"/>
    <x v="2"/>
    <x v="0"/>
    <x v="0"/>
    <x v="1"/>
    <n v="48"/>
    <n v="51"/>
    <n v="43"/>
  </r>
  <r>
    <s v="C382"/>
    <x v="1"/>
    <x v="1"/>
    <x v="0"/>
    <x v="0"/>
    <x v="0"/>
    <n v="85"/>
    <n v="83"/>
    <n v="94"/>
  </r>
  <r>
    <s v="C383"/>
    <x v="1"/>
    <x v="2"/>
    <x v="1"/>
    <x v="0"/>
    <x v="0"/>
    <n v="70"/>
    <n v="78"/>
    <n v="76"/>
  </r>
  <r>
    <s v="C384"/>
    <x v="0"/>
    <x v="2"/>
    <x v="3"/>
    <x v="0"/>
    <x v="0"/>
    <n v="89"/>
    <n v="84"/>
    <n v="81"/>
  </r>
  <r>
    <s v="C385"/>
    <x v="1"/>
    <x v="1"/>
    <x v="0"/>
    <x v="0"/>
    <x v="0"/>
    <n v="72"/>
    <n v="86"/>
    <n v="79"/>
  </r>
  <r>
    <s v="C386"/>
    <x v="1"/>
    <x v="1"/>
    <x v="1"/>
    <x v="1"/>
    <x v="1"/>
    <n v="80"/>
    <n v="86"/>
    <n v="87"/>
  </r>
  <r>
    <s v="C387"/>
    <x v="1"/>
    <x v="1"/>
    <x v="1"/>
    <x v="1"/>
    <x v="1"/>
    <n v="43"/>
    <n v="57"/>
    <n v="50"/>
  </r>
  <r>
    <s v="C388"/>
    <x v="0"/>
    <x v="4"/>
    <x v="1"/>
    <x v="1"/>
    <x v="0"/>
    <n v="54"/>
    <n v="61"/>
    <n v="61"/>
  </r>
  <r>
    <s v="C389"/>
    <x v="0"/>
    <x v="0"/>
    <x v="3"/>
    <x v="1"/>
    <x v="0"/>
    <n v="82"/>
    <n v="82"/>
    <n v="78"/>
  </r>
  <r>
    <s v="C390"/>
    <x v="0"/>
    <x v="4"/>
    <x v="4"/>
    <x v="1"/>
    <x v="1"/>
    <n v="74"/>
    <n v="80"/>
    <n v="78"/>
  </r>
  <r>
    <s v="C391"/>
    <x v="1"/>
    <x v="4"/>
    <x v="2"/>
    <x v="0"/>
    <x v="1"/>
    <n v="63"/>
    <n v="62"/>
    <n v="64"/>
  </r>
  <r>
    <s v="C392"/>
    <x v="1"/>
    <x v="4"/>
    <x v="0"/>
    <x v="1"/>
    <x v="1"/>
    <n v="47"/>
    <n v="56"/>
    <n v="51"/>
  </r>
  <r>
    <s v="C393"/>
    <x v="1"/>
    <x v="4"/>
    <x v="2"/>
    <x v="1"/>
    <x v="1"/>
    <n v="13"/>
    <n v="29"/>
    <n v="23"/>
  </r>
  <r>
    <s v="C394"/>
    <x v="0"/>
    <x v="1"/>
    <x v="2"/>
    <x v="1"/>
    <x v="1"/>
    <n v="67"/>
    <n v="58"/>
    <n v="56"/>
  </r>
  <r>
    <s v="C395"/>
    <x v="0"/>
    <x v="4"/>
    <x v="1"/>
    <x v="0"/>
    <x v="1"/>
    <n v="57"/>
    <n v="59"/>
    <n v="54"/>
  </r>
  <r>
    <s v="C396"/>
    <x v="1"/>
    <x v="3"/>
    <x v="1"/>
    <x v="0"/>
    <x v="1"/>
    <n v="64"/>
    <n v="78"/>
    <n v="83"/>
  </r>
  <r>
    <s v="C397"/>
    <x v="1"/>
    <x v="1"/>
    <x v="3"/>
    <x v="0"/>
    <x v="1"/>
    <n v="85"/>
    <n v="100"/>
    <n v="100"/>
  </r>
  <r>
    <s v="C398"/>
    <x v="1"/>
    <x v="3"/>
    <x v="3"/>
    <x v="0"/>
    <x v="0"/>
    <n v="70"/>
    <n v="80"/>
    <n v="86"/>
  </r>
  <r>
    <s v="C399"/>
    <x v="0"/>
    <x v="3"/>
    <x v="4"/>
    <x v="0"/>
    <x v="0"/>
    <n v="90"/>
    <n v="73"/>
    <n v="83"/>
  </r>
  <r>
    <s v="C400"/>
    <x v="1"/>
    <x v="0"/>
    <x v="2"/>
    <x v="1"/>
    <x v="0"/>
    <n v="53"/>
    <n v="70"/>
    <n v="69"/>
  </r>
  <r>
    <s v="C401"/>
    <x v="0"/>
    <x v="4"/>
    <x v="2"/>
    <x v="0"/>
    <x v="0"/>
    <n v="74"/>
    <n v="73"/>
    <n v="75"/>
  </r>
  <r>
    <s v="C402"/>
    <x v="0"/>
    <x v="0"/>
    <x v="3"/>
    <x v="0"/>
    <x v="0"/>
    <n v="61"/>
    <n v="71"/>
    <n v="67"/>
  </r>
  <r>
    <s v="C403"/>
    <x v="1"/>
    <x v="4"/>
    <x v="1"/>
    <x v="0"/>
    <x v="0"/>
    <n v="55"/>
    <n v="74"/>
    <n v="73"/>
  </r>
  <r>
    <s v="C404"/>
    <x v="1"/>
    <x v="3"/>
    <x v="2"/>
    <x v="0"/>
    <x v="0"/>
    <n v="65"/>
    <n v="63"/>
    <n v="66"/>
  </r>
  <r>
    <s v="C405"/>
    <x v="1"/>
    <x v="0"/>
    <x v="0"/>
    <x v="0"/>
    <x v="1"/>
    <n v="77"/>
    <n v="77"/>
    <n v="79"/>
  </r>
  <r>
    <s v="C406"/>
    <x v="0"/>
    <x v="4"/>
    <x v="3"/>
    <x v="0"/>
    <x v="1"/>
    <n v="74"/>
    <n v="61"/>
    <n v="56"/>
  </r>
  <r>
    <s v="C407"/>
    <x v="0"/>
    <x v="1"/>
    <x v="2"/>
    <x v="0"/>
    <x v="1"/>
    <n v="94"/>
    <n v="92"/>
    <n v="85"/>
  </r>
  <r>
    <s v="C408"/>
    <x v="1"/>
    <x v="3"/>
    <x v="3"/>
    <x v="0"/>
    <x v="0"/>
    <n v="54"/>
    <n v="64"/>
    <n v="68"/>
  </r>
  <r>
    <s v="C409"/>
    <x v="0"/>
    <x v="0"/>
    <x v="0"/>
    <x v="0"/>
    <x v="1"/>
    <n v="52"/>
    <n v="49"/>
    <n v="43"/>
  </r>
  <r>
    <s v="C410"/>
    <x v="0"/>
    <x v="1"/>
    <x v="2"/>
    <x v="0"/>
    <x v="1"/>
    <n v="73"/>
    <n v="75"/>
    <n v="71"/>
  </r>
  <r>
    <s v="C411"/>
    <x v="0"/>
    <x v="4"/>
    <x v="0"/>
    <x v="0"/>
    <x v="1"/>
    <n v="81"/>
    <n v="72"/>
    <n v="58"/>
  </r>
  <r>
    <s v="C412"/>
    <x v="1"/>
    <x v="3"/>
    <x v="4"/>
    <x v="1"/>
    <x v="1"/>
    <n v="62"/>
    <n v="75"/>
    <n v="72"/>
  </r>
  <r>
    <s v="C413"/>
    <x v="1"/>
    <x v="4"/>
    <x v="5"/>
    <x v="1"/>
    <x v="1"/>
    <n v="55"/>
    <n v="60"/>
    <n v="61"/>
  </r>
  <r>
    <s v="C414"/>
    <x v="0"/>
    <x v="4"/>
    <x v="1"/>
    <x v="1"/>
    <x v="0"/>
    <n v="55"/>
    <n v="61"/>
    <n v="61"/>
  </r>
  <r>
    <s v="C415"/>
    <x v="1"/>
    <x v="1"/>
    <x v="1"/>
    <x v="0"/>
    <x v="1"/>
    <n v="61"/>
    <n v="62"/>
    <n v="61"/>
  </r>
  <r>
    <s v="C416"/>
    <x v="0"/>
    <x v="2"/>
    <x v="0"/>
    <x v="0"/>
    <x v="1"/>
    <n v="75"/>
    <n v="70"/>
    <n v="64"/>
  </r>
  <r>
    <s v="C417"/>
    <x v="0"/>
    <x v="2"/>
    <x v="2"/>
    <x v="1"/>
    <x v="1"/>
    <n v="79"/>
    <n v="65"/>
    <n v="59"/>
  </r>
  <r>
    <s v="C418"/>
    <x v="1"/>
    <x v="4"/>
    <x v="1"/>
    <x v="0"/>
    <x v="1"/>
    <n v="70"/>
    <n v="70"/>
    <n v="68"/>
  </r>
  <r>
    <s v="C419"/>
    <x v="0"/>
    <x v="0"/>
    <x v="2"/>
    <x v="0"/>
    <x v="1"/>
    <n v="72"/>
    <n v="65"/>
    <n v="59"/>
  </r>
  <r>
    <s v="C420"/>
    <x v="1"/>
    <x v="4"/>
    <x v="1"/>
    <x v="1"/>
    <x v="1"/>
    <n v="38"/>
    <n v="46"/>
    <n v="33"/>
  </r>
  <r>
    <s v="C421"/>
    <x v="1"/>
    <x v="0"/>
    <x v="4"/>
    <x v="0"/>
    <x v="1"/>
    <n v="57"/>
    <n v="71"/>
    <n v="63"/>
  </r>
  <r>
    <s v="C422"/>
    <x v="0"/>
    <x v="1"/>
    <x v="1"/>
    <x v="0"/>
    <x v="1"/>
    <n v="76"/>
    <n v="71"/>
    <n v="70"/>
  </r>
  <r>
    <s v="C423"/>
    <x v="0"/>
    <x v="4"/>
    <x v="2"/>
    <x v="1"/>
    <x v="1"/>
    <n v="45"/>
    <n v="45"/>
    <n v="38"/>
  </r>
  <r>
    <s v="C424"/>
    <x v="0"/>
    <x v="1"/>
    <x v="3"/>
    <x v="0"/>
    <x v="1"/>
    <n v="77"/>
    <n v="73"/>
    <n v="74"/>
  </r>
  <r>
    <s v="C425"/>
    <x v="0"/>
    <x v="4"/>
    <x v="0"/>
    <x v="0"/>
    <x v="1"/>
    <n v="40"/>
    <n v="39"/>
    <n v="30"/>
  </r>
  <r>
    <s v="C426"/>
    <x v="1"/>
    <x v="2"/>
    <x v="2"/>
    <x v="0"/>
    <x v="1"/>
    <n v="78"/>
    <n v="83"/>
    <n v="78"/>
  </r>
  <r>
    <s v="C427"/>
    <x v="1"/>
    <x v="0"/>
    <x v="5"/>
    <x v="1"/>
    <x v="1"/>
    <n v="63"/>
    <n v="65"/>
    <n v="66"/>
  </r>
  <r>
    <s v="C428"/>
    <x v="0"/>
    <x v="4"/>
    <x v="3"/>
    <x v="0"/>
    <x v="1"/>
    <n v="83"/>
    <n v="70"/>
    <n v="73"/>
  </r>
  <r>
    <s v="C429"/>
    <x v="0"/>
    <x v="4"/>
    <x v="3"/>
    <x v="1"/>
    <x v="1"/>
    <n v="55"/>
    <n v="52"/>
    <n v="47"/>
  </r>
  <r>
    <s v="C430"/>
    <x v="0"/>
    <x v="3"/>
    <x v="2"/>
    <x v="0"/>
    <x v="0"/>
    <n v="88"/>
    <n v="78"/>
    <n v="76"/>
  </r>
  <r>
    <s v="C431"/>
    <x v="0"/>
    <x v="4"/>
    <x v="4"/>
    <x v="0"/>
    <x v="1"/>
    <n v="82"/>
    <n v="83"/>
    <n v="85"/>
  </r>
  <r>
    <s v="C432"/>
    <x v="0"/>
    <x v="2"/>
    <x v="4"/>
    <x v="0"/>
    <x v="1"/>
    <n v="86"/>
    <n v="71"/>
    <n v="71"/>
  </r>
  <r>
    <s v="C433"/>
    <x v="1"/>
    <x v="4"/>
    <x v="3"/>
    <x v="1"/>
    <x v="1"/>
    <n v="61"/>
    <n v="74"/>
    <n v="72"/>
  </r>
  <r>
    <s v="C434"/>
    <x v="1"/>
    <x v="1"/>
    <x v="2"/>
    <x v="0"/>
    <x v="0"/>
    <n v="78"/>
    <n v="85"/>
    <n v="93"/>
  </r>
  <r>
    <s v="C435"/>
    <x v="0"/>
    <x v="4"/>
    <x v="3"/>
    <x v="0"/>
    <x v="1"/>
    <n v="67"/>
    <n v="63"/>
    <n v="66"/>
  </r>
  <r>
    <s v="C436"/>
    <x v="1"/>
    <x v="2"/>
    <x v="1"/>
    <x v="0"/>
    <x v="1"/>
    <n v="83"/>
    <n v="87"/>
    <n v="83"/>
  </r>
  <r>
    <s v="C437"/>
    <x v="0"/>
    <x v="4"/>
    <x v="1"/>
    <x v="0"/>
    <x v="1"/>
    <n v="68"/>
    <n v="74"/>
    <n v="69"/>
  </r>
  <r>
    <s v="C438"/>
    <x v="0"/>
    <x v="4"/>
    <x v="2"/>
    <x v="0"/>
    <x v="1"/>
    <n v="53"/>
    <n v="52"/>
    <n v="44"/>
  </r>
  <r>
    <s v="C439"/>
    <x v="0"/>
    <x v="1"/>
    <x v="3"/>
    <x v="0"/>
    <x v="1"/>
    <n v="91"/>
    <n v="88"/>
    <n v="90"/>
  </r>
  <r>
    <s v="C440"/>
    <x v="0"/>
    <x v="3"/>
    <x v="3"/>
    <x v="1"/>
    <x v="1"/>
    <n v="67"/>
    <n v="66"/>
    <n v="66"/>
  </r>
  <r>
    <s v="C441"/>
    <x v="1"/>
    <x v="4"/>
    <x v="0"/>
    <x v="0"/>
    <x v="0"/>
    <n v="53"/>
    <n v="64"/>
    <n v="62"/>
  </r>
  <r>
    <s v="C442"/>
    <x v="1"/>
    <x v="4"/>
    <x v="5"/>
    <x v="0"/>
    <x v="0"/>
    <n v="86"/>
    <n v="100"/>
    <n v="100"/>
  </r>
  <r>
    <s v="C443"/>
    <x v="0"/>
    <x v="2"/>
    <x v="1"/>
    <x v="1"/>
    <x v="0"/>
    <n v="75"/>
    <n v="70"/>
    <n v="61"/>
  </r>
  <r>
    <s v="C444"/>
    <x v="0"/>
    <x v="4"/>
    <x v="2"/>
    <x v="0"/>
    <x v="1"/>
    <n v="55"/>
    <n v="38"/>
    <n v="35"/>
  </r>
  <r>
    <s v="C445"/>
    <x v="0"/>
    <x v="1"/>
    <x v="4"/>
    <x v="0"/>
    <x v="0"/>
    <n v="93"/>
    <n v="86"/>
    <n v="95"/>
  </r>
  <r>
    <s v="C446"/>
    <x v="1"/>
    <x v="2"/>
    <x v="0"/>
    <x v="0"/>
    <x v="1"/>
    <n v="62"/>
    <n v="71"/>
    <n v="66"/>
  </r>
  <r>
    <s v="C447"/>
    <x v="0"/>
    <x v="4"/>
    <x v="2"/>
    <x v="1"/>
    <x v="1"/>
    <n v="83"/>
    <n v="76"/>
    <n v="71"/>
  </r>
  <r>
    <s v="C448"/>
    <x v="0"/>
    <x v="1"/>
    <x v="1"/>
    <x v="0"/>
    <x v="1"/>
    <n v="73"/>
    <n v="72"/>
    <n v="64"/>
  </r>
  <r>
    <s v="C449"/>
    <x v="1"/>
    <x v="4"/>
    <x v="0"/>
    <x v="1"/>
    <x v="1"/>
    <n v="57"/>
    <n v="52"/>
    <n v="53"/>
  </r>
  <r>
    <s v="C450"/>
    <x v="1"/>
    <x v="4"/>
    <x v="2"/>
    <x v="0"/>
    <x v="1"/>
    <n v="70"/>
    <n v="75"/>
    <n v="75"/>
  </r>
  <r>
    <s v="C451"/>
    <x v="1"/>
    <x v="3"/>
    <x v="0"/>
    <x v="0"/>
    <x v="0"/>
    <n v="55"/>
    <n v="62"/>
    <n v="64"/>
  </r>
  <r>
    <s v="C452"/>
    <x v="0"/>
    <x v="4"/>
    <x v="0"/>
    <x v="0"/>
    <x v="1"/>
    <n v="65"/>
    <n v="56"/>
    <n v="51"/>
  </r>
  <r>
    <s v="C453"/>
    <x v="1"/>
    <x v="4"/>
    <x v="1"/>
    <x v="0"/>
    <x v="0"/>
    <n v="76"/>
    <n v="85"/>
    <n v="88"/>
  </r>
  <r>
    <s v="C454"/>
    <x v="0"/>
    <x v="4"/>
    <x v="5"/>
    <x v="1"/>
    <x v="1"/>
    <n v="59"/>
    <n v="47"/>
    <n v="46"/>
  </r>
  <r>
    <s v="C455"/>
    <x v="0"/>
    <x v="4"/>
    <x v="3"/>
    <x v="0"/>
    <x v="0"/>
    <n v="74"/>
    <n v="73"/>
    <n v="77"/>
  </r>
  <r>
    <s v="C456"/>
    <x v="0"/>
    <x v="3"/>
    <x v="1"/>
    <x v="0"/>
    <x v="1"/>
    <n v="65"/>
    <n v="59"/>
    <n v="60"/>
  </r>
  <r>
    <s v="C457"/>
    <x v="0"/>
    <x v="3"/>
    <x v="2"/>
    <x v="0"/>
    <x v="0"/>
    <n v="89"/>
    <n v="87"/>
    <n v="89"/>
  </r>
  <r>
    <s v="C458"/>
    <x v="1"/>
    <x v="3"/>
    <x v="5"/>
    <x v="0"/>
    <x v="1"/>
    <n v="71"/>
    <n v="82"/>
    <n v="82"/>
  </r>
  <r>
    <s v="C459"/>
    <x v="0"/>
    <x v="4"/>
    <x v="2"/>
    <x v="1"/>
    <x v="0"/>
    <n v="63"/>
    <n v="69"/>
    <n v="59"/>
  </r>
  <r>
    <s v="C460"/>
    <x v="0"/>
    <x v="4"/>
    <x v="1"/>
    <x v="0"/>
    <x v="0"/>
    <n v="57"/>
    <n v="55"/>
    <n v="60"/>
  </r>
  <r>
    <s v="C461"/>
    <x v="0"/>
    <x v="3"/>
    <x v="2"/>
    <x v="1"/>
    <x v="0"/>
    <n v="56"/>
    <n v="67"/>
    <n v="56"/>
  </r>
  <r>
    <s v="C462"/>
    <x v="0"/>
    <x v="0"/>
    <x v="1"/>
    <x v="1"/>
    <x v="0"/>
    <n v="49"/>
    <n v="44"/>
    <n v="41"/>
  </r>
  <r>
    <s v="C463"/>
    <x v="1"/>
    <x v="4"/>
    <x v="2"/>
    <x v="1"/>
    <x v="0"/>
    <n v="28"/>
    <n v="44"/>
    <n v="50"/>
  </r>
  <r>
    <s v="C464"/>
    <x v="1"/>
    <x v="4"/>
    <x v="4"/>
    <x v="1"/>
    <x v="1"/>
    <n v="69"/>
    <n v="73"/>
    <n v="71"/>
  </r>
  <r>
    <s v="C465"/>
    <x v="1"/>
    <x v="1"/>
    <x v="1"/>
    <x v="1"/>
    <x v="1"/>
    <n v="49"/>
    <n v="62"/>
    <n v="60"/>
  </r>
  <r>
    <s v="C466"/>
    <x v="0"/>
    <x v="3"/>
    <x v="1"/>
    <x v="0"/>
    <x v="0"/>
    <n v="67"/>
    <n v="62"/>
    <n v="58"/>
  </r>
  <r>
    <s v="C467"/>
    <x v="1"/>
    <x v="3"/>
    <x v="2"/>
    <x v="1"/>
    <x v="0"/>
    <n v="74"/>
    <n v="85"/>
    <n v="82"/>
  </r>
  <r>
    <s v="C468"/>
    <x v="1"/>
    <x v="4"/>
    <x v="4"/>
    <x v="0"/>
    <x v="0"/>
    <n v="47"/>
    <n v="67"/>
    <n v="63"/>
  </r>
  <r>
    <s v="C469"/>
    <x v="1"/>
    <x v="4"/>
    <x v="2"/>
    <x v="0"/>
    <x v="1"/>
    <n v="63"/>
    <n v="63"/>
    <n v="69"/>
  </r>
  <r>
    <s v="C470"/>
    <x v="0"/>
    <x v="4"/>
    <x v="2"/>
    <x v="0"/>
    <x v="1"/>
    <n v="73"/>
    <n v="51"/>
    <n v="53"/>
  </r>
  <r>
    <s v="C471"/>
    <x v="1"/>
    <x v="1"/>
    <x v="2"/>
    <x v="0"/>
    <x v="1"/>
    <n v="91"/>
    <n v="94"/>
    <n v="96"/>
  </r>
  <r>
    <s v="C472"/>
    <x v="0"/>
    <x v="3"/>
    <x v="2"/>
    <x v="0"/>
    <x v="1"/>
    <n v="80"/>
    <n v="87"/>
    <n v="79"/>
  </r>
  <r>
    <s v="C473"/>
    <x v="1"/>
    <x v="4"/>
    <x v="3"/>
    <x v="0"/>
    <x v="1"/>
    <n v="66"/>
    <n v="73"/>
    <n v="68"/>
  </r>
  <r>
    <s v="C474"/>
    <x v="0"/>
    <x v="3"/>
    <x v="2"/>
    <x v="0"/>
    <x v="1"/>
    <n v="52"/>
    <n v="48"/>
    <n v="43"/>
  </r>
  <r>
    <s v="C475"/>
    <x v="1"/>
    <x v="3"/>
    <x v="2"/>
    <x v="0"/>
    <x v="1"/>
    <n v="65"/>
    <n v="71"/>
    <n v="65"/>
  </r>
  <r>
    <s v="C476"/>
    <x v="0"/>
    <x v="1"/>
    <x v="2"/>
    <x v="0"/>
    <x v="0"/>
    <n v="83"/>
    <n v="75"/>
    <n v="71"/>
  </r>
  <r>
    <s v="C477"/>
    <x v="1"/>
    <x v="4"/>
    <x v="1"/>
    <x v="1"/>
    <x v="1"/>
    <n v="80"/>
    <n v="85"/>
    <n v="78"/>
  </r>
  <r>
    <s v="C478"/>
    <x v="0"/>
    <x v="2"/>
    <x v="4"/>
    <x v="1"/>
    <x v="1"/>
    <n v="68"/>
    <n v="68"/>
    <n v="59"/>
  </r>
  <r>
    <s v="C479"/>
    <x v="0"/>
    <x v="4"/>
    <x v="2"/>
    <x v="1"/>
    <x v="0"/>
    <n v="68"/>
    <n v="73"/>
    <n v="68"/>
  </r>
  <r>
    <s v="C480"/>
    <x v="0"/>
    <x v="4"/>
    <x v="3"/>
    <x v="1"/>
    <x v="1"/>
    <n v="62"/>
    <n v="43"/>
    <n v="45"/>
  </r>
  <r>
    <s v="C481"/>
    <x v="1"/>
    <x v="3"/>
    <x v="1"/>
    <x v="0"/>
    <x v="1"/>
    <n v="76"/>
    <n v="88"/>
    <n v="84"/>
  </r>
  <r>
    <s v="C482"/>
    <x v="1"/>
    <x v="4"/>
    <x v="4"/>
    <x v="1"/>
    <x v="1"/>
    <n v="77"/>
    <n v="79"/>
    <n v="83"/>
  </r>
  <r>
    <s v="C483"/>
    <x v="1"/>
    <x v="2"/>
    <x v="5"/>
    <x v="1"/>
    <x v="1"/>
    <n v="83"/>
    <n v="81"/>
    <n v="83"/>
  </r>
  <r>
    <s v="C484"/>
    <x v="1"/>
    <x v="4"/>
    <x v="2"/>
    <x v="1"/>
    <x v="1"/>
    <n v="71"/>
    <n v="78"/>
    <n v="82"/>
  </r>
  <r>
    <s v="C485"/>
    <x v="0"/>
    <x v="1"/>
    <x v="2"/>
    <x v="1"/>
    <x v="0"/>
    <n v="86"/>
    <n v="91"/>
    <n v="89"/>
  </r>
  <r>
    <s v="C486"/>
    <x v="0"/>
    <x v="3"/>
    <x v="5"/>
    <x v="0"/>
    <x v="1"/>
    <n v="93"/>
    <n v="96"/>
    <n v="96"/>
  </r>
  <r>
    <s v="C487"/>
    <x v="1"/>
    <x v="3"/>
    <x v="3"/>
    <x v="1"/>
    <x v="1"/>
    <n v="60"/>
    <n v="64"/>
    <n v="60"/>
  </r>
  <r>
    <s v="C488"/>
    <x v="1"/>
    <x v="1"/>
    <x v="1"/>
    <x v="0"/>
    <x v="1"/>
    <n v="57"/>
    <n v="56"/>
    <n v="58"/>
  </r>
  <r>
    <s v="C489"/>
    <x v="0"/>
    <x v="4"/>
    <x v="4"/>
    <x v="0"/>
    <x v="1"/>
    <n v="84"/>
    <n v="79"/>
    <n v="74"/>
  </r>
  <r>
    <s v="C490"/>
    <x v="1"/>
    <x v="1"/>
    <x v="4"/>
    <x v="0"/>
    <x v="1"/>
    <n v="66"/>
    <n v="71"/>
    <n v="75"/>
  </r>
  <r>
    <s v="C491"/>
    <x v="0"/>
    <x v="1"/>
    <x v="5"/>
    <x v="0"/>
    <x v="1"/>
    <n v="85"/>
    <n v="69"/>
    <n v="74"/>
  </r>
  <r>
    <s v="C492"/>
    <x v="1"/>
    <x v="1"/>
    <x v="5"/>
    <x v="0"/>
    <x v="0"/>
    <n v="57"/>
    <n v="68"/>
    <n v="76"/>
  </r>
  <r>
    <s v="C493"/>
    <x v="1"/>
    <x v="4"/>
    <x v="1"/>
    <x v="0"/>
    <x v="1"/>
    <n v="41"/>
    <n v="49"/>
    <n v="49"/>
  </r>
  <r>
    <s v="C494"/>
    <x v="1"/>
    <x v="4"/>
    <x v="1"/>
    <x v="0"/>
    <x v="1"/>
    <n v="75"/>
    <n v="76"/>
    <n v="76"/>
  </r>
  <r>
    <s v="C495"/>
    <x v="0"/>
    <x v="1"/>
    <x v="0"/>
    <x v="1"/>
    <x v="1"/>
    <n v="65"/>
    <n v="63"/>
    <n v="60"/>
  </r>
  <r>
    <s v="C496"/>
    <x v="0"/>
    <x v="2"/>
    <x v="2"/>
    <x v="0"/>
    <x v="1"/>
    <n v="78"/>
    <n v="65"/>
    <n v="60"/>
  </r>
  <r>
    <s v="C497"/>
    <x v="1"/>
    <x v="3"/>
    <x v="1"/>
    <x v="1"/>
    <x v="1"/>
    <n v="26"/>
    <n v="34"/>
    <n v="28"/>
  </r>
  <r>
    <s v="C498"/>
    <x v="0"/>
    <x v="2"/>
    <x v="2"/>
    <x v="1"/>
    <x v="1"/>
    <n v="71"/>
    <n v="64"/>
    <n v="66"/>
  </r>
  <r>
    <s v="C499"/>
    <x v="0"/>
    <x v="3"/>
    <x v="4"/>
    <x v="0"/>
    <x v="0"/>
    <n v="86"/>
    <n v="92"/>
    <n v="93"/>
  </r>
  <r>
    <s v="C500"/>
    <x v="0"/>
    <x v="3"/>
    <x v="3"/>
    <x v="0"/>
    <x v="0"/>
    <n v="89"/>
    <n v="84"/>
    <n v="81"/>
  </r>
  <r>
    <s v="C501"/>
    <x v="1"/>
    <x v="3"/>
    <x v="0"/>
    <x v="1"/>
    <x v="1"/>
    <n v="53"/>
    <n v="64"/>
    <n v="63"/>
  </r>
  <r>
    <s v="C502"/>
    <x v="1"/>
    <x v="4"/>
    <x v="3"/>
    <x v="0"/>
    <x v="1"/>
    <n v="87"/>
    <n v="87"/>
    <n v="92"/>
  </r>
  <r>
    <s v="C503"/>
    <x v="0"/>
    <x v="1"/>
    <x v="3"/>
    <x v="0"/>
    <x v="1"/>
    <n v="71"/>
    <n v="57"/>
    <n v="59"/>
  </r>
  <r>
    <s v="C504"/>
    <x v="0"/>
    <x v="1"/>
    <x v="0"/>
    <x v="0"/>
    <x v="1"/>
    <n v="77"/>
    <n v="80"/>
    <n v="72"/>
  </r>
  <r>
    <s v="C505"/>
    <x v="1"/>
    <x v="4"/>
    <x v="0"/>
    <x v="1"/>
    <x v="0"/>
    <n v="43"/>
    <n v="48"/>
    <n v="53"/>
  </r>
  <r>
    <s v="C506"/>
    <x v="1"/>
    <x v="4"/>
    <x v="3"/>
    <x v="0"/>
    <x v="1"/>
    <n v="88"/>
    <n v="91"/>
    <n v="86"/>
  </r>
  <r>
    <s v="C507"/>
    <x v="0"/>
    <x v="2"/>
    <x v="1"/>
    <x v="0"/>
    <x v="1"/>
    <n v="86"/>
    <n v="76"/>
    <n v="63"/>
  </r>
  <r>
    <s v="C508"/>
    <x v="1"/>
    <x v="2"/>
    <x v="1"/>
    <x v="1"/>
    <x v="0"/>
    <n v="45"/>
    <n v="56"/>
    <n v="55"/>
  </r>
  <r>
    <s v="C509"/>
    <x v="0"/>
    <x v="4"/>
    <x v="2"/>
    <x v="0"/>
    <x v="1"/>
    <n v="69"/>
    <n v="56"/>
    <n v="57"/>
  </r>
  <r>
    <s v="C510"/>
    <x v="1"/>
    <x v="1"/>
    <x v="0"/>
    <x v="0"/>
    <x v="1"/>
    <n v="65"/>
    <n v="70"/>
    <n v="72"/>
  </r>
  <r>
    <s v="C511"/>
    <x v="0"/>
    <x v="2"/>
    <x v="2"/>
    <x v="1"/>
    <x v="1"/>
    <n v="81"/>
    <n v="79"/>
    <n v="71"/>
  </r>
  <r>
    <s v="C512"/>
    <x v="1"/>
    <x v="0"/>
    <x v="1"/>
    <x v="0"/>
    <x v="1"/>
    <n v="90"/>
    <n v="88"/>
    <n v="86"/>
  </r>
  <r>
    <s v="C513"/>
    <x v="1"/>
    <x v="2"/>
    <x v="3"/>
    <x v="0"/>
    <x v="1"/>
    <n v="78"/>
    <n v="72"/>
    <n v="71"/>
  </r>
  <r>
    <s v="C514"/>
    <x v="1"/>
    <x v="4"/>
    <x v="5"/>
    <x v="0"/>
    <x v="0"/>
    <n v="71"/>
    <n v="79"/>
    <n v="89"/>
  </r>
  <r>
    <s v="C515"/>
    <x v="1"/>
    <x v="4"/>
    <x v="1"/>
    <x v="0"/>
    <x v="1"/>
    <n v="75"/>
    <n v="80"/>
    <n v="72"/>
  </r>
  <r>
    <s v="C516"/>
    <x v="0"/>
    <x v="4"/>
    <x v="4"/>
    <x v="1"/>
    <x v="1"/>
    <n v="70"/>
    <n v="60"/>
    <n v="56"/>
  </r>
  <r>
    <s v="C517"/>
    <x v="0"/>
    <x v="3"/>
    <x v="3"/>
    <x v="0"/>
    <x v="1"/>
    <n v="54"/>
    <n v="52"/>
    <n v="48"/>
  </r>
  <r>
    <s v="C518"/>
    <x v="0"/>
    <x v="3"/>
    <x v="0"/>
    <x v="0"/>
    <x v="1"/>
    <n v="49"/>
    <n v="36"/>
    <n v="32"/>
  </r>
  <r>
    <s v="C519"/>
    <x v="0"/>
    <x v="3"/>
    <x v="3"/>
    <x v="1"/>
    <x v="0"/>
    <n v="80"/>
    <n v="82"/>
    <n v="82"/>
  </r>
  <r>
    <s v="C520"/>
    <x v="1"/>
    <x v="2"/>
    <x v="4"/>
    <x v="0"/>
    <x v="1"/>
    <n v="78"/>
    <n v="89"/>
    <n v="93"/>
  </r>
  <r>
    <s v="C521"/>
    <x v="0"/>
    <x v="4"/>
    <x v="4"/>
    <x v="0"/>
    <x v="1"/>
    <n v="89"/>
    <n v="77"/>
    <n v="82"/>
  </r>
  <r>
    <s v="C522"/>
    <x v="1"/>
    <x v="4"/>
    <x v="4"/>
    <x v="0"/>
    <x v="0"/>
    <n v="65"/>
    <n v="83"/>
    <n v="82"/>
  </r>
  <r>
    <s v="C523"/>
    <x v="0"/>
    <x v="1"/>
    <x v="3"/>
    <x v="0"/>
    <x v="1"/>
    <n v="78"/>
    <n v="74"/>
    <n v="71"/>
  </r>
  <r>
    <s v="C524"/>
    <x v="1"/>
    <x v="1"/>
    <x v="0"/>
    <x v="0"/>
    <x v="1"/>
    <n v="69"/>
    <n v="85"/>
    <n v="78"/>
  </r>
  <r>
    <s v="C525"/>
    <x v="0"/>
    <x v="1"/>
    <x v="2"/>
    <x v="1"/>
    <x v="1"/>
    <n v="49"/>
    <n v="47"/>
    <n v="48"/>
  </r>
  <r>
    <s v="C526"/>
    <x v="1"/>
    <x v="1"/>
    <x v="5"/>
    <x v="1"/>
    <x v="1"/>
    <n v="50"/>
    <n v="64"/>
    <n v="66"/>
  </r>
  <r>
    <s v="C527"/>
    <x v="1"/>
    <x v="2"/>
    <x v="2"/>
    <x v="0"/>
    <x v="1"/>
    <n v="79"/>
    <n v="76"/>
    <n v="71"/>
  </r>
  <r>
    <s v="C528"/>
    <x v="1"/>
    <x v="1"/>
    <x v="2"/>
    <x v="0"/>
    <x v="0"/>
    <n v="89"/>
    <n v="92"/>
    <n v="97"/>
  </r>
  <r>
    <s v="C529"/>
    <x v="0"/>
    <x v="0"/>
    <x v="3"/>
    <x v="1"/>
    <x v="0"/>
    <n v="48"/>
    <n v="61"/>
    <n v="59"/>
  </r>
  <r>
    <s v="C530"/>
    <x v="1"/>
    <x v="0"/>
    <x v="4"/>
    <x v="0"/>
    <x v="1"/>
    <n v="63"/>
    <n v="67"/>
    <n v="71"/>
  </r>
  <r>
    <s v="C531"/>
    <x v="1"/>
    <x v="4"/>
    <x v="2"/>
    <x v="0"/>
    <x v="1"/>
    <n v="88"/>
    <n v="100"/>
    <n v="88"/>
  </r>
  <r>
    <s v="C532"/>
    <x v="1"/>
    <x v="1"/>
    <x v="3"/>
    <x v="0"/>
    <x v="1"/>
    <n v="66"/>
    <n v="73"/>
    <n v="73"/>
  </r>
  <r>
    <s v="C533"/>
    <x v="1"/>
    <x v="3"/>
    <x v="2"/>
    <x v="1"/>
    <x v="1"/>
    <n v="45"/>
    <n v="59"/>
    <n v="56"/>
  </r>
  <r>
    <s v="C534"/>
    <x v="1"/>
    <x v="2"/>
    <x v="1"/>
    <x v="0"/>
    <x v="0"/>
    <n v="62"/>
    <n v="78"/>
    <n v="73"/>
  </r>
  <r>
    <s v="C535"/>
    <x v="0"/>
    <x v="1"/>
    <x v="2"/>
    <x v="1"/>
    <x v="0"/>
    <n v="74"/>
    <n v="80"/>
    <n v="86"/>
  </r>
  <r>
    <s v="C536"/>
    <x v="1"/>
    <x v="1"/>
    <x v="4"/>
    <x v="1"/>
    <x v="1"/>
    <n v="82"/>
    <n v="87"/>
    <n v="90"/>
  </r>
  <r>
    <s v="C537"/>
    <x v="0"/>
    <x v="2"/>
    <x v="2"/>
    <x v="1"/>
    <x v="0"/>
    <n v="83"/>
    <n v="63"/>
    <n v="63"/>
  </r>
  <r>
    <s v="C538"/>
    <x v="1"/>
    <x v="1"/>
    <x v="1"/>
    <x v="1"/>
    <x v="0"/>
    <n v="60"/>
    <n v="72"/>
    <n v="76"/>
  </r>
  <r>
    <s v="C539"/>
    <x v="1"/>
    <x v="1"/>
    <x v="0"/>
    <x v="0"/>
    <x v="1"/>
    <n v="66"/>
    <n v="73"/>
    <n v="72"/>
  </r>
  <r>
    <s v="C540"/>
    <x v="0"/>
    <x v="4"/>
    <x v="4"/>
    <x v="1"/>
    <x v="1"/>
    <n v="76"/>
    <n v="66"/>
    <n v="68"/>
  </r>
  <r>
    <s v="C541"/>
    <x v="0"/>
    <x v="3"/>
    <x v="3"/>
    <x v="0"/>
    <x v="0"/>
    <n v="75"/>
    <n v="74"/>
    <n v="76"/>
  </r>
  <r>
    <s v="C542"/>
    <x v="0"/>
    <x v="3"/>
    <x v="2"/>
    <x v="0"/>
    <x v="0"/>
    <n v="77"/>
    <n v="72"/>
    <n v="79"/>
  </r>
  <r>
    <s v="C543"/>
    <x v="1"/>
    <x v="2"/>
    <x v="2"/>
    <x v="1"/>
    <x v="1"/>
    <n v="82"/>
    <n v="88"/>
    <n v="86"/>
  </r>
  <r>
    <s v="C544"/>
    <x v="0"/>
    <x v="4"/>
    <x v="3"/>
    <x v="0"/>
    <x v="0"/>
    <n v="63"/>
    <n v="59"/>
    <n v="60"/>
  </r>
  <r>
    <s v="C545"/>
    <x v="1"/>
    <x v="1"/>
    <x v="0"/>
    <x v="0"/>
    <x v="1"/>
    <n v="70"/>
    <n v="85"/>
    <n v="85"/>
  </r>
  <r>
    <s v="C546"/>
    <x v="0"/>
    <x v="1"/>
    <x v="3"/>
    <x v="0"/>
    <x v="0"/>
    <n v="84"/>
    <n v="71"/>
    <n v="76"/>
  </r>
  <r>
    <s v="C547"/>
    <x v="0"/>
    <x v="4"/>
    <x v="0"/>
    <x v="0"/>
    <x v="0"/>
    <n v="68"/>
    <n v="60"/>
    <n v="63"/>
  </r>
  <r>
    <s v="C548"/>
    <x v="0"/>
    <x v="4"/>
    <x v="2"/>
    <x v="1"/>
    <x v="1"/>
    <n v="56"/>
    <n v="58"/>
    <n v="50"/>
  </r>
  <r>
    <s v="C549"/>
    <x v="1"/>
    <x v="4"/>
    <x v="3"/>
    <x v="1"/>
    <x v="1"/>
    <n v="37"/>
    <n v="46"/>
    <n v="43"/>
  </r>
  <r>
    <s v="C550"/>
    <x v="1"/>
    <x v="1"/>
    <x v="1"/>
    <x v="0"/>
    <x v="1"/>
    <n v="49"/>
    <n v="56"/>
    <n v="53"/>
  </r>
  <r>
    <s v="C551"/>
    <x v="1"/>
    <x v="2"/>
    <x v="2"/>
    <x v="0"/>
    <x v="0"/>
    <n v="100"/>
    <n v="100"/>
    <n v="100"/>
  </r>
  <r>
    <s v="C552"/>
    <x v="0"/>
    <x v="1"/>
    <x v="2"/>
    <x v="0"/>
    <x v="1"/>
    <n v="83"/>
    <n v="68"/>
    <n v="65"/>
  </r>
  <r>
    <s v="C553"/>
    <x v="1"/>
    <x v="2"/>
    <x v="5"/>
    <x v="1"/>
    <x v="0"/>
    <n v="92"/>
    <n v="100"/>
    <n v="98"/>
  </r>
  <r>
    <s v="C554"/>
    <x v="0"/>
    <x v="2"/>
    <x v="5"/>
    <x v="1"/>
    <x v="1"/>
    <n v="71"/>
    <n v="62"/>
    <n v="66"/>
  </r>
  <r>
    <s v="C555"/>
    <x v="0"/>
    <x v="1"/>
    <x v="3"/>
    <x v="1"/>
    <x v="0"/>
    <n v="72"/>
    <n v="76"/>
    <n v="73"/>
  </r>
  <r>
    <s v="C556"/>
    <x v="1"/>
    <x v="1"/>
    <x v="4"/>
    <x v="1"/>
    <x v="1"/>
    <n v="37"/>
    <n v="53"/>
    <n v="48"/>
  </r>
  <r>
    <s v="C557"/>
    <x v="0"/>
    <x v="4"/>
    <x v="4"/>
    <x v="1"/>
    <x v="1"/>
    <n v="35"/>
    <n v="43"/>
    <n v="35"/>
  </r>
  <r>
    <s v="C558"/>
    <x v="0"/>
    <x v="4"/>
    <x v="2"/>
    <x v="1"/>
    <x v="1"/>
    <n v="69"/>
    <n v="68"/>
    <n v="62"/>
  </r>
  <r>
    <s v="C559"/>
    <x v="1"/>
    <x v="4"/>
    <x v="4"/>
    <x v="0"/>
    <x v="1"/>
    <n v="65"/>
    <n v="73"/>
    <n v="81"/>
  </r>
  <r>
    <s v="C560"/>
    <x v="0"/>
    <x v="2"/>
    <x v="0"/>
    <x v="1"/>
    <x v="1"/>
    <n v="56"/>
    <n v="48"/>
    <n v="36"/>
  </r>
  <r>
    <s v="C561"/>
    <x v="1"/>
    <x v="1"/>
    <x v="0"/>
    <x v="0"/>
    <x v="1"/>
    <n v="40"/>
    <n v="46"/>
    <n v="57"/>
  </r>
  <r>
    <s v="C562"/>
    <x v="1"/>
    <x v="2"/>
    <x v="0"/>
    <x v="0"/>
    <x v="1"/>
    <n v="60"/>
    <n v="62"/>
    <n v="60"/>
  </r>
  <r>
    <s v="C563"/>
    <x v="1"/>
    <x v="4"/>
    <x v="1"/>
    <x v="0"/>
    <x v="1"/>
    <n v="57"/>
    <n v="66"/>
    <n v="73"/>
  </r>
  <r>
    <s v="C564"/>
    <x v="1"/>
    <x v="4"/>
    <x v="1"/>
    <x v="1"/>
    <x v="0"/>
    <n v="58"/>
    <n v="62"/>
    <n v="66"/>
  </r>
  <r>
    <s v="C565"/>
    <x v="1"/>
    <x v="1"/>
    <x v="2"/>
    <x v="0"/>
    <x v="0"/>
    <n v="74"/>
    <n v="95"/>
    <n v="94"/>
  </r>
  <r>
    <s v="C566"/>
    <x v="1"/>
    <x v="3"/>
    <x v="2"/>
    <x v="0"/>
    <x v="1"/>
    <n v="77"/>
    <n v="77"/>
    <n v="83"/>
  </r>
  <r>
    <s v="C567"/>
    <x v="0"/>
    <x v="2"/>
    <x v="2"/>
    <x v="1"/>
    <x v="1"/>
    <n v="66"/>
    <n v="57"/>
    <n v="53"/>
  </r>
  <r>
    <s v="C568"/>
    <x v="1"/>
    <x v="1"/>
    <x v="2"/>
    <x v="0"/>
    <x v="0"/>
    <n v="62"/>
    <n v="79"/>
    <n v="87"/>
  </r>
  <r>
    <s v="C569"/>
    <x v="0"/>
    <x v="4"/>
    <x v="0"/>
    <x v="1"/>
    <x v="1"/>
    <n v="29"/>
    <n v="38"/>
    <n v="27"/>
  </r>
  <r>
    <s v="C570"/>
    <x v="1"/>
    <x v="3"/>
    <x v="2"/>
    <x v="0"/>
    <x v="1"/>
    <n v="70"/>
    <n v="73"/>
    <n v="66"/>
  </r>
  <r>
    <s v="C571"/>
    <x v="0"/>
    <x v="0"/>
    <x v="3"/>
    <x v="1"/>
    <x v="1"/>
    <n v="67"/>
    <n v="64"/>
    <n v="60"/>
  </r>
  <r>
    <s v="C572"/>
    <x v="1"/>
    <x v="4"/>
    <x v="0"/>
    <x v="0"/>
    <x v="0"/>
    <n v="81"/>
    <n v="91"/>
    <n v="94"/>
  </r>
  <r>
    <s v="C573"/>
    <x v="0"/>
    <x v="4"/>
    <x v="3"/>
    <x v="1"/>
    <x v="1"/>
    <n v="56"/>
    <n v="50"/>
    <n v="43"/>
  </r>
  <r>
    <s v="C574"/>
    <x v="1"/>
    <x v="1"/>
    <x v="2"/>
    <x v="1"/>
    <x v="1"/>
    <n v="61"/>
    <n v="79"/>
    <n v="76"/>
  </r>
  <r>
    <s v="C575"/>
    <x v="1"/>
    <x v="1"/>
    <x v="0"/>
    <x v="1"/>
    <x v="0"/>
    <n v="47"/>
    <n v="54"/>
    <n v="56"/>
  </r>
  <r>
    <s v="C576"/>
    <x v="0"/>
    <x v="0"/>
    <x v="4"/>
    <x v="0"/>
    <x v="0"/>
    <n v="88"/>
    <n v="87"/>
    <n v="94"/>
  </r>
  <r>
    <s v="C577"/>
    <x v="0"/>
    <x v="4"/>
    <x v="2"/>
    <x v="0"/>
    <x v="0"/>
    <n v="51"/>
    <n v="52"/>
    <n v="52"/>
  </r>
  <r>
    <s v="C578"/>
    <x v="0"/>
    <x v="4"/>
    <x v="5"/>
    <x v="0"/>
    <x v="1"/>
    <n v="68"/>
    <n v="60"/>
    <n v="62"/>
  </r>
  <r>
    <s v="C579"/>
    <x v="1"/>
    <x v="3"/>
    <x v="3"/>
    <x v="0"/>
    <x v="1"/>
    <n v="68"/>
    <n v="71"/>
    <n v="71"/>
  </r>
  <r>
    <s v="C580"/>
    <x v="1"/>
    <x v="3"/>
    <x v="0"/>
    <x v="1"/>
    <x v="1"/>
    <n v="47"/>
    <n v="49"/>
    <n v="50"/>
  </r>
  <r>
    <s v="C581"/>
    <x v="0"/>
    <x v="2"/>
    <x v="5"/>
    <x v="1"/>
    <x v="0"/>
    <n v="84"/>
    <n v="77"/>
    <n v="82"/>
  </r>
  <r>
    <s v="C582"/>
    <x v="0"/>
    <x v="3"/>
    <x v="2"/>
    <x v="1"/>
    <x v="1"/>
    <n v="69"/>
    <n v="72"/>
    <n v="68"/>
  </r>
  <r>
    <s v="C583"/>
    <x v="1"/>
    <x v="1"/>
    <x v="4"/>
    <x v="0"/>
    <x v="0"/>
    <n v="52"/>
    <n v="69"/>
    <n v="75"/>
  </r>
  <r>
    <s v="C584"/>
    <x v="0"/>
    <x v="3"/>
    <x v="3"/>
    <x v="0"/>
    <x v="1"/>
    <n v="80"/>
    <n v="79"/>
    <n v="79"/>
  </r>
  <r>
    <s v="C585"/>
    <x v="0"/>
    <x v="4"/>
    <x v="4"/>
    <x v="0"/>
    <x v="1"/>
    <n v="100"/>
    <n v="84"/>
    <n v="88"/>
  </r>
  <r>
    <s v="C586"/>
    <x v="0"/>
    <x v="4"/>
    <x v="0"/>
    <x v="0"/>
    <x v="0"/>
    <n v="53"/>
    <n v="59"/>
    <n v="64"/>
  </r>
  <r>
    <s v="C587"/>
    <x v="1"/>
    <x v="3"/>
    <x v="5"/>
    <x v="0"/>
    <x v="0"/>
    <n v="59"/>
    <n v="73"/>
    <n v="74"/>
  </r>
  <r>
    <s v="C588"/>
    <x v="1"/>
    <x v="3"/>
    <x v="2"/>
    <x v="0"/>
    <x v="1"/>
    <n v="78"/>
    <n v="96"/>
    <n v="89"/>
  </r>
  <r>
    <s v="C589"/>
    <x v="1"/>
    <x v="3"/>
    <x v="3"/>
    <x v="0"/>
    <x v="1"/>
    <n v="84"/>
    <n v="87"/>
    <n v="89"/>
  </r>
  <r>
    <s v="C590"/>
    <x v="1"/>
    <x v="4"/>
    <x v="0"/>
    <x v="1"/>
    <x v="1"/>
    <n v="52"/>
    <n v="72"/>
    <n v="71"/>
  </r>
  <r>
    <s v="C591"/>
    <x v="0"/>
    <x v="4"/>
    <x v="3"/>
    <x v="1"/>
    <x v="1"/>
    <n v="81"/>
    <n v="78"/>
    <n v="75"/>
  </r>
  <r>
    <s v="C592"/>
    <x v="1"/>
    <x v="4"/>
    <x v="3"/>
    <x v="0"/>
    <x v="0"/>
    <n v="90"/>
    <n v="95"/>
    <n v="100"/>
  </r>
  <r>
    <s v="C593"/>
    <x v="1"/>
    <x v="0"/>
    <x v="0"/>
    <x v="0"/>
    <x v="1"/>
    <n v="63"/>
    <n v="73"/>
    <n v="66"/>
  </r>
  <r>
    <s v="C594"/>
    <x v="0"/>
    <x v="1"/>
    <x v="4"/>
    <x v="0"/>
    <x v="0"/>
    <n v="100"/>
    <n v="97"/>
    <n v="100"/>
  </r>
  <r>
    <s v="C595"/>
    <x v="1"/>
    <x v="3"/>
    <x v="2"/>
    <x v="0"/>
    <x v="1"/>
    <n v="56"/>
    <n v="63"/>
    <n v="62"/>
  </r>
  <r>
    <s v="C596"/>
    <x v="1"/>
    <x v="3"/>
    <x v="2"/>
    <x v="0"/>
    <x v="1"/>
    <n v="46"/>
    <n v="54"/>
    <n v="54"/>
  </r>
  <r>
    <s v="C597"/>
    <x v="1"/>
    <x v="3"/>
    <x v="0"/>
    <x v="1"/>
    <x v="0"/>
    <n v="75"/>
    <n v="85"/>
    <n v="90"/>
  </r>
  <r>
    <s v="C598"/>
    <x v="1"/>
    <x v="0"/>
    <x v="2"/>
    <x v="0"/>
    <x v="1"/>
    <n v="46"/>
    <n v="51"/>
    <n v="54"/>
  </r>
  <r>
    <s v="C599"/>
    <x v="0"/>
    <x v="0"/>
    <x v="1"/>
    <x v="1"/>
    <x v="1"/>
    <n v="42"/>
    <n v="40"/>
    <n v="40"/>
  </r>
  <r>
    <s v="C600"/>
    <x v="1"/>
    <x v="4"/>
    <x v="1"/>
    <x v="0"/>
    <x v="0"/>
    <n v="77"/>
    <n v="86"/>
    <n v="90"/>
  </r>
  <r>
    <s v="C601"/>
    <x v="1"/>
    <x v="4"/>
    <x v="2"/>
    <x v="1"/>
    <x v="1"/>
    <n v="40"/>
    <n v="63"/>
    <n v="56"/>
  </r>
  <r>
    <s v="C602"/>
    <x v="1"/>
    <x v="1"/>
    <x v="0"/>
    <x v="0"/>
    <x v="1"/>
    <n v="69"/>
    <n v="71"/>
    <n v="76"/>
  </r>
  <r>
    <s v="C603"/>
    <x v="0"/>
    <x v="4"/>
    <x v="0"/>
    <x v="0"/>
    <x v="1"/>
    <n v="43"/>
    <n v="50"/>
    <n v="45"/>
  </r>
  <r>
    <s v="C604"/>
    <x v="1"/>
    <x v="4"/>
    <x v="3"/>
    <x v="0"/>
    <x v="0"/>
    <n v="69"/>
    <n v="75"/>
    <n v="71"/>
  </r>
  <r>
    <s v="C605"/>
    <x v="1"/>
    <x v="1"/>
    <x v="4"/>
    <x v="0"/>
    <x v="0"/>
    <n v="89"/>
    <n v="93"/>
    <n v="100"/>
  </r>
  <r>
    <s v="C606"/>
    <x v="0"/>
    <x v="3"/>
    <x v="3"/>
    <x v="0"/>
    <x v="1"/>
    <n v="44"/>
    <n v="34"/>
    <n v="36"/>
  </r>
  <r>
    <s v="C607"/>
    <x v="0"/>
    <x v="1"/>
    <x v="0"/>
    <x v="1"/>
    <x v="0"/>
    <n v="82"/>
    <n v="83"/>
    <n v="77"/>
  </r>
  <r>
    <s v="C608"/>
    <x v="0"/>
    <x v="1"/>
    <x v="3"/>
    <x v="1"/>
    <x v="1"/>
    <n v="72"/>
    <n v="72"/>
    <n v="65"/>
  </r>
  <r>
    <s v="C609"/>
    <x v="0"/>
    <x v="4"/>
    <x v="4"/>
    <x v="0"/>
    <x v="1"/>
    <n v="64"/>
    <n v="53"/>
    <n v="50"/>
  </r>
  <r>
    <s v="C610"/>
    <x v="0"/>
    <x v="1"/>
    <x v="1"/>
    <x v="0"/>
    <x v="1"/>
    <n v="89"/>
    <n v="73"/>
    <n v="70"/>
  </r>
  <r>
    <s v="C611"/>
    <x v="0"/>
    <x v="2"/>
    <x v="3"/>
    <x v="1"/>
    <x v="1"/>
    <n v="58"/>
    <n v="53"/>
    <n v="54"/>
  </r>
  <r>
    <s v="C612"/>
    <x v="1"/>
    <x v="0"/>
    <x v="0"/>
    <x v="0"/>
    <x v="0"/>
    <n v="63"/>
    <n v="81"/>
    <n v="78"/>
  </r>
  <r>
    <s v="C613"/>
    <x v="1"/>
    <x v="0"/>
    <x v="4"/>
    <x v="0"/>
    <x v="1"/>
    <n v="54"/>
    <n v="66"/>
    <n v="69"/>
  </r>
  <r>
    <s v="C614"/>
    <x v="0"/>
    <x v="4"/>
    <x v="0"/>
    <x v="1"/>
    <x v="0"/>
    <n v="83"/>
    <n v="78"/>
    <n v="82"/>
  </r>
  <r>
    <s v="C615"/>
    <x v="1"/>
    <x v="4"/>
    <x v="0"/>
    <x v="0"/>
    <x v="1"/>
    <n v="57"/>
    <n v="74"/>
    <n v="64"/>
  </r>
  <r>
    <s v="C616"/>
    <x v="1"/>
    <x v="4"/>
    <x v="0"/>
    <x v="0"/>
    <x v="1"/>
    <n v="52"/>
    <n v="47"/>
    <n v="48"/>
  </r>
  <r>
    <s v="C617"/>
    <x v="1"/>
    <x v="1"/>
    <x v="0"/>
    <x v="0"/>
    <x v="0"/>
    <n v="75"/>
    <n v="93"/>
    <n v="97"/>
  </r>
  <r>
    <s v="C618"/>
    <x v="0"/>
    <x v="2"/>
    <x v="0"/>
    <x v="1"/>
    <x v="0"/>
    <n v="67"/>
    <n v="66"/>
    <n v="64"/>
  </r>
  <r>
    <s v="C619"/>
    <x v="0"/>
    <x v="3"/>
    <x v="1"/>
    <x v="0"/>
    <x v="1"/>
    <n v="58"/>
    <n v="60"/>
    <n v="53"/>
  </r>
  <r>
    <s v="C620"/>
    <x v="1"/>
    <x v="3"/>
    <x v="4"/>
    <x v="1"/>
    <x v="1"/>
    <n v="63"/>
    <n v="66"/>
    <n v="68"/>
  </r>
  <r>
    <s v="C621"/>
    <x v="1"/>
    <x v="1"/>
    <x v="1"/>
    <x v="1"/>
    <x v="1"/>
    <n v="49"/>
    <n v="64"/>
    <n v="57"/>
  </r>
  <r>
    <s v="C622"/>
    <x v="1"/>
    <x v="1"/>
    <x v="2"/>
    <x v="1"/>
    <x v="1"/>
    <n v="38"/>
    <n v="47"/>
    <n v="52"/>
  </r>
  <r>
    <s v="C623"/>
    <x v="1"/>
    <x v="3"/>
    <x v="2"/>
    <x v="0"/>
    <x v="0"/>
    <n v="74"/>
    <n v="85"/>
    <n v="84"/>
  </r>
  <r>
    <s v="C624"/>
    <x v="0"/>
    <x v="4"/>
    <x v="3"/>
    <x v="1"/>
    <x v="0"/>
    <n v="69"/>
    <n v="84"/>
    <n v="82"/>
  </r>
  <r>
    <s v="C625"/>
    <x v="1"/>
    <x v="1"/>
    <x v="3"/>
    <x v="0"/>
    <x v="1"/>
    <n v="77"/>
    <n v="82"/>
    <n v="80"/>
  </r>
  <r>
    <s v="C626"/>
    <x v="1"/>
    <x v="0"/>
    <x v="5"/>
    <x v="1"/>
    <x v="1"/>
    <n v="40"/>
    <n v="59"/>
    <n v="59"/>
  </r>
  <r>
    <s v="C627"/>
    <x v="1"/>
    <x v="3"/>
    <x v="5"/>
    <x v="0"/>
    <x v="0"/>
    <n v="96"/>
    <n v="98"/>
    <n v="100"/>
  </r>
  <r>
    <s v="C628"/>
    <x v="1"/>
    <x v="3"/>
    <x v="4"/>
    <x v="0"/>
    <x v="1"/>
    <n v="85"/>
    <n v="86"/>
    <n v="85"/>
  </r>
  <r>
    <s v="C629"/>
    <x v="0"/>
    <x v="1"/>
    <x v="3"/>
    <x v="0"/>
    <x v="1"/>
    <n v="85"/>
    <n v="77"/>
    <n v="76"/>
  </r>
  <r>
    <s v="C630"/>
    <x v="0"/>
    <x v="4"/>
    <x v="0"/>
    <x v="0"/>
    <x v="1"/>
    <n v="72"/>
    <n v="59"/>
    <n v="54"/>
  </r>
  <r>
    <s v="C631"/>
    <x v="1"/>
    <x v="3"/>
    <x v="3"/>
    <x v="1"/>
    <x v="1"/>
    <n v="63"/>
    <n v="78"/>
    <n v="73"/>
  </r>
  <r>
    <s v="C632"/>
    <x v="0"/>
    <x v="3"/>
    <x v="1"/>
    <x v="0"/>
    <x v="1"/>
    <n v="58"/>
    <n v="67"/>
    <n v="58"/>
  </r>
  <r>
    <s v="C633"/>
    <x v="0"/>
    <x v="3"/>
    <x v="4"/>
    <x v="1"/>
    <x v="1"/>
    <n v="58"/>
    <n v="64"/>
    <n v="54"/>
  </r>
  <r>
    <s v="C634"/>
    <x v="0"/>
    <x v="4"/>
    <x v="0"/>
    <x v="1"/>
    <x v="1"/>
    <n v="51"/>
    <n v="57"/>
    <n v="53"/>
  </r>
  <r>
    <s v="C635"/>
    <x v="1"/>
    <x v="1"/>
    <x v="5"/>
    <x v="0"/>
    <x v="0"/>
    <n v="100"/>
    <n v="100"/>
    <n v="100"/>
  </r>
  <r>
    <s v="C636"/>
    <x v="1"/>
    <x v="1"/>
    <x v="5"/>
    <x v="0"/>
    <x v="1"/>
    <n v="77"/>
    <n v="84"/>
    <n v="92"/>
  </r>
  <r>
    <s v="C637"/>
    <x v="0"/>
    <x v="2"/>
    <x v="4"/>
    <x v="1"/>
    <x v="1"/>
    <n v="63"/>
    <n v="56"/>
    <n v="56"/>
  </r>
  <r>
    <s v="C638"/>
    <x v="1"/>
    <x v="4"/>
    <x v="2"/>
    <x v="0"/>
    <x v="1"/>
    <n v="64"/>
    <n v="67"/>
    <n v="68"/>
  </r>
  <r>
    <s v="C639"/>
    <x v="0"/>
    <x v="2"/>
    <x v="0"/>
    <x v="0"/>
    <x v="1"/>
    <n v="100"/>
    <n v="82"/>
    <n v="80"/>
  </r>
  <r>
    <s v="C640"/>
    <x v="0"/>
    <x v="4"/>
    <x v="3"/>
    <x v="0"/>
    <x v="1"/>
    <n v="66"/>
    <n v="65"/>
    <n v="65"/>
  </r>
  <r>
    <s v="C641"/>
    <x v="0"/>
    <x v="2"/>
    <x v="4"/>
    <x v="0"/>
    <x v="1"/>
    <n v="87"/>
    <n v="87"/>
    <n v="84"/>
  </r>
  <r>
    <s v="C642"/>
    <x v="0"/>
    <x v="4"/>
    <x v="0"/>
    <x v="0"/>
    <x v="1"/>
    <n v="73"/>
    <n v="72"/>
    <n v="69"/>
  </r>
  <r>
    <s v="C643"/>
    <x v="0"/>
    <x v="4"/>
    <x v="5"/>
    <x v="1"/>
    <x v="0"/>
    <n v="69"/>
    <n v="66"/>
    <n v="65"/>
  </r>
  <r>
    <s v="C644"/>
    <x v="1"/>
    <x v="4"/>
    <x v="0"/>
    <x v="0"/>
    <x v="1"/>
    <n v="62"/>
    <n v="64"/>
    <n v="63"/>
  </r>
  <r>
    <s v="C645"/>
    <x v="1"/>
    <x v="4"/>
    <x v="1"/>
    <x v="0"/>
    <x v="1"/>
    <n v="40"/>
    <n v="48"/>
    <n v="49"/>
  </r>
  <r>
    <s v="C646"/>
    <x v="0"/>
    <x v="4"/>
    <x v="2"/>
    <x v="1"/>
    <x v="0"/>
    <n v="55"/>
    <n v="68"/>
    <n v="60"/>
  </r>
  <r>
    <s v="C647"/>
    <x v="0"/>
    <x v="1"/>
    <x v="0"/>
    <x v="0"/>
    <x v="0"/>
    <n v="77"/>
    <n v="77"/>
    <n v="78"/>
  </r>
  <r>
    <s v="C648"/>
    <x v="0"/>
    <x v="1"/>
    <x v="2"/>
    <x v="0"/>
    <x v="0"/>
    <n v="63"/>
    <n v="70"/>
    <n v="71"/>
  </r>
  <r>
    <s v="C649"/>
    <x v="0"/>
    <x v="1"/>
    <x v="3"/>
    <x v="0"/>
    <x v="0"/>
    <n v="85"/>
    <n v="85"/>
    <n v="91"/>
  </r>
  <r>
    <s v="C650"/>
    <x v="1"/>
    <x v="3"/>
    <x v="0"/>
    <x v="1"/>
    <x v="1"/>
    <n v="30"/>
    <n v="43"/>
    <n v="40"/>
  </r>
  <r>
    <s v="C651"/>
    <x v="0"/>
    <x v="3"/>
    <x v="0"/>
    <x v="0"/>
    <x v="1"/>
    <n v="82"/>
    <n v="77"/>
    <n v="71"/>
  </r>
  <r>
    <s v="C652"/>
    <x v="0"/>
    <x v="1"/>
    <x v="3"/>
    <x v="1"/>
    <x v="0"/>
    <n v="81"/>
    <n v="71"/>
    <n v="70"/>
  </r>
  <r>
    <s v="C653"/>
    <x v="1"/>
    <x v="4"/>
    <x v="1"/>
    <x v="0"/>
    <x v="0"/>
    <n v="92"/>
    <n v="100"/>
    <n v="97"/>
  </r>
  <r>
    <s v="C654"/>
    <x v="0"/>
    <x v="3"/>
    <x v="2"/>
    <x v="1"/>
    <x v="1"/>
    <n v="50"/>
    <n v="48"/>
    <n v="36"/>
  </r>
  <r>
    <s v="C655"/>
    <x v="1"/>
    <x v="3"/>
    <x v="3"/>
    <x v="0"/>
    <x v="1"/>
    <n v="54"/>
    <n v="60"/>
    <n v="56"/>
  </r>
  <r>
    <s v="C656"/>
    <x v="0"/>
    <x v="4"/>
    <x v="3"/>
    <x v="0"/>
    <x v="0"/>
    <n v="76"/>
    <n v="83"/>
    <n v="78"/>
  </r>
  <r>
    <s v="C657"/>
    <x v="1"/>
    <x v="1"/>
    <x v="1"/>
    <x v="0"/>
    <x v="1"/>
    <n v="60"/>
    <n v="68"/>
    <n v="74"/>
  </r>
  <r>
    <s v="C658"/>
    <x v="1"/>
    <x v="0"/>
    <x v="3"/>
    <x v="1"/>
    <x v="0"/>
    <n v="45"/>
    <n v="72"/>
    <n v="66"/>
  </r>
  <r>
    <s v="C659"/>
    <x v="0"/>
    <x v="1"/>
    <x v="0"/>
    <x v="0"/>
    <x v="1"/>
    <n v="80"/>
    <n v="77"/>
    <n v="72"/>
  </r>
  <r>
    <s v="C660"/>
    <x v="0"/>
    <x v="1"/>
    <x v="1"/>
    <x v="1"/>
    <x v="1"/>
    <n v="52"/>
    <n v="45"/>
    <n v="48"/>
  </r>
  <r>
    <s v="C661"/>
    <x v="1"/>
    <x v="4"/>
    <x v="0"/>
    <x v="0"/>
    <x v="0"/>
    <n v="90"/>
    <n v="89"/>
    <n v="97"/>
  </r>
  <r>
    <s v="C662"/>
    <x v="1"/>
    <x v="1"/>
    <x v="0"/>
    <x v="1"/>
    <x v="1"/>
    <n v="53"/>
    <n v="65"/>
    <n v="69"/>
  </r>
  <r>
    <s v="C663"/>
    <x v="1"/>
    <x v="4"/>
    <x v="3"/>
    <x v="0"/>
    <x v="1"/>
    <n v="92"/>
    <n v="95"/>
    <n v="95"/>
  </r>
  <r>
    <s v="C664"/>
    <x v="1"/>
    <x v="4"/>
    <x v="2"/>
    <x v="0"/>
    <x v="0"/>
    <n v="63"/>
    <n v="78"/>
    <n v="75"/>
  </r>
  <r>
    <s v="C665"/>
    <x v="1"/>
    <x v="3"/>
    <x v="1"/>
    <x v="0"/>
    <x v="1"/>
    <n v="71"/>
    <n v="77"/>
    <n v="79"/>
  </r>
  <r>
    <s v="C666"/>
    <x v="1"/>
    <x v="1"/>
    <x v="1"/>
    <x v="0"/>
    <x v="1"/>
    <n v="64"/>
    <n v="70"/>
    <n v="73"/>
  </r>
  <r>
    <s v="C667"/>
    <x v="1"/>
    <x v="4"/>
    <x v="2"/>
    <x v="0"/>
    <x v="0"/>
    <n v="67"/>
    <n v="81"/>
    <n v="89"/>
  </r>
  <r>
    <s v="C668"/>
    <x v="0"/>
    <x v="4"/>
    <x v="0"/>
    <x v="1"/>
    <x v="1"/>
    <n v="63"/>
    <n v="63"/>
    <n v="61"/>
  </r>
  <r>
    <s v="C669"/>
    <x v="0"/>
    <x v="3"/>
    <x v="0"/>
    <x v="0"/>
    <x v="1"/>
    <n v="63"/>
    <n v="53"/>
    <n v="44"/>
  </r>
  <r>
    <s v="C670"/>
    <x v="0"/>
    <x v="4"/>
    <x v="1"/>
    <x v="0"/>
    <x v="1"/>
    <n v="59"/>
    <n v="49"/>
    <n v="46"/>
  </r>
  <r>
    <s v="C671"/>
    <x v="0"/>
    <x v="2"/>
    <x v="0"/>
    <x v="0"/>
    <x v="1"/>
    <n v="49"/>
    <n v="43"/>
    <n v="35"/>
  </r>
  <r>
    <s v="C672"/>
    <x v="1"/>
    <x v="1"/>
    <x v="5"/>
    <x v="0"/>
    <x v="1"/>
    <n v="75"/>
    <n v="84"/>
    <n v="86"/>
  </r>
  <r>
    <s v="C673"/>
    <x v="1"/>
    <x v="4"/>
    <x v="1"/>
    <x v="1"/>
    <x v="1"/>
    <n v="34"/>
    <n v="47"/>
    <n v="45"/>
  </r>
  <r>
    <s v="C674"/>
    <x v="1"/>
    <x v="3"/>
    <x v="3"/>
    <x v="1"/>
    <x v="1"/>
    <n v="53"/>
    <n v="70"/>
    <n v="69"/>
  </r>
  <r>
    <s v="C675"/>
    <x v="0"/>
    <x v="3"/>
    <x v="5"/>
    <x v="0"/>
    <x v="1"/>
    <n v="63"/>
    <n v="56"/>
    <n v="60"/>
  </r>
  <r>
    <s v="C676"/>
    <x v="0"/>
    <x v="4"/>
    <x v="3"/>
    <x v="0"/>
    <x v="1"/>
    <n v="75"/>
    <n v="69"/>
    <n v="65"/>
  </r>
  <r>
    <s v="C677"/>
    <x v="0"/>
    <x v="2"/>
    <x v="3"/>
    <x v="1"/>
    <x v="1"/>
    <n v="63"/>
    <n v="61"/>
    <n v="62"/>
  </r>
  <r>
    <s v="C678"/>
    <x v="1"/>
    <x v="4"/>
    <x v="0"/>
    <x v="0"/>
    <x v="1"/>
    <n v="70"/>
    <n v="72"/>
    <n v="75"/>
  </r>
  <r>
    <s v="C679"/>
    <x v="1"/>
    <x v="4"/>
    <x v="2"/>
    <x v="0"/>
    <x v="1"/>
    <n v="61"/>
    <n v="73"/>
    <n v="70"/>
  </r>
  <r>
    <s v="C680"/>
    <x v="0"/>
    <x v="4"/>
    <x v="3"/>
    <x v="0"/>
    <x v="1"/>
    <n v="74"/>
    <n v="61"/>
    <n v="59"/>
  </r>
  <r>
    <s v="C681"/>
    <x v="0"/>
    <x v="1"/>
    <x v="3"/>
    <x v="1"/>
    <x v="1"/>
    <n v="57"/>
    <n v="49"/>
    <n v="48"/>
  </r>
  <r>
    <s v="C682"/>
    <x v="0"/>
    <x v="4"/>
    <x v="1"/>
    <x v="1"/>
    <x v="0"/>
    <n v="41"/>
    <n v="52"/>
    <n v="47"/>
  </r>
  <r>
    <s v="C683"/>
    <x v="0"/>
    <x v="1"/>
    <x v="1"/>
    <x v="0"/>
    <x v="1"/>
    <n v="87"/>
    <n v="80"/>
    <n v="76"/>
  </r>
  <r>
    <s v="C684"/>
    <x v="0"/>
    <x v="4"/>
    <x v="0"/>
    <x v="1"/>
    <x v="1"/>
    <n v="69"/>
    <n v="71"/>
    <n v="62"/>
  </r>
  <r>
    <s v="C685"/>
    <x v="0"/>
    <x v="4"/>
    <x v="3"/>
    <x v="1"/>
    <x v="1"/>
    <n v="69"/>
    <n v="77"/>
    <n v="70"/>
  </r>
  <r>
    <s v="C686"/>
    <x v="0"/>
    <x v="1"/>
    <x v="0"/>
    <x v="0"/>
    <x v="0"/>
    <n v="58"/>
    <n v="56"/>
    <n v="56"/>
  </r>
  <r>
    <s v="C687"/>
    <x v="1"/>
    <x v="3"/>
    <x v="2"/>
    <x v="1"/>
    <x v="0"/>
    <n v="47"/>
    <n v="69"/>
    <n v="62"/>
  </r>
  <r>
    <s v="C688"/>
    <x v="0"/>
    <x v="1"/>
    <x v="3"/>
    <x v="0"/>
    <x v="0"/>
    <n v="78"/>
    <n v="69"/>
    <n v="71"/>
  </r>
  <r>
    <s v="C689"/>
    <x v="1"/>
    <x v="3"/>
    <x v="2"/>
    <x v="1"/>
    <x v="0"/>
    <n v="54"/>
    <n v="61"/>
    <n v="71"/>
  </r>
  <r>
    <s v="C690"/>
    <x v="0"/>
    <x v="4"/>
    <x v="2"/>
    <x v="1"/>
    <x v="1"/>
    <n v="36"/>
    <n v="27"/>
    <n v="26"/>
  </r>
  <r>
    <s v="C691"/>
    <x v="0"/>
    <x v="3"/>
    <x v="4"/>
    <x v="0"/>
    <x v="0"/>
    <n v="94"/>
    <n v="92"/>
    <n v="92"/>
  </r>
  <r>
    <s v="C692"/>
    <x v="1"/>
    <x v="1"/>
    <x v="3"/>
    <x v="1"/>
    <x v="1"/>
    <n v="68"/>
    <n v="84"/>
    <n v="80"/>
  </r>
  <r>
    <s v="C693"/>
    <x v="1"/>
    <x v="2"/>
    <x v="0"/>
    <x v="0"/>
    <x v="1"/>
    <n v="90"/>
    <n v="88"/>
    <n v="84"/>
  </r>
  <r>
    <s v="C694"/>
    <x v="0"/>
    <x v="0"/>
    <x v="2"/>
    <x v="0"/>
    <x v="1"/>
    <n v="57"/>
    <n v="57"/>
    <n v="53"/>
  </r>
  <r>
    <s v="C695"/>
    <x v="0"/>
    <x v="1"/>
    <x v="2"/>
    <x v="0"/>
    <x v="0"/>
    <n v="96"/>
    <n v="95"/>
    <n v="90"/>
  </r>
  <r>
    <s v="C696"/>
    <x v="0"/>
    <x v="3"/>
    <x v="1"/>
    <x v="0"/>
    <x v="0"/>
    <n v="68"/>
    <n v="63"/>
    <n v="62"/>
  </r>
  <r>
    <s v="C697"/>
    <x v="1"/>
    <x v="4"/>
    <x v="1"/>
    <x v="0"/>
    <x v="0"/>
    <n v="52"/>
    <n v="64"/>
    <n v="63"/>
  </r>
  <r>
    <s v="C698"/>
    <x v="0"/>
    <x v="2"/>
    <x v="3"/>
    <x v="0"/>
    <x v="1"/>
    <n v="90"/>
    <n v="76"/>
    <n v="73"/>
  </r>
  <r>
    <s v="C699"/>
    <x v="0"/>
    <x v="4"/>
    <x v="2"/>
    <x v="1"/>
    <x v="0"/>
    <n v="71"/>
    <n v="82"/>
    <n v="75"/>
  </r>
  <r>
    <s v="C700"/>
    <x v="1"/>
    <x v="4"/>
    <x v="2"/>
    <x v="1"/>
    <x v="0"/>
    <n v="58"/>
    <n v="69"/>
    <n v="74"/>
  </r>
  <r>
    <s v="C701"/>
    <x v="0"/>
    <x v="4"/>
    <x v="1"/>
    <x v="1"/>
    <x v="1"/>
    <n v="41"/>
    <n v="39"/>
    <n v="34"/>
  </r>
  <r>
    <s v="C702"/>
    <x v="0"/>
    <x v="1"/>
    <x v="1"/>
    <x v="0"/>
    <x v="0"/>
    <n v="43"/>
    <n v="37"/>
    <n v="43"/>
  </r>
  <r>
    <s v="C703"/>
    <x v="0"/>
    <x v="1"/>
    <x v="0"/>
    <x v="0"/>
    <x v="1"/>
    <n v="85"/>
    <n v="70"/>
    <n v="71"/>
  </r>
  <r>
    <s v="C704"/>
    <x v="0"/>
    <x v="3"/>
    <x v="1"/>
    <x v="0"/>
    <x v="1"/>
    <n v="71"/>
    <n v="72"/>
    <n v="69"/>
  </r>
  <r>
    <s v="C705"/>
    <x v="1"/>
    <x v="0"/>
    <x v="0"/>
    <x v="0"/>
    <x v="1"/>
    <n v="72"/>
    <n v="70"/>
    <n v="72"/>
  </r>
  <r>
    <s v="C706"/>
    <x v="0"/>
    <x v="1"/>
    <x v="3"/>
    <x v="1"/>
    <x v="1"/>
    <n v="70"/>
    <n v="62"/>
    <n v="66"/>
  </r>
  <r>
    <s v="C707"/>
    <x v="1"/>
    <x v="1"/>
    <x v="4"/>
    <x v="0"/>
    <x v="1"/>
    <n v="89"/>
    <n v="100"/>
    <n v="100"/>
  </r>
  <r>
    <s v="C708"/>
    <x v="1"/>
    <x v="2"/>
    <x v="0"/>
    <x v="0"/>
    <x v="1"/>
    <n v="92"/>
    <n v="86"/>
    <n v="82"/>
  </r>
  <r>
    <s v="C709"/>
    <x v="0"/>
    <x v="2"/>
    <x v="2"/>
    <x v="1"/>
    <x v="0"/>
    <n v="80"/>
    <n v="79"/>
    <n v="81"/>
  </r>
  <r>
    <s v="C710"/>
    <x v="0"/>
    <x v="4"/>
    <x v="1"/>
    <x v="0"/>
    <x v="1"/>
    <n v="80"/>
    <n v="70"/>
    <n v="60"/>
  </r>
  <r>
    <s v="C711"/>
    <x v="1"/>
    <x v="3"/>
    <x v="0"/>
    <x v="0"/>
    <x v="1"/>
    <n v="56"/>
    <n v="64"/>
    <n v="59"/>
  </r>
  <r>
    <s v="C712"/>
    <x v="0"/>
    <x v="2"/>
    <x v="0"/>
    <x v="1"/>
    <x v="1"/>
    <n v="93"/>
    <n v="86"/>
    <n v="73"/>
  </r>
  <r>
    <s v="C713"/>
    <x v="0"/>
    <x v="4"/>
    <x v="3"/>
    <x v="1"/>
    <x v="0"/>
    <n v="49"/>
    <n v="37"/>
    <n v="41"/>
  </r>
  <r>
    <s v="C714"/>
    <x v="1"/>
    <x v="2"/>
    <x v="5"/>
    <x v="0"/>
    <x v="1"/>
    <n v="59"/>
    <n v="57"/>
    <n v="58"/>
  </r>
  <r>
    <s v="C715"/>
    <x v="1"/>
    <x v="4"/>
    <x v="1"/>
    <x v="0"/>
    <x v="0"/>
    <n v="64"/>
    <n v="74"/>
    <n v="75"/>
  </r>
  <r>
    <s v="C716"/>
    <x v="0"/>
    <x v="1"/>
    <x v="1"/>
    <x v="0"/>
    <x v="1"/>
    <n v="73"/>
    <n v="66"/>
    <n v="59"/>
  </r>
  <r>
    <s v="C717"/>
    <x v="1"/>
    <x v="3"/>
    <x v="2"/>
    <x v="0"/>
    <x v="0"/>
    <n v="82"/>
    <n v="86"/>
    <n v="90"/>
  </r>
  <r>
    <s v="C718"/>
    <x v="0"/>
    <x v="1"/>
    <x v="0"/>
    <x v="1"/>
    <x v="1"/>
    <n v="48"/>
    <n v="43"/>
    <n v="41"/>
  </r>
  <r>
    <s v="C719"/>
    <x v="1"/>
    <x v="0"/>
    <x v="1"/>
    <x v="1"/>
    <x v="0"/>
    <n v="51"/>
    <n v="64"/>
    <n v="62"/>
  </r>
  <r>
    <s v="C720"/>
    <x v="1"/>
    <x v="2"/>
    <x v="1"/>
    <x v="1"/>
    <x v="0"/>
    <n v="38"/>
    <n v="46"/>
    <n v="43"/>
  </r>
  <r>
    <s v="C721"/>
    <x v="0"/>
    <x v="3"/>
    <x v="2"/>
    <x v="1"/>
    <x v="1"/>
    <n v="45"/>
    <n v="50"/>
    <n v="42"/>
  </r>
  <r>
    <s v="C722"/>
    <x v="1"/>
    <x v="0"/>
    <x v="2"/>
    <x v="0"/>
    <x v="0"/>
    <n v="83"/>
    <n v="92"/>
    <n v="95"/>
  </r>
  <r>
    <s v="C723"/>
    <x v="1"/>
    <x v="3"/>
    <x v="1"/>
    <x v="0"/>
    <x v="0"/>
    <n v="45"/>
    <n v="57"/>
    <n v="56"/>
  </r>
  <r>
    <s v="C724"/>
    <x v="0"/>
    <x v="1"/>
    <x v="0"/>
    <x v="1"/>
    <x v="1"/>
    <n v="66"/>
    <n v="64"/>
    <n v="62"/>
  </r>
  <r>
    <s v="C725"/>
    <x v="0"/>
    <x v="1"/>
    <x v="0"/>
    <x v="1"/>
    <x v="0"/>
    <n v="60"/>
    <n v="62"/>
    <n v="57"/>
  </r>
  <r>
    <s v="C726"/>
    <x v="0"/>
    <x v="4"/>
    <x v="3"/>
    <x v="0"/>
    <x v="1"/>
    <n v="49"/>
    <n v="47"/>
    <n v="49"/>
  </r>
  <r>
    <s v="C727"/>
    <x v="0"/>
    <x v="1"/>
    <x v="4"/>
    <x v="0"/>
    <x v="1"/>
    <n v="80"/>
    <n v="84"/>
    <n v="86"/>
  </r>
  <r>
    <s v="C728"/>
    <x v="0"/>
    <x v="2"/>
    <x v="0"/>
    <x v="0"/>
    <x v="1"/>
    <n v="75"/>
    <n v="68"/>
    <n v="66"/>
  </r>
  <r>
    <s v="C729"/>
    <x v="0"/>
    <x v="3"/>
    <x v="2"/>
    <x v="1"/>
    <x v="0"/>
    <n v="57"/>
    <n v="68"/>
    <n v="61"/>
  </r>
  <r>
    <s v="C730"/>
    <x v="1"/>
    <x v="3"/>
    <x v="1"/>
    <x v="1"/>
    <x v="1"/>
    <n v="25"/>
    <n v="36"/>
    <n v="37"/>
  </r>
  <r>
    <s v="C731"/>
    <x v="0"/>
    <x v="2"/>
    <x v="2"/>
    <x v="1"/>
    <x v="1"/>
    <n v="90"/>
    <n v="87"/>
    <n v="81"/>
  </r>
  <r>
    <s v="C732"/>
    <x v="1"/>
    <x v="1"/>
    <x v="2"/>
    <x v="0"/>
    <x v="1"/>
    <n v="63"/>
    <n v="70"/>
    <n v="71"/>
  </r>
  <r>
    <s v="C733"/>
    <x v="0"/>
    <x v="2"/>
    <x v="3"/>
    <x v="0"/>
    <x v="1"/>
    <n v="100"/>
    <n v="91"/>
    <n v="86"/>
  </r>
  <r>
    <s v="C734"/>
    <x v="0"/>
    <x v="4"/>
    <x v="3"/>
    <x v="1"/>
    <x v="1"/>
    <n v="76"/>
    <n v="68"/>
    <n v="66"/>
  </r>
  <r>
    <s v="C735"/>
    <x v="1"/>
    <x v="3"/>
    <x v="1"/>
    <x v="1"/>
    <x v="1"/>
    <n v="52"/>
    <n v="58"/>
    <n v="53"/>
  </r>
  <r>
    <s v="C736"/>
    <x v="1"/>
    <x v="3"/>
    <x v="5"/>
    <x v="0"/>
    <x v="0"/>
    <n v="81"/>
    <n v="86"/>
    <n v="93"/>
  </r>
  <r>
    <s v="C737"/>
    <x v="0"/>
    <x v="4"/>
    <x v="3"/>
    <x v="0"/>
    <x v="0"/>
    <n v="90"/>
    <n v="89"/>
    <n v="87"/>
  </r>
  <r>
    <s v="C738"/>
    <x v="0"/>
    <x v="1"/>
    <x v="3"/>
    <x v="0"/>
    <x v="1"/>
    <n v="83"/>
    <n v="82"/>
    <n v="81"/>
  </r>
  <r>
    <s v="C739"/>
    <x v="1"/>
    <x v="3"/>
    <x v="0"/>
    <x v="0"/>
    <x v="1"/>
    <n v="61"/>
    <n v="73"/>
    <n v="69"/>
  </r>
  <r>
    <s v="C740"/>
    <x v="1"/>
    <x v="2"/>
    <x v="3"/>
    <x v="0"/>
    <x v="0"/>
    <n v="79"/>
    <n v="69"/>
    <n v="75"/>
  </r>
  <r>
    <s v="C741"/>
    <x v="0"/>
    <x v="3"/>
    <x v="2"/>
    <x v="0"/>
    <x v="1"/>
    <n v="52"/>
    <n v="53"/>
    <n v="51"/>
  </r>
  <r>
    <s v="C742"/>
    <x v="1"/>
    <x v="3"/>
    <x v="4"/>
    <x v="0"/>
    <x v="0"/>
    <n v="62"/>
    <n v="65"/>
    <n v="67"/>
  </r>
  <r>
    <s v="C743"/>
    <x v="1"/>
    <x v="1"/>
    <x v="2"/>
    <x v="0"/>
    <x v="1"/>
    <n v="85"/>
    <n v="90"/>
    <n v="84"/>
  </r>
  <r>
    <s v="C744"/>
    <x v="1"/>
    <x v="2"/>
    <x v="0"/>
    <x v="1"/>
    <x v="0"/>
    <n v="74"/>
    <n v="96"/>
    <n v="95"/>
  </r>
  <r>
    <s v="C745"/>
    <x v="0"/>
    <x v="4"/>
    <x v="3"/>
    <x v="1"/>
    <x v="1"/>
    <n v="83"/>
    <n v="85"/>
    <n v="78"/>
  </r>
  <r>
    <s v="C746"/>
    <x v="0"/>
    <x v="4"/>
    <x v="2"/>
    <x v="0"/>
    <x v="1"/>
    <n v="78"/>
    <n v="72"/>
    <n v="72"/>
  </r>
  <r>
    <s v="C747"/>
    <x v="1"/>
    <x v="4"/>
    <x v="0"/>
    <x v="1"/>
    <x v="1"/>
    <n v="41"/>
    <n v="43"/>
    <n v="40"/>
  </r>
  <r>
    <s v="C748"/>
    <x v="1"/>
    <x v="0"/>
    <x v="0"/>
    <x v="0"/>
    <x v="1"/>
    <n v="77"/>
    <n v="91"/>
    <n v="87"/>
  </r>
  <r>
    <s v="C749"/>
    <x v="0"/>
    <x v="4"/>
    <x v="4"/>
    <x v="0"/>
    <x v="1"/>
    <n v="95"/>
    <n v="99"/>
    <n v="91"/>
  </r>
  <r>
    <s v="C750"/>
    <x v="1"/>
    <x v="3"/>
    <x v="0"/>
    <x v="1"/>
    <x v="1"/>
    <n v="50"/>
    <n v="68"/>
    <n v="66"/>
  </r>
  <r>
    <s v="C751"/>
    <x v="0"/>
    <x v="4"/>
    <x v="2"/>
    <x v="0"/>
    <x v="1"/>
    <n v="74"/>
    <n v="76"/>
    <n v="70"/>
  </r>
  <r>
    <s v="C752"/>
    <x v="1"/>
    <x v="1"/>
    <x v="4"/>
    <x v="0"/>
    <x v="0"/>
    <n v="74"/>
    <n v="93"/>
    <n v="93"/>
  </r>
  <r>
    <s v="C753"/>
    <x v="0"/>
    <x v="2"/>
    <x v="0"/>
    <x v="0"/>
    <x v="1"/>
    <n v="70"/>
    <n v="62"/>
    <n v="61"/>
  </r>
  <r>
    <s v="C754"/>
    <x v="0"/>
    <x v="1"/>
    <x v="3"/>
    <x v="1"/>
    <x v="1"/>
    <n v="61"/>
    <n v="59"/>
    <n v="54"/>
  </r>
  <r>
    <s v="C755"/>
    <x v="1"/>
    <x v="0"/>
    <x v="5"/>
    <x v="0"/>
    <x v="0"/>
    <n v="94"/>
    <n v="100"/>
    <n v="100"/>
  </r>
  <r>
    <s v="C756"/>
    <x v="1"/>
    <x v="1"/>
    <x v="0"/>
    <x v="0"/>
    <x v="1"/>
    <n v="66"/>
    <n v="84"/>
    <n v="77"/>
  </r>
  <r>
    <s v="C757"/>
    <x v="1"/>
    <x v="1"/>
    <x v="5"/>
    <x v="0"/>
    <x v="1"/>
    <n v="83"/>
    <n v="88"/>
    <n v="93"/>
  </r>
  <r>
    <s v="C758"/>
    <x v="0"/>
    <x v="1"/>
    <x v="0"/>
    <x v="0"/>
    <x v="1"/>
    <n v="75"/>
    <n v="63"/>
    <n v="60"/>
  </r>
  <r>
    <s v="C759"/>
    <x v="0"/>
    <x v="1"/>
    <x v="0"/>
    <x v="1"/>
    <x v="0"/>
    <n v="56"/>
    <n v="65"/>
    <n v="63"/>
  </r>
  <r>
    <s v="C760"/>
    <x v="1"/>
    <x v="3"/>
    <x v="2"/>
    <x v="1"/>
    <x v="1"/>
    <n v="66"/>
    <n v="88"/>
    <n v="83"/>
  </r>
  <r>
    <s v="C761"/>
    <x v="1"/>
    <x v="3"/>
    <x v="0"/>
    <x v="1"/>
    <x v="1"/>
    <n v="61"/>
    <n v="69"/>
    <n v="66"/>
  </r>
  <r>
    <s v="C762"/>
    <x v="0"/>
    <x v="4"/>
    <x v="1"/>
    <x v="0"/>
    <x v="0"/>
    <n v="70"/>
    <n v="79"/>
    <n v="73"/>
  </r>
  <r>
    <s v="C763"/>
    <x v="0"/>
    <x v="4"/>
    <x v="5"/>
    <x v="0"/>
    <x v="1"/>
    <n v="57"/>
    <n v="59"/>
    <n v="53"/>
  </r>
  <r>
    <s v="C764"/>
    <x v="1"/>
    <x v="4"/>
    <x v="3"/>
    <x v="1"/>
    <x v="0"/>
    <n v="78"/>
    <n v="89"/>
    <n v="90"/>
  </r>
  <r>
    <s v="C765"/>
    <x v="1"/>
    <x v="4"/>
    <x v="1"/>
    <x v="0"/>
    <x v="1"/>
    <n v="62"/>
    <n v="76"/>
    <n v="67"/>
  </r>
  <r>
    <s v="C766"/>
    <x v="0"/>
    <x v="4"/>
    <x v="1"/>
    <x v="0"/>
    <x v="0"/>
    <n v="64"/>
    <n v="53"/>
    <n v="49"/>
  </r>
  <r>
    <s v="C767"/>
    <x v="1"/>
    <x v="3"/>
    <x v="0"/>
    <x v="1"/>
    <x v="1"/>
    <n v="55"/>
    <n v="66"/>
    <n v="65"/>
  </r>
  <r>
    <s v="C768"/>
    <x v="1"/>
    <x v="1"/>
    <x v="2"/>
    <x v="0"/>
    <x v="1"/>
    <n v="72"/>
    <n v="83"/>
    <n v="83"/>
  </r>
  <r>
    <s v="C769"/>
    <x v="0"/>
    <x v="0"/>
    <x v="2"/>
    <x v="1"/>
    <x v="1"/>
    <n v="49"/>
    <n v="48"/>
    <n v="42"/>
  </r>
  <r>
    <s v="C770"/>
    <x v="1"/>
    <x v="1"/>
    <x v="2"/>
    <x v="0"/>
    <x v="1"/>
    <n v="62"/>
    <n v="60"/>
    <n v="63"/>
  </r>
  <r>
    <s v="C771"/>
    <x v="0"/>
    <x v="3"/>
    <x v="1"/>
    <x v="1"/>
    <x v="1"/>
    <n v="76"/>
    <n v="73"/>
    <n v="68"/>
  </r>
  <r>
    <s v="C772"/>
    <x v="1"/>
    <x v="4"/>
    <x v="5"/>
    <x v="0"/>
    <x v="0"/>
    <n v="73"/>
    <n v="86"/>
    <n v="85"/>
  </r>
  <r>
    <s v="C773"/>
    <x v="1"/>
    <x v="4"/>
    <x v="3"/>
    <x v="0"/>
    <x v="0"/>
    <n v="72"/>
    <n v="76"/>
    <n v="78"/>
  </r>
  <r>
    <s v="C774"/>
    <x v="0"/>
    <x v="4"/>
    <x v="0"/>
    <x v="0"/>
    <x v="1"/>
    <n v="85"/>
    <n v="85"/>
    <n v="76"/>
  </r>
  <r>
    <s v="C775"/>
    <x v="0"/>
    <x v="0"/>
    <x v="2"/>
    <x v="1"/>
    <x v="1"/>
    <n v="71"/>
    <n v="68"/>
    <n v="65"/>
  </r>
  <r>
    <s v="C776"/>
    <x v="1"/>
    <x v="4"/>
    <x v="1"/>
    <x v="1"/>
    <x v="1"/>
    <n v="28"/>
    <n v="38"/>
    <n v="31"/>
  </r>
  <r>
    <s v="C777"/>
    <x v="0"/>
    <x v="4"/>
    <x v="0"/>
    <x v="1"/>
    <x v="1"/>
    <n v="41"/>
    <n v="42"/>
    <n v="38"/>
  </r>
  <r>
    <s v="C778"/>
    <x v="0"/>
    <x v="2"/>
    <x v="3"/>
    <x v="0"/>
    <x v="1"/>
    <n v="78"/>
    <n v="72"/>
    <n v="68"/>
  </r>
  <r>
    <s v="C779"/>
    <x v="0"/>
    <x v="4"/>
    <x v="5"/>
    <x v="1"/>
    <x v="1"/>
    <n v="48"/>
    <n v="52"/>
    <n v="44"/>
  </r>
  <r>
    <s v="C780"/>
    <x v="0"/>
    <x v="4"/>
    <x v="3"/>
    <x v="1"/>
    <x v="1"/>
    <n v="38"/>
    <n v="51"/>
    <n v="47"/>
  </r>
  <r>
    <s v="C781"/>
    <x v="1"/>
    <x v="0"/>
    <x v="4"/>
    <x v="0"/>
    <x v="0"/>
    <n v="91"/>
    <n v="100"/>
    <n v="100"/>
  </r>
  <r>
    <s v="C782"/>
    <x v="1"/>
    <x v="1"/>
    <x v="4"/>
    <x v="0"/>
    <x v="1"/>
    <n v="71"/>
    <n v="81"/>
    <n v="80"/>
  </r>
  <r>
    <s v="C783"/>
    <x v="1"/>
    <x v="1"/>
    <x v="4"/>
    <x v="0"/>
    <x v="1"/>
    <n v="84"/>
    <n v="87"/>
    <n v="92"/>
  </r>
  <r>
    <s v="C784"/>
    <x v="0"/>
    <x v="2"/>
    <x v="3"/>
    <x v="1"/>
    <x v="0"/>
    <n v="63"/>
    <n v="60"/>
    <n v="63"/>
  </r>
  <r>
    <s v="C785"/>
    <x v="1"/>
    <x v="0"/>
    <x v="3"/>
    <x v="0"/>
    <x v="0"/>
    <n v="70"/>
    <n v="78"/>
    <n v="87"/>
  </r>
  <r>
    <s v="C786"/>
    <x v="0"/>
    <x v="3"/>
    <x v="4"/>
    <x v="1"/>
    <x v="0"/>
    <n v="48"/>
    <n v="52"/>
    <n v="57"/>
  </r>
  <r>
    <s v="C787"/>
    <x v="0"/>
    <x v="1"/>
    <x v="1"/>
    <x v="0"/>
    <x v="0"/>
    <n v="68"/>
    <n v="72"/>
    <n v="73"/>
  </r>
  <r>
    <s v="C788"/>
    <x v="1"/>
    <x v="1"/>
    <x v="2"/>
    <x v="0"/>
    <x v="1"/>
    <n v="84"/>
    <n v="84"/>
    <n v="87"/>
  </r>
  <r>
    <s v="C789"/>
    <x v="0"/>
    <x v="1"/>
    <x v="0"/>
    <x v="0"/>
    <x v="1"/>
    <n v="61"/>
    <n v="62"/>
    <n v="60"/>
  </r>
  <r>
    <s v="C790"/>
    <x v="0"/>
    <x v="4"/>
    <x v="1"/>
    <x v="1"/>
    <x v="1"/>
    <n v="62"/>
    <n v="59"/>
    <n v="62"/>
  </r>
  <r>
    <s v="C791"/>
    <x v="1"/>
    <x v="4"/>
    <x v="5"/>
    <x v="1"/>
    <x v="1"/>
    <n v="66"/>
    <n v="78"/>
    <n v="83"/>
  </r>
  <r>
    <s v="C792"/>
    <x v="1"/>
    <x v="4"/>
    <x v="0"/>
    <x v="0"/>
    <x v="0"/>
    <n v="52"/>
    <n v="65"/>
    <n v="71"/>
  </r>
  <r>
    <s v="C793"/>
    <x v="1"/>
    <x v="1"/>
    <x v="2"/>
    <x v="0"/>
    <x v="0"/>
    <n v="68"/>
    <n v="75"/>
    <n v="73"/>
  </r>
  <r>
    <s v="C794"/>
    <x v="0"/>
    <x v="1"/>
    <x v="2"/>
    <x v="1"/>
    <x v="0"/>
    <n v="62"/>
    <n v="68"/>
    <n v="71"/>
  </r>
  <r>
    <s v="C795"/>
    <x v="0"/>
    <x v="2"/>
    <x v="4"/>
    <x v="0"/>
    <x v="0"/>
    <n v="90"/>
    <n v="88"/>
    <n v="84"/>
  </r>
  <r>
    <s v="C796"/>
    <x v="1"/>
    <x v="0"/>
    <x v="5"/>
    <x v="1"/>
    <x v="1"/>
    <n v="42"/>
    <n v="50"/>
    <n v="44"/>
  </r>
  <r>
    <s v="C797"/>
    <x v="0"/>
    <x v="1"/>
    <x v="3"/>
    <x v="1"/>
    <x v="0"/>
    <n v="74"/>
    <n v="90"/>
    <n v="89"/>
  </r>
  <r>
    <s v="C798"/>
    <x v="0"/>
    <x v="3"/>
    <x v="3"/>
    <x v="0"/>
    <x v="0"/>
    <n v="62"/>
    <n v="61"/>
    <n v="61"/>
  </r>
  <r>
    <s v="C799"/>
    <x v="0"/>
    <x v="4"/>
    <x v="2"/>
    <x v="0"/>
    <x v="1"/>
    <n v="56"/>
    <n v="55"/>
    <n v="50"/>
  </r>
  <r>
    <s v="C800"/>
    <x v="0"/>
    <x v="4"/>
    <x v="0"/>
    <x v="1"/>
    <x v="1"/>
    <n v="64"/>
    <n v="52"/>
    <n v="54"/>
  </r>
  <r>
    <s v="C801"/>
    <x v="0"/>
    <x v="1"/>
    <x v="0"/>
    <x v="0"/>
    <x v="0"/>
    <n v="79"/>
    <n v="84"/>
    <n v="80"/>
  </r>
  <r>
    <s v="C802"/>
    <x v="1"/>
    <x v="4"/>
    <x v="1"/>
    <x v="0"/>
    <x v="1"/>
    <n v="44"/>
    <n v="65"/>
    <n v="63"/>
  </r>
  <r>
    <s v="C803"/>
    <x v="1"/>
    <x v="3"/>
    <x v="2"/>
    <x v="0"/>
    <x v="0"/>
    <n v="69"/>
    <n v="94"/>
    <n v="87"/>
  </r>
  <r>
    <s v="C804"/>
    <x v="0"/>
    <x v="0"/>
    <x v="2"/>
    <x v="0"/>
    <x v="1"/>
    <n v="53"/>
    <n v="48"/>
    <n v="48"/>
  </r>
  <r>
    <s v="C805"/>
    <x v="0"/>
    <x v="4"/>
    <x v="0"/>
    <x v="0"/>
    <x v="1"/>
    <n v="74"/>
    <n v="69"/>
    <n v="61"/>
  </r>
  <r>
    <s v="C806"/>
    <x v="0"/>
    <x v="4"/>
    <x v="3"/>
    <x v="0"/>
    <x v="1"/>
    <n v="49"/>
    <n v="55"/>
    <n v="48"/>
  </r>
  <r>
    <s v="C807"/>
    <x v="1"/>
    <x v="1"/>
    <x v="3"/>
    <x v="1"/>
    <x v="1"/>
    <n v="57"/>
    <n v="71"/>
    <n v="71"/>
  </r>
  <r>
    <s v="C808"/>
    <x v="1"/>
    <x v="1"/>
    <x v="5"/>
    <x v="0"/>
    <x v="1"/>
    <n v="61"/>
    <n v="72"/>
    <n v="64"/>
  </r>
  <r>
    <s v="C809"/>
    <x v="1"/>
    <x v="4"/>
    <x v="5"/>
    <x v="1"/>
    <x v="1"/>
    <n v="65"/>
    <n v="88"/>
    <n v="84"/>
  </r>
  <r>
    <s v="C810"/>
    <x v="1"/>
    <x v="4"/>
    <x v="2"/>
    <x v="0"/>
    <x v="1"/>
    <n v="51"/>
    <n v="60"/>
    <n v="52"/>
  </r>
  <r>
    <s v="C811"/>
    <x v="1"/>
    <x v="4"/>
    <x v="1"/>
    <x v="0"/>
    <x v="1"/>
    <n v="49"/>
    <n v="51"/>
    <n v="41"/>
  </r>
  <r>
    <s v="C812"/>
    <x v="0"/>
    <x v="3"/>
    <x v="5"/>
    <x v="1"/>
    <x v="1"/>
    <n v="56"/>
    <n v="65"/>
    <n v="56"/>
  </r>
  <r>
    <s v="C813"/>
    <x v="0"/>
    <x v="1"/>
    <x v="3"/>
    <x v="0"/>
    <x v="1"/>
    <n v="65"/>
    <n v="62"/>
    <n v="63"/>
  </r>
  <r>
    <s v="C814"/>
    <x v="0"/>
    <x v="1"/>
    <x v="2"/>
    <x v="0"/>
    <x v="1"/>
    <n v="70"/>
    <n v="64"/>
    <n v="62"/>
  </r>
  <r>
    <s v="C815"/>
    <x v="0"/>
    <x v="1"/>
    <x v="2"/>
    <x v="0"/>
    <x v="1"/>
    <n v="91"/>
    <n v="95"/>
    <n v="88"/>
  </r>
  <r>
    <s v="C816"/>
    <x v="1"/>
    <x v="1"/>
    <x v="0"/>
    <x v="0"/>
    <x v="0"/>
    <n v="48"/>
    <n v="56"/>
    <n v="64"/>
  </r>
  <r>
    <s v="C817"/>
    <x v="1"/>
    <x v="4"/>
    <x v="3"/>
    <x v="0"/>
    <x v="0"/>
    <n v="94"/>
    <n v="99"/>
    <n v="100"/>
  </r>
  <r>
    <s v="C818"/>
    <x v="0"/>
    <x v="3"/>
    <x v="5"/>
    <x v="0"/>
    <x v="1"/>
    <n v="77"/>
    <n v="76"/>
    <n v="73"/>
  </r>
  <r>
    <s v="C819"/>
    <x v="1"/>
    <x v="1"/>
    <x v="1"/>
    <x v="0"/>
    <x v="1"/>
    <n v="59"/>
    <n v="78"/>
    <n v="75"/>
  </r>
  <r>
    <s v="C820"/>
    <x v="1"/>
    <x v="4"/>
    <x v="2"/>
    <x v="1"/>
    <x v="1"/>
    <n v="57"/>
    <n v="75"/>
    <n v="70"/>
  </r>
  <r>
    <s v="C821"/>
    <x v="1"/>
    <x v="4"/>
    <x v="1"/>
    <x v="0"/>
    <x v="1"/>
    <n v="76"/>
    <n v="82"/>
    <n v="74"/>
  </r>
  <r>
    <s v="C822"/>
    <x v="0"/>
    <x v="1"/>
    <x v="0"/>
    <x v="0"/>
    <x v="1"/>
    <n v="65"/>
    <n v="63"/>
    <n v="64"/>
  </r>
  <r>
    <s v="C823"/>
    <x v="1"/>
    <x v="3"/>
    <x v="5"/>
    <x v="0"/>
    <x v="0"/>
    <n v="75"/>
    <n v="75"/>
    <n v="83"/>
  </r>
  <r>
    <s v="C824"/>
    <x v="0"/>
    <x v="1"/>
    <x v="5"/>
    <x v="0"/>
    <x v="1"/>
    <n v="70"/>
    <n v="66"/>
    <n v="65"/>
  </r>
  <r>
    <s v="C825"/>
    <x v="0"/>
    <x v="4"/>
    <x v="0"/>
    <x v="0"/>
    <x v="0"/>
    <n v="79"/>
    <n v="79"/>
    <n v="70"/>
  </r>
  <r>
    <s v="C826"/>
    <x v="0"/>
    <x v="2"/>
    <x v="3"/>
    <x v="0"/>
    <x v="0"/>
    <n v="100"/>
    <n v="100"/>
    <n v="100"/>
  </r>
  <r>
    <s v="C827"/>
    <x v="1"/>
    <x v="0"/>
    <x v="4"/>
    <x v="0"/>
    <x v="0"/>
    <n v="83"/>
    <n v="96"/>
    <n v="99"/>
  </r>
  <r>
    <s v="C828"/>
    <x v="1"/>
    <x v="4"/>
    <x v="3"/>
    <x v="1"/>
    <x v="1"/>
    <n v="70"/>
    <n v="84"/>
    <n v="78"/>
  </r>
  <r>
    <s v="C829"/>
    <x v="0"/>
    <x v="2"/>
    <x v="1"/>
    <x v="0"/>
    <x v="0"/>
    <n v="97"/>
    <n v="80"/>
    <n v="88"/>
  </r>
  <r>
    <s v="C830"/>
    <x v="1"/>
    <x v="2"/>
    <x v="0"/>
    <x v="1"/>
    <x v="1"/>
    <n v="33"/>
    <n v="32"/>
    <n v="35"/>
  </r>
  <r>
    <s v="C831"/>
    <x v="0"/>
    <x v="3"/>
    <x v="5"/>
    <x v="1"/>
    <x v="1"/>
    <n v="38"/>
    <n v="40"/>
    <n v="41"/>
  </r>
  <r>
    <s v="C832"/>
    <x v="0"/>
    <x v="4"/>
    <x v="2"/>
    <x v="0"/>
    <x v="0"/>
    <n v="46"/>
    <n v="51"/>
    <n v="47"/>
  </r>
  <r>
    <s v="C833"/>
    <x v="1"/>
    <x v="1"/>
    <x v="2"/>
    <x v="1"/>
    <x v="1"/>
    <n v="13"/>
    <n v="36"/>
    <n v="37"/>
  </r>
  <r>
    <s v="C834"/>
    <x v="0"/>
    <x v="0"/>
    <x v="5"/>
    <x v="0"/>
    <x v="1"/>
    <n v="85"/>
    <n v="83"/>
    <n v="78"/>
  </r>
  <r>
    <s v="C835"/>
    <x v="1"/>
    <x v="3"/>
    <x v="2"/>
    <x v="0"/>
    <x v="1"/>
    <n v="79"/>
    <n v="79"/>
    <n v="80"/>
  </r>
  <r>
    <s v="C836"/>
    <x v="1"/>
    <x v="3"/>
    <x v="1"/>
    <x v="0"/>
    <x v="1"/>
    <n v="76"/>
    <n v="81"/>
    <n v="79"/>
  </r>
  <r>
    <s v="C837"/>
    <x v="1"/>
    <x v="4"/>
    <x v="1"/>
    <x v="1"/>
    <x v="0"/>
    <n v="53"/>
    <n v="70"/>
    <n v="65"/>
  </r>
  <r>
    <s v="C838"/>
    <x v="0"/>
    <x v="0"/>
    <x v="0"/>
    <x v="0"/>
    <x v="0"/>
    <n v="68"/>
    <n v="70"/>
    <n v="63"/>
  </r>
  <r>
    <s v="C839"/>
    <x v="0"/>
    <x v="1"/>
    <x v="3"/>
    <x v="1"/>
    <x v="0"/>
    <n v="67"/>
    <n v="70"/>
    <n v="70"/>
  </r>
  <r>
    <s v="C840"/>
    <x v="0"/>
    <x v="2"/>
    <x v="2"/>
    <x v="0"/>
    <x v="0"/>
    <n v="100"/>
    <n v="84"/>
    <n v="88"/>
  </r>
  <r>
    <s v="C841"/>
    <x v="0"/>
    <x v="4"/>
    <x v="3"/>
    <x v="1"/>
    <x v="1"/>
    <n v="54"/>
    <n v="48"/>
    <n v="45"/>
  </r>
  <r>
    <s v="C842"/>
    <x v="1"/>
    <x v="2"/>
    <x v="3"/>
    <x v="1"/>
    <x v="1"/>
    <n v="72"/>
    <n v="73"/>
    <n v="70"/>
  </r>
  <r>
    <s v="C843"/>
    <x v="0"/>
    <x v="0"/>
    <x v="2"/>
    <x v="0"/>
    <x v="0"/>
    <n v="91"/>
    <n v="97"/>
    <n v="95"/>
  </r>
  <r>
    <s v="C844"/>
    <x v="0"/>
    <x v="1"/>
    <x v="5"/>
    <x v="0"/>
    <x v="0"/>
    <n v="87"/>
    <n v="81"/>
    <n v="86"/>
  </r>
  <r>
    <s v="C845"/>
    <x v="1"/>
    <x v="1"/>
    <x v="3"/>
    <x v="1"/>
    <x v="1"/>
    <n v="66"/>
    <n v="75"/>
    <n v="74"/>
  </r>
  <r>
    <s v="C846"/>
    <x v="0"/>
    <x v="4"/>
    <x v="1"/>
    <x v="0"/>
    <x v="1"/>
    <n v="65"/>
    <n v="66"/>
    <n v="64"/>
  </r>
  <r>
    <s v="C847"/>
    <x v="1"/>
    <x v="2"/>
    <x v="3"/>
    <x v="1"/>
    <x v="0"/>
    <n v="41"/>
    <n v="56"/>
    <n v="53"/>
  </r>
  <r>
    <s v="C848"/>
    <x v="1"/>
    <x v="4"/>
    <x v="3"/>
    <x v="0"/>
    <x v="1"/>
    <n v="67"/>
    <n v="69"/>
    <n v="65"/>
  </r>
  <r>
    <s v="C849"/>
    <x v="0"/>
    <x v="2"/>
    <x v="0"/>
    <x v="0"/>
    <x v="1"/>
    <n v="94"/>
    <n v="89"/>
    <n v="86"/>
  </r>
  <r>
    <s v="C850"/>
    <x v="1"/>
    <x v="3"/>
    <x v="4"/>
    <x v="1"/>
    <x v="0"/>
    <n v="57"/>
    <n v="70"/>
    <n v="68"/>
  </r>
  <r>
    <s v="C851"/>
    <x v="0"/>
    <x v="0"/>
    <x v="0"/>
    <x v="0"/>
    <x v="1"/>
    <n v="89"/>
    <n v="83"/>
    <n v="80"/>
  </r>
  <r>
    <s v="C852"/>
    <x v="0"/>
    <x v="0"/>
    <x v="3"/>
    <x v="0"/>
    <x v="0"/>
    <n v="77"/>
    <n v="73"/>
    <n v="80"/>
  </r>
  <r>
    <s v="C853"/>
    <x v="0"/>
    <x v="4"/>
    <x v="1"/>
    <x v="0"/>
    <x v="1"/>
    <n v="57"/>
    <n v="60"/>
    <n v="50"/>
  </r>
  <r>
    <s v="C854"/>
    <x v="0"/>
    <x v="1"/>
    <x v="2"/>
    <x v="0"/>
    <x v="0"/>
    <n v="72"/>
    <n v="72"/>
    <n v="72"/>
  </r>
  <r>
    <s v="C855"/>
    <x v="0"/>
    <x v="1"/>
    <x v="4"/>
    <x v="0"/>
    <x v="0"/>
    <n v="98"/>
    <n v="94"/>
    <n v="95"/>
  </r>
  <r>
    <s v="C856"/>
    <x v="1"/>
    <x v="1"/>
    <x v="5"/>
    <x v="0"/>
    <x v="1"/>
    <n v="87"/>
    <n v="97"/>
    <n v="100"/>
  </r>
  <r>
    <s v="C857"/>
    <x v="0"/>
    <x v="4"/>
    <x v="1"/>
    <x v="1"/>
    <x v="1"/>
    <n v="61"/>
    <n v="57"/>
    <n v="55"/>
  </r>
  <r>
    <s v="C858"/>
    <x v="1"/>
    <x v="4"/>
    <x v="5"/>
    <x v="0"/>
    <x v="1"/>
    <n v="85"/>
    <n v="100"/>
    <n v="97"/>
  </r>
  <r>
    <s v="C859"/>
    <x v="1"/>
    <x v="1"/>
    <x v="1"/>
    <x v="0"/>
    <x v="1"/>
    <n v="81"/>
    <n v="85"/>
    <n v="91"/>
  </r>
  <r>
    <s v="C860"/>
    <x v="1"/>
    <x v="1"/>
    <x v="0"/>
    <x v="0"/>
    <x v="0"/>
    <n v="74"/>
    <n v="84"/>
    <n v="79"/>
  </r>
  <r>
    <s v="C861"/>
    <x v="0"/>
    <x v="4"/>
    <x v="4"/>
    <x v="0"/>
    <x v="1"/>
    <n v="98"/>
    <n v="92"/>
    <n v="90"/>
  </r>
  <r>
    <s v="C862"/>
    <x v="1"/>
    <x v="1"/>
    <x v="2"/>
    <x v="0"/>
    <x v="1"/>
    <n v="86"/>
    <n v="84"/>
    <n v="89"/>
  </r>
  <r>
    <s v="C863"/>
    <x v="0"/>
    <x v="4"/>
    <x v="4"/>
    <x v="0"/>
    <x v="0"/>
    <n v="85"/>
    <n v="81"/>
    <n v="82"/>
  </r>
  <r>
    <s v="C864"/>
    <x v="0"/>
    <x v="4"/>
    <x v="2"/>
    <x v="0"/>
    <x v="1"/>
    <n v="68"/>
    <n v="71"/>
    <n v="63"/>
  </r>
  <r>
    <s v="C865"/>
    <x v="1"/>
    <x v="2"/>
    <x v="0"/>
    <x v="1"/>
    <x v="0"/>
    <n v="66"/>
    <n v="78"/>
    <n v="77"/>
  </r>
  <r>
    <s v="C866"/>
    <x v="0"/>
    <x v="3"/>
    <x v="1"/>
    <x v="1"/>
    <x v="0"/>
    <n v="75"/>
    <n v="74"/>
    <n v="71"/>
  </r>
  <r>
    <s v="C867"/>
    <x v="0"/>
    <x v="4"/>
    <x v="4"/>
    <x v="0"/>
    <x v="1"/>
    <n v="79"/>
    <n v="57"/>
    <n v="58"/>
  </r>
  <r>
    <s v="C868"/>
    <x v="1"/>
    <x v="3"/>
    <x v="4"/>
    <x v="1"/>
    <x v="1"/>
    <n v="59"/>
    <n v="85"/>
    <n v="82"/>
  </r>
  <r>
    <s v="C869"/>
    <x v="0"/>
    <x v="3"/>
    <x v="5"/>
    <x v="1"/>
    <x v="1"/>
    <n v="60"/>
    <n v="62"/>
    <n v="58"/>
  </r>
  <r>
    <s v="C870"/>
    <x v="0"/>
    <x v="1"/>
    <x v="0"/>
    <x v="0"/>
    <x v="1"/>
    <n v="69"/>
    <n v="60"/>
    <n v="54"/>
  </r>
  <r>
    <s v="C871"/>
    <x v="1"/>
    <x v="3"/>
    <x v="0"/>
    <x v="1"/>
    <x v="1"/>
    <n v="49"/>
    <n v="54"/>
    <n v="58"/>
  </r>
  <r>
    <s v="C872"/>
    <x v="0"/>
    <x v="1"/>
    <x v="2"/>
    <x v="0"/>
    <x v="1"/>
    <n v="62"/>
    <n v="44"/>
    <n v="52"/>
  </r>
  <r>
    <s v="C873"/>
    <x v="1"/>
    <x v="2"/>
    <x v="0"/>
    <x v="1"/>
    <x v="0"/>
    <n v="70"/>
    <n v="84"/>
    <n v="83"/>
  </r>
  <r>
    <s v="C874"/>
    <x v="0"/>
    <x v="1"/>
    <x v="4"/>
    <x v="0"/>
    <x v="1"/>
    <n v="71"/>
    <n v="57"/>
    <n v="60"/>
  </r>
  <r>
    <s v="C875"/>
    <x v="0"/>
    <x v="4"/>
    <x v="4"/>
    <x v="0"/>
    <x v="1"/>
    <n v="71"/>
    <n v="69"/>
    <n v="65"/>
  </r>
  <r>
    <s v="C876"/>
    <x v="1"/>
    <x v="4"/>
    <x v="1"/>
    <x v="1"/>
    <x v="1"/>
    <n v="50"/>
    <n v="59"/>
    <n v="54"/>
  </r>
  <r>
    <s v="C877"/>
    <x v="1"/>
    <x v="3"/>
    <x v="0"/>
    <x v="0"/>
    <x v="1"/>
    <n v="52"/>
    <n v="55"/>
    <n v="57"/>
  </r>
  <r>
    <s v="C878"/>
    <x v="0"/>
    <x v="2"/>
    <x v="2"/>
    <x v="1"/>
    <x v="0"/>
    <n v="75"/>
    <n v="65"/>
    <n v="66"/>
  </r>
  <r>
    <s v="C879"/>
    <x v="1"/>
    <x v="4"/>
    <x v="4"/>
    <x v="0"/>
    <x v="1"/>
    <n v="51"/>
    <n v="64"/>
    <n v="63"/>
  </r>
  <r>
    <s v="C880"/>
    <x v="0"/>
    <x v="4"/>
    <x v="1"/>
    <x v="0"/>
    <x v="1"/>
    <n v="64"/>
    <n v="48"/>
    <n v="50"/>
  </r>
  <r>
    <s v="C881"/>
    <x v="1"/>
    <x v="0"/>
    <x v="2"/>
    <x v="1"/>
    <x v="0"/>
    <n v="65"/>
    <n v="76"/>
    <n v="72"/>
  </r>
  <r>
    <s v="C882"/>
    <x v="0"/>
    <x v="3"/>
    <x v="5"/>
    <x v="0"/>
    <x v="1"/>
    <n v="99"/>
    <n v="81"/>
    <n v="87"/>
  </r>
  <r>
    <s v="C883"/>
    <x v="1"/>
    <x v="3"/>
    <x v="3"/>
    <x v="0"/>
    <x v="1"/>
    <n v="60"/>
    <n v="62"/>
    <n v="58"/>
  </r>
  <r>
    <s v="C884"/>
    <x v="1"/>
    <x v="3"/>
    <x v="2"/>
    <x v="0"/>
    <x v="1"/>
    <n v="70"/>
    <n v="78"/>
    <n v="80"/>
  </r>
  <r>
    <s v="C885"/>
    <x v="0"/>
    <x v="0"/>
    <x v="2"/>
    <x v="0"/>
    <x v="0"/>
    <n v="77"/>
    <n v="76"/>
    <n v="77"/>
  </r>
  <r>
    <s v="C886"/>
    <x v="0"/>
    <x v="3"/>
    <x v="0"/>
    <x v="1"/>
    <x v="1"/>
    <n v="37"/>
    <n v="28"/>
    <n v="23"/>
  </r>
  <r>
    <s v="C887"/>
    <x v="0"/>
    <x v="2"/>
    <x v="3"/>
    <x v="1"/>
    <x v="1"/>
    <n v="73"/>
    <n v="73"/>
    <n v="61"/>
  </r>
  <r>
    <s v="C888"/>
    <x v="1"/>
    <x v="3"/>
    <x v="3"/>
    <x v="1"/>
    <x v="0"/>
    <n v="53"/>
    <n v="74"/>
    <n v="75"/>
  </r>
  <r>
    <s v="C889"/>
    <x v="1"/>
    <x v="3"/>
    <x v="3"/>
    <x v="0"/>
    <x v="1"/>
    <n v="67"/>
    <n v="58"/>
    <n v="62"/>
  </r>
  <r>
    <s v="C890"/>
    <x v="1"/>
    <x v="3"/>
    <x v="2"/>
    <x v="1"/>
    <x v="1"/>
    <n v="67"/>
    <n v="79"/>
    <n v="80"/>
  </r>
  <r>
    <s v="C891"/>
    <x v="0"/>
    <x v="3"/>
    <x v="0"/>
    <x v="1"/>
    <x v="1"/>
    <n v="51"/>
    <n v="57"/>
    <n v="50"/>
  </r>
  <r>
    <s v="C892"/>
    <x v="0"/>
    <x v="1"/>
    <x v="0"/>
    <x v="0"/>
    <x v="0"/>
    <n v="64"/>
    <n v="71"/>
    <n v="70"/>
  </r>
  <r>
    <s v="C893"/>
    <x v="0"/>
    <x v="2"/>
    <x v="2"/>
    <x v="1"/>
    <x v="1"/>
    <n v="55"/>
    <n v="42"/>
    <n v="43"/>
  </r>
  <r>
    <s v="C894"/>
    <x v="0"/>
    <x v="1"/>
    <x v="3"/>
    <x v="1"/>
    <x v="0"/>
    <n v="55"/>
    <n v="39"/>
    <n v="51"/>
  </r>
  <r>
    <s v="C895"/>
    <x v="0"/>
    <x v="2"/>
    <x v="3"/>
    <x v="0"/>
    <x v="1"/>
    <n v="86"/>
    <n v="77"/>
    <n v="78"/>
  </r>
  <r>
    <s v="C896"/>
    <x v="1"/>
    <x v="3"/>
    <x v="5"/>
    <x v="0"/>
    <x v="1"/>
    <n v="71"/>
    <n v="88"/>
    <n v="85"/>
  </r>
  <r>
    <s v="C897"/>
    <x v="0"/>
    <x v="4"/>
    <x v="0"/>
    <x v="1"/>
    <x v="1"/>
    <n v="71"/>
    <n v="63"/>
    <n v="64"/>
  </r>
  <r>
    <s v="C898"/>
    <x v="1"/>
    <x v="4"/>
    <x v="1"/>
    <x v="1"/>
    <x v="1"/>
    <n v="51"/>
    <n v="67"/>
    <n v="69"/>
  </r>
  <r>
    <s v="C899"/>
    <x v="1"/>
    <x v="2"/>
    <x v="2"/>
    <x v="0"/>
    <x v="0"/>
    <n v="75"/>
    <n v="76"/>
    <n v="85"/>
  </r>
  <r>
    <s v="C900"/>
    <x v="0"/>
    <x v="4"/>
    <x v="1"/>
    <x v="1"/>
    <x v="1"/>
    <n v="45"/>
    <n v="31"/>
    <n v="27"/>
  </r>
  <r>
    <s v="C901"/>
    <x v="0"/>
    <x v="3"/>
    <x v="1"/>
    <x v="0"/>
    <x v="1"/>
    <n v="59"/>
    <n v="54"/>
    <n v="48"/>
  </r>
  <r>
    <s v="C902"/>
    <x v="1"/>
    <x v="2"/>
    <x v="0"/>
    <x v="1"/>
    <x v="1"/>
    <n v="64"/>
    <n v="69"/>
    <n v="68"/>
  </r>
  <r>
    <s v="C903"/>
    <x v="0"/>
    <x v="0"/>
    <x v="2"/>
    <x v="0"/>
    <x v="0"/>
    <n v="78"/>
    <n v="69"/>
    <n v="73"/>
  </r>
  <r>
    <s v="C904"/>
    <x v="0"/>
    <x v="1"/>
    <x v="0"/>
    <x v="1"/>
    <x v="1"/>
    <n v="59"/>
    <n v="61"/>
    <n v="58"/>
  </r>
  <r>
    <s v="C905"/>
    <x v="0"/>
    <x v="2"/>
    <x v="4"/>
    <x v="1"/>
    <x v="1"/>
    <n v="80"/>
    <n v="70"/>
    <n v="71"/>
  </r>
  <r>
    <s v="C906"/>
    <x v="0"/>
    <x v="3"/>
    <x v="3"/>
    <x v="0"/>
    <x v="0"/>
    <n v="68"/>
    <n v="82"/>
    <n v="77"/>
  </r>
  <r>
    <s v="C907"/>
    <x v="1"/>
    <x v="3"/>
    <x v="3"/>
    <x v="0"/>
    <x v="1"/>
    <n v="77"/>
    <n v="81"/>
    <n v="79"/>
  </r>
  <r>
    <s v="C908"/>
    <x v="0"/>
    <x v="4"/>
    <x v="0"/>
    <x v="0"/>
    <x v="1"/>
    <n v="66"/>
    <n v="67"/>
    <n v="64"/>
  </r>
  <r>
    <s v="C909"/>
    <x v="1"/>
    <x v="4"/>
    <x v="2"/>
    <x v="1"/>
    <x v="0"/>
    <n v="26"/>
    <n v="44"/>
    <n v="46"/>
  </r>
  <r>
    <s v="C910"/>
    <x v="0"/>
    <x v="1"/>
    <x v="2"/>
    <x v="0"/>
    <x v="0"/>
    <n v="80"/>
    <n v="66"/>
    <n v="69"/>
  </r>
  <r>
    <s v="C911"/>
    <x v="1"/>
    <x v="1"/>
    <x v="1"/>
    <x v="1"/>
    <x v="1"/>
    <n v="48"/>
    <n v="62"/>
    <n v="61"/>
  </r>
  <r>
    <s v="C912"/>
    <x v="1"/>
    <x v="0"/>
    <x v="3"/>
    <x v="0"/>
    <x v="1"/>
    <n v="52"/>
    <n v="64"/>
    <n v="55"/>
  </r>
  <r>
    <s v="C913"/>
    <x v="1"/>
    <x v="1"/>
    <x v="5"/>
    <x v="1"/>
    <x v="1"/>
    <n v="54"/>
    <n v="64"/>
    <n v="64"/>
  </r>
  <r>
    <s v="C914"/>
    <x v="1"/>
    <x v="4"/>
    <x v="2"/>
    <x v="0"/>
    <x v="0"/>
    <n v="59"/>
    <n v="68"/>
    <n v="67"/>
  </r>
  <r>
    <s v="C915"/>
    <x v="0"/>
    <x v="1"/>
    <x v="0"/>
    <x v="0"/>
    <x v="1"/>
    <n v="77"/>
    <n v="62"/>
    <n v="65"/>
  </r>
  <r>
    <s v="C916"/>
    <x v="1"/>
    <x v="3"/>
    <x v="2"/>
    <x v="1"/>
    <x v="1"/>
    <n v="64"/>
    <n v="70"/>
    <n v="69"/>
  </r>
  <r>
    <s v="C917"/>
    <x v="0"/>
    <x v="1"/>
    <x v="0"/>
    <x v="0"/>
    <x v="1"/>
    <n v="83"/>
    <n v="72"/>
    <n v="68"/>
  </r>
  <r>
    <s v="C918"/>
    <x v="0"/>
    <x v="2"/>
    <x v="0"/>
    <x v="1"/>
    <x v="1"/>
    <n v="70"/>
    <n v="73"/>
    <n v="69"/>
  </r>
  <r>
    <s v="C919"/>
    <x v="0"/>
    <x v="4"/>
    <x v="1"/>
    <x v="0"/>
    <x v="1"/>
    <n v="72"/>
    <n v="68"/>
    <n v="67"/>
  </r>
  <r>
    <s v="C920"/>
    <x v="1"/>
    <x v="3"/>
    <x v="3"/>
    <x v="0"/>
    <x v="1"/>
    <n v="83"/>
    <n v="78"/>
    <n v="79"/>
  </r>
  <r>
    <s v="C921"/>
    <x v="1"/>
    <x v="3"/>
    <x v="3"/>
    <x v="0"/>
    <x v="1"/>
    <n v="52"/>
    <n v="58"/>
    <n v="57"/>
  </r>
  <r>
    <s v="C922"/>
    <x v="1"/>
    <x v="4"/>
    <x v="2"/>
    <x v="1"/>
    <x v="0"/>
    <n v="53"/>
    <n v="73"/>
    <n v="74"/>
  </r>
  <r>
    <s v="C923"/>
    <x v="0"/>
    <x v="1"/>
    <x v="2"/>
    <x v="0"/>
    <x v="1"/>
    <n v="55"/>
    <n v="55"/>
    <n v="55"/>
  </r>
  <r>
    <s v="C924"/>
    <x v="0"/>
    <x v="4"/>
    <x v="3"/>
    <x v="0"/>
    <x v="1"/>
    <n v="65"/>
    <n v="63"/>
    <n v="61"/>
  </r>
  <r>
    <s v="C925"/>
    <x v="1"/>
    <x v="2"/>
    <x v="1"/>
    <x v="0"/>
    <x v="1"/>
    <n v="60"/>
    <n v="67"/>
    <n v="64"/>
  </r>
  <r>
    <s v="C926"/>
    <x v="0"/>
    <x v="2"/>
    <x v="0"/>
    <x v="1"/>
    <x v="0"/>
    <n v="64"/>
    <n v="62"/>
    <n v="59"/>
  </r>
  <r>
    <s v="C927"/>
    <x v="0"/>
    <x v="4"/>
    <x v="3"/>
    <x v="0"/>
    <x v="1"/>
    <n v="71"/>
    <n v="72"/>
    <n v="69"/>
  </r>
  <r>
    <s v="C928"/>
    <x v="0"/>
    <x v="4"/>
    <x v="4"/>
    <x v="1"/>
    <x v="0"/>
    <n v="61"/>
    <n v="71"/>
    <n v="65"/>
  </r>
  <r>
    <s v="C929"/>
    <x v="0"/>
    <x v="1"/>
    <x v="3"/>
    <x v="0"/>
    <x v="1"/>
    <n v="61"/>
    <n v="55"/>
    <n v="58"/>
  </r>
  <r>
    <s v="C930"/>
    <x v="1"/>
    <x v="4"/>
    <x v="5"/>
    <x v="0"/>
    <x v="1"/>
    <n v="65"/>
    <n v="74"/>
    <n v="79"/>
  </r>
  <r>
    <s v="C931"/>
    <x v="1"/>
    <x v="1"/>
    <x v="1"/>
    <x v="0"/>
    <x v="0"/>
    <n v="71"/>
    <n v="83"/>
    <n v="89"/>
  </r>
  <r>
    <s v="C932"/>
    <x v="0"/>
    <x v="2"/>
    <x v="3"/>
    <x v="1"/>
    <x v="1"/>
    <n v="48"/>
    <n v="49"/>
    <n v="44"/>
  </r>
  <r>
    <s v="C933"/>
    <x v="0"/>
    <x v="2"/>
    <x v="0"/>
    <x v="1"/>
    <x v="0"/>
    <n v="75"/>
    <n v="80"/>
    <n v="75"/>
  </r>
  <r>
    <s v="C934"/>
    <x v="0"/>
    <x v="1"/>
    <x v="3"/>
    <x v="1"/>
    <x v="1"/>
    <n v="54"/>
    <n v="66"/>
    <n v="65"/>
  </r>
  <r>
    <s v="C935"/>
    <x v="1"/>
    <x v="4"/>
    <x v="5"/>
    <x v="0"/>
    <x v="1"/>
    <n v="70"/>
    <n v="64"/>
    <n v="65"/>
  </r>
  <r>
    <s v="C936"/>
    <x v="0"/>
    <x v="1"/>
    <x v="1"/>
    <x v="0"/>
    <x v="1"/>
    <n v="91"/>
    <n v="77"/>
    <n v="72"/>
  </r>
  <r>
    <s v="C937"/>
    <x v="1"/>
    <x v="1"/>
    <x v="1"/>
    <x v="0"/>
    <x v="0"/>
    <n v="33"/>
    <n v="44"/>
    <n v="50"/>
  </r>
  <r>
    <s v="C938"/>
    <x v="1"/>
    <x v="3"/>
    <x v="0"/>
    <x v="0"/>
    <x v="1"/>
    <n v="45"/>
    <n v="50"/>
    <n v="41"/>
  </r>
  <r>
    <s v="C939"/>
    <x v="0"/>
    <x v="0"/>
    <x v="0"/>
    <x v="1"/>
    <x v="1"/>
    <n v="45"/>
    <n v="33"/>
    <n v="32"/>
  </r>
  <r>
    <s v="C940"/>
    <x v="0"/>
    <x v="1"/>
    <x v="4"/>
    <x v="1"/>
    <x v="1"/>
    <n v="62"/>
    <n v="61"/>
    <n v="57"/>
  </r>
  <r>
    <s v="C941"/>
    <x v="0"/>
    <x v="2"/>
    <x v="3"/>
    <x v="1"/>
    <x v="0"/>
    <n v="92"/>
    <n v="79"/>
    <n v="77"/>
  </r>
  <r>
    <s v="C942"/>
    <x v="1"/>
    <x v="1"/>
    <x v="2"/>
    <x v="0"/>
    <x v="1"/>
    <n v="74"/>
    <n v="75"/>
    <n v="79"/>
  </r>
  <r>
    <s v="C943"/>
    <x v="1"/>
    <x v="4"/>
    <x v="0"/>
    <x v="0"/>
    <x v="0"/>
    <n v="81"/>
    <n v="79"/>
    <n v="83"/>
  </r>
  <r>
    <s v="C944"/>
    <x v="0"/>
    <x v="4"/>
    <x v="3"/>
    <x v="1"/>
    <x v="1"/>
    <n v="76"/>
    <n v="71"/>
    <n v="66"/>
  </r>
  <r>
    <s v="C945"/>
    <x v="1"/>
    <x v="4"/>
    <x v="3"/>
    <x v="0"/>
    <x v="0"/>
    <n v="57"/>
    <n v="72"/>
    <n v="73"/>
  </r>
  <r>
    <s v="C946"/>
    <x v="0"/>
    <x v="0"/>
    <x v="2"/>
    <x v="1"/>
    <x v="1"/>
    <n v="63"/>
    <n v="61"/>
    <n v="55"/>
  </r>
  <r>
    <s v="C947"/>
    <x v="1"/>
    <x v="1"/>
    <x v="0"/>
    <x v="0"/>
    <x v="0"/>
    <n v="57"/>
    <n v="62"/>
    <n v="73"/>
  </r>
  <r>
    <s v="C948"/>
    <x v="1"/>
    <x v="3"/>
    <x v="2"/>
    <x v="0"/>
    <x v="0"/>
    <n v="46"/>
    <n v="65"/>
    <n v="64"/>
  </r>
  <r>
    <s v="C949"/>
    <x v="0"/>
    <x v="2"/>
    <x v="1"/>
    <x v="1"/>
    <x v="0"/>
    <n v="49"/>
    <n v="50"/>
    <n v="45"/>
  </r>
  <r>
    <s v="C950"/>
    <x v="1"/>
    <x v="1"/>
    <x v="1"/>
    <x v="0"/>
    <x v="1"/>
    <n v="54"/>
    <n v="60"/>
    <n v="65"/>
  </r>
  <r>
    <s v="C951"/>
    <x v="0"/>
    <x v="4"/>
    <x v="1"/>
    <x v="0"/>
    <x v="0"/>
    <n v="89"/>
    <n v="87"/>
    <n v="90"/>
  </r>
  <r>
    <s v="C952"/>
    <x v="0"/>
    <x v="1"/>
    <x v="4"/>
    <x v="0"/>
    <x v="0"/>
    <n v="77"/>
    <n v="70"/>
    <n v="78"/>
  </r>
  <r>
    <s v="C953"/>
    <x v="1"/>
    <x v="4"/>
    <x v="4"/>
    <x v="0"/>
    <x v="1"/>
    <n v="46"/>
    <n v="63"/>
    <n v="60"/>
  </r>
  <r>
    <s v="C954"/>
    <x v="0"/>
    <x v="3"/>
    <x v="3"/>
    <x v="0"/>
    <x v="0"/>
    <n v="66"/>
    <n v="59"/>
    <n v="70"/>
  </r>
  <r>
    <s v="C955"/>
    <x v="1"/>
    <x v="4"/>
    <x v="0"/>
    <x v="0"/>
    <x v="1"/>
    <n v="48"/>
    <n v="63"/>
    <n v="53"/>
  </r>
  <r>
    <s v="C956"/>
    <x v="0"/>
    <x v="1"/>
    <x v="3"/>
    <x v="0"/>
    <x v="0"/>
    <n v="83"/>
    <n v="76"/>
    <n v="81"/>
  </r>
  <r>
    <s v="C957"/>
    <x v="0"/>
    <x v="4"/>
    <x v="0"/>
    <x v="0"/>
    <x v="0"/>
    <n v="69"/>
    <n v="75"/>
    <n v="74"/>
  </r>
  <r>
    <s v="C958"/>
    <x v="0"/>
    <x v="2"/>
    <x v="4"/>
    <x v="1"/>
    <x v="1"/>
    <n v="73"/>
    <n v="52"/>
    <n v="54"/>
  </r>
  <r>
    <s v="C959"/>
    <x v="1"/>
    <x v="1"/>
    <x v="2"/>
    <x v="0"/>
    <x v="1"/>
    <n v="43"/>
    <n v="59"/>
    <n v="59"/>
  </r>
  <r>
    <s v="C960"/>
    <x v="0"/>
    <x v="1"/>
    <x v="5"/>
    <x v="0"/>
    <x v="0"/>
    <n v="91"/>
    <n v="84"/>
    <n v="83"/>
  </r>
  <r>
    <s v="C961"/>
    <x v="0"/>
    <x v="4"/>
    <x v="3"/>
    <x v="0"/>
    <x v="0"/>
    <n v="49"/>
    <n v="58"/>
    <n v="55"/>
  </r>
  <r>
    <s v="C962"/>
    <x v="0"/>
    <x v="3"/>
    <x v="5"/>
    <x v="0"/>
    <x v="1"/>
    <n v="87"/>
    <n v="86"/>
    <n v="84"/>
  </r>
  <r>
    <s v="C963"/>
    <x v="0"/>
    <x v="3"/>
    <x v="1"/>
    <x v="0"/>
    <x v="0"/>
    <n v="46"/>
    <n v="46"/>
    <n v="44"/>
  </r>
  <r>
    <s v="C964"/>
    <x v="1"/>
    <x v="1"/>
    <x v="1"/>
    <x v="0"/>
    <x v="0"/>
    <n v="63"/>
    <n v="61"/>
    <n v="71"/>
  </r>
  <r>
    <s v="C965"/>
    <x v="0"/>
    <x v="2"/>
    <x v="4"/>
    <x v="0"/>
    <x v="1"/>
    <n v="100"/>
    <n v="83"/>
    <n v="86"/>
  </r>
  <r>
    <s v="C966"/>
    <x v="1"/>
    <x v="2"/>
    <x v="4"/>
    <x v="0"/>
    <x v="1"/>
    <n v="86"/>
    <n v="87"/>
    <n v="89"/>
  </r>
  <r>
    <s v="C967"/>
    <x v="1"/>
    <x v="0"/>
    <x v="1"/>
    <x v="1"/>
    <x v="0"/>
    <n v="55"/>
    <n v="73"/>
    <n v="70"/>
  </r>
  <r>
    <s v="C968"/>
    <x v="1"/>
    <x v="2"/>
    <x v="5"/>
    <x v="1"/>
    <x v="1"/>
    <n v="84"/>
    <n v="100"/>
    <n v="99"/>
  </r>
  <r>
    <s v="C969"/>
    <x v="1"/>
    <x v="3"/>
    <x v="1"/>
    <x v="1"/>
    <x v="1"/>
    <n v="39"/>
    <n v="51"/>
    <n v="48"/>
  </r>
  <r>
    <s v="C970"/>
    <x v="0"/>
    <x v="3"/>
    <x v="0"/>
    <x v="0"/>
    <x v="1"/>
    <n v="67"/>
    <n v="57"/>
    <n v="52"/>
  </r>
  <r>
    <s v="C971"/>
    <x v="1"/>
    <x v="1"/>
    <x v="1"/>
    <x v="0"/>
    <x v="0"/>
    <n v="85"/>
    <n v="100"/>
    <n v="97"/>
  </r>
  <r>
    <s v="C972"/>
    <x v="0"/>
    <x v="4"/>
    <x v="1"/>
    <x v="0"/>
    <x v="1"/>
    <n v="64"/>
    <n v="51"/>
    <n v="44"/>
  </r>
  <r>
    <s v="C973"/>
    <x v="1"/>
    <x v="2"/>
    <x v="3"/>
    <x v="0"/>
    <x v="1"/>
    <n v="81"/>
    <n v="77"/>
    <n v="74"/>
  </r>
  <r>
    <s v="C974"/>
    <x v="0"/>
    <x v="4"/>
    <x v="3"/>
    <x v="0"/>
    <x v="1"/>
    <n v="78"/>
    <n v="71"/>
    <n v="67"/>
  </r>
  <r>
    <s v="C975"/>
    <x v="1"/>
    <x v="3"/>
    <x v="1"/>
    <x v="0"/>
    <x v="1"/>
    <n v="59"/>
    <n v="59"/>
    <n v="58"/>
  </r>
  <r>
    <s v="C976"/>
    <x v="0"/>
    <x v="4"/>
    <x v="3"/>
    <x v="0"/>
    <x v="1"/>
    <n v="74"/>
    <n v="76"/>
    <n v="70"/>
  </r>
  <r>
    <s v="C977"/>
    <x v="1"/>
    <x v="3"/>
    <x v="2"/>
    <x v="1"/>
    <x v="0"/>
    <n v="31"/>
    <n v="29"/>
    <n v="35"/>
  </r>
  <r>
    <s v="C978"/>
    <x v="1"/>
    <x v="4"/>
    <x v="1"/>
    <x v="1"/>
    <x v="0"/>
    <n v="54"/>
    <n v="55"/>
    <n v="65"/>
  </r>
  <r>
    <s v="C979"/>
    <x v="0"/>
    <x v="4"/>
    <x v="0"/>
    <x v="1"/>
    <x v="1"/>
    <n v="51"/>
    <n v="51"/>
    <n v="45"/>
  </r>
  <r>
    <s v="C980"/>
    <x v="1"/>
    <x v="3"/>
    <x v="4"/>
    <x v="1"/>
    <x v="0"/>
    <n v="57"/>
    <n v="65"/>
    <n v="68"/>
  </r>
  <r>
    <s v="C981"/>
    <x v="1"/>
    <x v="4"/>
    <x v="1"/>
    <x v="1"/>
    <x v="1"/>
    <n v="39"/>
    <n v="50"/>
    <n v="49"/>
  </r>
  <r>
    <s v="C982"/>
    <x v="0"/>
    <x v="4"/>
    <x v="2"/>
    <x v="0"/>
    <x v="1"/>
    <n v="64"/>
    <n v="48"/>
    <n v="48"/>
  </r>
  <r>
    <s v="C983"/>
    <x v="0"/>
    <x v="4"/>
    <x v="5"/>
    <x v="1"/>
    <x v="0"/>
    <n v="69"/>
    <n v="79"/>
    <n v="72"/>
  </r>
  <r>
    <s v="C984"/>
    <x v="0"/>
    <x v="0"/>
    <x v="1"/>
    <x v="0"/>
    <x v="1"/>
    <n v="58"/>
    <n v="50"/>
    <n v="47"/>
  </r>
  <r>
    <s v="C985"/>
    <x v="1"/>
    <x v="1"/>
    <x v="0"/>
    <x v="0"/>
    <x v="1"/>
    <n v="63"/>
    <n v="71"/>
    <n v="75"/>
  </r>
  <r>
    <s v="C986"/>
    <x v="0"/>
    <x v="2"/>
    <x v="3"/>
    <x v="0"/>
    <x v="1"/>
    <n v="74"/>
    <n v="73"/>
    <n v="67"/>
  </r>
  <r>
    <s v="C987"/>
    <x v="0"/>
    <x v="2"/>
    <x v="2"/>
    <x v="1"/>
    <x v="1"/>
    <n v="78"/>
    <n v="84"/>
    <n v="77"/>
  </r>
  <r>
    <s v="C988"/>
    <x v="0"/>
    <x v="0"/>
    <x v="2"/>
    <x v="0"/>
    <x v="0"/>
    <n v="78"/>
    <n v="78"/>
    <n v="74"/>
  </r>
  <r>
    <s v="C989"/>
    <x v="1"/>
    <x v="3"/>
    <x v="2"/>
    <x v="0"/>
    <x v="1"/>
    <n v="75"/>
    <n v="76"/>
    <n v="81"/>
  </r>
  <r>
    <s v="C990"/>
    <x v="0"/>
    <x v="1"/>
    <x v="2"/>
    <x v="0"/>
    <x v="0"/>
    <n v="70"/>
    <n v="60"/>
    <n v="65"/>
  </r>
  <r>
    <s v="C991"/>
    <x v="0"/>
    <x v="1"/>
    <x v="2"/>
    <x v="0"/>
    <x v="1"/>
    <n v="67"/>
    <n v="55"/>
    <n v="53"/>
  </r>
  <r>
    <s v="C992"/>
    <x v="1"/>
    <x v="4"/>
    <x v="3"/>
    <x v="0"/>
    <x v="1"/>
    <n v="87"/>
    <n v="93"/>
    <n v="88"/>
  </r>
  <r>
    <s v="C993"/>
    <x v="0"/>
    <x v="4"/>
    <x v="2"/>
    <x v="0"/>
    <x v="1"/>
    <n v="69"/>
    <n v="63"/>
    <n v="66"/>
  </r>
  <r>
    <s v="C994"/>
    <x v="1"/>
    <x v="0"/>
    <x v="3"/>
    <x v="0"/>
    <x v="1"/>
    <n v="58"/>
    <n v="54"/>
    <n v="58"/>
  </r>
  <r>
    <s v="C995"/>
    <x v="0"/>
    <x v="2"/>
    <x v="0"/>
    <x v="1"/>
    <x v="0"/>
    <n v="86"/>
    <n v="82"/>
    <n v="75"/>
  </r>
  <r>
    <s v="C996"/>
    <x v="0"/>
    <x v="4"/>
    <x v="0"/>
    <x v="0"/>
    <x v="1"/>
    <n v="73"/>
    <n v="70"/>
    <n v="65"/>
  </r>
  <r>
    <s v="C997"/>
    <x v="0"/>
    <x v="1"/>
    <x v="3"/>
    <x v="1"/>
    <x v="0"/>
    <n v="85"/>
    <n v="91"/>
    <n v="92"/>
  </r>
  <r>
    <s v="C998"/>
    <x v="1"/>
    <x v="4"/>
    <x v="1"/>
    <x v="1"/>
    <x v="1"/>
    <n v="32"/>
    <n v="35"/>
    <n v="41"/>
  </r>
  <r>
    <s v="C999"/>
    <x v="1"/>
    <x v="4"/>
    <x v="2"/>
    <x v="0"/>
    <x v="1"/>
    <n v="73"/>
    <n v="74"/>
    <n v="82"/>
  </r>
  <r>
    <s v="C1000"/>
    <x v="0"/>
    <x v="0"/>
    <x v="2"/>
    <x v="0"/>
    <x v="0"/>
    <n v="65"/>
    <n v="60"/>
    <n v="62"/>
  </r>
  <r>
    <m/>
    <x v="2"/>
    <x v="5"/>
    <x v="6"/>
    <x v="2"/>
    <x v="2"/>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C1"/>
    <x v="0"/>
    <x v="0"/>
    <s v="high school"/>
    <s v="standard"/>
    <s v="completed"/>
    <n v="67"/>
    <n v="67"/>
    <n v="63"/>
    <n v="197"/>
    <n v="65.666666666666671"/>
  </r>
  <r>
    <s v="C2"/>
    <x v="1"/>
    <x v="1"/>
    <s v="some high school"/>
    <s v="free/reduced"/>
    <s v="none"/>
    <n v="40"/>
    <n v="59"/>
    <n v="55"/>
    <n v="154"/>
    <n v="51.333333333333336"/>
  </r>
  <r>
    <s v="C3"/>
    <x v="0"/>
    <x v="2"/>
    <s v="some college"/>
    <s v="free/reduced"/>
    <s v="none"/>
    <n v="59"/>
    <n v="60"/>
    <n v="50"/>
    <n v="169"/>
    <n v="56.333333333333336"/>
  </r>
  <r>
    <s v="C4"/>
    <x v="0"/>
    <x v="3"/>
    <s v="high school"/>
    <s v="standard"/>
    <s v="none"/>
    <n v="77"/>
    <n v="78"/>
    <n v="68"/>
    <n v="223"/>
    <n v="74.333333333333329"/>
  </r>
  <r>
    <s v="C5"/>
    <x v="0"/>
    <x v="2"/>
    <s v="associate's degree"/>
    <s v="standard"/>
    <s v="completed"/>
    <n v="78"/>
    <n v="73"/>
    <n v="68"/>
    <n v="219"/>
    <n v="73"/>
  </r>
  <r>
    <s v="C6"/>
    <x v="1"/>
    <x v="1"/>
    <s v="high school"/>
    <s v="standard"/>
    <s v="none"/>
    <n v="63"/>
    <n v="77"/>
    <n v="76"/>
    <n v="216"/>
    <n v="72"/>
  </r>
  <r>
    <s v="C7"/>
    <x v="1"/>
    <x v="0"/>
    <s v="bachelor's degree"/>
    <s v="standard"/>
    <s v="none"/>
    <n v="62"/>
    <n v="59"/>
    <n v="63"/>
    <n v="184"/>
    <n v="61.333333333333336"/>
  </r>
  <r>
    <s v="C8"/>
    <x v="0"/>
    <x v="2"/>
    <s v="some college"/>
    <s v="standard"/>
    <s v="completed"/>
    <n v="93"/>
    <n v="88"/>
    <n v="84"/>
    <n v="265"/>
    <n v="88.333333333333329"/>
  </r>
  <r>
    <s v="C9"/>
    <x v="0"/>
    <x v="1"/>
    <s v="high school"/>
    <s v="standard"/>
    <s v="none"/>
    <n v="63"/>
    <n v="56"/>
    <n v="65"/>
    <n v="184"/>
    <n v="61.333333333333336"/>
  </r>
  <r>
    <s v="C10"/>
    <x v="0"/>
    <x v="4"/>
    <s v="some college"/>
    <s v="free/reduced"/>
    <s v="none"/>
    <n v="47"/>
    <n v="42"/>
    <n v="45"/>
    <n v="134"/>
    <n v="44.666666666666664"/>
  </r>
  <r>
    <s v="C11"/>
    <x v="0"/>
    <x v="2"/>
    <s v="some college"/>
    <s v="standard"/>
    <s v="completed"/>
    <n v="99"/>
    <n v="83"/>
    <n v="85"/>
    <n v="267"/>
    <n v="89"/>
  </r>
  <r>
    <s v="C12"/>
    <x v="1"/>
    <x v="1"/>
    <s v="high school"/>
    <s v="standard"/>
    <s v="completed"/>
    <n v="80"/>
    <n v="87"/>
    <n v="90"/>
    <n v="257"/>
    <n v="85.666666666666671"/>
  </r>
  <r>
    <s v="C13"/>
    <x v="0"/>
    <x v="1"/>
    <s v="associate's degree"/>
    <s v="standard"/>
    <s v="completed"/>
    <n v="77"/>
    <n v="87"/>
    <n v="85"/>
    <n v="249"/>
    <n v="83"/>
  </r>
  <r>
    <s v="C14"/>
    <x v="0"/>
    <x v="4"/>
    <s v="high school"/>
    <s v="standard"/>
    <s v="completed"/>
    <n v="74"/>
    <n v="74"/>
    <n v="73"/>
    <n v="221"/>
    <n v="73.666666666666671"/>
  </r>
  <r>
    <s v="C15"/>
    <x v="0"/>
    <x v="2"/>
    <s v="some high school"/>
    <s v="standard"/>
    <s v="completed"/>
    <n v="81"/>
    <n v="87"/>
    <n v="85"/>
    <n v="253"/>
    <n v="84.333333333333329"/>
  </r>
  <r>
    <s v="C16"/>
    <x v="0"/>
    <x v="2"/>
    <s v="associate's degree"/>
    <s v="free/reduced"/>
    <s v="none"/>
    <n v="69"/>
    <n v="61"/>
    <n v="57"/>
    <n v="187"/>
    <n v="62.333333333333336"/>
  </r>
  <r>
    <s v="C17"/>
    <x v="0"/>
    <x v="3"/>
    <s v="high school"/>
    <s v="standard"/>
    <s v="none"/>
    <n v="58"/>
    <n v="47"/>
    <n v="42"/>
    <n v="147"/>
    <n v="49"/>
  </r>
  <r>
    <s v="C18"/>
    <x v="1"/>
    <x v="4"/>
    <s v="associate's degree"/>
    <s v="standard"/>
    <s v="completed"/>
    <n v="54"/>
    <n v="62"/>
    <n v="65"/>
    <n v="181"/>
    <n v="60.333333333333336"/>
  </r>
  <r>
    <s v="C19"/>
    <x v="1"/>
    <x v="4"/>
    <s v="associate's degree"/>
    <s v="free/reduced"/>
    <s v="none"/>
    <n v="23"/>
    <n v="44"/>
    <n v="44"/>
    <n v="111"/>
    <n v="37"/>
  </r>
  <r>
    <s v="C20"/>
    <x v="0"/>
    <x v="4"/>
    <s v="some college"/>
    <s v="free/reduced"/>
    <s v="none"/>
    <n v="39"/>
    <n v="32"/>
    <n v="31"/>
    <n v="102"/>
    <n v="34"/>
  </r>
  <r>
    <s v="C21"/>
    <x v="1"/>
    <x v="4"/>
    <s v="associate's degree"/>
    <s v="standard"/>
    <s v="none"/>
    <n v="83"/>
    <n v="76"/>
    <n v="88"/>
    <n v="247"/>
    <n v="82.333333333333329"/>
  </r>
  <r>
    <s v="C22"/>
    <x v="0"/>
    <x v="4"/>
    <s v="associate's degree"/>
    <s v="standard"/>
    <s v="none"/>
    <n v="58"/>
    <n v="52"/>
    <n v="55"/>
    <n v="165"/>
    <n v="55"/>
  </r>
  <r>
    <s v="C23"/>
    <x v="0"/>
    <x v="3"/>
    <s v="some college"/>
    <s v="standard"/>
    <s v="completed"/>
    <n v="71"/>
    <n v="69"/>
    <n v="73"/>
    <n v="213"/>
    <n v="71"/>
  </r>
  <r>
    <s v="C24"/>
    <x v="1"/>
    <x v="3"/>
    <s v="some college"/>
    <s v="free/reduced"/>
    <s v="none"/>
    <n v="44"/>
    <n v="55"/>
    <n v="54"/>
    <n v="153"/>
    <n v="51"/>
  </r>
  <r>
    <s v="C25"/>
    <x v="0"/>
    <x v="2"/>
    <s v="some high school"/>
    <s v="free/reduced"/>
    <s v="none"/>
    <n v="46"/>
    <n v="38"/>
    <n v="32"/>
    <n v="116"/>
    <n v="38.666666666666664"/>
  </r>
  <r>
    <s v="C26"/>
    <x v="0"/>
    <x v="4"/>
    <s v="high school"/>
    <s v="free/reduced"/>
    <s v="none"/>
    <n v="51"/>
    <n v="45"/>
    <n v="42"/>
    <n v="138"/>
    <n v="46"/>
  </r>
  <r>
    <s v="C27"/>
    <x v="1"/>
    <x v="4"/>
    <s v="some high school"/>
    <s v="standard"/>
    <s v="none"/>
    <n v="53"/>
    <n v="60"/>
    <n v="56"/>
    <n v="169"/>
    <n v="56.333333333333336"/>
  </r>
  <r>
    <s v="C28"/>
    <x v="0"/>
    <x v="2"/>
    <s v="high school"/>
    <s v="standard"/>
    <s v="none"/>
    <n v="71"/>
    <n v="68"/>
    <n v="60"/>
    <n v="199"/>
    <n v="66.333333333333329"/>
  </r>
  <r>
    <s v="C29"/>
    <x v="1"/>
    <x v="3"/>
    <s v="high school"/>
    <s v="standard"/>
    <s v="completed"/>
    <n v="74"/>
    <n v="89"/>
    <n v="89"/>
    <n v="252"/>
    <n v="84"/>
  </r>
  <r>
    <s v="C30"/>
    <x v="1"/>
    <x v="0"/>
    <s v="some high school"/>
    <s v="free/reduced"/>
    <s v="none"/>
    <n v="33"/>
    <n v="54"/>
    <n v="51"/>
    <n v="138"/>
    <n v="46"/>
  </r>
  <r>
    <s v="C31"/>
    <x v="0"/>
    <x v="3"/>
    <s v="some college"/>
    <s v="standard"/>
    <s v="none"/>
    <n v="87"/>
    <n v="79"/>
    <n v="77"/>
    <n v="243"/>
    <n v="81"/>
  </r>
  <r>
    <s v="C32"/>
    <x v="0"/>
    <x v="0"/>
    <s v="bachelor's degree"/>
    <s v="free/reduced"/>
    <s v="none"/>
    <n v="78"/>
    <n v="74"/>
    <n v="73"/>
    <n v="225"/>
    <n v="75"/>
  </r>
  <r>
    <s v="C33"/>
    <x v="0"/>
    <x v="0"/>
    <s v="some high school"/>
    <s v="free/reduced"/>
    <s v="completed"/>
    <n v="40"/>
    <n v="41"/>
    <n v="39"/>
    <n v="120"/>
    <n v="40"/>
  </r>
  <r>
    <s v="C34"/>
    <x v="1"/>
    <x v="3"/>
    <s v="associate's degree"/>
    <s v="standard"/>
    <s v="completed"/>
    <n v="65"/>
    <n v="65"/>
    <n v="71"/>
    <n v="201"/>
    <n v="67"/>
  </r>
  <r>
    <s v="C35"/>
    <x v="1"/>
    <x v="3"/>
    <s v="bachelor's degree"/>
    <s v="standard"/>
    <s v="completed"/>
    <n v="79"/>
    <n v="88"/>
    <n v="89"/>
    <n v="256"/>
    <n v="85.333333333333329"/>
  </r>
  <r>
    <s v="C36"/>
    <x v="1"/>
    <x v="0"/>
    <s v="bachelor's degree"/>
    <s v="standard"/>
    <s v="none"/>
    <n v="68"/>
    <n v="74"/>
    <n v="74"/>
    <n v="216"/>
    <n v="72"/>
  </r>
  <r>
    <s v="C37"/>
    <x v="1"/>
    <x v="4"/>
    <s v="some college"/>
    <s v="standard"/>
    <s v="completed"/>
    <n v="57"/>
    <n v="77"/>
    <n v="75"/>
    <n v="209"/>
    <n v="69.666666666666671"/>
  </r>
  <r>
    <s v="C38"/>
    <x v="0"/>
    <x v="3"/>
    <s v="high school"/>
    <s v="free/reduced"/>
    <s v="none"/>
    <n v="67"/>
    <n v="65"/>
    <n v="54"/>
    <n v="186"/>
    <n v="62"/>
  </r>
  <r>
    <s v="C39"/>
    <x v="1"/>
    <x v="3"/>
    <s v="some college"/>
    <s v="free/reduced"/>
    <s v="completed"/>
    <n v="58"/>
    <n v="68"/>
    <n v="73"/>
    <n v="199"/>
    <n v="66.333333333333329"/>
  </r>
  <r>
    <s v="C40"/>
    <x v="0"/>
    <x v="2"/>
    <s v="associate's degree"/>
    <s v="standard"/>
    <s v="none"/>
    <n v="98"/>
    <n v="81"/>
    <n v="77"/>
    <n v="256"/>
    <n v="85.333333333333329"/>
  </r>
  <r>
    <s v="C41"/>
    <x v="1"/>
    <x v="3"/>
    <s v="master's degree"/>
    <s v="free/reduced"/>
    <s v="none"/>
    <n v="54"/>
    <n v="75"/>
    <n v="72"/>
    <n v="201"/>
    <n v="67"/>
  </r>
  <r>
    <s v="C42"/>
    <x v="0"/>
    <x v="1"/>
    <s v="high school"/>
    <s v="standard"/>
    <s v="none"/>
    <n v="77"/>
    <n v="67"/>
    <n v="64"/>
    <n v="208"/>
    <n v="69.333333333333329"/>
  </r>
  <r>
    <s v="C43"/>
    <x v="0"/>
    <x v="2"/>
    <s v="high school"/>
    <s v="standard"/>
    <s v="completed"/>
    <n v="87"/>
    <n v="79"/>
    <n v="82"/>
    <n v="248"/>
    <n v="82.666666666666671"/>
  </r>
  <r>
    <s v="C44"/>
    <x v="1"/>
    <x v="4"/>
    <s v="master's degree"/>
    <s v="standard"/>
    <s v="none"/>
    <n v="58"/>
    <n v="70"/>
    <n v="70"/>
    <n v="198"/>
    <n v="66"/>
  </r>
  <r>
    <s v="C45"/>
    <x v="0"/>
    <x v="2"/>
    <s v="high school"/>
    <s v="standard"/>
    <s v="none"/>
    <n v="100"/>
    <n v="88"/>
    <n v="87"/>
    <n v="275"/>
    <n v="91.666666666666671"/>
  </r>
  <r>
    <s v="C46"/>
    <x v="0"/>
    <x v="4"/>
    <s v="bachelor's degree"/>
    <s v="standard"/>
    <s v="none"/>
    <n v="60"/>
    <n v="46"/>
    <n v="51"/>
    <n v="157"/>
    <n v="52.333333333333336"/>
  </r>
  <r>
    <s v="C47"/>
    <x v="0"/>
    <x v="4"/>
    <s v="associate's degree"/>
    <s v="free/reduced"/>
    <s v="none"/>
    <n v="64"/>
    <n v="63"/>
    <n v="57"/>
    <n v="184"/>
    <n v="61.333333333333336"/>
  </r>
  <r>
    <s v="C48"/>
    <x v="1"/>
    <x v="2"/>
    <s v="some high school"/>
    <s v="standard"/>
    <s v="completed"/>
    <n v="65"/>
    <n v="76"/>
    <n v="78"/>
    <n v="219"/>
    <n v="73"/>
  </r>
  <r>
    <s v="C49"/>
    <x v="1"/>
    <x v="1"/>
    <s v="high school"/>
    <s v="standard"/>
    <s v="none"/>
    <n v="68"/>
    <n v="72"/>
    <n v="73"/>
    <n v="213"/>
    <n v="71"/>
  </r>
  <r>
    <s v="C50"/>
    <x v="0"/>
    <x v="4"/>
    <s v="associate's degree"/>
    <s v="free/reduced"/>
    <s v="completed"/>
    <n v="60"/>
    <n v="63"/>
    <n v="57"/>
    <n v="180"/>
    <n v="60"/>
  </r>
  <r>
    <s v="C51"/>
    <x v="0"/>
    <x v="1"/>
    <s v="high school"/>
    <s v="standard"/>
    <s v="none"/>
    <n v="65"/>
    <n v="68"/>
    <n v="64"/>
    <n v="197"/>
    <n v="65.666666666666671"/>
  </r>
  <r>
    <s v="C52"/>
    <x v="1"/>
    <x v="4"/>
    <s v="some high school"/>
    <s v="free/reduced"/>
    <s v="none"/>
    <n v="52"/>
    <n v="58"/>
    <n v="60"/>
    <n v="170"/>
    <n v="56.666666666666664"/>
  </r>
  <r>
    <s v="C53"/>
    <x v="1"/>
    <x v="4"/>
    <s v="associate's degree"/>
    <s v="standard"/>
    <s v="none"/>
    <n v="74"/>
    <n v="81"/>
    <n v="85"/>
    <n v="240"/>
    <n v="80"/>
  </r>
  <r>
    <s v="C54"/>
    <x v="1"/>
    <x v="4"/>
    <s v="high school"/>
    <s v="free/reduced"/>
    <s v="none"/>
    <n v="36"/>
    <n v="53"/>
    <n v="49"/>
    <n v="138"/>
    <n v="46"/>
  </r>
  <r>
    <s v="C55"/>
    <x v="0"/>
    <x v="1"/>
    <s v="high school"/>
    <s v="free/reduced"/>
    <s v="none"/>
    <n v="57"/>
    <n v="57"/>
    <n v="47"/>
    <n v="161"/>
    <n v="53.666666666666664"/>
  </r>
  <r>
    <s v="C56"/>
    <x v="1"/>
    <x v="4"/>
    <s v="some college"/>
    <s v="standard"/>
    <s v="completed"/>
    <n v="56"/>
    <n v="60"/>
    <n v="62"/>
    <n v="178"/>
    <n v="59.333333333333336"/>
  </r>
  <r>
    <s v="C57"/>
    <x v="1"/>
    <x v="4"/>
    <s v="bachelor's degree"/>
    <s v="standard"/>
    <s v="completed"/>
    <n v="67"/>
    <n v="80"/>
    <n v="84"/>
    <n v="231"/>
    <n v="77"/>
  </r>
  <r>
    <s v="C58"/>
    <x v="0"/>
    <x v="1"/>
    <s v="associate's degree"/>
    <s v="standard"/>
    <s v="completed"/>
    <n v="88"/>
    <n v="87"/>
    <n v="83"/>
    <n v="258"/>
    <n v="86"/>
  </r>
  <r>
    <s v="C59"/>
    <x v="1"/>
    <x v="1"/>
    <s v="some college"/>
    <s v="free/reduced"/>
    <s v="none"/>
    <n v="42"/>
    <n v="61"/>
    <n v="51"/>
    <n v="154"/>
    <n v="51.333333333333336"/>
  </r>
  <r>
    <s v="C60"/>
    <x v="0"/>
    <x v="2"/>
    <s v="some high school"/>
    <s v="standard"/>
    <s v="none"/>
    <n v="68"/>
    <n v="51"/>
    <n v="48"/>
    <n v="167"/>
    <n v="55.666666666666664"/>
  </r>
  <r>
    <s v="C61"/>
    <x v="0"/>
    <x v="1"/>
    <s v="some college"/>
    <s v="free/reduced"/>
    <s v="none"/>
    <n v="76"/>
    <n v="66"/>
    <n v="68"/>
    <n v="210"/>
    <n v="70"/>
  </r>
  <r>
    <s v="C62"/>
    <x v="1"/>
    <x v="2"/>
    <s v="some high school"/>
    <s v="standard"/>
    <s v="none"/>
    <n v="58"/>
    <n v="63"/>
    <n v="59"/>
    <n v="180"/>
    <n v="60"/>
  </r>
  <r>
    <s v="C63"/>
    <x v="0"/>
    <x v="2"/>
    <s v="some high school"/>
    <s v="standard"/>
    <s v="completed"/>
    <n v="69"/>
    <n v="67"/>
    <n v="62"/>
    <n v="198"/>
    <n v="66"/>
  </r>
  <r>
    <s v="C64"/>
    <x v="0"/>
    <x v="0"/>
    <s v="bachelor's degree"/>
    <s v="standard"/>
    <s v="completed"/>
    <n v="77"/>
    <n v="82"/>
    <n v="78"/>
    <n v="237"/>
    <n v="79"/>
  </r>
  <r>
    <s v="C65"/>
    <x v="0"/>
    <x v="1"/>
    <s v="master's degree"/>
    <s v="standard"/>
    <s v="completed"/>
    <n v="83"/>
    <n v="93"/>
    <n v="97"/>
    <n v="273"/>
    <n v="91"/>
  </r>
  <r>
    <s v="C66"/>
    <x v="1"/>
    <x v="4"/>
    <s v="some high school"/>
    <s v="free/reduced"/>
    <s v="completed"/>
    <n v="49"/>
    <n v="74"/>
    <n v="70"/>
    <n v="193"/>
    <n v="64.333333333333329"/>
  </r>
  <r>
    <s v="C67"/>
    <x v="0"/>
    <x v="4"/>
    <s v="high school"/>
    <s v="standard"/>
    <s v="none"/>
    <n v="71"/>
    <n v="60"/>
    <n v="56"/>
    <n v="187"/>
    <n v="62.333333333333336"/>
  </r>
  <r>
    <s v="C68"/>
    <x v="1"/>
    <x v="1"/>
    <s v="some high school"/>
    <s v="free/reduced"/>
    <s v="none"/>
    <n v="47"/>
    <n v="46"/>
    <n v="49"/>
    <n v="142"/>
    <n v="47.333333333333336"/>
  </r>
  <r>
    <s v="C69"/>
    <x v="0"/>
    <x v="3"/>
    <s v="high school"/>
    <s v="standard"/>
    <s v="none"/>
    <n v="79"/>
    <n v="64"/>
    <n v="60"/>
    <n v="203"/>
    <n v="67.666666666666671"/>
  </r>
  <r>
    <s v="C70"/>
    <x v="1"/>
    <x v="4"/>
    <s v="high school"/>
    <s v="standard"/>
    <s v="none"/>
    <n v="60"/>
    <n v="64"/>
    <n v="57"/>
    <n v="181"/>
    <n v="60.333333333333336"/>
  </r>
  <r>
    <s v="C71"/>
    <x v="1"/>
    <x v="4"/>
    <s v="associate's degree"/>
    <s v="standard"/>
    <s v="completed"/>
    <n v="56"/>
    <n v="68"/>
    <n v="73"/>
    <n v="197"/>
    <n v="65.666666666666671"/>
  </r>
  <r>
    <s v="C72"/>
    <x v="0"/>
    <x v="4"/>
    <s v="associate's degree"/>
    <s v="standard"/>
    <s v="none"/>
    <n v="57"/>
    <n v="52"/>
    <n v="47"/>
    <n v="156"/>
    <n v="52"/>
  </r>
  <r>
    <s v="C73"/>
    <x v="1"/>
    <x v="3"/>
    <s v="some college"/>
    <s v="standard"/>
    <s v="none"/>
    <n v="49"/>
    <n v="70"/>
    <n v="63"/>
    <n v="182"/>
    <n v="60.666666666666664"/>
  </r>
  <r>
    <s v="C74"/>
    <x v="1"/>
    <x v="4"/>
    <s v="some high school"/>
    <s v="standard"/>
    <s v="completed"/>
    <n v="79"/>
    <n v="76"/>
    <n v="81"/>
    <n v="236"/>
    <n v="78.666666666666671"/>
  </r>
  <r>
    <s v="C75"/>
    <x v="0"/>
    <x v="3"/>
    <s v="master's degree"/>
    <s v="free/reduced"/>
    <s v="none"/>
    <n v="71"/>
    <n v="76"/>
    <n v="67"/>
    <n v="214"/>
    <n v="71.333333333333329"/>
  </r>
  <r>
    <s v="C76"/>
    <x v="1"/>
    <x v="4"/>
    <s v="high school"/>
    <s v="standard"/>
    <s v="none"/>
    <n v="71"/>
    <n v="77"/>
    <n v="70"/>
    <n v="218"/>
    <n v="72.666666666666671"/>
  </r>
  <r>
    <s v="C77"/>
    <x v="1"/>
    <x v="4"/>
    <s v="some college"/>
    <s v="standard"/>
    <s v="none"/>
    <n v="47"/>
    <n v="63"/>
    <n v="59"/>
    <n v="169"/>
    <n v="56.333333333333336"/>
  </r>
  <r>
    <s v="C78"/>
    <x v="1"/>
    <x v="1"/>
    <s v="high school"/>
    <s v="free/reduced"/>
    <s v="none"/>
    <n v="72"/>
    <n v="91"/>
    <n v="81"/>
    <n v="244"/>
    <n v="81.333333333333329"/>
  </r>
  <r>
    <s v="C79"/>
    <x v="0"/>
    <x v="4"/>
    <s v="associate's degree"/>
    <s v="standard"/>
    <s v="none"/>
    <n v="78"/>
    <n v="73"/>
    <n v="76"/>
    <n v="227"/>
    <n v="75.666666666666671"/>
  </r>
  <r>
    <s v="C80"/>
    <x v="0"/>
    <x v="1"/>
    <s v="some high school"/>
    <s v="standard"/>
    <s v="none"/>
    <n v="54"/>
    <n v="43"/>
    <n v="45"/>
    <n v="142"/>
    <n v="47.333333333333336"/>
  </r>
  <r>
    <s v="C81"/>
    <x v="1"/>
    <x v="3"/>
    <s v="bachelor's degree"/>
    <s v="standard"/>
    <s v="none"/>
    <n v="46"/>
    <n v="59"/>
    <n v="62"/>
    <n v="167"/>
    <n v="55.666666666666664"/>
  </r>
  <r>
    <s v="C82"/>
    <x v="1"/>
    <x v="1"/>
    <s v="some high school"/>
    <s v="free/reduced"/>
    <s v="none"/>
    <n v="31"/>
    <n v="38"/>
    <n v="42"/>
    <n v="111"/>
    <n v="37"/>
  </r>
  <r>
    <s v="C83"/>
    <x v="1"/>
    <x v="4"/>
    <s v="associate's degree"/>
    <s v="free/reduced"/>
    <s v="none"/>
    <n v="51"/>
    <n v="59"/>
    <n v="59"/>
    <n v="169"/>
    <n v="56.333333333333336"/>
  </r>
  <r>
    <s v="C84"/>
    <x v="0"/>
    <x v="3"/>
    <s v="high school"/>
    <s v="standard"/>
    <s v="completed"/>
    <n v="78"/>
    <n v="76"/>
    <n v="73"/>
    <n v="227"/>
    <n v="75.666666666666671"/>
  </r>
  <r>
    <s v="C85"/>
    <x v="1"/>
    <x v="3"/>
    <s v="associate's degree"/>
    <s v="free/reduced"/>
    <s v="none"/>
    <n v="32"/>
    <n v="41"/>
    <n v="39"/>
    <n v="112"/>
    <n v="37.333333333333336"/>
  </r>
  <r>
    <s v="C86"/>
    <x v="1"/>
    <x v="4"/>
    <s v="some high school"/>
    <s v="standard"/>
    <s v="none"/>
    <n v="53"/>
    <n v="71"/>
    <n v="69"/>
    <n v="193"/>
    <n v="64.333333333333329"/>
  </r>
  <r>
    <s v="C87"/>
    <x v="1"/>
    <x v="4"/>
    <s v="some college"/>
    <s v="free/reduced"/>
    <s v="none"/>
    <n v="63"/>
    <n v="76"/>
    <n v="69"/>
    <n v="208"/>
    <n v="69.333333333333329"/>
  </r>
  <r>
    <s v="C88"/>
    <x v="0"/>
    <x v="1"/>
    <s v="some college"/>
    <s v="standard"/>
    <s v="none"/>
    <n v="97"/>
    <n v="93"/>
    <n v="88"/>
    <n v="278"/>
    <n v="92.666666666666671"/>
  </r>
  <r>
    <s v="C89"/>
    <x v="1"/>
    <x v="1"/>
    <s v="some college"/>
    <s v="standard"/>
    <s v="none"/>
    <n v="56"/>
    <n v="52"/>
    <n v="61"/>
    <n v="169"/>
    <n v="56.333333333333336"/>
  </r>
  <r>
    <s v="C90"/>
    <x v="0"/>
    <x v="3"/>
    <s v="high school"/>
    <s v="standard"/>
    <s v="none"/>
    <n v="72"/>
    <n v="76"/>
    <n v="72"/>
    <n v="220"/>
    <n v="73.333333333333329"/>
  </r>
  <r>
    <s v="C91"/>
    <x v="0"/>
    <x v="4"/>
    <s v="some college"/>
    <s v="free/reduced"/>
    <s v="none"/>
    <n v="57"/>
    <n v="47"/>
    <n v="42"/>
    <n v="146"/>
    <n v="48.666666666666664"/>
  </r>
  <r>
    <s v="C92"/>
    <x v="0"/>
    <x v="3"/>
    <s v="some high school"/>
    <s v="standard"/>
    <s v="none"/>
    <n v="74"/>
    <n v="71"/>
    <n v="70"/>
    <n v="215"/>
    <n v="71.666666666666671"/>
  </r>
  <r>
    <s v="C93"/>
    <x v="1"/>
    <x v="1"/>
    <s v="master's degree"/>
    <s v="standard"/>
    <s v="none"/>
    <n v="81"/>
    <n v="81"/>
    <n v="87"/>
    <n v="249"/>
    <n v="83"/>
  </r>
  <r>
    <s v="C94"/>
    <x v="0"/>
    <x v="1"/>
    <s v="bachelor's degree"/>
    <s v="standard"/>
    <s v="completed"/>
    <n v="94"/>
    <n v="87"/>
    <n v="93"/>
    <n v="274"/>
    <n v="91.333333333333329"/>
  </r>
  <r>
    <s v="C95"/>
    <x v="0"/>
    <x v="3"/>
    <s v="master's degree"/>
    <s v="free/reduced"/>
    <s v="none"/>
    <n v="81"/>
    <n v="73"/>
    <n v="72"/>
    <n v="226"/>
    <n v="75.333333333333329"/>
  </r>
  <r>
    <s v="C96"/>
    <x v="1"/>
    <x v="4"/>
    <s v="high school"/>
    <s v="standard"/>
    <s v="completed"/>
    <n v="58"/>
    <n v="63"/>
    <n v="67"/>
    <n v="188"/>
    <n v="62.666666666666664"/>
  </r>
  <r>
    <s v="C97"/>
    <x v="1"/>
    <x v="2"/>
    <s v="associate's degree"/>
    <s v="standard"/>
    <s v="completed"/>
    <n v="95"/>
    <n v="100"/>
    <n v="100"/>
    <n v="295"/>
    <n v="98.333333333333329"/>
  </r>
  <r>
    <s v="C98"/>
    <x v="0"/>
    <x v="3"/>
    <s v="high school"/>
    <s v="free/reduced"/>
    <s v="none"/>
    <n v="45"/>
    <n v="52"/>
    <n v="49"/>
    <n v="146"/>
    <n v="48.666666666666664"/>
  </r>
  <r>
    <s v="C99"/>
    <x v="0"/>
    <x v="0"/>
    <s v="some college"/>
    <s v="standard"/>
    <s v="none"/>
    <n v="63"/>
    <n v="50"/>
    <n v="49"/>
    <n v="162"/>
    <n v="54"/>
  </r>
  <r>
    <s v="C100"/>
    <x v="0"/>
    <x v="3"/>
    <s v="associate's degree"/>
    <s v="standard"/>
    <s v="none"/>
    <n v="60"/>
    <n v="54"/>
    <n v="53"/>
    <n v="167"/>
    <n v="55.666666666666664"/>
  </r>
  <r>
    <s v="C101"/>
    <x v="0"/>
    <x v="4"/>
    <s v="some college"/>
    <s v="free/reduced"/>
    <s v="completed"/>
    <n v="54"/>
    <n v="61"/>
    <n v="62"/>
    <n v="177"/>
    <n v="59"/>
  </r>
  <r>
    <s v="C102"/>
    <x v="0"/>
    <x v="4"/>
    <s v="some college"/>
    <s v="standard"/>
    <s v="completed"/>
    <n v="75"/>
    <n v="78"/>
    <n v="79"/>
    <n v="232"/>
    <n v="77.333333333333329"/>
  </r>
  <r>
    <s v="C103"/>
    <x v="0"/>
    <x v="2"/>
    <s v="high school"/>
    <s v="standard"/>
    <s v="none"/>
    <n v="79"/>
    <n v="78"/>
    <n v="77"/>
    <n v="234"/>
    <n v="78"/>
  </r>
  <r>
    <s v="C104"/>
    <x v="0"/>
    <x v="1"/>
    <s v="high school"/>
    <s v="standard"/>
    <s v="none"/>
    <n v="66"/>
    <n v="67"/>
    <n v="67"/>
    <n v="200"/>
    <n v="66.666666666666671"/>
  </r>
  <r>
    <s v="C105"/>
    <x v="1"/>
    <x v="3"/>
    <s v="some college"/>
    <s v="standard"/>
    <s v="none"/>
    <n v="47"/>
    <n v="58"/>
    <n v="58"/>
    <n v="163"/>
    <n v="54.333333333333336"/>
  </r>
  <r>
    <s v="C106"/>
    <x v="1"/>
    <x v="1"/>
    <s v="bachelor's degree"/>
    <s v="standard"/>
    <s v="none"/>
    <n v="70"/>
    <n v="78"/>
    <n v="82"/>
    <n v="230"/>
    <n v="76.666666666666671"/>
  </r>
  <r>
    <s v="C107"/>
    <x v="0"/>
    <x v="1"/>
    <s v="high school"/>
    <s v="standard"/>
    <s v="none"/>
    <n v="82"/>
    <n v="74"/>
    <n v="73"/>
    <n v="229"/>
    <n v="76.333333333333329"/>
  </r>
  <r>
    <s v="C108"/>
    <x v="0"/>
    <x v="0"/>
    <s v="bachelor's degree"/>
    <s v="standard"/>
    <s v="none"/>
    <n v="56"/>
    <n v="38"/>
    <n v="44"/>
    <n v="138"/>
    <n v="46"/>
  </r>
  <r>
    <s v="C109"/>
    <x v="0"/>
    <x v="3"/>
    <s v="associate's degree"/>
    <s v="standard"/>
    <s v="none"/>
    <n v="92"/>
    <n v="78"/>
    <n v="71"/>
    <n v="241"/>
    <n v="80.333333333333329"/>
  </r>
  <r>
    <s v="C110"/>
    <x v="0"/>
    <x v="4"/>
    <s v="some college"/>
    <s v="free/reduced"/>
    <s v="none"/>
    <n v="30"/>
    <n v="33"/>
    <n v="33"/>
    <n v="96"/>
    <n v="32"/>
  </r>
  <r>
    <s v="C111"/>
    <x v="1"/>
    <x v="4"/>
    <s v="some college"/>
    <s v="standard"/>
    <s v="completed"/>
    <n v="79"/>
    <n v="88"/>
    <n v="86"/>
    <n v="253"/>
    <n v="84.333333333333329"/>
  </r>
  <r>
    <s v="C112"/>
    <x v="1"/>
    <x v="1"/>
    <s v="some high school"/>
    <s v="standard"/>
    <s v="none"/>
    <n v="41"/>
    <n v="52"/>
    <n v="47"/>
    <n v="140"/>
    <n v="46.666666666666664"/>
  </r>
  <r>
    <s v="C113"/>
    <x v="1"/>
    <x v="4"/>
    <s v="master's degree"/>
    <s v="standard"/>
    <s v="none"/>
    <n v="63"/>
    <n v="82"/>
    <n v="71"/>
    <n v="216"/>
    <n v="72"/>
  </r>
  <r>
    <s v="C114"/>
    <x v="0"/>
    <x v="0"/>
    <s v="bachelor's degree"/>
    <s v="free/reduced"/>
    <s v="none"/>
    <n v="43"/>
    <n v="34"/>
    <n v="33"/>
    <n v="110"/>
    <n v="36.666666666666664"/>
  </r>
  <r>
    <s v="C115"/>
    <x v="0"/>
    <x v="1"/>
    <s v="high school"/>
    <s v="standard"/>
    <s v="none"/>
    <n v="77"/>
    <n v="76"/>
    <n v="74"/>
    <n v="227"/>
    <n v="75.666666666666671"/>
  </r>
  <r>
    <s v="C116"/>
    <x v="0"/>
    <x v="3"/>
    <s v="associate's degree"/>
    <s v="standard"/>
    <s v="completed"/>
    <n v="76"/>
    <n v="79"/>
    <n v="76"/>
    <n v="231"/>
    <n v="77"/>
  </r>
  <r>
    <s v="C117"/>
    <x v="1"/>
    <x v="2"/>
    <s v="some college"/>
    <s v="free/reduced"/>
    <s v="none"/>
    <n v="49"/>
    <n v="61"/>
    <n v="63"/>
    <n v="173"/>
    <n v="57.666666666666664"/>
  </r>
  <r>
    <s v="C118"/>
    <x v="0"/>
    <x v="4"/>
    <s v="associate's degree"/>
    <s v="standard"/>
    <s v="completed"/>
    <n v="59"/>
    <n v="57"/>
    <n v="55"/>
    <n v="171"/>
    <n v="57"/>
  </r>
  <r>
    <s v="C119"/>
    <x v="0"/>
    <x v="3"/>
    <s v="bachelor's degree"/>
    <s v="free/reduced"/>
    <s v="none"/>
    <n v="59"/>
    <n v="70"/>
    <n v="58"/>
    <n v="187"/>
    <n v="62.333333333333336"/>
  </r>
  <r>
    <s v="C120"/>
    <x v="1"/>
    <x v="1"/>
    <s v="some high school"/>
    <s v="standard"/>
    <s v="completed"/>
    <n v="76"/>
    <n v="90"/>
    <n v="87"/>
    <n v="253"/>
    <n v="84.333333333333329"/>
  </r>
  <r>
    <s v="C121"/>
    <x v="1"/>
    <x v="4"/>
    <s v="high school"/>
    <s v="standard"/>
    <s v="completed"/>
    <n v="55"/>
    <n v="71"/>
    <n v="71"/>
    <n v="197"/>
    <n v="65.666666666666671"/>
  </r>
  <r>
    <s v="C122"/>
    <x v="1"/>
    <x v="1"/>
    <s v="bachelor's degree"/>
    <s v="standard"/>
    <s v="completed"/>
    <n v="78"/>
    <n v="87"/>
    <n v="89"/>
    <n v="254"/>
    <n v="84.666666666666671"/>
  </r>
  <r>
    <s v="C123"/>
    <x v="1"/>
    <x v="4"/>
    <s v="bachelor's degree"/>
    <s v="standard"/>
    <s v="completed"/>
    <n v="51"/>
    <n v="53"/>
    <n v="62"/>
    <n v="166"/>
    <n v="55.333333333333336"/>
  </r>
  <r>
    <s v="C124"/>
    <x v="1"/>
    <x v="4"/>
    <s v="some high school"/>
    <s v="standard"/>
    <s v="completed"/>
    <n v="41"/>
    <n v="43"/>
    <n v="45"/>
    <n v="129"/>
    <n v="43"/>
  </r>
  <r>
    <s v="C125"/>
    <x v="1"/>
    <x v="1"/>
    <s v="associate's degree"/>
    <s v="standard"/>
    <s v="none"/>
    <n v="74"/>
    <n v="78"/>
    <n v="86"/>
    <n v="238"/>
    <n v="79.333333333333329"/>
  </r>
  <r>
    <s v="C126"/>
    <x v="0"/>
    <x v="4"/>
    <s v="master's degree"/>
    <s v="standard"/>
    <s v="none"/>
    <n v="62"/>
    <n v="54"/>
    <n v="58"/>
    <n v="174"/>
    <n v="58"/>
  </r>
  <r>
    <s v="C127"/>
    <x v="0"/>
    <x v="1"/>
    <s v="associate's degree"/>
    <s v="standard"/>
    <s v="none"/>
    <n v="77"/>
    <n v="71"/>
    <n v="64"/>
    <n v="212"/>
    <n v="70.666666666666671"/>
  </r>
  <r>
    <s v="C128"/>
    <x v="0"/>
    <x v="4"/>
    <s v="some high school"/>
    <s v="standard"/>
    <s v="none"/>
    <n v="45"/>
    <n v="52"/>
    <n v="45"/>
    <n v="142"/>
    <n v="47.333333333333336"/>
  </r>
  <r>
    <s v="C129"/>
    <x v="0"/>
    <x v="2"/>
    <s v="some college"/>
    <s v="standard"/>
    <s v="completed"/>
    <n v="100"/>
    <n v="84"/>
    <n v="87"/>
    <n v="271"/>
    <n v="90.333333333333329"/>
  </r>
  <r>
    <s v="C130"/>
    <x v="1"/>
    <x v="1"/>
    <s v="associate's degree"/>
    <s v="free/reduced"/>
    <s v="completed"/>
    <n v="83"/>
    <n v="95"/>
    <n v="100"/>
    <n v="278"/>
    <n v="92.666666666666671"/>
  </r>
  <r>
    <s v="C131"/>
    <x v="1"/>
    <x v="2"/>
    <s v="associate's degree"/>
    <s v="free/reduced"/>
    <s v="completed"/>
    <n v="77"/>
    <n v="75"/>
    <n v="82"/>
    <n v="234"/>
    <n v="78"/>
  </r>
  <r>
    <s v="C132"/>
    <x v="0"/>
    <x v="4"/>
    <s v="high school"/>
    <s v="standard"/>
    <s v="completed"/>
    <n v="66"/>
    <n v="70"/>
    <n v="64"/>
    <n v="200"/>
    <n v="66.666666666666671"/>
  </r>
  <r>
    <s v="C133"/>
    <x v="0"/>
    <x v="3"/>
    <s v="some college"/>
    <s v="standard"/>
    <s v="none"/>
    <n v="65"/>
    <n v="63"/>
    <n v="57"/>
    <n v="185"/>
    <n v="61.666666666666664"/>
  </r>
  <r>
    <s v="C134"/>
    <x v="0"/>
    <x v="1"/>
    <s v="associate's degree"/>
    <s v="standard"/>
    <s v="none"/>
    <n v="62"/>
    <n v="55"/>
    <n v="56"/>
    <n v="173"/>
    <n v="57.666666666666664"/>
  </r>
  <r>
    <s v="C135"/>
    <x v="0"/>
    <x v="2"/>
    <s v="some college"/>
    <s v="standard"/>
    <s v="none"/>
    <n v="55"/>
    <n v="54"/>
    <n v="54"/>
    <n v="163"/>
    <n v="54.333333333333336"/>
  </r>
  <r>
    <s v="C136"/>
    <x v="0"/>
    <x v="4"/>
    <s v="some high school"/>
    <s v="free/reduced"/>
    <s v="none"/>
    <n v="73"/>
    <n v="78"/>
    <n v="69"/>
    <n v="220"/>
    <n v="73.333333333333329"/>
  </r>
  <r>
    <s v="C137"/>
    <x v="0"/>
    <x v="0"/>
    <s v="some college"/>
    <s v="standard"/>
    <s v="completed"/>
    <n v="73"/>
    <n v="81"/>
    <n v="76"/>
    <n v="230"/>
    <n v="76.666666666666671"/>
  </r>
  <r>
    <s v="C138"/>
    <x v="1"/>
    <x v="3"/>
    <s v="associate's degree"/>
    <s v="standard"/>
    <s v="completed"/>
    <n v="48"/>
    <n v="66"/>
    <n v="68"/>
    <n v="182"/>
    <n v="60.666666666666664"/>
  </r>
  <r>
    <s v="C139"/>
    <x v="0"/>
    <x v="1"/>
    <s v="some college"/>
    <s v="free/reduced"/>
    <s v="none"/>
    <n v="52"/>
    <n v="44"/>
    <n v="49"/>
    <n v="145"/>
    <n v="48.333333333333336"/>
  </r>
  <r>
    <s v="C140"/>
    <x v="1"/>
    <x v="4"/>
    <s v="some high school"/>
    <s v="free/reduced"/>
    <s v="none"/>
    <n v="60"/>
    <n v="72"/>
    <n v="64"/>
    <n v="196"/>
    <n v="65.333333333333329"/>
  </r>
  <r>
    <s v="C141"/>
    <x v="0"/>
    <x v="3"/>
    <s v="associate's degree"/>
    <s v="free/reduced"/>
    <s v="none"/>
    <n v="68"/>
    <n v="63"/>
    <n v="57"/>
    <n v="188"/>
    <n v="62.666666666666664"/>
  </r>
  <r>
    <s v="C142"/>
    <x v="1"/>
    <x v="1"/>
    <s v="some college"/>
    <s v="free/reduced"/>
    <s v="none"/>
    <n v="65"/>
    <n v="77"/>
    <n v="83"/>
    <n v="225"/>
    <n v="75"/>
  </r>
  <r>
    <s v="C143"/>
    <x v="1"/>
    <x v="1"/>
    <s v="bachelor's degree"/>
    <s v="standard"/>
    <s v="none"/>
    <n v="86"/>
    <n v="83"/>
    <n v="87"/>
    <n v="256"/>
    <n v="85.333333333333329"/>
  </r>
  <r>
    <s v="C144"/>
    <x v="1"/>
    <x v="3"/>
    <s v="associate's degree"/>
    <s v="standard"/>
    <s v="none"/>
    <n v="55"/>
    <n v="62"/>
    <n v="60"/>
    <n v="177"/>
    <n v="59"/>
  </r>
  <r>
    <s v="C145"/>
    <x v="0"/>
    <x v="3"/>
    <s v="master's degree"/>
    <s v="standard"/>
    <s v="completed"/>
    <n v="80"/>
    <n v="71"/>
    <n v="68"/>
    <n v="219"/>
    <n v="73"/>
  </r>
  <r>
    <s v="C146"/>
    <x v="1"/>
    <x v="3"/>
    <s v="high school"/>
    <s v="free/reduced"/>
    <s v="none"/>
    <n v="51"/>
    <n v="57"/>
    <n v="57"/>
    <n v="165"/>
    <n v="55"/>
  </r>
  <r>
    <s v="C147"/>
    <x v="1"/>
    <x v="3"/>
    <s v="some high school"/>
    <s v="standard"/>
    <s v="completed"/>
    <n v="63"/>
    <n v="61"/>
    <n v="66"/>
    <n v="190"/>
    <n v="63.333333333333336"/>
  </r>
  <r>
    <s v="C148"/>
    <x v="0"/>
    <x v="2"/>
    <s v="some college"/>
    <s v="standard"/>
    <s v="none"/>
    <n v="60"/>
    <n v="55"/>
    <n v="46"/>
    <n v="161"/>
    <n v="53.666666666666664"/>
  </r>
  <r>
    <s v="C149"/>
    <x v="1"/>
    <x v="2"/>
    <s v="bachelor's degree"/>
    <s v="standard"/>
    <s v="completed"/>
    <n v="100"/>
    <n v="100"/>
    <n v="100"/>
    <n v="300"/>
    <n v="100"/>
  </r>
  <r>
    <s v="C150"/>
    <x v="0"/>
    <x v="0"/>
    <s v="associate's degree"/>
    <s v="free/reduced"/>
    <s v="none"/>
    <n v="46"/>
    <n v="44"/>
    <n v="44"/>
    <n v="134"/>
    <n v="44.666666666666664"/>
  </r>
  <r>
    <s v="C151"/>
    <x v="1"/>
    <x v="4"/>
    <s v="some college"/>
    <s v="standard"/>
    <s v="completed"/>
    <n v="67"/>
    <n v="78"/>
    <n v="80"/>
    <n v="225"/>
    <n v="75"/>
  </r>
  <r>
    <s v="C152"/>
    <x v="1"/>
    <x v="4"/>
    <s v="high school"/>
    <s v="free/reduced"/>
    <s v="none"/>
    <n v="54"/>
    <n v="67"/>
    <n v="59"/>
    <n v="180"/>
    <n v="60"/>
  </r>
  <r>
    <s v="C153"/>
    <x v="1"/>
    <x v="3"/>
    <s v="associate's degree"/>
    <s v="standard"/>
    <s v="none"/>
    <n v="63"/>
    <n v="79"/>
    <n v="76"/>
    <n v="218"/>
    <n v="72.666666666666671"/>
  </r>
  <r>
    <s v="C154"/>
    <x v="0"/>
    <x v="1"/>
    <s v="bachelor's degree"/>
    <s v="standard"/>
    <s v="none"/>
    <n v="68"/>
    <n v="66"/>
    <n v="73"/>
    <n v="207"/>
    <n v="69"/>
  </r>
  <r>
    <s v="C155"/>
    <x v="1"/>
    <x v="4"/>
    <s v="associate's degree"/>
    <s v="free/reduced"/>
    <s v="none"/>
    <n v="54"/>
    <n v="63"/>
    <n v="58"/>
    <n v="175"/>
    <n v="58.333333333333336"/>
  </r>
  <r>
    <s v="C156"/>
    <x v="1"/>
    <x v="4"/>
    <s v="some college"/>
    <s v="standard"/>
    <s v="none"/>
    <n v="43"/>
    <n v="44"/>
    <n v="47"/>
    <n v="134"/>
    <n v="44.666666666666664"/>
  </r>
  <r>
    <s v="C157"/>
    <x v="0"/>
    <x v="3"/>
    <s v="high school"/>
    <s v="free/reduced"/>
    <s v="none"/>
    <n v="64"/>
    <n v="64"/>
    <n v="59"/>
    <n v="187"/>
    <n v="62.333333333333336"/>
  </r>
  <r>
    <s v="C158"/>
    <x v="1"/>
    <x v="2"/>
    <s v="associate's degree"/>
    <s v="free/reduced"/>
    <s v="none"/>
    <n v="92"/>
    <n v="87"/>
    <n v="87"/>
    <n v="266"/>
    <n v="88.666666666666671"/>
  </r>
  <r>
    <s v="C159"/>
    <x v="1"/>
    <x v="1"/>
    <s v="associate's degree"/>
    <s v="free/reduced"/>
    <s v="none"/>
    <n v="82"/>
    <n v="95"/>
    <n v="93"/>
    <n v="270"/>
    <n v="90"/>
  </r>
  <r>
    <s v="C160"/>
    <x v="0"/>
    <x v="2"/>
    <s v="some high school"/>
    <s v="free/reduced"/>
    <s v="none"/>
    <n v="84"/>
    <n v="78"/>
    <n v="79"/>
    <n v="241"/>
    <n v="80.333333333333329"/>
  </r>
  <r>
    <s v="C161"/>
    <x v="1"/>
    <x v="1"/>
    <s v="associate's degree"/>
    <s v="standard"/>
    <s v="completed"/>
    <n v="84"/>
    <n v="98"/>
    <n v="97"/>
    <n v="279"/>
    <n v="93"/>
  </r>
  <r>
    <s v="C162"/>
    <x v="0"/>
    <x v="1"/>
    <s v="associate's degree"/>
    <s v="free/reduced"/>
    <s v="none"/>
    <n v="65"/>
    <n v="63"/>
    <n v="65"/>
    <n v="193"/>
    <n v="64.333333333333329"/>
  </r>
  <r>
    <s v="C163"/>
    <x v="1"/>
    <x v="4"/>
    <s v="bachelor's degree"/>
    <s v="standard"/>
    <s v="none"/>
    <n v="83"/>
    <n v="92"/>
    <n v="91"/>
    <n v="266"/>
    <n v="88.666666666666671"/>
  </r>
  <r>
    <s v="C164"/>
    <x v="1"/>
    <x v="3"/>
    <s v="some high school"/>
    <s v="standard"/>
    <s v="completed"/>
    <n v="70"/>
    <n v="75"/>
    <n v="75"/>
    <n v="220"/>
    <n v="73.333333333333329"/>
  </r>
  <r>
    <s v="C165"/>
    <x v="0"/>
    <x v="0"/>
    <s v="bachelor's degree"/>
    <s v="standard"/>
    <s v="completed"/>
    <n v="66"/>
    <n v="72"/>
    <n v="70"/>
    <n v="208"/>
    <n v="69.333333333333329"/>
  </r>
  <r>
    <s v="C166"/>
    <x v="1"/>
    <x v="1"/>
    <s v="bachelor's degree"/>
    <s v="standard"/>
    <s v="completed"/>
    <n v="71"/>
    <n v="87"/>
    <n v="92"/>
    <n v="250"/>
    <n v="83.333333333333329"/>
  </r>
  <r>
    <s v="C167"/>
    <x v="0"/>
    <x v="3"/>
    <s v="bachelor's degree"/>
    <s v="standard"/>
    <s v="none"/>
    <n v="66"/>
    <n v="64"/>
    <n v="58"/>
    <n v="188"/>
    <n v="62.666666666666664"/>
  </r>
  <r>
    <s v="C168"/>
    <x v="1"/>
    <x v="3"/>
    <s v="some high school"/>
    <s v="standard"/>
    <s v="completed"/>
    <n v="57"/>
    <n v="64"/>
    <n v="68"/>
    <n v="189"/>
    <n v="63"/>
  </r>
  <r>
    <s v="C169"/>
    <x v="1"/>
    <x v="4"/>
    <s v="master's degree"/>
    <s v="standard"/>
    <s v="none"/>
    <n v="86"/>
    <n v="90"/>
    <n v="93"/>
    <n v="269"/>
    <n v="89.666666666666671"/>
  </r>
  <r>
    <s v="C170"/>
    <x v="1"/>
    <x v="0"/>
    <s v="high school"/>
    <s v="standard"/>
    <s v="none"/>
    <n v="80"/>
    <n v="85"/>
    <n v="83"/>
    <n v="248"/>
    <n v="82.666666666666671"/>
  </r>
  <r>
    <s v="C171"/>
    <x v="1"/>
    <x v="3"/>
    <s v="high school"/>
    <s v="standard"/>
    <s v="none"/>
    <n v="62"/>
    <n v="60"/>
    <n v="59"/>
    <n v="181"/>
    <n v="60.333333333333336"/>
  </r>
  <r>
    <s v="C172"/>
    <x v="1"/>
    <x v="1"/>
    <s v="some college"/>
    <s v="standard"/>
    <s v="none"/>
    <n v="71"/>
    <n v="71"/>
    <n v="76"/>
    <n v="218"/>
    <n v="72.666666666666671"/>
  </r>
  <r>
    <s v="C173"/>
    <x v="1"/>
    <x v="4"/>
    <s v="some college"/>
    <s v="free/reduced"/>
    <s v="completed"/>
    <n v="57"/>
    <n v="66"/>
    <n v="71"/>
    <n v="194"/>
    <n v="64.666666666666671"/>
  </r>
  <r>
    <s v="C174"/>
    <x v="0"/>
    <x v="0"/>
    <s v="some high school"/>
    <s v="free/reduced"/>
    <s v="completed"/>
    <n v="69"/>
    <n v="64"/>
    <n v="62"/>
    <n v="195"/>
    <n v="65"/>
  </r>
  <r>
    <s v="C175"/>
    <x v="0"/>
    <x v="3"/>
    <s v="some college"/>
    <s v="standard"/>
    <s v="completed"/>
    <n v="83"/>
    <n v="74"/>
    <n v="72"/>
    <n v="229"/>
    <n v="76.333333333333329"/>
  </r>
  <r>
    <s v="C176"/>
    <x v="1"/>
    <x v="1"/>
    <s v="some college"/>
    <s v="free/reduced"/>
    <s v="none"/>
    <n v="50"/>
    <n v="56"/>
    <n v="60"/>
    <n v="166"/>
    <n v="55.333333333333336"/>
  </r>
  <r>
    <s v="C177"/>
    <x v="1"/>
    <x v="4"/>
    <s v="bachelor's degree"/>
    <s v="standard"/>
    <s v="none"/>
    <n v="55"/>
    <n v="56"/>
    <n v="56"/>
    <n v="167"/>
    <n v="55.666666666666664"/>
  </r>
  <r>
    <s v="C178"/>
    <x v="0"/>
    <x v="3"/>
    <s v="some high school"/>
    <s v="free/reduced"/>
    <s v="none"/>
    <n v="55"/>
    <n v="53"/>
    <n v="51"/>
    <n v="159"/>
    <n v="53"/>
  </r>
  <r>
    <s v="C179"/>
    <x v="1"/>
    <x v="1"/>
    <s v="some college"/>
    <s v="free/reduced"/>
    <s v="completed"/>
    <n v="83"/>
    <n v="93"/>
    <n v="95"/>
    <n v="271"/>
    <n v="90.333333333333329"/>
  </r>
  <r>
    <s v="C180"/>
    <x v="0"/>
    <x v="1"/>
    <s v="high school"/>
    <s v="standard"/>
    <s v="completed"/>
    <n v="89"/>
    <n v="87"/>
    <n v="86"/>
    <n v="262"/>
    <n v="87.333333333333329"/>
  </r>
  <r>
    <s v="C181"/>
    <x v="1"/>
    <x v="1"/>
    <s v="some high school"/>
    <s v="standard"/>
    <s v="none"/>
    <n v="51"/>
    <n v="62"/>
    <n v="64"/>
    <n v="177"/>
    <n v="59"/>
  </r>
  <r>
    <s v="C182"/>
    <x v="1"/>
    <x v="4"/>
    <s v="some college"/>
    <s v="standard"/>
    <s v="none"/>
    <n v="48"/>
    <n v="52"/>
    <n v="49"/>
    <n v="149"/>
    <n v="49.666666666666664"/>
  </r>
  <r>
    <s v="C183"/>
    <x v="1"/>
    <x v="2"/>
    <s v="bachelor's degree"/>
    <s v="standard"/>
    <s v="none"/>
    <n v="84"/>
    <n v="95"/>
    <n v="89"/>
    <n v="268"/>
    <n v="89.333333333333329"/>
  </r>
  <r>
    <s v="C184"/>
    <x v="1"/>
    <x v="4"/>
    <s v="associate's degree"/>
    <s v="standard"/>
    <s v="none"/>
    <n v="69"/>
    <n v="83"/>
    <n v="76"/>
    <n v="228"/>
    <n v="76"/>
  </r>
  <r>
    <s v="C185"/>
    <x v="1"/>
    <x v="4"/>
    <s v="associate's degree"/>
    <s v="standard"/>
    <s v="completed"/>
    <n v="75"/>
    <n v="85"/>
    <n v="87"/>
    <n v="247"/>
    <n v="82.333333333333329"/>
  </r>
  <r>
    <s v="C186"/>
    <x v="1"/>
    <x v="4"/>
    <s v="master's degree"/>
    <s v="standard"/>
    <s v="none"/>
    <n v="91"/>
    <n v="100"/>
    <n v="99"/>
    <n v="290"/>
    <n v="96.666666666666671"/>
  </r>
  <r>
    <s v="C187"/>
    <x v="0"/>
    <x v="3"/>
    <s v="high school"/>
    <s v="standard"/>
    <s v="none"/>
    <n v="76"/>
    <n v="77"/>
    <n v="67"/>
    <n v="220"/>
    <n v="73.333333333333329"/>
  </r>
  <r>
    <s v="C188"/>
    <x v="0"/>
    <x v="2"/>
    <s v="some high school"/>
    <s v="free/reduced"/>
    <s v="none"/>
    <n v="63"/>
    <n v="61"/>
    <n v="59"/>
    <n v="183"/>
    <n v="61"/>
  </r>
  <r>
    <s v="C189"/>
    <x v="0"/>
    <x v="1"/>
    <s v="high school"/>
    <s v="standard"/>
    <s v="none"/>
    <n v="73"/>
    <n v="65"/>
    <n v="64"/>
    <n v="202"/>
    <n v="67.333333333333329"/>
  </r>
  <r>
    <s v="C190"/>
    <x v="0"/>
    <x v="3"/>
    <s v="some high school"/>
    <s v="free/reduced"/>
    <s v="completed"/>
    <n v="52"/>
    <n v="63"/>
    <n v="53"/>
    <n v="168"/>
    <n v="56"/>
  </r>
  <r>
    <s v="C191"/>
    <x v="0"/>
    <x v="3"/>
    <s v="some high school"/>
    <s v="standard"/>
    <s v="completed"/>
    <n v="58"/>
    <n v="57"/>
    <n v="53"/>
    <n v="168"/>
    <n v="56"/>
  </r>
  <r>
    <s v="C192"/>
    <x v="1"/>
    <x v="3"/>
    <s v="some high school"/>
    <s v="standard"/>
    <s v="none"/>
    <n v="33"/>
    <n v="51"/>
    <n v="51"/>
    <n v="135"/>
    <n v="45"/>
  </r>
  <r>
    <s v="C193"/>
    <x v="0"/>
    <x v="2"/>
    <s v="some high school"/>
    <s v="free/reduced"/>
    <s v="none"/>
    <n v="68"/>
    <n v="62"/>
    <n v="61"/>
    <n v="191"/>
    <n v="63.666666666666664"/>
  </r>
  <r>
    <s v="C194"/>
    <x v="1"/>
    <x v="4"/>
    <s v="associate's degree"/>
    <s v="standard"/>
    <s v="completed"/>
    <n v="77"/>
    <n v="91"/>
    <n v="89"/>
    <n v="257"/>
    <n v="85.666666666666671"/>
  </r>
  <r>
    <s v="C195"/>
    <x v="1"/>
    <x v="4"/>
    <s v="bachelor's degree"/>
    <s v="standard"/>
    <s v="none"/>
    <n v="64"/>
    <n v="64"/>
    <n v="66"/>
    <n v="194"/>
    <n v="64.666666666666671"/>
  </r>
  <r>
    <s v="C196"/>
    <x v="1"/>
    <x v="1"/>
    <s v="some high school"/>
    <s v="free/reduced"/>
    <s v="none"/>
    <n v="39"/>
    <n v="49"/>
    <n v="48"/>
    <n v="136"/>
    <n v="45.333333333333336"/>
  </r>
  <r>
    <s v="C197"/>
    <x v="0"/>
    <x v="1"/>
    <s v="bachelor's degree"/>
    <s v="standard"/>
    <s v="none"/>
    <n v="50"/>
    <n v="46"/>
    <n v="48"/>
    <n v="144"/>
    <n v="48"/>
  </r>
  <r>
    <s v="C198"/>
    <x v="0"/>
    <x v="0"/>
    <s v="master's degree"/>
    <s v="free/reduced"/>
    <s v="none"/>
    <n v="53"/>
    <n v="57"/>
    <n v="51"/>
    <n v="161"/>
    <n v="53.666666666666664"/>
  </r>
  <r>
    <s v="C199"/>
    <x v="1"/>
    <x v="3"/>
    <s v="associate's degree"/>
    <s v="standard"/>
    <s v="completed"/>
    <n v="54"/>
    <n v="62"/>
    <n v="70"/>
    <n v="186"/>
    <n v="62"/>
  </r>
  <r>
    <s v="C200"/>
    <x v="0"/>
    <x v="1"/>
    <s v="high school"/>
    <s v="standard"/>
    <s v="none"/>
    <n v="74"/>
    <n v="63"/>
    <n v="65"/>
    <n v="202"/>
    <n v="67.333333333333329"/>
  </r>
  <r>
    <s v="C201"/>
    <x v="1"/>
    <x v="1"/>
    <s v="associate's degree"/>
    <s v="standard"/>
    <s v="completed"/>
    <n v="50"/>
    <n v="63"/>
    <n v="65"/>
    <n v="178"/>
    <n v="59.333333333333336"/>
  </r>
  <r>
    <s v="C202"/>
    <x v="0"/>
    <x v="2"/>
    <s v="associate's degree"/>
    <s v="standard"/>
    <s v="none"/>
    <n v="55"/>
    <n v="54"/>
    <n v="47"/>
    <n v="156"/>
    <n v="52"/>
  </r>
  <r>
    <s v="C203"/>
    <x v="0"/>
    <x v="4"/>
    <s v="some college"/>
    <s v="standard"/>
    <s v="none"/>
    <n v="77"/>
    <n v="64"/>
    <n v="70"/>
    <n v="211"/>
    <n v="70.333333333333329"/>
  </r>
  <r>
    <s v="C204"/>
    <x v="1"/>
    <x v="3"/>
    <s v="some high school"/>
    <s v="standard"/>
    <s v="completed"/>
    <n v="49"/>
    <n v="64"/>
    <n v="67"/>
    <n v="180"/>
    <n v="60"/>
  </r>
  <r>
    <s v="C205"/>
    <x v="1"/>
    <x v="1"/>
    <s v="associate's degree"/>
    <s v="free/reduced"/>
    <s v="none"/>
    <n v="66"/>
    <n v="83"/>
    <n v="82"/>
    <n v="231"/>
    <n v="77"/>
  </r>
  <r>
    <s v="C206"/>
    <x v="0"/>
    <x v="3"/>
    <s v="some high school"/>
    <s v="standard"/>
    <s v="completed"/>
    <n v="77"/>
    <n v="74"/>
    <n v="75"/>
    <n v="226"/>
    <n v="75.333333333333329"/>
  </r>
  <r>
    <s v="C207"/>
    <x v="1"/>
    <x v="0"/>
    <s v="master's degree"/>
    <s v="standard"/>
    <s v="completed"/>
    <n v="74"/>
    <n v="78"/>
    <n v="84"/>
    <n v="236"/>
    <n v="78.666666666666671"/>
  </r>
  <r>
    <s v="C208"/>
    <x v="0"/>
    <x v="4"/>
    <s v="some college"/>
    <s v="standard"/>
    <s v="none"/>
    <n v="85"/>
    <n v="78"/>
    <n v="81"/>
    <n v="244"/>
    <n v="81.333333333333329"/>
  </r>
  <r>
    <s v="C209"/>
    <x v="1"/>
    <x v="0"/>
    <s v="some college"/>
    <s v="standard"/>
    <s v="none"/>
    <n v="77"/>
    <n v="86"/>
    <n v="84"/>
    <n v="247"/>
    <n v="82.333333333333329"/>
  </r>
  <r>
    <s v="C210"/>
    <x v="1"/>
    <x v="3"/>
    <s v="associate's degree"/>
    <s v="standard"/>
    <s v="none"/>
    <n v="64"/>
    <n v="62"/>
    <n v="66"/>
    <n v="192"/>
    <n v="64"/>
  </r>
  <r>
    <s v="C211"/>
    <x v="1"/>
    <x v="1"/>
    <s v="high school"/>
    <s v="free/reduced"/>
    <s v="completed"/>
    <n v="61"/>
    <n v="69"/>
    <n v="68"/>
    <n v="198"/>
    <n v="66"/>
  </r>
  <r>
    <s v="C212"/>
    <x v="0"/>
    <x v="1"/>
    <s v="associate's degree"/>
    <s v="standard"/>
    <s v="none"/>
    <n v="97"/>
    <n v="88"/>
    <n v="85"/>
    <n v="270"/>
    <n v="90"/>
  </r>
  <r>
    <s v="C213"/>
    <x v="0"/>
    <x v="4"/>
    <s v="some college"/>
    <s v="standard"/>
    <s v="completed"/>
    <n v="66"/>
    <n v="75"/>
    <n v="70"/>
    <n v="211"/>
    <n v="70.333333333333329"/>
  </r>
  <r>
    <s v="C214"/>
    <x v="0"/>
    <x v="4"/>
    <s v="some high school"/>
    <s v="standard"/>
    <s v="none"/>
    <n v="62"/>
    <n v="66"/>
    <n v="64"/>
    <n v="192"/>
    <n v="64"/>
  </r>
  <r>
    <s v="C215"/>
    <x v="1"/>
    <x v="2"/>
    <s v="some high school"/>
    <s v="standard"/>
    <s v="completed"/>
    <n v="64"/>
    <n v="80"/>
    <n v="77"/>
    <n v="221"/>
    <n v="73.666666666666671"/>
  </r>
  <r>
    <s v="C216"/>
    <x v="1"/>
    <x v="3"/>
    <s v="bachelor's degree"/>
    <s v="free/reduced"/>
    <s v="none"/>
    <n v="55"/>
    <n v="57"/>
    <n v="60"/>
    <n v="172"/>
    <n v="57.333333333333336"/>
  </r>
  <r>
    <s v="C217"/>
    <x v="1"/>
    <x v="3"/>
    <s v="associate's degree"/>
    <s v="standard"/>
    <s v="none"/>
    <n v="53"/>
    <n v="72"/>
    <n v="66"/>
    <n v="191"/>
    <n v="63.666666666666664"/>
  </r>
  <r>
    <s v="C218"/>
    <x v="1"/>
    <x v="1"/>
    <s v="some college"/>
    <s v="free/reduced"/>
    <s v="none"/>
    <n v="71"/>
    <n v="81"/>
    <n v="77"/>
    <n v="229"/>
    <n v="76.333333333333329"/>
  </r>
  <r>
    <s v="C219"/>
    <x v="0"/>
    <x v="3"/>
    <s v="high school"/>
    <s v="free/reduced"/>
    <s v="completed"/>
    <n v="66"/>
    <n v="59"/>
    <n v="68"/>
    <n v="193"/>
    <n v="64.333333333333329"/>
  </r>
  <r>
    <s v="C220"/>
    <x v="0"/>
    <x v="4"/>
    <s v="associate's degree"/>
    <s v="standard"/>
    <s v="none"/>
    <n v="68"/>
    <n v="61"/>
    <n v="62"/>
    <n v="191"/>
    <n v="63.666666666666664"/>
  </r>
  <r>
    <s v="C221"/>
    <x v="0"/>
    <x v="1"/>
    <s v="some college"/>
    <s v="standard"/>
    <s v="none"/>
    <n v="89"/>
    <n v="90"/>
    <n v="83"/>
    <n v="262"/>
    <n v="87.333333333333329"/>
  </r>
  <r>
    <s v="C222"/>
    <x v="0"/>
    <x v="4"/>
    <s v="associate's degree"/>
    <s v="standard"/>
    <s v="completed"/>
    <n v="65"/>
    <n v="69"/>
    <n v="74"/>
    <n v="208"/>
    <n v="69.333333333333329"/>
  </r>
  <r>
    <s v="C223"/>
    <x v="1"/>
    <x v="3"/>
    <s v="some high school"/>
    <s v="standard"/>
    <s v="none"/>
    <n v="43"/>
    <n v="48"/>
    <n v="44"/>
    <n v="135"/>
    <n v="45"/>
  </r>
  <r>
    <s v="C224"/>
    <x v="1"/>
    <x v="1"/>
    <s v="master's degree"/>
    <s v="standard"/>
    <s v="none"/>
    <n v="79"/>
    <n v="77"/>
    <n v="83"/>
    <n v="239"/>
    <n v="79.666666666666671"/>
  </r>
  <r>
    <s v="C225"/>
    <x v="0"/>
    <x v="1"/>
    <s v="bachelor's degree"/>
    <s v="standard"/>
    <s v="none"/>
    <n v="99"/>
    <n v="94"/>
    <n v="97"/>
    <n v="290"/>
    <n v="96.666666666666671"/>
  </r>
  <r>
    <s v="C226"/>
    <x v="0"/>
    <x v="1"/>
    <s v="some high school"/>
    <s v="standard"/>
    <s v="none"/>
    <n v="82"/>
    <n v="69"/>
    <n v="72"/>
    <n v="223"/>
    <n v="74.333333333333329"/>
  </r>
  <r>
    <s v="C227"/>
    <x v="0"/>
    <x v="1"/>
    <s v="some college"/>
    <s v="free/reduced"/>
    <s v="completed"/>
    <n v="35"/>
    <n v="36"/>
    <n v="39"/>
    <n v="110"/>
    <n v="36.666666666666664"/>
  </r>
  <r>
    <s v="C228"/>
    <x v="1"/>
    <x v="1"/>
    <s v="bachelor's degree"/>
    <s v="free/reduced"/>
    <s v="none"/>
    <n v="61"/>
    <n v="71"/>
    <n v="73"/>
    <n v="205"/>
    <n v="68.333333333333329"/>
  </r>
  <r>
    <s v="C229"/>
    <x v="1"/>
    <x v="1"/>
    <s v="high school"/>
    <s v="standard"/>
    <s v="none"/>
    <n v="76"/>
    <n v="80"/>
    <n v="81"/>
    <n v="237"/>
    <n v="79"/>
  </r>
  <r>
    <s v="C230"/>
    <x v="0"/>
    <x v="4"/>
    <s v="associate's degree"/>
    <s v="free/reduced"/>
    <s v="completed"/>
    <n v="94"/>
    <n v="83"/>
    <n v="82"/>
    <n v="259"/>
    <n v="86.333333333333329"/>
  </r>
  <r>
    <s v="C231"/>
    <x v="1"/>
    <x v="4"/>
    <s v="high school"/>
    <s v="standard"/>
    <s v="none"/>
    <n v="75"/>
    <n v="90"/>
    <n v="78"/>
    <n v="243"/>
    <n v="81"/>
  </r>
  <r>
    <s v="C232"/>
    <x v="0"/>
    <x v="3"/>
    <s v="some college"/>
    <s v="standard"/>
    <s v="none"/>
    <n v="81"/>
    <n v="75"/>
    <n v="70"/>
    <n v="226"/>
    <n v="75.333333333333329"/>
  </r>
  <r>
    <s v="C233"/>
    <x v="0"/>
    <x v="4"/>
    <s v="some college"/>
    <s v="free/reduced"/>
    <s v="none"/>
    <n v="35"/>
    <n v="44"/>
    <n v="33"/>
    <n v="112"/>
    <n v="37.333333333333336"/>
  </r>
  <r>
    <s v="C234"/>
    <x v="0"/>
    <x v="4"/>
    <s v="some college"/>
    <s v="standard"/>
    <s v="none"/>
    <n v="76"/>
    <n v="74"/>
    <n v="72"/>
    <n v="222"/>
    <n v="74"/>
  </r>
  <r>
    <s v="C235"/>
    <x v="1"/>
    <x v="3"/>
    <s v="bachelor's degree"/>
    <s v="standard"/>
    <s v="none"/>
    <n v="58"/>
    <n v="79"/>
    <n v="82"/>
    <n v="219"/>
    <n v="73"/>
  </r>
  <r>
    <s v="C236"/>
    <x v="0"/>
    <x v="4"/>
    <s v="associate's degree"/>
    <s v="standard"/>
    <s v="completed"/>
    <n v="100"/>
    <n v="91"/>
    <n v="90"/>
    <n v="281"/>
    <n v="93.666666666666671"/>
  </r>
  <r>
    <s v="C237"/>
    <x v="1"/>
    <x v="4"/>
    <s v="bachelor's degree"/>
    <s v="standard"/>
    <s v="none"/>
    <n v="53"/>
    <n v="68"/>
    <n v="64"/>
    <n v="185"/>
    <n v="61.666666666666664"/>
  </r>
  <r>
    <s v="C238"/>
    <x v="1"/>
    <x v="1"/>
    <s v="high school"/>
    <s v="standard"/>
    <s v="none"/>
    <n v="82"/>
    <n v="95"/>
    <n v="96"/>
    <n v="273"/>
    <n v="91"/>
  </r>
  <r>
    <s v="C239"/>
    <x v="0"/>
    <x v="3"/>
    <s v="associate's degree"/>
    <s v="standard"/>
    <s v="none"/>
    <n v="76"/>
    <n v="62"/>
    <n v="64"/>
    <n v="202"/>
    <n v="67.333333333333329"/>
  </r>
  <r>
    <s v="C240"/>
    <x v="0"/>
    <x v="4"/>
    <s v="bachelor's degree"/>
    <s v="standard"/>
    <s v="completed"/>
    <n v="83"/>
    <n v="75"/>
    <n v="75"/>
    <n v="233"/>
    <n v="77.666666666666671"/>
  </r>
  <r>
    <s v="C241"/>
    <x v="1"/>
    <x v="1"/>
    <s v="some college"/>
    <s v="standard"/>
    <s v="none"/>
    <n v="72"/>
    <n v="84"/>
    <n v="82"/>
    <n v="238"/>
    <n v="79.333333333333329"/>
  </r>
  <r>
    <s v="C242"/>
    <x v="0"/>
    <x v="1"/>
    <s v="associate's degree"/>
    <s v="standard"/>
    <s v="completed"/>
    <n v="76"/>
    <n v="76"/>
    <n v="83"/>
    <n v="235"/>
    <n v="78.333333333333329"/>
  </r>
  <r>
    <s v="C243"/>
    <x v="0"/>
    <x v="1"/>
    <s v="some high school"/>
    <s v="standard"/>
    <s v="none"/>
    <n v="66"/>
    <n v="64"/>
    <n v="58"/>
    <n v="188"/>
    <n v="62.666666666666664"/>
  </r>
  <r>
    <s v="C244"/>
    <x v="0"/>
    <x v="4"/>
    <s v="some college"/>
    <s v="standard"/>
    <s v="none"/>
    <n v="63"/>
    <n v="65"/>
    <n v="63"/>
    <n v="191"/>
    <n v="63.666666666666664"/>
  </r>
  <r>
    <s v="C245"/>
    <x v="0"/>
    <x v="3"/>
    <s v="some high school"/>
    <s v="standard"/>
    <s v="none"/>
    <n v="36"/>
    <n v="34"/>
    <n v="28"/>
    <n v="98"/>
    <n v="32.666666666666664"/>
  </r>
  <r>
    <s v="C246"/>
    <x v="0"/>
    <x v="4"/>
    <s v="high school"/>
    <s v="standard"/>
    <s v="none"/>
    <n v="68"/>
    <n v="74"/>
    <n v="71"/>
    <n v="213"/>
    <n v="71"/>
  </r>
  <r>
    <s v="C247"/>
    <x v="1"/>
    <x v="4"/>
    <s v="some high school"/>
    <s v="free/reduced"/>
    <s v="completed"/>
    <n v="40"/>
    <n v="52"/>
    <n v="42"/>
    <n v="134"/>
    <n v="44.666666666666664"/>
  </r>
  <r>
    <s v="C248"/>
    <x v="0"/>
    <x v="1"/>
    <s v="some high school"/>
    <s v="standard"/>
    <s v="none"/>
    <n v="68"/>
    <n v="71"/>
    <n v="61"/>
    <n v="200"/>
    <n v="66.666666666666671"/>
  </r>
  <r>
    <s v="C249"/>
    <x v="0"/>
    <x v="4"/>
    <s v="associate's degree"/>
    <s v="standard"/>
    <s v="completed"/>
    <n v="56"/>
    <n v="54"/>
    <n v="52"/>
    <n v="162"/>
    <n v="54"/>
  </r>
  <r>
    <s v="C250"/>
    <x v="1"/>
    <x v="1"/>
    <s v="associate's degree"/>
    <s v="free/reduced"/>
    <s v="none"/>
    <n v="74"/>
    <n v="83"/>
    <n v="80"/>
    <n v="237"/>
    <n v="79"/>
  </r>
  <r>
    <s v="C251"/>
    <x v="1"/>
    <x v="1"/>
    <s v="some college"/>
    <s v="free/reduced"/>
    <s v="none"/>
    <n v="53"/>
    <n v="70"/>
    <n v="71"/>
    <n v="194"/>
    <n v="64.666666666666671"/>
  </r>
  <r>
    <s v="C252"/>
    <x v="0"/>
    <x v="3"/>
    <s v="some high school"/>
    <s v="standard"/>
    <s v="none"/>
    <n v="88"/>
    <n v="65"/>
    <n v="70"/>
    <n v="223"/>
    <n v="74.333333333333329"/>
  </r>
  <r>
    <s v="C253"/>
    <x v="0"/>
    <x v="1"/>
    <s v="some high school"/>
    <s v="standard"/>
    <s v="none"/>
    <n v="67"/>
    <n v="63"/>
    <n v="61"/>
    <n v="191"/>
    <n v="63.666666666666664"/>
  </r>
  <r>
    <s v="C254"/>
    <x v="1"/>
    <x v="3"/>
    <s v="associate's degree"/>
    <s v="standard"/>
    <s v="none"/>
    <n v="60"/>
    <n v="76"/>
    <n v="65"/>
    <n v="201"/>
    <n v="67"/>
  </r>
  <r>
    <s v="C255"/>
    <x v="1"/>
    <x v="4"/>
    <s v="high school"/>
    <s v="free/reduced"/>
    <s v="none"/>
    <n v="51"/>
    <n v="61"/>
    <n v="54"/>
    <n v="166"/>
    <n v="55.333333333333336"/>
  </r>
  <r>
    <s v="C256"/>
    <x v="1"/>
    <x v="1"/>
    <s v="some high school"/>
    <s v="standard"/>
    <s v="none"/>
    <n v="53"/>
    <n v="66"/>
    <n v="59"/>
    <n v="178"/>
    <n v="59.333333333333336"/>
  </r>
  <r>
    <s v="C257"/>
    <x v="0"/>
    <x v="0"/>
    <s v="bachelor's degree"/>
    <s v="standard"/>
    <s v="none"/>
    <n v="80"/>
    <n v="78"/>
    <n v="74"/>
    <n v="232"/>
    <n v="77.333333333333329"/>
  </r>
  <r>
    <s v="C258"/>
    <x v="1"/>
    <x v="2"/>
    <s v="some high school"/>
    <s v="standard"/>
    <s v="none"/>
    <n v="69"/>
    <n v="71"/>
    <n v="67"/>
    <n v="207"/>
    <n v="69"/>
  </r>
  <r>
    <s v="C259"/>
    <x v="1"/>
    <x v="3"/>
    <s v="some high school"/>
    <s v="free/reduced"/>
    <s v="none"/>
    <n v="64"/>
    <n v="79"/>
    <n v="70"/>
    <n v="213"/>
    <n v="71"/>
  </r>
  <r>
    <s v="C260"/>
    <x v="1"/>
    <x v="1"/>
    <s v="associate's degree"/>
    <s v="free/reduced"/>
    <s v="completed"/>
    <n v="80"/>
    <n v="87"/>
    <n v="89"/>
    <n v="256"/>
    <n v="85.333333333333329"/>
  </r>
  <r>
    <s v="C261"/>
    <x v="1"/>
    <x v="0"/>
    <s v="some high school"/>
    <s v="standard"/>
    <s v="none"/>
    <n v="58"/>
    <n v="72"/>
    <n v="62"/>
    <n v="192"/>
    <n v="64"/>
  </r>
  <r>
    <s v="C262"/>
    <x v="1"/>
    <x v="4"/>
    <s v="high school"/>
    <s v="standard"/>
    <s v="none"/>
    <n v="39"/>
    <n v="46"/>
    <n v="50"/>
    <n v="135"/>
    <n v="45"/>
  </r>
  <r>
    <s v="C263"/>
    <x v="0"/>
    <x v="1"/>
    <s v="some high school"/>
    <s v="standard"/>
    <s v="none"/>
    <n v="64"/>
    <n v="56"/>
    <n v="50"/>
    <n v="170"/>
    <n v="56.666666666666664"/>
  </r>
  <r>
    <s v="C264"/>
    <x v="0"/>
    <x v="1"/>
    <s v="associate's degree"/>
    <s v="standard"/>
    <s v="none"/>
    <n v="61"/>
    <n v="66"/>
    <n v="63"/>
    <n v="190"/>
    <n v="63.333333333333336"/>
  </r>
  <r>
    <s v="C265"/>
    <x v="0"/>
    <x v="1"/>
    <s v="some high school"/>
    <s v="standard"/>
    <s v="completed"/>
    <n v="90"/>
    <n v="82"/>
    <n v="88"/>
    <n v="260"/>
    <n v="86.666666666666671"/>
  </r>
  <r>
    <s v="C266"/>
    <x v="0"/>
    <x v="1"/>
    <s v="some high school"/>
    <s v="standard"/>
    <s v="none"/>
    <n v="73"/>
    <n v="71"/>
    <n v="64"/>
    <n v="208"/>
    <n v="69.333333333333329"/>
  </r>
  <r>
    <s v="C267"/>
    <x v="0"/>
    <x v="4"/>
    <s v="associate's degree"/>
    <s v="standard"/>
    <s v="none"/>
    <n v="73"/>
    <n v="73"/>
    <n v="70"/>
    <n v="216"/>
    <n v="72"/>
  </r>
  <r>
    <s v="C268"/>
    <x v="1"/>
    <x v="1"/>
    <s v="associate's degree"/>
    <s v="standard"/>
    <s v="none"/>
    <n v="67"/>
    <n v="76"/>
    <n v="77"/>
    <n v="220"/>
    <n v="73.333333333333329"/>
  </r>
  <r>
    <s v="C269"/>
    <x v="1"/>
    <x v="3"/>
    <s v="some college"/>
    <s v="standard"/>
    <s v="none"/>
    <n v="57"/>
    <n v="58"/>
    <n v="62"/>
    <n v="177"/>
    <n v="59"/>
  </r>
  <r>
    <s v="C270"/>
    <x v="1"/>
    <x v="2"/>
    <s v="some college"/>
    <s v="standard"/>
    <s v="none"/>
    <n v="65"/>
    <n v="73"/>
    <n v="72"/>
    <n v="210"/>
    <n v="70"/>
  </r>
  <r>
    <s v="C271"/>
    <x v="1"/>
    <x v="4"/>
    <s v="some high school"/>
    <s v="standard"/>
    <s v="none"/>
    <n v="71"/>
    <n v="72"/>
    <n v="71"/>
    <n v="214"/>
    <n v="71.333333333333329"/>
  </r>
  <r>
    <s v="C272"/>
    <x v="1"/>
    <x v="1"/>
    <s v="some high school"/>
    <s v="standard"/>
    <s v="none"/>
    <n v="59"/>
    <n v="69"/>
    <n v="72"/>
    <n v="200"/>
    <n v="66.666666666666671"/>
  </r>
  <r>
    <s v="C273"/>
    <x v="0"/>
    <x v="3"/>
    <s v="high school"/>
    <s v="standard"/>
    <s v="completed"/>
    <n v="74"/>
    <n v="71"/>
    <n v="65"/>
    <n v="210"/>
    <n v="70"/>
  </r>
  <r>
    <s v="C274"/>
    <x v="1"/>
    <x v="2"/>
    <s v="high school"/>
    <s v="standard"/>
    <s v="none"/>
    <n v="93"/>
    <n v="100"/>
    <n v="93"/>
    <n v="286"/>
    <n v="95.333333333333329"/>
  </r>
  <r>
    <s v="C275"/>
    <x v="1"/>
    <x v="3"/>
    <s v="some high school"/>
    <s v="standard"/>
    <s v="completed"/>
    <n v="85"/>
    <n v="93"/>
    <n v="92"/>
    <n v="270"/>
    <n v="90"/>
  </r>
  <r>
    <s v="C276"/>
    <x v="1"/>
    <x v="2"/>
    <s v="some high school"/>
    <s v="standard"/>
    <s v="none"/>
    <n v="76"/>
    <n v="83"/>
    <n v="79"/>
    <n v="238"/>
    <n v="79.333333333333329"/>
  </r>
  <r>
    <s v="C277"/>
    <x v="1"/>
    <x v="1"/>
    <s v="high school"/>
    <s v="free/reduced"/>
    <s v="none"/>
    <n v="58"/>
    <n v="72"/>
    <n v="70"/>
    <n v="200"/>
    <n v="66.666666666666671"/>
  </r>
  <r>
    <s v="C278"/>
    <x v="1"/>
    <x v="2"/>
    <s v="associate's degree"/>
    <s v="standard"/>
    <s v="none"/>
    <n v="72"/>
    <n v="77"/>
    <n v="77"/>
    <n v="226"/>
    <n v="75.333333333333329"/>
  </r>
  <r>
    <s v="C279"/>
    <x v="1"/>
    <x v="3"/>
    <s v="high school"/>
    <s v="standard"/>
    <s v="none"/>
    <n v="40"/>
    <n v="49"/>
    <n v="47"/>
    <n v="136"/>
    <n v="45.333333333333336"/>
  </r>
  <r>
    <s v="C280"/>
    <x v="0"/>
    <x v="1"/>
    <s v="high school"/>
    <s v="standard"/>
    <s v="completed"/>
    <n v="75"/>
    <n v="73"/>
    <n v="66"/>
    <n v="214"/>
    <n v="71.333333333333329"/>
  </r>
  <r>
    <s v="C281"/>
    <x v="0"/>
    <x v="1"/>
    <s v="some high school"/>
    <s v="standard"/>
    <s v="none"/>
    <n v="85"/>
    <n v="81"/>
    <n v="80"/>
    <n v="246"/>
    <n v="82"/>
  </r>
  <r>
    <s v="C282"/>
    <x v="0"/>
    <x v="2"/>
    <s v="associate's degree"/>
    <s v="standard"/>
    <s v="completed"/>
    <n v="100"/>
    <n v="100"/>
    <n v="100"/>
    <n v="300"/>
    <n v="100"/>
  </r>
  <r>
    <s v="C283"/>
    <x v="1"/>
    <x v="3"/>
    <s v="some college"/>
    <s v="free/reduced"/>
    <s v="completed"/>
    <n v="53"/>
    <n v="65"/>
    <n v="66"/>
    <n v="184"/>
    <n v="61.333333333333336"/>
  </r>
  <r>
    <s v="C284"/>
    <x v="0"/>
    <x v="1"/>
    <s v="some college"/>
    <s v="free/reduced"/>
    <s v="none"/>
    <n v="40"/>
    <n v="42"/>
    <n v="39"/>
    <n v="121"/>
    <n v="40.333333333333336"/>
  </r>
  <r>
    <s v="C285"/>
    <x v="0"/>
    <x v="3"/>
    <s v="bachelor's degree"/>
    <s v="free/reduced"/>
    <s v="none"/>
    <n v="49"/>
    <n v="49"/>
    <n v="49"/>
    <n v="147"/>
    <n v="49"/>
  </r>
  <r>
    <s v="C286"/>
    <x v="0"/>
    <x v="4"/>
    <s v="associate's degree"/>
    <s v="standard"/>
    <s v="none"/>
    <n v="77"/>
    <n v="80"/>
    <n v="80"/>
    <n v="237"/>
    <n v="79"/>
  </r>
  <r>
    <s v="C287"/>
    <x v="1"/>
    <x v="1"/>
    <s v="high school"/>
    <s v="standard"/>
    <s v="none"/>
    <n v="82"/>
    <n v="89"/>
    <n v="84"/>
    <n v="255"/>
    <n v="85"/>
  </r>
  <r>
    <s v="C288"/>
    <x v="0"/>
    <x v="4"/>
    <s v="some college"/>
    <s v="standard"/>
    <s v="none"/>
    <n v="55"/>
    <n v="48"/>
    <n v="42"/>
    <n v="145"/>
    <n v="48.333333333333336"/>
  </r>
  <r>
    <s v="C289"/>
    <x v="1"/>
    <x v="4"/>
    <s v="some high school"/>
    <s v="free/reduced"/>
    <s v="none"/>
    <n v="62"/>
    <n v="71"/>
    <n v="77"/>
    <n v="210"/>
    <n v="70"/>
  </r>
  <r>
    <s v="C290"/>
    <x v="0"/>
    <x v="3"/>
    <s v="high school"/>
    <s v="standard"/>
    <s v="completed"/>
    <n v="69"/>
    <n v="63"/>
    <n v="59"/>
    <n v="191"/>
    <n v="63.666666666666664"/>
  </r>
  <r>
    <s v="C291"/>
    <x v="0"/>
    <x v="4"/>
    <s v="associate's degree"/>
    <s v="standard"/>
    <s v="none"/>
    <n v="78"/>
    <n v="74"/>
    <n v="76"/>
    <n v="228"/>
    <n v="76"/>
  </r>
  <r>
    <s v="C292"/>
    <x v="1"/>
    <x v="3"/>
    <s v="high school"/>
    <s v="free/reduced"/>
    <s v="completed"/>
    <n v="71"/>
    <n v="77"/>
    <n v="82"/>
    <n v="230"/>
    <n v="76.666666666666671"/>
  </r>
  <r>
    <s v="C293"/>
    <x v="0"/>
    <x v="1"/>
    <s v="some college"/>
    <s v="free/reduced"/>
    <s v="completed"/>
    <n v="59"/>
    <n v="71"/>
    <n v="66"/>
    <n v="196"/>
    <n v="65.333333333333329"/>
  </r>
  <r>
    <s v="C294"/>
    <x v="1"/>
    <x v="1"/>
    <s v="high school"/>
    <s v="free/reduced"/>
    <s v="none"/>
    <n v="60"/>
    <n v="75"/>
    <n v="70"/>
    <n v="205"/>
    <n v="68.333333333333329"/>
  </r>
  <r>
    <s v="C295"/>
    <x v="1"/>
    <x v="4"/>
    <s v="bachelor's degree"/>
    <s v="free/reduced"/>
    <s v="completed"/>
    <n v="43"/>
    <n v="60"/>
    <n v="60"/>
    <n v="163"/>
    <n v="54.333333333333336"/>
  </r>
  <r>
    <s v="C296"/>
    <x v="1"/>
    <x v="4"/>
    <s v="some high school"/>
    <s v="standard"/>
    <s v="none"/>
    <n v="77"/>
    <n v="83"/>
    <n v="86"/>
    <n v="246"/>
    <n v="82"/>
  </r>
  <r>
    <s v="C297"/>
    <x v="0"/>
    <x v="1"/>
    <s v="some high school"/>
    <s v="free/reduced"/>
    <s v="none"/>
    <n v="50"/>
    <n v="47"/>
    <n v="46"/>
    <n v="143"/>
    <n v="47.666666666666664"/>
  </r>
  <r>
    <s v="C298"/>
    <x v="1"/>
    <x v="2"/>
    <s v="bachelor's degree"/>
    <s v="free/reduced"/>
    <s v="none"/>
    <n v="56"/>
    <n v="58"/>
    <n v="52"/>
    <n v="166"/>
    <n v="55.333333333333336"/>
  </r>
  <r>
    <s v="C299"/>
    <x v="0"/>
    <x v="3"/>
    <s v="high school"/>
    <s v="standard"/>
    <s v="none"/>
    <n v="69"/>
    <n v="58"/>
    <n v="50"/>
    <n v="177"/>
    <n v="59"/>
  </r>
  <r>
    <s v="C300"/>
    <x v="0"/>
    <x v="1"/>
    <s v="high school"/>
    <s v="standard"/>
    <s v="none"/>
    <n v="47"/>
    <n v="43"/>
    <n v="39"/>
    <n v="129"/>
    <n v="43"/>
  </r>
  <r>
    <s v="C301"/>
    <x v="0"/>
    <x v="3"/>
    <s v="some college"/>
    <s v="free/reduced"/>
    <s v="none"/>
    <n v="43"/>
    <n v="28"/>
    <n v="24"/>
    <n v="95"/>
    <n v="31.666666666666668"/>
  </r>
  <r>
    <s v="C302"/>
    <x v="0"/>
    <x v="0"/>
    <s v="some high school"/>
    <s v="free/reduced"/>
    <s v="none"/>
    <n v="48"/>
    <n v="39"/>
    <n v="40"/>
    <n v="127"/>
    <n v="42.333333333333336"/>
  </r>
  <r>
    <s v="C303"/>
    <x v="0"/>
    <x v="4"/>
    <s v="high school"/>
    <s v="free/reduced"/>
    <s v="none"/>
    <n v="55"/>
    <n v="62"/>
    <n v="49"/>
    <n v="166"/>
    <n v="55.333333333333336"/>
  </r>
  <r>
    <s v="C304"/>
    <x v="0"/>
    <x v="4"/>
    <s v="some college"/>
    <s v="standard"/>
    <s v="none"/>
    <n v="73"/>
    <n v="68"/>
    <n v="66"/>
    <n v="207"/>
    <n v="69"/>
  </r>
  <r>
    <s v="C305"/>
    <x v="0"/>
    <x v="1"/>
    <s v="bachelor's degree"/>
    <s v="standard"/>
    <s v="none"/>
    <n v="71"/>
    <n v="63"/>
    <n v="66"/>
    <n v="200"/>
    <n v="66.666666666666671"/>
  </r>
  <r>
    <s v="C306"/>
    <x v="1"/>
    <x v="3"/>
    <s v="some college"/>
    <s v="standard"/>
    <s v="none"/>
    <n v="54"/>
    <n v="57"/>
    <n v="60"/>
    <n v="171"/>
    <n v="57"/>
  </r>
  <r>
    <s v="C307"/>
    <x v="0"/>
    <x v="4"/>
    <s v="high school"/>
    <s v="standard"/>
    <s v="none"/>
    <n v="66"/>
    <n v="61"/>
    <n v="63"/>
    <n v="190"/>
    <n v="63.333333333333336"/>
  </r>
  <r>
    <s v="C308"/>
    <x v="0"/>
    <x v="0"/>
    <s v="master's degree"/>
    <s v="standard"/>
    <s v="none"/>
    <n v="63"/>
    <n v="63"/>
    <n v="67"/>
    <n v="193"/>
    <n v="64.333333333333329"/>
  </r>
  <r>
    <s v="C309"/>
    <x v="1"/>
    <x v="1"/>
    <s v="bachelor's degree"/>
    <s v="standard"/>
    <s v="none"/>
    <n v="66"/>
    <n v="81"/>
    <n v="73"/>
    <n v="220"/>
    <n v="73.333333333333329"/>
  </r>
  <r>
    <s v="C310"/>
    <x v="0"/>
    <x v="4"/>
    <s v="bachelor's degree"/>
    <s v="standard"/>
    <s v="completed"/>
    <n v="79"/>
    <n v="80"/>
    <n v="75"/>
    <n v="234"/>
    <n v="78"/>
  </r>
  <r>
    <s v="C311"/>
    <x v="0"/>
    <x v="1"/>
    <s v="associate's degree"/>
    <s v="free/reduced"/>
    <s v="completed"/>
    <n v="73"/>
    <n v="69"/>
    <n v="70"/>
    <n v="212"/>
    <n v="70.666666666666671"/>
  </r>
  <r>
    <s v="C312"/>
    <x v="1"/>
    <x v="4"/>
    <s v="some high school"/>
    <s v="standard"/>
    <s v="none"/>
    <n v="36"/>
    <n v="57"/>
    <n v="53"/>
    <n v="146"/>
    <n v="48.666666666666664"/>
  </r>
  <r>
    <s v="C313"/>
    <x v="0"/>
    <x v="4"/>
    <s v="associate's degree"/>
    <s v="free/reduced"/>
    <s v="none"/>
    <n v="50"/>
    <n v="48"/>
    <n v="43"/>
    <n v="141"/>
    <n v="47"/>
  </r>
  <r>
    <s v="C314"/>
    <x v="0"/>
    <x v="2"/>
    <s v="some college"/>
    <s v="standard"/>
    <s v="completed"/>
    <n v="87"/>
    <n v="78"/>
    <n v="80"/>
    <n v="245"/>
    <n v="81.666666666666671"/>
  </r>
  <r>
    <s v="C315"/>
    <x v="0"/>
    <x v="4"/>
    <s v="associate's degree"/>
    <s v="standard"/>
    <s v="none"/>
    <n v="71"/>
    <n v="68"/>
    <n v="63"/>
    <n v="202"/>
    <n v="67.333333333333329"/>
  </r>
  <r>
    <s v="C316"/>
    <x v="1"/>
    <x v="4"/>
    <s v="associate's degree"/>
    <s v="standard"/>
    <s v="completed"/>
    <n v="85"/>
    <n v="87"/>
    <n v="94"/>
    <n v="266"/>
    <n v="88.666666666666671"/>
  </r>
  <r>
    <s v="C317"/>
    <x v="1"/>
    <x v="4"/>
    <s v="high school"/>
    <s v="standard"/>
    <s v="completed"/>
    <n v="58"/>
    <n v="67"/>
    <n v="64"/>
    <n v="189"/>
    <n v="63"/>
  </r>
  <r>
    <s v="C318"/>
    <x v="0"/>
    <x v="4"/>
    <s v="some college"/>
    <s v="standard"/>
    <s v="none"/>
    <n v="86"/>
    <n v="83"/>
    <n v="81"/>
    <n v="250"/>
    <n v="83.333333333333329"/>
  </r>
  <r>
    <s v="C319"/>
    <x v="1"/>
    <x v="1"/>
    <s v="some high school"/>
    <s v="free/reduced"/>
    <s v="none"/>
    <n v="64"/>
    <n v="86"/>
    <n v="89"/>
    <n v="239"/>
    <n v="79.666666666666671"/>
  </r>
  <r>
    <s v="C320"/>
    <x v="0"/>
    <x v="1"/>
    <s v="some college"/>
    <s v="standard"/>
    <s v="none"/>
    <n v="83"/>
    <n v="85"/>
    <n v="79"/>
    <n v="247"/>
    <n v="82.333333333333329"/>
  </r>
  <r>
    <s v="C321"/>
    <x v="0"/>
    <x v="2"/>
    <s v="high school"/>
    <s v="free/reduced"/>
    <s v="completed"/>
    <n v="58"/>
    <n v="56"/>
    <n v="49"/>
    <n v="163"/>
    <n v="54.333333333333336"/>
  </r>
  <r>
    <s v="C322"/>
    <x v="1"/>
    <x v="4"/>
    <s v="some college"/>
    <s v="free/reduced"/>
    <s v="completed"/>
    <n v="59"/>
    <n v="83"/>
    <n v="81"/>
    <n v="223"/>
    <n v="74.333333333333329"/>
  </r>
  <r>
    <s v="C323"/>
    <x v="1"/>
    <x v="4"/>
    <s v="high school"/>
    <s v="standard"/>
    <s v="none"/>
    <n v="40"/>
    <n v="58"/>
    <n v="54"/>
    <n v="152"/>
    <n v="50.666666666666664"/>
  </r>
  <r>
    <s v="C324"/>
    <x v="0"/>
    <x v="1"/>
    <s v="associate's degree"/>
    <s v="standard"/>
    <s v="completed"/>
    <n v="82"/>
    <n v="83"/>
    <n v="85"/>
    <n v="250"/>
    <n v="83.333333333333329"/>
  </r>
  <r>
    <s v="C325"/>
    <x v="0"/>
    <x v="2"/>
    <s v="some high school"/>
    <s v="standard"/>
    <s v="none"/>
    <n v="87"/>
    <n v="84"/>
    <n v="80"/>
    <n v="251"/>
    <n v="83.666666666666671"/>
  </r>
  <r>
    <s v="C326"/>
    <x v="1"/>
    <x v="4"/>
    <s v="some high school"/>
    <s v="standard"/>
    <s v="none"/>
    <n v="62"/>
    <n v="65"/>
    <n v="64"/>
    <n v="191"/>
    <n v="63.666666666666664"/>
  </r>
  <r>
    <s v="C327"/>
    <x v="0"/>
    <x v="3"/>
    <s v="associate's degree"/>
    <s v="free/reduced"/>
    <s v="completed"/>
    <n v="76"/>
    <n v="80"/>
    <n v="78"/>
    <n v="234"/>
    <n v="78"/>
  </r>
  <r>
    <s v="C328"/>
    <x v="1"/>
    <x v="0"/>
    <s v="high school"/>
    <s v="standard"/>
    <s v="none"/>
    <n v="63"/>
    <n v="69"/>
    <n v="60"/>
    <n v="192"/>
    <n v="64"/>
  </r>
  <r>
    <s v="C329"/>
    <x v="0"/>
    <x v="1"/>
    <s v="some college"/>
    <s v="free/reduced"/>
    <s v="completed"/>
    <n v="58"/>
    <n v="60"/>
    <n v="59"/>
    <n v="177"/>
    <n v="59"/>
  </r>
  <r>
    <s v="C330"/>
    <x v="0"/>
    <x v="1"/>
    <s v="associate's degree"/>
    <s v="standard"/>
    <s v="completed"/>
    <n v="61"/>
    <n v="63"/>
    <n v="65"/>
    <n v="189"/>
    <n v="63"/>
  </r>
  <r>
    <s v="C331"/>
    <x v="0"/>
    <x v="4"/>
    <s v="some college"/>
    <s v="standard"/>
    <s v="none"/>
    <n v="78"/>
    <n v="69"/>
    <n v="71"/>
    <n v="218"/>
    <n v="72.666666666666671"/>
  </r>
  <r>
    <s v="C332"/>
    <x v="1"/>
    <x v="4"/>
    <s v="bachelor's degree"/>
    <s v="free/reduced"/>
    <s v="completed"/>
    <n v="78"/>
    <n v="90"/>
    <n v="81"/>
    <n v="249"/>
    <n v="83"/>
  </r>
  <r>
    <s v="C333"/>
    <x v="0"/>
    <x v="4"/>
    <s v="some college"/>
    <s v="standard"/>
    <s v="none"/>
    <n v="56"/>
    <n v="54"/>
    <n v="43"/>
    <n v="153"/>
    <n v="51"/>
  </r>
  <r>
    <s v="C334"/>
    <x v="0"/>
    <x v="1"/>
    <s v="some high school"/>
    <s v="standard"/>
    <s v="none"/>
    <n v="96"/>
    <n v="83"/>
    <n v="82"/>
    <n v="261"/>
    <n v="87"/>
  </r>
  <r>
    <s v="C335"/>
    <x v="0"/>
    <x v="4"/>
    <s v="high school"/>
    <s v="standard"/>
    <s v="none"/>
    <n v="48"/>
    <n v="43"/>
    <n v="40"/>
    <n v="131"/>
    <n v="43.666666666666664"/>
  </r>
  <r>
    <s v="C336"/>
    <x v="0"/>
    <x v="4"/>
    <s v="associate's degree"/>
    <s v="standard"/>
    <s v="completed"/>
    <n v="70"/>
    <n v="76"/>
    <n v="72"/>
    <n v="218"/>
    <n v="72.666666666666671"/>
  </r>
  <r>
    <s v="C337"/>
    <x v="0"/>
    <x v="1"/>
    <s v="some college"/>
    <s v="free/reduced"/>
    <s v="none"/>
    <n v="43"/>
    <n v="68"/>
    <n v="58"/>
    <n v="169"/>
    <n v="56.333333333333336"/>
  </r>
  <r>
    <s v="C338"/>
    <x v="1"/>
    <x v="2"/>
    <s v="high school"/>
    <s v="free/reduced"/>
    <s v="none"/>
    <n v="45"/>
    <n v="46"/>
    <n v="49"/>
    <n v="140"/>
    <n v="46.666666666666664"/>
  </r>
  <r>
    <s v="C339"/>
    <x v="1"/>
    <x v="4"/>
    <s v="associate's degree"/>
    <s v="standard"/>
    <s v="none"/>
    <n v="58"/>
    <n v="68"/>
    <n v="62"/>
    <n v="188"/>
    <n v="62.666666666666664"/>
  </r>
  <r>
    <s v="C340"/>
    <x v="1"/>
    <x v="0"/>
    <s v="high school"/>
    <s v="standard"/>
    <s v="completed"/>
    <n v="70"/>
    <n v="73"/>
    <n v="80"/>
    <n v="223"/>
    <n v="74.333333333333329"/>
  </r>
  <r>
    <s v="C341"/>
    <x v="1"/>
    <x v="2"/>
    <s v="some high school"/>
    <s v="standard"/>
    <s v="none"/>
    <n v="60"/>
    <n v="61"/>
    <n v="58"/>
    <n v="179"/>
    <n v="59.666666666666664"/>
  </r>
  <r>
    <s v="C342"/>
    <x v="0"/>
    <x v="4"/>
    <s v="some high school"/>
    <s v="free/reduced"/>
    <s v="none"/>
    <n v="52"/>
    <n v="53"/>
    <n v="47"/>
    <n v="152"/>
    <n v="50.666666666666664"/>
  </r>
  <r>
    <s v="C343"/>
    <x v="0"/>
    <x v="4"/>
    <s v="associate's degree"/>
    <s v="free/reduced"/>
    <s v="none"/>
    <n v="61"/>
    <n v="62"/>
    <n v="54"/>
    <n v="177"/>
    <n v="59"/>
  </r>
  <r>
    <s v="C344"/>
    <x v="1"/>
    <x v="1"/>
    <s v="some high school"/>
    <s v="standard"/>
    <s v="none"/>
    <n v="55"/>
    <n v="70"/>
    <n v="61"/>
    <n v="186"/>
    <n v="62"/>
  </r>
  <r>
    <s v="C345"/>
    <x v="0"/>
    <x v="3"/>
    <s v="high school"/>
    <s v="standard"/>
    <s v="completed"/>
    <n v="80"/>
    <n v="80"/>
    <n v="79"/>
    <n v="239"/>
    <n v="79.666666666666671"/>
  </r>
  <r>
    <s v="C346"/>
    <x v="0"/>
    <x v="1"/>
    <s v="some college"/>
    <s v="free/reduced"/>
    <s v="none"/>
    <n v="63"/>
    <n v="60"/>
    <n v="54"/>
    <n v="177"/>
    <n v="59"/>
  </r>
  <r>
    <s v="C347"/>
    <x v="1"/>
    <x v="3"/>
    <s v="master's degree"/>
    <s v="standard"/>
    <s v="none"/>
    <n v="79"/>
    <n v="79"/>
    <n v="87"/>
    <n v="245"/>
    <n v="81.666666666666671"/>
  </r>
  <r>
    <s v="C348"/>
    <x v="0"/>
    <x v="0"/>
    <s v="associate's degree"/>
    <s v="standard"/>
    <s v="none"/>
    <n v="74"/>
    <n v="78"/>
    <n v="72"/>
    <n v="224"/>
    <n v="74.666666666666671"/>
  </r>
  <r>
    <s v="C349"/>
    <x v="1"/>
    <x v="3"/>
    <s v="some college"/>
    <s v="free/reduced"/>
    <s v="completed"/>
    <n v="46"/>
    <n v="58"/>
    <n v="64"/>
    <n v="168"/>
    <n v="56"/>
  </r>
  <r>
    <s v="C350"/>
    <x v="1"/>
    <x v="3"/>
    <s v="some high school"/>
    <s v="standard"/>
    <s v="completed"/>
    <n v="72"/>
    <n v="88"/>
    <n v="92"/>
    <n v="252"/>
    <n v="84"/>
  </r>
  <r>
    <s v="C351"/>
    <x v="1"/>
    <x v="2"/>
    <s v="some high school"/>
    <s v="free/reduced"/>
    <s v="none"/>
    <n v="58"/>
    <n v="64"/>
    <n v="64"/>
    <n v="186"/>
    <n v="62"/>
  </r>
  <r>
    <s v="C352"/>
    <x v="1"/>
    <x v="2"/>
    <s v="master's degree"/>
    <s v="standard"/>
    <s v="none"/>
    <n v="47"/>
    <n v="50"/>
    <n v="47"/>
    <n v="144"/>
    <n v="48"/>
  </r>
  <r>
    <s v="C353"/>
    <x v="1"/>
    <x v="1"/>
    <s v="bachelor's degree"/>
    <s v="standard"/>
    <s v="completed"/>
    <n v="68"/>
    <n v="78"/>
    <n v="84"/>
    <n v="230"/>
    <n v="76.666666666666671"/>
  </r>
  <r>
    <s v="C354"/>
    <x v="0"/>
    <x v="1"/>
    <s v="bachelor's degree"/>
    <s v="free/reduced"/>
    <s v="completed"/>
    <n v="68"/>
    <n v="71"/>
    <n v="67"/>
    <n v="206"/>
    <n v="68.666666666666671"/>
  </r>
  <r>
    <s v="C355"/>
    <x v="1"/>
    <x v="1"/>
    <s v="high school"/>
    <s v="standard"/>
    <s v="none"/>
    <n v="65"/>
    <n v="75"/>
    <n v="68"/>
    <n v="208"/>
    <n v="69.333333333333329"/>
  </r>
  <r>
    <s v="C356"/>
    <x v="1"/>
    <x v="3"/>
    <s v="associate's degree"/>
    <s v="standard"/>
    <s v="none"/>
    <n v="50"/>
    <n v="54"/>
    <n v="51"/>
    <n v="155"/>
    <n v="51.666666666666664"/>
  </r>
  <r>
    <s v="C357"/>
    <x v="1"/>
    <x v="3"/>
    <s v="high school"/>
    <s v="free/reduced"/>
    <s v="completed"/>
    <n v="48"/>
    <n v="71"/>
    <n v="68"/>
    <n v="187"/>
    <n v="62.333333333333336"/>
  </r>
  <r>
    <s v="C358"/>
    <x v="1"/>
    <x v="3"/>
    <s v="bachelor's degree"/>
    <s v="standard"/>
    <s v="none"/>
    <n v="58"/>
    <n v="60"/>
    <n v="64"/>
    <n v="182"/>
    <n v="60.666666666666664"/>
  </r>
  <r>
    <s v="C359"/>
    <x v="0"/>
    <x v="4"/>
    <s v="some high school"/>
    <s v="free/reduced"/>
    <s v="completed"/>
    <n v="71"/>
    <n v="74"/>
    <n v="68"/>
    <n v="213"/>
    <n v="71"/>
  </r>
  <r>
    <s v="C360"/>
    <x v="0"/>
    <x v="1"/>
    <s v="some high school"/>
    <s v="free/reduced"/>
    <s v="completed"/>
    <n v="58"/>
    <n v="52"/>
    <n v="48"/>
    <n v="158"/>
    <n v="52.666666666666664"/>
  </r>
  <r>
    <s v="C361"/>
    <x v="1"/>
    <x v="0"/>
    <s v="some college"/>
    <s v="free/reduced"/>
    <s v="none"/>
    <n v="66"/>
    <n v="90"/>
    <n v="83"/>
    <n v="239"/>
    <n v="79.666666666666671"/>
  </r>
  <r>
    <s v="C362"/>
    <x v="0"/>
    <x v="4"/>
    <s v="some college"/>
    <s v="free/reduced"/>
    <s v="none"/>
    <n v="44"/>
    <n v="53"/>
    <n v="43"/>
    <n v="140"/>
    <n v="46.666666666666664"/>
  </r>
  <r>
    <s v="C363"/>
    <x v="1"/>
    <x v="3"/>
    <s v="some high school"/>
    <s v="standard"/>
    <s v="completed"/>
    <n v="51"/>
    <n v="63"/>
    <n v="66"/>
    <n v="180"/>
    <n v="60"/>
  </r>
  <r>
    <s v="C364"/>
    <x v="0"/>
    <x v="0"/>
    <s v="some college"/>
    <s v="standard"/>
    <s v="completed"/>
    <n v="78"/>
    <n v="83"/>
    <n v="77"/>
    <n v="238"/>
    <n v="79.333333333333329"/>
  </r>
  <r>
    <s v="C365"/>
    <x v="0"/>
    <x v="4"/>
    <s v="high school"/>
    <s v="standard"/>
    <s v="none"/>
    <n v="72"/>
    <n v="71"/>
    <n v="65"/>
    <n v="208"/>
    <n v="69.333333333333329"/>
  </r>
  <r>
    <s v="C366"/>
    <x v="1"/>
    <x v="1"/>
    <s v="associate's degree"/>
    <s v="standard"/>
    <s v="none"/>
    <n v="60"/>
    <n v="64"/>
    <n v="67"/>
    <n v="191"/>
    <n v="63.666666666666664"/>
  </r>
  <r>
    <s v="C367"/>
    <x v="1"/>
    <x v="4"/>
    <s v="associate's degree"/>
    <s v="free/reduced"/>
    <s v="none"/>
    <n v="55"/>
    <n v="61"/>
    <n v="60"/>
    <n v="176"/>
    <n v="58.666666666666664"/>
  </r>
  <r>
    <s v="C368"/>
    <x v="0"/>
    <x v="3"/>
    <s v="some high school"/>
    <s v="standard"/>
    <s v="none"/>
    <n v="64"/>
    <n v="67"/>
    <n v="64"/>
    <n v="195"/>
    <n v="65"/>
  </r>
  <r>
    <s v="C369"/>
    <x v="1"/>
    <x v="4"/>
    <s v="some high school"/>
    <s v="free/reduced"/>
    <s v="none"/>
    <n v="57"/>
    <n v="64"/>
    <n v="60"/>
    <n v="181"/>
    <n v="60.333333333333336"/>
  </r>
  <r>
    <s v="C370"/>
    <x v="1"/>
    <x v="0"/>
    <s v="high school"/>
    <s v="standard"/>
    <s v="none"/>
    <n v="70"/>
    <n v="75"/>
    <n v="74"/>
    <n v="219"/>
    <n v="73"/>
  </r>
  <r>
    <s v="C371"/>
    <x v="0"/>
    <x v="1"/>
    <s v="some high school"/>
    <s v="standard"/>
    <s v="completed"/>
    <n v="84"/>
    <n v="72"/>
    <n v="76"/>
    <n v="232"/>
    <n v="77.333333333333329"/>
  </r>
  <r>
    <s v="C372"/>
    <x v="1"/>
    <x v="3"/>
    <s v="some college"/>
    <s v="standard"/>
    <s v="completed"/>
    <n v="66"/>
    <n v="71"/>
    <n v="76"/>
    <n v="213"/>
    <n v="71"/>
  </r>
  <r>
    <s v="C373"/>
    <x v="1"/>
    <x v="4"/>
    <s v="bachelor's degree"/>
    <s v="free/reduced"/>
    <s v="completed"/>
    <n v="56"/>
    <n v="65"/>
    <n v="73"/>
    <n v="194"/>
    <n v="64.666666666666671"/>
  </r>
  <r>
    <s v="C374"/>
    <x v="0"/>
    <x v="2"/>
    <s v="some college"/>
    <s v="free/reduced"/>
    <s v="completed"/>
    <n v="59"/>
    <n v="53"/>
    <n v="56"/>
    <n v="168"/>
    <n v="56"/>
  </r>
  <r>
    <s v="C375"/>
    <x v="1"/>
    <x v="2"/>
    <s v="bachelor's degree"/>
    <s v="standard"/>
    <s v="none"/>
    <n v="87"/>
    <n v="89"/>
    <n v="84"/>
    <n v="260"/>
    <n v="86.666666666666671"/>
  </r>
  <r>
    <s v="C376"/>
    <x v="0"/>
    <x v="2"/>
    <s v="high school"/>
    <s v="free/reduced"/>
    <s v="none"/>
    <n v="73"/>
    <n v="75"/>
    <n v="64"/>
    <n v="212"/>
    <n v="70.666666666666671"/>
  </r>
  <r>
    <s v="C377"/>
    <x v="1"/>
    <x v="0"/>
    <s v="high school"/>
    <s v="standard"/>
    <s v="none"/>
    <n v="85"/>
    <n v="91"/>
    <n v="89"/>
    <n v="265"/>
    <n v="88.333333333333329"/>
  </r>
  <r>
    <s v="C378"/>
    <x v="0"/>
    <x v="3"/>
    <s v="some college"/>
    <s v="free/reduced"/>
    <s v="none"/>
    <n v="49"/>
    <n v="54"/>
    <n v="42"/>
    <n v="145"/>
    <n v="48.333333333333336"/>
  </r>
  <r>
    <s v="C379"/>
    <x v="1"/>
    <x v="4"/>
    <s v="bachelor's degree"/>
    <s v="standard"/>
    <s v="completed"/>
    <n v="82"/>
    <n v="87"/>
    <n v="90"/>
    <n v="259"/>
    <n v="86.333333333333329"/>
  </r>
  <r>
    <s v="C380"/>
    <x v="1"/>
    <x v="1"/>
    <s v="some college"/>
    <s v="standard"/>
    <s v="none"/>
    <n v="80"/>
    <n v="90"/>
    <n v="90"/>
    <n v="260"/>
    <n v="86.666666666666671"/>
  </r>
  <r>
    <s v="C381"/>
    <x v="1"/>
    <x v="2"/>
    <s v="high school"/>
    <s v="standard"/>
    <s v="none"/>
    <n v="48"/>
    <n v="51"/>
    <n v="43"/>
    <n v="142"/>
    <n v="47.333333333333336"/>
  </r>
  <r>
    <s v="C382"/>
    <x v="1"/>
    <x v="1"/>
    <s v="high school"/>
    <s v="standard"/>
    <s v="completed"/>
    <n v="85"/>
    <n v="83"/>
    <n v="94"/>
    <n v="262"/>
    <n v="87.333333333333329"/>
  </r>
  <r>
    <s v="C383"/>
    <x v="1"/>
    <x v="2"/>
    <s v="some high school"/>
    <s v="standard"/>
    <s v="completed"/>
    <n v="70"/>
    <n v="78"/>
    <n v="76"/>
    <n v="224"/>
    <n v="74.666666666666671"/>
  </r>
  <r>
    <s v="C384"/>
    <x v="0"/>
    <x v="2"/>
    <s v="associate's degree"/>
    <s v="standard"/>
    <s v="completed"/>
    <n v="89"/>
    <n v="84"/>
    <n v="81"/>
    <n v="254"/>
    <n v="84.666666666666671"/>
  </r>
  <r>
    <s v="C385"/>
    <x v="1"/>
    <x v="1"/>
    <s v="high school"/>
    <s v="standard"/>
    <s v="completed"/>
    <n v="72"/>
    <n v="86"/>
    <n v="79"/>
    <n v="237"/>
    <n v="79"/>
  </r>
  <r>
    <s v="C386"/>
    <x v="1"/>
    <x v="1"/>
    <s v="some high school"/>
    <s v="free/reduced"/>
    <s v="none"/>
    <n v="80"/>
    <n v="86"/>
    <n v="87"/>
    <n v="253"/>
    <n v="84.333333333333329"/>
  </r>
  <r>
    <s v="C387"/>
    <x v="1"/>
    <x v="1"/>
    <s v="some high school"/>
    <s v="free/reduced"/>
    <s v="none"/>
    <n v="43"/>
    <n v="57"/>
    <n v="50"/>
    <n v="150"/>
    <n v="50"/>
  </r>
  <r>
    <s v="C388"/>
    <x v="0"/>
    <x v="4"/>
    <s v="some high school"/>
    <s v="free/reduced"/>
    <s v="completed"/>
    <n v="54"/>
    <n v="61"/>
    <n v="61"/>
    <n v="176"/>
    <n v="58.666666666666664"/>
  </r>
  <r>
    <s v="C389"/>
    <x v="0"/>
    <x v="0"/>
    <s v="associate's degree"/>
    <s v="free/reduced"/>
    <s v="completed"/>
    <n v="82"/>
    <n v="82"/>
    <n v="78"/>
    <n v="242"/>
    <n v="80.666666666666671"/>
  </r>
  <r>
    <s v="C390"/>
    <x v="0"/>
    <x v="4"/>
    <s v="bachelor's degree"/>
    <s v="free/reduced"/>
    <s v="none"/>
    <n v="74"/>
    <n v="80"/>
    <n v="78"/>
    <n v="232"/>
    <n v="77.333333333333329"/>
  </r>
  <r>
    <s v="C391"/>
    <x v="1"/>
    <x v="4"/>
    <s v="some college"/>
    <s v="standard"/>
    <s v="none"/>
    <n v="63"/>
    <n v="62"/>
    <n v="64"/>
    <n v="189"/>
    <n v="63"/>
  </r>
  <r>
    <s v="C392"/>
    <x v="1"/>
    <x v="4"/>
    <s v="high school"/>
    <s v="free/reduced"/>
    <s v="none"/>
    <n v="47"/>
    <n v="56"/>
    <n v="51"/>
    <n v="154"/>
    <n v="51.333333333333336"/>
  </r>
  <r>
    <s v="C393"/>
    <x v="1"/>
    <x v="4"/>
    <s v="some college"/>
    <s v="free/reduced"/>
    <s v="none"/>
    <n v="13"/>
    <n v="29"/>
    <n v="23"/>
    <n v="65"/>
    <n v="21.666666666666668"/>
  </r>
  <r>
    <s v="C394"/>
    <x v="0"/>
    <x v="1"/>
    <s v="some college"/>
    <s v="free/reduced"/>
    <s v="none"/>
    <n v="67"/>
    <n v="58"/>
    <n v="56"/>
    <n v="181"/>
    <n v="60.333333333333336"/>
  </r>
  <r>
    <s v="C395"/>
    <x v="0"/>
    <x v="4"/>
    <s v="some high school"/>
    <s v="standard"/>
    <s v="none"/>
    <n v="57"/>
    <n v="59"/>
    <n v="54"/>
    <n v="170"/>
    <n v="56.666666666666664"/>
  </r>
  <r>
    <s v="C396"/>
    <x v="1"/>
    <x v="3"/>
    <s v="some high school"/>
    <s v="standard"/>
    <s v="none"/>
    <n v="64"/>
    <n v="78"/>
    <n v="83"/>
    <n v="225"/>
    <n v="75"/>
  </r>
  <r>
    <s v="C397"/>
    <x v="1"/>
    <x v="1"/>
    <s v="associate's degree"/>
    <s v="standard"/>
    <s v="none"/>
    <n v="85"/>
    <n v="100"/>
    <n v="100"/>
    <n v="285"/>
    <n v="95"/>
  </r>
  <r>
    <s v="C398"/>
    <x v="1"/>
    <x v="3"/>
    <s v="associate's degree"/>
    <s v="standard"/>
    <s v="completed"/>
    <n v="70"/>
    <n v="80"/>
    <n v="86"/>
    <n v="236"/>
    <n v="78.666666666666671"/>
  </r>
  <r>
    <s v="C399"/>
    <x v="0"/>
    <x v="3"/>
    <s v="bachelor's degree"/>
    <s v="standard"/>
    <s v="completed"/>
    <n v="90"/>
    <n v="73"/>
    <n v="83"/>
    <n v="246"/>
    <n v="82"/>
  </r>
  <r>
    <s v="C400"/>
    <x v="1"/>
    <x v="0"/>
    <s v="some college"/>
    <s v="free/reduced"/>
    <s v="completed"/>
    <n v="53"/>
    <n v="70"/>
    <n v="69"/>
    <n v="192"/>
    <n v="64"/>
  </r>
  <r>
    <s v="C401"/>
    <x v="0"/>
    <x v="4"/>
    <s v="some college"/>
    <s v="standard"/>
    <s v="completed"/>
    <n v="74"/>
    <n v="73"/>
    <n v="75"/>
    <n v="222"/>
    <n v="74"/>
  </r>
  <r>
    <s v="C402"/>
    <x v="0"/>
    <x v="0"/>
    <s v="associate's degree"/>
    <s v="standard"/>
    <s v="completed"/>
    <n v="61"/>
    <n v="71"/>
    <n v="67"/>
    <n v="199"/>
    <n v="66.333333333333329"/>
  </r>
  <r>
    <s v="C403"/>
    <x v="1"/>
    <x v="4"/>
    <s v="some high school"/>
    <s v="standard"/>
    <s v="completed"/>
    <n v="55"/>
    <n v="74"/>
    <n v="73"/>
    <n v="202"/>
    <n v="67.333333333333329"/>
  </r>
  <r>
    <s v="C404"/>
    <x v="1"/>
    <x v="3"/>
    <s v="some college"/>
    <s v="standard"/>
    <s v="completed"/>
    <n v="65"/>
    <n v="63"/>
    <n v="66"/>
    <n v="194"/>
    <n v="64.666666666666671"/>
  </r>
  <r>
    <s v="C405"/>
    <x v="1"/>
    <x v="0"/>
    <s v="high school"/>
    <s v="standard"/>
    <s v="none"/>
    <n v="77"/>
    <n v="77"/>
    <n v="79"/>
    <n v="233"/>
    <n v="77.666666666666671"/>
  </r>
  <r>
    <s v="C406"/>
    <x v="0"/>
    <x v="4"/>
    <s v="associate's degree"/>
    <s v="standard"/>
    <s v="none"/>
    <n v="74"/>
    <n v="61"/>
    <n v="56"/>
    <n v="191"/>
    <n v="63.666666666666664"/>
  </r>
  <r>
    <s v="C407"/>
    <x v="0"/>
    <x v="1"/>
    <s v="some college"/>
    <s v="standard"/>
    <s v="none"/>
    <n v="94"/>
    <n v="92"/>
    <n v="85"/>
    <n v="271"/>
    <n v="90.333333333333329"/>
  </r>
  <r>
    <s v="C408"/>
    <x v="1"/>
    <x v="3"/>
    <s v="associate's degree"/>
    <s v="standard"/>
    <s v="completed"/>
    <n v="54"/>
    <n v="64"/>
    <n v="68"/>
    <n v="186"/>
    <n v="62"/>
  </r>
  <r>
    <s v="C409"/>
    <x v="0"/>
    <x v="0"/>
    <s v="high school"/>
    <s v="standard"/>
    <s v="none"/>
    <n v="52"/>
    <n v="49"/>
    <n v="43"/>
    <n v="144"/>
    <n v="48"/>
  </r>
  <r>
    <s v="C410"/>
    <x v="0"/>
    <x v="1"/>
    <s v="some college"/>
    <s v="standard"/>
    <s v="none"/>
    <n v="73"/>
    <n v="75"/>
    <n v="71"/>
    <n v="219"/>
    <n v="73"/>
  </r>
  <r>
    <s v="C411"/>
    <x v="0"/>
    <x v="4"/>
    <s v="high school"/>
    <s v="standard"/>
    <s v="none"/>
    <n v="81"/>
    <n v="72"/>
    <n v="58"/>
    <n v="211"/>
    <n v="70.333333333333329"/>
  </r>
  <r>
    <s v="C412"/>
    <x v="1"/>
    <x v="3"/>
    <s v="bachelor's degree"/>
    <s v="free/reduced"/>
    <s v="none"/>
    <n v="62"/>
    <n v="75"/>
    <n v="72"/>
    <n v="209"/>
    <n v="69.666666666666671"/>
  </r>
  <r>
    <s v="C413"/>
    <x v="1"/>
    <x v="4"/>
    <s v="master's degree"/>
    <s v="free/reduced"/>
    <s v="none"/>
    <n v="55"/>
    <n v="60"/>
    <n v="61"/>
    <n v="176"/>
    <n v="58.666666666666664"/>
  </r>
  <r>
    <s v="C414"/>
    <x v="0"/>
    <x v="4"/>
    <s v="some high school"/>
    <s v="free/reduced"/>
    <s v="completed"/>
    <n v="55"/>
    <n v="61"/>
    <n v="61"/>
    <n v="177"/>
    <n v="59"/>
  </r>
  <r>
    <s v="C415"/>
    <x v="1"/>
    <x v="1"/>
    <s v="some high school"/>
    <s v="standard"/>
    <s v="none"/>
    <n v="61"/>
    <n v="62"/>
    <n v="61"/>
    <n v="184"/>
    <n v="61.333333333333336"/>
  </r>
  <r>
    <s v="C416"/>
    <x v="0"/>
    <x v="2"/>
    <s v="high school"/>
    <s v="standard"/>
    <s v="none"/>
    <n v="75"/>
    <n v="70"/>
    <n v="64"/>
    <n v="209"/>
    <n v="69.666666666666671"/>
  </r>
  <r>
    <s v="C417"/>
    <x v="0"/>
    <x v="2"/>
    <s v="some college"/>
    <s v="free/reduced"/>
    <s v="none"/>
    <n v="79"/>
    <n v="65"/>
    <n v="59"/>
    <n v="203"/>
    <n v="67.666666666666671"/>
  </r>
  <r>
    <s v="C418"/>
    <x v="1"/>
    <x v="4"/>
    <s v="some high school"/>
    <s v="standard"/>
    <s v="none"/>
    <n v="70"/>
    <n v="70"/>
    <n v="68"/>
    <n v="208"/>
    <n v="69.333333333333329"/>
  </r>
  <r>
    <s v="C419"/>
    <x v="0"/>
    <x v="0"/>
    <s v="some college"/>
    <s v="standard"/>
    <s v="none"/>
    <n v="72"/>
    <n v="65"/>
    <n v="59"/>
    <n v="196"/>
    <n v="65.333333333333329"/>
  </r>
  <r>
    <s v="C420"/>
    <x v="1"/>
    <x v="4"/>
    <s v="some high school"/>
    <s v="free/reduced"/>
    <s v="none"/>
    <n v="38"/>
    <n v="46"/>
    <n v="33"/>
    <n v="117"/>
    <n v="39"/>
  </r>
  <r>
    <s v="C421"/>
    <x v="1"/>
    <x v="0"/>
    <s v="bachelor's degree"/>
    <s v="standard"/>
    <s v="none"/>
    <n v="57"/>
    <n v="71"/>
    <n v="63"/>
    <n v="191"/>
    <n v="63.666666666666664"/>
  </r>
  <r>
    <s v="C422"/>
    <x v="0"/>
    <x v="1"/>
    <s v="some high school"/>
    <s v="standard"/>
    <s v="none"/>
    <n v="76"/>
    <n v="71"/>
    <n v="70"/>
    <n v="217"/>
    <n v="72.333333333333329"/>
  </r>
  <r>
    <s v="C423"/>
    <x v="0"/>
    <x v="4"/>
    <s v="some college"/>
    <s v="free/reduced"/>
    <s v="none"/>
    <n v="45"/>
    <n v="45"/>
    <n v="38"/>
    <n v="128"/>
    <n v="42.666666666666664"/>
  </r>
  <r>
    <s v="C424"/>
    <x v="0"/>
    <x v="1"/>
    <s v="associate's degree"/>
    <s v="standard"/>
    <s v="none"/>
    <n v="77"/>
    <n v="73"/>
    <n v="74"/>
    <n v="224"/>
    <n v="74.666666666666671"/>
  </r>
  <r>
    <s v="C425"/>
    <x v="0"/>
    <x v="4"/>
    <s v="high school"/>
    <s v="standard"/>
    <s v="none"/>
    <n v="40"/>
    <n v="39"/>
    <n v="30"/>
    <n v="109"/>
    <n v="36.333333333333336"/>
  </r>
  <r>
    <s v="C426"/>
    <x v="1"/>
    <x v="2"/>
    <s v="some college"/>
    <s v="standard"/>
    <s v="none"/>
    <n v="78"/>
    <n v="83"/>
    <n v="78"/>
    <n v="239"/>
    <n v="79.666666666666671"/>
  </r>
  <r>
    <s v="C427"/>
    <x v="1"/>
    <x v="0"/>
    <s v="master's degree"/>
    <s v="free/reduced"/>
    <s v="none"/>
    <n v="63"/>
    <n v="65"/>
    <n v="66"/>
    <n v="194"/>
    <n v="64.666666666666671"/>
  </r>
  <r>
    <s v="C428"/>
    <x v="0"/>
    <x v="4"/>
    <s v="associate's degree"/>
    <s v="standard"/>
    <s v="none"/>
    <n v="83"/>
    <n v="70"/>
    <n v="73"/>
    <n v="226"/>
    <n v="75.333333333333329"/>
  </r>
  <r>
    <s v="C429"/>
    <x v="0"/>
    <x v="4"/>
    <s v="associate's degree"/>
    <s v="free/reduced"/>
    <s v="none"/>
    <n v="55"/>
    <n v="52"/>
    <n v="47"/>
    <n v="154"/>
    <n v="51.333333333333336"/>
  </r>
  <r>
    <s v="C430"/>
    <x v="0"/>
    <x v="3"/>
    <s v="some college"/>
    <s v="standard"/>
    <s v="completed"/>
    <n v="88"/>
    <n v="78"/>
    <n v="76"/>
    <n v="242"/>
    <n v="80.666666666666671"/>
  </r>
  <r>
    <s v="C431"/>
    <x v="0"/>
    <x v="4"/>
    <s v="bachelor's degree"/>
    <s v="standard"/>
    <s v="none"/>
    <n v="82"/>
    <n v="83"/>
    <n v="85"/>
    <n v="250"/>
    <n v="83.333333333333329"/>
  </r>
  <r>
    <s v="C432"/>
    <x v="0"/>
    <x v="2"/>
    <s v="bachelor's degree"/>
    <s v="standard"/>
    <s v="none"/>
    <n v="86"/>
    <n v="71"/>
    <n v="71"/>
    <n v="228"/>
    <n v="76"/>
  </r>
  <r>
    <s v="C433"/>
    <x v="1"/>
    <x v="4"/>
    <s v="associate's degree"/>
    <s v="free/reduced"/>
    <s v="none"/>
    <n v="61"/>
    <n v="74"/>
    <n v="72"/>
    <n v="207"/>
    <n v="69"/>
  </r>
  <r>
    <s v="C434"/>
    <x v="1"/>
    <x v="1"/>
    <s v="some college"/>
    <s v="standard"/>
    <s v="completed"/>
    <n v="78"/>
    <n v="85"/>
    <n v="93"/>
    <n v="256"/>
    <n v="85.333333333333329"/>
  </r>
  <r>
    <s v="C435"/>
    <x v="0"/>
    <x v="4"/>
    <s v="associate's degree"/>
    <s v="standard"/>
    <s v="none"/>
    <n v="67"/>
    <n v="63"/>
    <n v="66"/>
    <n v="196"/>
    <n v="65.333333333333329"/>
  </r>
  <r>
    <s v="C436"/>
    <x v="1"/>
    <x v="2"/>
    <s v="some high school"/>
    <s v="standard"/>
    <s v="none"/>
    <n v="83"/>
    <n v="87"/>
    <n v="83"/>
    <n v="253"/>
    <n v="84.333333333333329"/>
  </r>
  <r>
    <s v="C437"/>
    <x v="0"/>
    <x v="4"/>
    <s v="some high school"/>
    <s v="standard"/>
    <s v="none"/>
    <n v="68"/>
    <n v="74"/>
    <n v="69"/>
    <n v="211"/>
    <n v="70.333333333333329"/>
  </r>
  <r>
    <s v="C438"/>
    <x v="0"/>
    <x v="4"/>
    <s v="some college"/>
    <s v="standard"/>
    <s v="none"/>
    <n v="53"/>
    <n v="52"/>
    <n v="44"/>
    <n v="149"/>
    <n v="49.666666666666664"/>
  </r>
  <r>
    <s v="C439"/>
    <x v="0"/>
    <x v="1"/>
    <s v="associate's degree"/>
    <s v="standard"/>
    <s v="none"/>
    <n v="91"/>
    <n v="88"/>
    <n v="90"/>
    <n v="269"/>
    <n v="89.666666666666671"/>
  </r>
  <r>
    <s v="C440"/>
    <x v="0"/>
    <x v="3"/>
    <s v="associate's degree"/>
    <s v="free/reduced"/>
    <s v="none"/>
    <n v="67"/>
    <n v="66"/>
    <n v="66"/>
    <n v="199"/>
    <n v="66.333333333333329"/>
  </r>
  <r>
    <s v="C441"/>
    <x v="1"/>
    <x v="4"/>
    <s v="high school"/>
    <s v="standard"/>
    <s v="completed"/>
    <n v="53"/>
    <n v="64"/>
    <n v="62"/>
    <n v="179"/>
    <n v="59.666666666666664"/>
  </r>
  <r>
    <s v="C442"/>
    <x v="1"/>
    <x v="4"/>
    <s v="master's degree"/>
    <s v="standard"/>
    <s v="completed"/>
    <n v="86"/>
    <n v="100"/>
    <n v="100"/>
    <n v="286"/>
    <n v="95.333333333333329"/>
  </r>
  <r>
    <s v="C443"/>
    <x v="0"/>
    <x v="2"/>
    <s v="some high school"/>
    <s v="free/reduced"/>
    <s v="completed"/>
    <n v="75"/>
    <n v="70"/>
    <n v="61"/>
    <n v="206"/>
    <n v="68.666666666666671"/>
  </r>
  <r>
    <s v="C444"/>
    <x v="0"/>
    <x v="4"/>
    <s v="some college"/>
    <s v="standard"/>
    <s v="none"/>
    <n v="55"/>
    <n v="38"/>
    <n v="35"/>
    <n v="128"/>
    <n v="42.666666666666664"/>
  </r>
  <r>
    <s v="C445"/>
    <x v="0"/>
    <x v="1"/>
    <s v="bachelor's degree"/>
    <s v="standard"/>
    <s v="completed"/>
    <n v="93"/>
    <n v="86"/>
    <n v="95"/>
    <n v="274"/>
    <n v="91.333333333333329"/>
  </r>
  <r>
    <s v="C446"/>
    <x v="1"/>
    <x v="2"/>
    <s v="high school"/>
    <s v="standard"/>
    <s v="none"/>
    <n v="62"/>
    <n v="71"/>
    <n v="66"/>
    <n v="199"/>
    <n v="66.333333333333329"/>
  </r>
  <r>
    <s v="C447"/>
    <x v="0"/>
    <x v="4"/>
    <s v="some college"/>
    <s v="free/reduced"/>
    <s v="none"/>
    <n v="83"/>
    <n v="76"/>
    <n v="71"/>
    <n v="230"/>
    <n v="76.666666666666671"/>
  </r>
  <r>
    <s v="C448"/>
    <x v="0"/>
    <x v="1"/>
    <s v="some high school"/>
    <s v="standard"/>
    <s v="none"/>
    <n v="73"/>
    <n v="72"/>
    <n v="64"/>
    <n v="209"/>
    <n v="69.666666666666671"/>
  </r>
  <r>
    <s v="C449"/>
    <x v="1"/>
    <x v="4"/>
    <s v="high school"/>
    <s v="free/reduced"/>
    <s v="none"/>
    <n v="57"/>
    <n v="52"/>
    <n v="53"/>
    <n v="162"/>
    <n v="54"/>
  </r>
  <r>
    <s v="C450"/>
    <x v="1"/>
    <x v="4"/>
    <s v="some college"/>
    <s v="standard"/>
    <s v="none"/>
    <n v="70"/>
    <n v="75"/>
    <n v="75"/>
    <n v="220"/>
    <n v="73.333333333333329"/>
  </r>
  <r>
    <s v="C451"/>
    <x v="1"/>
    <x v="3"/>
    <s v="high school"/>
    <s v="standard"/>
    <s v="completed"/>
    <n v="55"/>
    <n v="62"/>
    <n v="64"/>
    <n v="181"/>
    <n v="60.333333333333336"/>
  </r>
  <r>
    <s v="C452"/>
    <x v="0"/>
    <x v="4"/>
    <s v="high school"/>
    <s v="standard"/>
    <s v="none"/>
    <n v="65"/>
    <n v="56"/>
    <n v="51"/>
    <n v="172"/>
    <n v="57.333333333333336"/>
  </r>
  <r>
    <s v="C453"/>
    <x v="1"/>
    <x v="4"/>
    <s v="some high school"/>
    <s v="standard"/>
    <s v="completed"/>
    <n v="76"/>
    <n v="85"/>
    <n v="88"/>
    <n v="249"/>
    <n v="83"/>
  </r>
  <r>
    <s v="C454"/>
    <x v="0"/>
    <x v="4"/>
    <s v="master's degree"/>
    <s v="free/reduced"/>
    <s v="none"/>
    <n v="59"/>
    <n v="47"/>
    <n v="46"/>
    <n v="152"/>
    <n v="50.666666666666664"/>
  </r>
  <r>
    <s v="C455"/>
    <x v="0"/>
    <x v="4"/>
    <s v="associate's degree"/>
    <s v="standard"/>
    <s v="completed"/>
    <n v="74"/>
    <n v="73"/>
    <n v="77"/>
    <n v="224"/>
    <n v="74.666666666666671"/>
  </r>
  <r>
    <s v="C456"/>
    <x v="0"/>
    <x v="3"/>
    <s v="some high school"/>
    <s v="standard"/>
    <s v="none"/>
    <n v="65"/>
    <n v="59"/>
    <n v="60"/>
    <n v="184"/>
    <n v="61.333333333333336"/>
  </r>
  <r>
    <s v="C457"/>
    <x v="0"/>
    <x v="3"/>
    <s v="some college"/>
    <s v="standard"/>
    <s v="completed"/>
    <n v="89"/>
    <n v="87"/>
    <n v="89"/>
    <n v="265"/>
    <n v="88.333333333333329"/>
  </r>
  <r>
    <s v="C458"/>
    <x v="1"/>
    <x v="3"/>
    <s v="master's degree"/>
    <s v="standard"/>
    <s v="none"/>
    <n v="71"/>
    <n v="82"/>
    <n v="82"/>
    <n v="235"/>
    <n v="78.333333333333329"/>
  </r>
  <r>
    <s v="C459"/>
    <x v="0"/>
    <x v="4"/>
    <s v="some college"/>
    <s v="free/reduced"/>
    <s v="completed"/>
    <n v="63"/>
    <n v="69"/>
    <n v="59"/>
    <n v="191"/>
    <n v="63.666666666666664"/>
  </r>
  <r>
    <s v="C460"/>
    <x v="0"/>
    <x v="4"/>
    <s v="some high school"/>
    <s v="standard"/>
    <s v="completed"/>
    <n v="57"/>
    <n v="55"/>
    <n v="60"/>
    <n v="172"/>
    <n v="57.333333333333336"/>
  </r>
  <r>
    <s v="C461"/>
    <x v="0"/>
    <x v="3"/>
    <s v="some college"/>
    <s v="free/reduced"/>
    <s v="completed"/>
    <n v="56"/>
    <n v="67"/>
    <n v="56"/>
    <n v="179"/>
    <n v="59.666666666666664"/>
  </r>
  <r>
    <s v="C462"/>
    <x v="0"/>
    <x v="0"/>
    <s v="some high school"/>
    <s v="free/reduced"/>
    <s v="completed"/>
    <n v="49"/>
    <n v="44"/>
    <n v="41"/>
    <n v="134"/>
    <n v="44.666666666666664"/>
  </r>
  <r>
    <s v="C463"/>
    <x v="1"/>
    <x v="4"/>
    <s v="some college"/>
    <s v="free/reduced"/>
    <s v="completed"/>
    <n v="28"/>
    <n v="44"/>
    <n v="50"/>
    <n v="122"/>
    <n v="40.666666666666664"/>
  </r>
  <r>
    <s v="C464"/>
    <x v="1"/>
    <x v="4"/>
    <s v="bachelor's degree"/>
    <s v="free/reduced"/>
    <s v="none"/>
    <n v="69"/>
    <n v="73"/>
    <n v="71"/>
    <n v="213"/>
    <n v="71"/>
  </r>
  <r>
    <s v="C465"/>
    <x v="1"/>
    <x v="1"/>
    <s v="some high school"/>
    <s v="free/reduced"/>
    <s v="none"/>
    <n v="49"/>
    <n v="62"/>
    <n v="60"/>
    <n v="171"/>
    <n v="57"/>
  </r>
  <r>
    <s v="C466"/>
    <x v="0"/>
    <x v="3"/>
    <s v="some high school"/>
    <s v="standard"/>
    <s v="completed"/>
    <n v="67"/>
    <n v="62"/>
    <n v="58"/>
    <n v="187"/>
    <n v="62.333333333333336"/>
  </r>
  <r>
    <s v="C467"/>
    <x v="1"/>
    <x v="3"/>
    <s v="some college"/>
    <s v="free/reduced"/>
    <s v="completed"/>
    <n v="74"/>
    <n v="85"/>
    <n v="82"/>
    <n v="241"/>
    <n v="80.333333333333329"/>
  </r>
  <r>
    <s v="C468"/>
    <x v="1"/>
    <x v="4"/>
    <s v="bachelor's degree"/>
    <s v="standard"/>
    <s v="completed"/>
    <n v="47"/>
    <n v="67"/>
    <n v="63"/>
    <n v="177"/>
    <n v="59"/>
  </r>
  <r>
    <s v="C469"/>
    <x v="1"/>
    <x v="4"/>
    <s v="some college"/>
    <s v="standard"/>
    <s v="none"/>
    <n v="63"/>
    <n v="63"/>
    <n v="69"/>
    <n v="195"/>
    <n v="65"/>
  </r>
  <r>
    <s v="C470"/>
    <x v="0"/>
    <x v="4"/>
    <s v="some college"/>
    <s v="standard"/>
    <s v="none"/>
    <n v="73"/>
    <n v="51"/>
    <n v="53"/>
    <n v="177"/>
    <n v="59"/>
  </r>
  <r>
    <s v="C471"/>
    <x v="1"/>
    <x v="1"/>
    <s v="some college"/>
    <s v="standard"/>
    <s v="none"/>
    <n v="91"/>
    <n v="94"/>
    <n v="96"/>
    <n v="281"/>
    <n v="93.666666666666671"/>
  </r>
  <r>
    <s v="C472"/>
    <x v="0"/>
    <x v="3"/>
    <s v="some college"/>
    <s v="standard"/>
    <s v="none"/>
    <n v="80"/>
    <n v="87"/>
    <n v="79"/>
    <n v="246"/>
    <n v="82"/>
  </r>
  <r>
    <s v="C473"/>
    <x v="1"/>
    <x v="4"/>
    <s v="associate's degree"/>
    <s v="standard"/>
    <s v="none"/>
    <n v="66"/>
    <n v="73"/>
    <n v="68"/>
    <n v="207"/>
    <n v="69"/>
  </r>
  <r>
    <s v="C474"/>
    <x v="0"/>
    <x v="3"/>
    <s v="some college"/>
    <s v="standard"/>
    <s v="none"/>
    <n v="52"/>
    <n v="48"/>
    <n v="43"/>
    <n v="143"/>
    <n v="47.666666666666664"/>
  </r>
  <r>
    <s v="C475"/>
    <x v="1"/>
    <x v="3"/>
    <s v="some college"/>
    <s v="standard"/>
    <s v="none"/>
    <n v="65"/>
    <n v="71"/>
    <n v="65"/>
    <n v="201"/>
    <n v="67"/>
  </r>
  <r>
    <s v="C476"/>
    <x v="0"/>
    <x v="1"/>
    <s v="some college"/>
    <s v="standard"/>
    <s v="completed"/>
    <n v="83"/>
    <n v="75"/>
    <n v="71"/>
    <n v="229"/>
    <n v="76.333333333333329"/>
  </r>
  <r>
    <s v="C477"/>
    <x v="1"/>
    <x v="4"/>
    <s v="some high school"/>
    <s v="free/reduced"/>
    <s v="none"/>
    <n v="80"/>
    <n v="85"/>
    <n v="78"/>
    <n v="243"/>
    <n v="81"/>
  </r>
  <r>
    <s v="C478"/>
    <x v="0"/>
    <x v="2"/>
    <s v="bachelor's degree"/>
    <s v="free/reduced"/>
    <s v="none"/>
    <n v="68"/>
    <n v="68"/>
    <n v="59"/>
    <n v="195"/>
    <n v="65"/>
  </r>
  <r>
    <s v="C479"/>
    <x v="0"/>
    <x v="4"/>
    <s v="some college"/>
    <s v="free/reduced"/>
    <s v="completed"/>
    <n v="68"/>
    <n v="73"/>
    <n v="68"/>
    <n v="209"/>
    <n v="69.666666666666671"/>
  </r>
  <r>
    <s v="C480"/>
    <x v="0"/>
    <x v="4"/>
    <s v="associate's degree"/>
    <s v="free/reduced"/>
    <s v="none"/>
    <n v="62"/>
    <n v="43"/>
    <n v="45"/>
    <n v="150"/>
    <n v="50"/>
  </r>
  <r>
    <s v="C481"/>
    <x v="1"/>
    <x v="3"/>
    <s v="some high school"/>
    <s v="standard"/>
    <s v="none"/>
    <n v="76"/>
    <n v="88"/>
    <n v="84"/>
    <n v="248"/>
    <n v="82.666666666666671"/>
  </r>
  <r>
    <s v="C482"/>
    <x v="1"/>
    <x v="4"/>
    <s v="bachelor's degree"/>
    <s v="free/reduced"/>
    <s v="none"/>
    <n v="77"/>
    <n v="79"/>
    <n v="83"/>
    <n v="239"/>
    <n v="79.666666666666671"/>
  </r>
  <r>
    <s v="C483"/>
    <x v="1"/>
    <x v="2"/>
    <s v="master's degree"/>
    <s v="free/reduced"/>
    <s v="none"/>
    <n v="83"/>
    <n v="81"/>
    <n v="83"/>
    <n v="247"/>
    <n v="82.333333333333329"/>
  </r>
  <r>
    <s v="C484"/>
    <x v="1"/>
    <x v="4"/>
    <s v="some college"/>
    <s v="free/reduced"/>
    <s v="none"/>
    <n v="71"/>
    <n v="78"/>
    <n v="82"/>
    <n v="231"/>
    <n v="77"/>
  </r>
  <r>
    <s v="C485"/>
    <x v="0"/>
    <x v="1"/>
    <s v="some college"/>
    <s v="free/reduced"/>
    <s v="completed"/>
    <n v="86"/>
    <n v="91"/>
    <n v="89"/>
    <n v="266"/>
    <n v="88.666666666666671"/>
  </r>
  <r>
    <s v="C486"/>
    <x v="0"/>
    <x v="3"/>
    <s v="master's degree"/>
    <s v="standard"/>
    <s v="none"/>
    <n v="93"/>
    <n v="96"/>
    <n v="96"/>
    <n v="285"/>
    <n v="95"/>
  </r>
  <r>
    <s v="C487"/>
    <x v="1"/>
    <x v="3"/>
    <s v="associate's degree"/>
    <s v="free/reduced"/>
    <s v="none"/>
    <n v="60"/>
    <n v="64"/>
    <n v="60"/>
    <n v="184"/>
    <n v="61.333333333333336"/>
  </r>
  <r>
    <s v="C488"/>
    <x v="1"/>
    <x v="1"/>
    <s v="some high school"/>
    <s v="standard"/>
    <s v="none"/>
    <n v="57"/>
    <n v="56"/>
    <n v="58"/>
    <n v="171"/>
    <n v="57"/>
  </r>
  <r>
    <s v="C489"/>
    <x v="0"/>
    <x v="4"/>
    <s v="bachelor's degree"/>
    <s v="standard"/>
    <s v="none"/>
    <n v="84"/>
    <n v="79"/>
    <n v="74"/>
    <n v="237"/>
    <n v="79"/>
  </r>
  <r>
    <s v="C490"/>
    <x v="1"/>
    <x v="1"/>
    <s v="bachelor's degree"/>
    <s v="standard"/>
    <s v="none"/>
    <n v="66"/>
    <n v="71"/>
    <n v="75"/>
    <n v="212"/>
    <n v="70.666666666666671"/>
  </r>
  <r>
    <s v="C491"/>
    <x v="0"/>
    <x v="1"/>
    <s v="master's degree"/>
    <s v="standard"/>
    <s v="none"/>
    <n v="85"/>
    <n v="69"/>
    <n v="74"/>
    <n v="228"/>
    <n v="76"/>
  </r>
  <r>
    <s v="C492"/>
    <x v="1"/>
    <x v="1"/>
    <s v="master's degree"/>
    <s v="standard"/>
    <s v="completed"/>
    <n v="57"/>
    <n v="68"/>
    <n v="76"/>
    <n v="201"/>
    <n v="67"/>
  </r>
  <r>
    <s v="C493"/>
    <x v="1"/>
    <x v="4"/>
    <s v="some high school"/>
    <s v="standard"/>
    <s v="none"/>
    <n v="41"/>
    <n v="49"/>
    <n v="49"/>
    <n v="139"/>
    <n v="46.333333333333336"/>
  </r>
  <r>
    <s v="C494"/>
    <x v="1"/>
    <x v="4"/>
    <s v="some high school"/>
    <s v="standard"/>
    <s v="none"/>
    <n v="75"/>
    <n v="76"/>
    <n v="76"/>
    <n v="227"/>
    <n v="75.666666666666671"/>
  </r>
  <r>
    <s v="C495"/>
    <x v="0"/>
    <x v="1"/>
    <s v="high school"/>
    <s v="free/reduced"/>
    <s v="none"/>
    <n v="65"/>
    <n v="63"/>
    <n v="60"/>
    <n v="188"/>
    <n v="62.666666666666664"/>
  </r>
  <r>
    <s v="C496"/>
    <x v="0"/>
    <x v="2"/>
    <s v="some college"/>
    <s v="standard"/>
    <s v="none"/>
    <n v="78"/>
    <n v="65"/>
    <n v="60"/>
    <n v="203"/>
    <n v="67.666666666666671"/>
  </r>
  <r>
    <s v="C497"/>
    <x v="1"/>
    <x v="3"/>
    <s v="some high school"/>
    <s v="free/reduced"/>
    <s v="none"/>
    <n v="26"/>
    <n v="34"/>
    <n v="28"/>
    <n v="88"/>
    <n v="29.333333333333332"/>
  </r>
  <r>
    <s v="C498"/>
    <x v="0"/>
    <x v="2"/>
    <s v="some college"/>
    <s v="free/reduced"/>
    <s v="none"/>
    <n v="71"/>
    <n v="64"/>
    <n v="66"/>
    <n v="201"/>
    <n v="67"/>
  </r>
  <r>
    <s v="C499"/>
    <x v="0"/>
    <x v="3"/>
    <s v="bachelor's degree"/>
    <s v="standard"/>
    <s v="completed"/>
    <n v="86"/>
    <n v="92"/>
    <n v="93"/>
    <n v="271"/>
    <n v="90.333333333333329"/>
  </r>
  <r>
    <s v="C500"/>
    <x v="0"/>
    <x v="3"/>
    <s v="associate's degree"/>
    <s v="standard"/>
    <s v="completed"/>
    <n v="89"/>
    <n v="84"/>
    <n v="81"/>
    <n v="254"/>
    <n v="84.666666666666671"/>
  </r>
  <r>
    <s v="C501"/>
    <x v="1"/>
    <x v="3"/>
    <s v="high school"/>
    <s v="free/reduced"/>
    <s v="none"/>
    <n v="53"/>
    <n v="64"/>
    <n v="63"/>
    <n v="180"/>
    <n v="60"/>
  </r>
  <r>
    <s v="C502"/>
    <x v="1"/>
    <x v="4"/>
    <s v="associate's degree"/>
    <s v="standard"/>
    <s v="none"/>
    <n v="87"/>
    <n v="87"/>
    <n v="92"/>
    <n v="266"/>
    <n v="88.666666666666671"/>
  </r>
  <r>
    <s v="C503"/>
    <x v="0"/>
    <x v="1"/>
    <s v="associate's degree"/>
    <s v="standard"/>
    <s v="none"/>
    <n v="71"/>
    <n v="57"/>
    <n v="59"/>
    <n v="187"/>
    <n v="62.333333333333336"/>
  </r>
  <r>
    <s v="C504"/>
    <x v="0"/>
    <x v="1"/>
    <s v="high school"/>
    <s v="standard"/>
    <s v="none"/>
    <n v="77"/>
    <n v="80"/>
    <n v="72"/>
    <n v="229"/>
    <n v="76.333333333333329"/>
  </r>
  <r>
    <s v="C505"/>
    <x v="1"/>
    <x v="4"/>
    <s v="high school"/>
    <s v="free/reduced"/>
    <s v="completed"/>
    <n v="43"/>
    <n v="48"/>
    <n v="53"/>
    <n v="144"/>
    <n v="48"/>
  </r>
  <r>
    <s v="C506"/>
    <x v="1"/>
    <x v="4"/>
    <s v="associate's degree"/>
    <s v="standard"/>
    <s v="none"/>
    <n v="88"/>
    <n v="91"/>
    <n v="86"/>
    <n v="265"/>
    <n v="88.333333333333329"/>
  </r>
  <r>
    <s v="C507"/>
    <x v="0"/>
    <x v="2"/>
    <s v="some high school"/>
    <s v="standard"/>
    <s v="none"/>
    <n v="86"/>
    <n v="76"/>
    <n v="63"/>
    <n v="225"/>
    <n v="75"/>
  </r>
  <r>
    <s v="C508"/>
    <x v="1"/>
    <x v="2"/>
    <s v="some high school"/>
    <s v="free/reduced"/>
    <s v="completed"/>
    <n v="45"/>
    <n v="56"/>
    <n v="55"/>
    <n v="156"/>
    <n v="52"/>
  </r>
  <r>
    <s v="C509"/>
    <x v="0"/>
    <x v="4"/>
    <s v="some college"/>
    <s v="standard"/>
    <s v="none"/>
    <n v="69"/>
    <n v="56"/>
    <n v="57"/>
    <n v="182"/>
    <n v="60.666666666666664"/>
  </r>
  <r>
    <s v="C510"/>
    <x v="1"/>
    <x v="1"/>
    <s v="high school"/>
    <s v="standard"/>
    <s v="none"/>
    <n v="65"/>
    <n v="70"/>
    <n v="72"/>
    <n v="207"/>
    <n v="69"/>
  </r>
  <r>
    <s v="C511"/>
    <x v="0"/>
    <x v="2"/>
    <s v="some college"/>
    <s v="free/reduced"/>
    <s v="none"/>
    <n v="81"/>
    <n v="79"/>
    <n v="71"/>
    <n v="231"/>
    <n v="77"/>
  </r>
  <r>
    <s v="C512"/>
    <x v="1"/>
    <x v="0"/>
    <s v="some high school"/>
    <s v="standard"/>
    <s v="none"/>
    <n v="90"/>
    <n v="88"/>
    <n v="86"/>
    <n v="264"/>
    <n v="88"/>
  </r>
  <r>
    <s v="C513"/>
    <x v="1"/>
    <x v="2"/>
    <s v="associate's degree"/>
    <s v="standard"/>
    <s v="none"/>
    <n v="78"/>
    <n v="72"/>
    <n v="71"/>
    <n v="221"/>
    <n v="73.666666666666671"/>
  </r>
  <r>
    <s v="C514"/>
    <x v="1"/>
    <x v="4"/>
    <s v="master's degree"/>
    <s v="standard"/>
    <s v="completed"/>
    <n v="71"/>
    <n v="79"/>
    <n v="89"/>
    <n v="239"/>
    <n v="79.666666666666671"/>
  </r>
  <r>
    <s v="C515"/>
    <x v="1"/>
    <x v="4"/>
    <s v="some high school"/>
    <s v="standard"/>
    <s v="none"/>
    <n v="75"/>
    <n v="80"/>
    <n v="72"/>
    <n v="227"/>
    <n v="75.666666666666671"/>
  </r>
  <r>
    <s v="C516"/>
    <x v="0"/>
    <x v="4"/>
    <s v="bachelor's degree"/>
    <s v="free/reduced"/>
    <s v="none"/>
    <n v="70"/>
    <n v="60"/>
    <n v="56"/>
    <n v="186"/>
    <n v="62"/>
  </r>
  <r>
    <s v="C517"/>
    <x v="0"/>
    <x v="3"/>
    <s v="associate's degree"/>
    <s v="standard"/>
    <s v="none"/>
    <n v="54"/>
    <n v="52"/>
    <n v="48"/>
    <n v="154"/>
    <n v="51.333333333333336"/>
  </r>
  <r>
    <s v="C518"/>
    <x v="0"/>
    <x v="3"/>
    <s v="high school"/>
    <s v="standard"/>
    <s v="none"/>
    <n v="49"/>
    <n v="36"/>
    <n v="32"/>
    <n v="117"/>
    <n v="39"/>
  </r>
  <r>
    <s v="C519"/>
    <x v="0"/>
    <x v="3"/>
    <s v="associate's degree"/>
    <s v="free/reduced"/>
    <s v="completed"/>
    <n v="80"/>
    <n v="82"/>
    <n v="82"/>
    <n v="244"/>
    <n v="81.333333333333329"/>
  </r>
  <r>
    <s v="C520"/>
    <x v="1"/>
    <x v="2"/>
    <s v="bachelor's degree"/>
    <s v="standard"/>
    <s v="none"/>
    <n v="78"/>
    <n v="89"/>
    <n v="93"/>
    <n v="260"/>
    <n v="86.666666666666671"/>
  </r>
  <r>
    <s v="C521"/>
    <x v="0"/>
    <x v="4"/>
    <s v="bachelor's degree"/>
    <s v="standard"/>
    <s v="none"/>
    <n v="89"/>
    <n v="77"/>
    <n v="82"/>
    <n v="248"/>
    <n v="82.666666666666671"/>
  </r>
  <r>
    <s v="C522"/>
    <x v="1"/>
    <x v="4"/>
    <s v="bachelor's degree"/>
    <s v="standard"/>
    <s v="completed"/>
    <n v="65"/>
    <n v="83"/>
    <n v="82"/>
    <n v="230"/>
    <n v="76.666666666666671"/>
  </r>
  <r>
    <s v="C523"/>
    <x v="0"/>
    <x v="1"/>
    <s v="associate's degree"/>
    <s v="standard"/>
    <s v="none"/>
    <n v="78"/>
    <n v="74"/>
    <n v="71"/>
    <n v="223"/>
    <n v="74.333333333333329"/>
  </r>
  <r>
    <s v="C524"/>
    <x v="1"/>
    <x v="1"/>
    <s v="high school"/>
    <s v="standard"/>
    <s v="none"/>
    <n v="69"/>
    <n v="85"/>
    <n v="78"/>
    <n v="232"/>
    <n v="77.333333333333329"/>
  </r>
  <r>
    <s v="C525"/>
    <x v="0"/>
    <x v="1"/>
    <s v="some college"/>
    <s v="free/reduced"/>
    <s v="none"/>
    <n v="49"/>
    <n v="47"/>
    <n v="48"/>
    <n v="144"/>
    <n v="48"/>
  </r>
  <r>
    <s v="C526"/>
    <x v="1"/>
    <x v="1"/>
    <s v="master's degree"/>
    <s v="free/reduced"/>
    <s v="none"/>
    <n v="50"/>
    <n v="64"/>
    <n v="66"/>
    <n v="180"/>
    <n v="60"/>
  </r>
  <r>
    <s v="C527"/>
    <x v="1"/>
    <x v="2"/>
    <s v="some college"/>
    <s v="standard"/>
    <s v="none"/>
    <n v="79"/>
    <n v="76"/>
    <n v="71"/>
    <n v="226"/>
    <n v="75.333333333333329"/>
  </r>
  <r>
    <s v="C528"/>
    <x v="1"/>
    <x v="1"/>
    <s v="some college"/>
    <s v="standard"/>
    <s v="completed"/>
    <n v="89"/>
    <n v="92"/>
    <n v="97"/>
    <n v="278"/>
    <n v="92.666666666666671"/>
  </r>
  <r>
    <s v="C529"/>
    <x v="0"/>
    <x v="0"/>
    <s v="associate's degree"/>
    <s v="free/reduced"/>
    <s v="completed"/>
    <n v="48"/>
    <n v="61"/>
    <n v="59"/>
    <n v="168"/>
    <n v="56"/>
  </r>
  <r>
    <s v="C530"/>
    <x v="1"/>
    <x v="0"/>
    <s v="bachelor's degree"/>
    <s v="standard"/>
    <s v="none"/>
    <n v="63"/>
    <n v="67"/>
    <n v="71"/>
    <n v="201"/>
    <n v="67"/>
  </r>
  <r>
    <s v="C531"/>
    <x v="1"/>
    <x v="4"/>
    <s v="some college"/>
    <s v="standard"/>
    <s v="none"/>
    <n v="88"/>
    <n v="100"/>
    <n v="88"/>
    <n v="276"/>
    <n v="92"/>
  </r>
  <r>
    <s v="C532"/>
    <x v="1"/>
    <x v="1"/>
    <s v="associate's degree"/>
    <s v="standard"/>
    <s v="none"/>
    <n v="66"/>
    <n v="73"/>
    <n v="73"/>
    <n v="212"/>
    <n v="70.666666666666671"/>
  </r>
  <r>
    <s v="C533"/>
    <x v="1"/>
    <x v="3"/>
    <s v="some college"/>
    <s v="free/reduced"/>
    <s v="none"/>
    <n v="45"/>
    <n v="59"/>
    <n v="56"/>
    <n v="160"/>
    <n v="53.333333333333336"/>
  </r>
  <r>
    <s v="C534"/>
    <x v="1"/>
    <x v="2"/>
    <s v="some high school"/>
    <s v="standard"/>
    <s v="completed"/>
    <n v="62"/>
    <n v="78"/>
    <n v="73"/>
    <n v="213"/>
    <n v="71"/>
  </r>
  <r>
    <s v="C535"/>
    <x v="0"/>
    <x v="1"/>
    <s v="some college"/>
    <s v="free/reduced"/>
    <s v="completed"/>
    <n v="74"/>
    <n v="80"/>
    <n v="86"/>
    <n v="240"/>
    <n v="80"/>
  </r>
  <r>
    <s v="C536"/>
    <x v="1"/>
    <x v="1"/>
    <s v="bachelor's degree"/>
    <s v="free/reduced"/>
    <s v="none"/>
    <n v="82"/>
    <n v="87"/>
    <n v="90"/>
    <n v="259"/>
    <n v="86.333333333333329"/>
  </r>
  <r>
    <s v="C537"/>
    <x v="0"/>
    <x v="2"/>
    <s v="some college"/>
    <s v="free/reduced"/>
    <s v="completed"/>
    <n v="83"/>
    <n v="63"/>
    <n v="63"/>
    <n v="209"/>
    <n v="69.666666666666671"/>
  </r>
  <r>
    <s v="C538"/>
    <x v="1"/>
    <x v="1"/>
    <s v="some high school"/>
    <s v="free/reduced"/>
    <s v="completed"/>
    <n v="60"/>
    <n v="72"/>
    <n v="76"/>
    <n v="208"/>
    <n v="69.333333333333329"/>
  </r>
  <r>
    <s v="C539"/>
    <x v="1"/>
    <x v="1"/>
    <s v="high school"/>
    <s v="standard"/>
    <s v="none"/>
    <n v="66"/>
    <n v="73"/>
    <n v="72"/>
    <n v="211"/>
    <n v="70.333333333333329"/>
  </r>
  <r>
    <s v="C540"/>
    <x v="0"/>
    <x v="4"/>
    <s v="bachelor's degree"/>
    <s v="free/reduced"/>
    <s v="none"/>
    <n v="76"/>
    <n v="66"/>
    <n v="68"/>
    <n v="210"/>
    <n v="70"/>
  </r>
  <r>
    <s v="C541"/>
    <x v="0"/>
    <x v="3"/>
    <s v="associate's degree"/>
    <s v="standard"/>
    <s v="completed"/>
    <n v="75"/>
    <n v="74"/>
    <n v="76"/>
    <n v="225"/>
    <n v="75"/>
  </r>
  <r>
    <s v="C542"/>
    <x v="0"/>
    <x v="3"/>
    <s v="some college"/>
    <s v="standard"/>
    <s v="completed"/>
    <n v="77"/>
    <n v="72"/>
    <n v="79"/>
    <n v="228"/>
    <n v="76"/>
  </r>
  <r>
    <s v="C543"/>
    <x v="1"/>
    <x v="2"/>
    <s v="some college"/>
    <s v="free/reduced"/>
    <s v="none"/>
    <n v="82"/>
    <n v="88"/>
    <n v="86"/>
    <n v="256"/>
    <n v="85.333333333333329"/>
  </r>
  <r>
    <s v="C544"/>
    <x v="0"/>
    <x v="4"/>
    <s v="associate's degree"/>
    <s v="standard"/>
    <s v="completed"/>
    <n v="63"/>
    <n v="59"/>
    <n v="60"/>
    <n v="182"/>
    <n v="60.666666666666664"/>
  </r>
  <r>
    <s v="C545"/>
    <x v="1"/>
    <x v="1"/>
    <s v="high school"/>
    <s v="standard"/>
    <s v="none"/>
    <n v="70"/>
    <n v="85"/>
    <n v="85"/>
    <n v="240"/>
    <n v="80"/>
  </r>
  <r>
    <s v="C546"/>
    <x v="0"/>
    <x v="1"/>
    <s v="associate's degree"/>
    <s v="standard"/>
    <s v="completed"/>
    <n v="84"/>
    <n v="71"/>
    <n v="76"/>
    <n v="231"/>
    <n v="77"/>
  </r>
  <r>
    <s v="C547"/>
    <x v="0"/>
    <x v="4"/>
    <s v="high school"/>
    <s v="standard"/>
    <s v="completed"/>
    <n v="68"/>
    <n v="60"/>
    <n v="63"/>
    <n v="191"/>
    <n v="63.666666666666664"/>
  </r>
  <r>
    <s v="C548"/>
    <x v="0"/>
    <x v="4"/>
    <s v="some college"/>
    <s v="free/reduced"/>
    <s v="none"/>
    <n v="56"/>
    <n v="58"/>
    <n v="50"/>
    <n v="164"/>
    <n v="54.666666666666664"/>
  </r>
  <r>
    <s v="C549"/>
    <x v="1"/>
    <x v="4"/>
    <s v="associate's degree"/>
    <s v="free/reduced"/>
    <s v="none"/>
    <n v="37"/>
    <n v="46"/>
    <n v="43"/>
    <n v="126"/>
    <n v="42"/>
  </r>
  <r>
    <s v="C550"/>
    <x v="1"/>
    <x v="1"/>
    <s v="some high school"/>
    <s v="standard"/>
    <s v="none"/>
    <n v="49"/>
    <n v="56"/>
    <n v="53"/>
    <n v="158"/>
    <n v="52.666666666666664"/>
  </r>
  <r>
    <s v="C551"/>
    <x v="1"/>
    <x v="2"/>
    <s v="some college"/>
    <s v="standard"/>
    <s v="completed"/>
    <n v="100"/>
    <n v="100"/>
    <n v="100"/>
    <n v="300"/>
    <n v="100"/>
  </r>
  <r>
    <s v="C552"/>
    <x v="0"/>
    <x v="1"/>
    <s v="some college"/>
    <s v="standard"/>
    <s v="none"/>
    <n v="83"/>
    <n v="68"/>
    <n v="65"/>
    <n v="216"/>
    <n v="72"/>
  </r>
  <r>
    <s v="C553"/>
    <x v="1"/>
    <x v="2"/>
    <s v="master's degree"/>
    <s v="free/reduced"/>
    <s v="completed"/>
    <n v="92"/>
    <n v="100"/>
    <n v="98"/>
    <n v="290"/>
    <n v="96.666666666666671"/>
  </r>
  <r>
    <s v="C554"/>
    <x v="0"/>
    <x v="2"/>
    <s v="master's degree"/>
    <s v="free/reduced"/>
    <s v="none"/>
    <n v="71"/>
    <n v="62"/>
    <n v="66"/>
    <n v="199"/>
    <n v="66.333333333333329"/>
  </r>
  <r>
    <s v="C555"/>
    <x v="0"/>
    <x v="1"/>
    <s v="associate's degree"/>
    <s v="free/reduced"/>
    <s v="completed"/>
    <n v="72"/>
    <n v="76"/>
    <n v="73"/>
    <n v="221"/>
    <n v="73.666666666666671"/>
  </r>
  <r>
    <s v="C556"/>
    <x v="1"/>
    <x v="1"/>
    <s v="bachelor's degree"/>
    <s v="free/reduced"/>
    <s v="none"/>
    <n v="37"/>
    <n v="53"/>
    <n v="48"/>
    <n v="138"/>
    <n v="46"/>
  </r>
  <r>
    <s v="C557"/>
    <x v="0"/>
    <x v="4"/>
    <s v="bachelor's degree"/>
    <s v="free/reduced"/>
    <s v="none"/>
    <n v="35"/>
    <n v="43"/>
    <n v="35"/>
    <n v="113"/>
    <n v="37.666666666666664"/>
  </r>
  <r>
    <s v="C558"/>
    <x v="0"/>
    <x v="4"/>
    <s v="some college"/>
    <s v="free/reduced"/>
    <s v="none"/>
    <n v="69"/>
    <n v="68"/>
    <n v="62"/>
    <n v="199"/>
    <n v="66.333333333333329"/>
  </r>
  <r>
    <s v="C559"/>
    <x v="1"/>
    <x v="4"/>
    <s v="bachelor's degree"/>
    <s v="standard"/>
    <s v="none"/>
    <n v="65"/>
    <n v="73"/>
    <n v="81"/>
    <n v="219"/>
    <n v="73"/>
  </r>
  <r>
    <s v="C560"/>
    <x v="0"/>
    <x v="2"/>
    <s v="high school"/>
    <s v="free/reduced"/>
    <s v="none"/>
    <n v="56"/>
    <n v="48"/>
    <n v="36"/>
    <n v="140"/>
    <n v="46.666666666666664"/>
  </r>
  <r>
    <s v="C561"/>
    <x v="1"/>
    <x v="1"/>
    <s v="high school"/>
    <s v="standard"/>
    <s v="none"/>
    <n v="40"/>
    <n v="46"/>
    <n v="57"/>
    <n v="143"/>
    <n v="47.666666666666664"/>
  </r>
  <r>
    <s v="C562"/>
    <x v="1"/>
    <x v="2"/>
    <s v="high school"/>
    <s v="standard"/>
    <s v="none"/>
    <n v="60"/>
    <n v="62"/>
    <n v="60"/>
    <n v="182"/>
    <n v="60.666666666666664"/>
  </r>
  <r>
    <s v="C563"/>
    <x v="1"/>
    <x v="4"/>
    <s v="some high school"/>
    <s v="standard"/>
    <s v="none"/>
    <n v="57"/>
    <n v="66"/>
    <n v="73"/>
    <n v="196"/>
    <n v="65.333333333333329"/>
  </r>
  <r>
    <s v="C564"/>
    <x v="1"/>
    <x v="4"/>
    <s v="some high school"/>
    <s v="free/reduced"/>
    <s v="completed"/>
    <n v="58"/>
    <n v="62"/>
    <n v="66"/>
    <n v="186"/>
    <n v="62"/>
  </r>
  <r>
    <s v="C565"/>
    <x v="1"/>
    <x v="1"/>
    <s v="some college"/>
    <s v="standard"/>
    <s v="completed"/>
    <n v="74"/>
    <n v="95"/>
    <n v="94"/>
    <n v="263"/>
    <n v="87.666666666666671"/>
  </r>
  <r>
    <s v="C566"/>
    <x v="1"/>
    <x v="3"/>
    <s v="some college"/>
    <s v="standard"/>
    <s v="none"/>
    <n v="77"/>
    <n v="77"/>
    <n v="83"/>
    <n v="237"/>
    <n v="79"/>
  </r>
  <r>
    <s v="C567"/>
    <x v="0"/>
    <x v="2"/>
    <s v="some college"/>
    <s v="free/reduced"/>
    <s v="none"/>
    <n v="66"/>
    <n v="57"/>
    <n v="53"/>
    <n v="176"/>
    <n v="58.666666666666664"/>
  </r>
  <r>
    <s v="C568"/>
    <x v="1"/>
    <x v="1"/>
    <s v="some college"/>
    <s v="standard"/>
    <s v="completed"/>
    <n v="62"/>
    <n v="79"/>
    <n v="87"/>
    <n v="228"/>
    <n v="76"/>
  </r>
  <r>
    <s v="C569"/>
    <x v="0"/>
    <x v="4"/>
    <s v="high school"/>
    <s v="free/reduced"/>
    <s v="none"/>
    <n v="29"/>
    <n v="38"/>
    <n v="27"/>
    <n v="94"/>
    <n v="31.333333333333332"/>
  </r>
  <r>
    <s v="C570"/>
    <x v="1"/>
    <x v="3"/>
    <s v="some college"/>
    <s v="standard"/>
    <s v="none"/>
    <n v="70"/>
    <n v="73"/>
    <n v="66"/>
    <n v="209"/>
    <n v="69.666666666666671"/>
  </r>
  <r>
    <s v="C571"/>
    <x v="0"/>
    <x v="0"/>
    <s v="associate's degree"/>
    <s v="free/reduced"/>
    <s v="none"/>
    <n v="67"/>
    <n v="64"/>
    <n v="60"/>
    <n v="191"/>
    <n v="63.666666666666664"/>
  </r>
  <r>
    <s v="C572"/>
    <x v="1"/>
    <x v="4"/>
    <s v="high school"/>
    <s v="standard"/>
    <s v="completed"/>
    <n v="81"/>
    <n v="91"/>
    <n v="94"/>
    <n v="266"/>
    <n v="88.666666666666671"/>
  </r>
  <r>
    <s v="C573"/>
    <x v="0"/>
    <x v="4"/>
    <s v="associate's degree"/>
    <s v="free/reduced"/>
    <s v="none"/>
    <n v="56"/>
    <n v="50"/>
    <n v="43"/>
    <n v="149"/>
    <n v="49.666666666666664"/>
  </r>
  <r>
    <s v="C574"/>
    <x v="1"/>
    <x v="1"/>
    <s v="some college"/>
    <s v="free/reduced"/>
    <s v="none"/>
    <n v="61"/>
    <n v="79"/>
    <n v="76"/>
    <n v="216"/>
    <n v="72"/>
  </r>
  <r>
    <s v="C575"/>
    <x v="1"/>
    <x v="1"/>
    <s v="high school"/>
    <s v="free/reduced"/>
    <s v="completed"/>
    <n v="47"/>
    <n v="54"/>
    <n v="56"/>
    <n v="157"/>
    <n v="52.333333333333336"/>
  </r>
  <r>
    <s v="C576"/>
    <x v="0"/>
    <x v="0"/>
    <s v="bachelor's degree"/>
    <s v="standard"/>
    <s v="completed"/>
    <n v="88"/>
    <n v="87"/>
    <n v="94"/>
    <n v="269"/>
    <n v="89.666666666666671"/>
  </r>
  <r>
    <s v="C577"/>
    <x v="0"/>
    <x v="4"/>
    <s v="some college"/>
    <s v="standard"/>
    <s v="completed"/>
    <n v="51"/>
    <n v="52"/>
    <n v="52"/>
    <n v="155"/>
    <n v="51.666666666666664"/>
  </r>
  <r>
    <s v="C578"/>
    <x v="0"/>
    <x v="4"/>
    <s v="master's degree"/>
    <s v="standard"/>
    <s v="none"/>
    <n v="68"/>
    <n v="60"/>
    <n v="62"/>
    <n v="190"/>
    <n v="63.333333333333336"/>
  </r>
  <r>
    <s v="C579"/>
    <x v="1"/>
    <x v="3"/>
    <s v="associate's degree"/>
    <s v="standard"/>
    <s v="none"/>
    <n v="68"/>
    <n v="71"/>
    <n v="71"/>
    <n v="210"/>
    <n v="70"/>
  </r>
  <r>
    <s v="C580"/>
    <x v="1"/>
    <x v="3"/>
    <s v="high school"/>
    <s v="free/reduced"/>
    <s v="none"/>
    <n v="47"/>
    <n v="49"/>
    <n v="50"/>
    <n v="146"/>
    <n v="48.666666666666664"/>
  </r>
  <r>
    <s v="C581"/>
    <x v="0"/>
    <x v="2"/>
    <s v="master's degree"/>
    <s v="free/reduced"/>
    <s v="completed"/>
    <n v="84"/>
    <n v="77"/>
    <n v="82"/>
    <n v="243"/>
    <n v="81"/>
  </r>
  <r>
    <s v="C582"/>
    <x v="0"/>
    <x v="3"/>
    <s v="some college"/>
    <s v="free/reduced"/>
    <s v="none"/>
    <n v="69"/>
    <n v="72"/>
    <n v="68"/>
    <n v="209"/>
    <n v="69.666666666666671"/>
  </r>
  <r>
    <s v="C583"/>
    <x v="1"/>
    <x v="1"/>
    <s v="bachelor's degree"/>
    <s v="standard"/>
    <s v="completed"/>
    <n v="52"/>
    <n v="69"/>
    <n v="75"/>
    <n v="196"/>
    <n v="65.333333333333329"/>
  </r>
  <r>
    <s v="C584"/>
    <x v="0"/>
    <x v="3"/>
    <s v="associate's degree"/>
    <s v="standard"/>
    <s v="none"/>
    <n v="80"/>
    <n v="79"/>
    <n v="79"/>
    <n v="238"/>
    <n v="79.333333333333329"/>
  </r>
  <r>
    <s v="C585"/>
    <x v="0"/>
    <x v="4"/>
    <s v="bachelor's degree"/>
    <s v="standard"/>
    <s v="none"/>
    <n v="100"/>
    <n v="84"/>
    <n v="88"/>
    <n v="272"/>
    <n v="90.666666666666671"/>
  </r>
  <r>
    <s v="C586"/>
    <x v="0"/>
    <x v="4"/>
    <s v="high school"/>
    <s v="standard"/>
    <s v="completed"/>
    <n v="53"/>
    <n v="59"/>
    <n v="64"/>
    <n v="176"/>
    <n v="58.666666666666664"/>
  </r>
  <r>
    <s v="C587"/>
    <x v="1"/>
    <x v="3"/>
    <s v="master's degree"/>
    <s v="standard"/>
    <s v="completed"/>
    <n v="59"/>
    <n v="73"/>
    <n v="74"/>
    <n v="206"/>
    <n v="68.666666666666671"/>
  </r>
  <r>
    <s v="C588"/>
    <x v="1"/>
    <x v="3"/>
    <s v="some college"/>
    <s v="standard"/>
    <s v="none"/>
    <n v="78"/>
    <n v="96"/>
    <n v="89"/>
    <n v="263"/>
    <n v="87.666666666666671"/>
  </r>
  <r>
    <s v="C589"/>
    <x v="1"/>
    <x v="3"/>
    <s v="associate's degree"/>
    <s v="standard"/>
    <s v="none"/>
    <n v="84"/>
    <n v="87"/>
    <n v="89"/>
    <n v="260"/>
    <n v="86.666666666666671"/>
  </r>
  <r>
    <s v="C590"/>
    <x v="1"/>
    <x v="4"/>
    <s v="high school"/>
    <s v="free/reduced"/>
    <s v="none"/>
    <n v="52"/>
    <n v="72"/>
    <n v="71"/>
    <n v="195"/>
    <n v="65"/>
  </r>
  <r>
    <s v="C591"/>
    <x v="0"/>
    <x v="4"/>
    <s v="associate's degree"/>
    <s v="free/reduced"/>
    <s v="none"/>
    <n v="81"/>
    <n v="78"/>
    <n v="75"/>
    <n v="234"/>
    <n v="78"/>
  </r>
  <r>
    <s v="C592"/>
    <x v="1"/>
    <x v="4"/>
    <s v="associate's degree"/>
    <s v="standard"/>
    <s v="completed"/>
    <n v="90"/>
    <n v="95"/>
    <n v="100"/>
    <n v="285"/>
    <n v="95"/>
  </r>
  <r>
    <s v="C593"/>
    <x v="1"/>
    <x v="0"/>
    <s v="high school"/>
    <s v="standard"/>
    <s v="none"/>
    <n v="63"/>
    <n v="73"/>
    <n v="66"/>
    <n v="202"/>
    <n v="67.333333333333329"/>
  </r>
  <r>
    <s v="C594"/>
    <x v="0"/>
    <x v="1"/>
    <s v="bachelor's degree"/>
    <s v="standard"/>
    <s v="completed"/>
    <n v="100"/>
    <n v="97"/>
    <n v="100"/>
    <n v="297"/>
    <n v="99"/>
  </r>
  <r>
    <s v="C595"/>
    <x v="1"/>
    <x v="3"/>
    <s v="some college"/>
    <s v="standard"/>
    <s v="none"/>
    <n v="56"/>
    <n v="63"/>
    <n v="62"/>
    <n v="181"/>
    <n v="60.333333333333336"/>
  </r>
  <r>
    <s v="C596"/>
    <x v="1"/>
    <x v="3"/>
    <s v="some college"/>
    <s v="standard"/>
    <s v="none"/>
    <n v="46"/>
    <n v="54"/>
    <n v="54"/>
    <n v="154"/>
    <n v="51.333333333333336"/>
  </r>
  <r>
    <s v="C597"/>
    <x v="1"/>
    <x v="3"/>
    <s v="high school"/>
    <s v="free/reduced"/>
    <s v="completed"/>
    <n v="75"/>
    <n v="85"/>
    <n v="90"/>
    <n v="250"/>
    <n v="83.333333333333329"/>
  </r>
  <r>
    <s v="C598"/>
    <x v="1"/>
    <x v="0"/>
    <s v="some college"/>
    <s v="standard"/>
    <s v="none"/>
    <n v="46"/>
    <n v="51"/>
    <n v="54"/>
    <n v="151"/>
    <n v="50.333333333333336"/>
  </r>
  <r>
    <s v="C599"/>
    <x v="0"/>
    <x v="0"/>
    <s v="some high school"/>
    <s v="free/reduced"/>
    <s v="none"/>
    <n v="42"/>
    <n v="40"/>
    <n v="40"/>
    <n v="122"/>
    <n v="40.666666666666664"/>
  </r>
  <r>
    <s v="C600"/>
    <x v="1"/>
    <x v="4"/>
    <s v="some high school"/>
    <s v="standard"/>
    <s v="completed"/>
    <n v="77"/>
    <n v="86"/>
    <n v="90"/>
    <n v="253"/>
    <n v="84.333333333333329"/>
  </r>
  <r>
    <s v="C601"/>
    <x v="1"/>
    <x v="4"/>
    <s v="some college"/>
    <s v="free/reduced"/>
    <s v="none"/>
    <n v="40"/>
    <n v="63"/>
    <n v="56"/>
    <n v="159"/>
    <n v="53"/>
  </r>
  <r>
    <s v="C602"/>
    <x v="1"/>
    <x v="1"/>
    <s v="high school"/>
    <s v="standard"/>
    <s v="none"/>
    <n v="69"/>
    <n v="71"/>
    <n v="76"/>
    <n v="216"/>
    <n v="72"/>
  </r>
  <r>
    <s v="C603"/>
    <x v="0"/>
    <x v="4"/>
    <s v="high school"/>
    <s v="standard"/>
    <s v="none"/>
    <n v="43"/>
    <n v="50"/>
    <n v="45"/>
    <n v="138"/>
    <n v="46"/>
  </r>
  <r>
    <s v="C604"/>
    <x v="1"/>
    <x v="4"/>
    <s v="associate's degree"/>
    <s v="standard"/>
    <s v="completed"/>
    <n v="69"/>
    <n v="75"/>
    <n v="71"/>
    <n v="215"/>
    <n v="71.666666666666671"/>
  </r>
  <r>
    <s v="C605"/>
    <x v="1"/>
    <x v="1"/>
    <s v="bachelor's degree"/>
    <s v="standard"/>
    <s v="completed"/>
    <n v="89"/>
    <n v="93"/>
    <n v="100"/>
    <n v="282"/>
    <n v="94"/>
  </r>
  <r>
    <s v="C606"/>
    <x v="0"/>
    <x v="3"/>
    <s v="associate's degree"/>
    <s v="standard"/>
    <s v="none"/>
    <n v="44"/>
    <n v="34"/>
    <n v="36"/>
    <n v="114"/>
    <n v="38"/>
  </r>
  <r>
    <s v="C607"/>
    <x v="0"/>
    <x v="1"/>
    <s v="high school"/>
    <s v="free/reduced"/>
    <s v="completed"/>
    <n v="82"/>
    <n v="83"/>
    <n v="77"/>
    <n v="242"/>
    <n v="80.666666666666671"/>
  </r>
  <r>
    <s v="C608"/>
    <x v="0"/>
    <x v="1"/>
    <s v="associate's degree"/>
    <s v="free/reduced"/>
    <s v="none"/>
    <n v="72"/>
    <n v="72"/>
    <n v="65"/>
    <n v="209"/>
    <n v="69.666666666666671"/>
  </r>
  <r>
    <s v="C609"/>
    <x v="0"/>
    <x v="4"/>
    <s v="bachelor's degree"/>
    <s v="standard"/>
    <s v="none"/>
    <n v="64"/>
    <n v="53"/>
    <n v="50"/>
    <n v="167"/>
    <n v="55.666666666666664"/>
  </r>
  <r>
    <s v="C610"/>
    <x v="0"/>
    <x v="1"/>
    <s v="some high school"/>
    <s v="standard"/>
    <s v="none"/>
    <n v="89"/>
    <n v="73"/>
    <n v="70"/>
    <n v="232"/>
    <n v="77.333333333333329"/>
  </r>
  <r>
    <s v="C611"/>
    <x v="0"/>
    <x v="2"/>
    <s v="associate's degree"/>
    <s v="free/reduced"/>
    <s v="none"/>
    <n v="58"/>
    <n v="53"/>
    <n v="54"/>
    <n v="165"/>
    <n v="55"/>
  </r>
  <r>
    <s v="C612"/>
    <x v="1"/>
    <x v="0"/>
    <s v="high school"/>
    <s v="standard"/>
    <s v="completed"/>
    <n v="63"/>
    <n v="81"/>
    <n v="78"/>
    <n v="222"/>
    <n v="74"/>
  </r>
  <r>
    <s v="C613"/>
    <x v="1"/>
    <x v="0"/>
    <s v="bachelor's degree"/>
    <s v="standard"/>
    <s v="none"/>
    <n v="54"/>
    <n v="66"/>
    <n v="69"/>
    <n v="189"/>
    <n v="63"/>
  </r>
  <r>
    <s v="C614"/>
    <x v="0"/>
    <x v="4"/>
    <s v="high school"/>
    <s v="free/reduced"/>
    <s v="completed"/>
    <n v="83"/>
    <n v="78"/>
    <n v="82"/>
    <n v="243"/>
    <n v="81"/>
  </r>
  <r>
    <s v="C615"/>
    <x v="1"/>
    <x v="4"/>
    <s v="high school"/>
    <s v="standard"/>
    <s v="none"/>
    <n v="57"/>
    <n v="74"/>
    <n v="64"/>
    <n v="195"/>
    <n v="65"/>
  </r>
  <r>
    <s v="C616"/>
    <x v="1"/>
    <x v="4"/>
    <s v="high school"/>
    <s v="standard"/>
    <s v="none"/>
    <n v="52"/>
    <n v="47"/>
    <n v="48"/>
    <n v="147"/>
    <n v="49"/>
  </r>
  <r>
    <s v="C617"/>
    <x v="1"/>
    <x v="1"/>
    <s v="high school"/>
    <s v="standard"/>
    <s v="completed"/>
    <n v="75"/>
    <n v="93"/>
    <n v="97"/>
    <n v="265"/>
    <n v="88.333333333333329"/>
  </r>
  <r>
    <s v="C618"/>
    <x v="0"/>
    <x v="2"/>
    <s v="high school"/>
    <s v="free/reduced"/>
    <s v="completed"/>
    <n v="67"/>
    <n v="66"/>
    <n v="64"/>
    <n v="197"/>
    <n v="65.666666666666671"/>
  </r>
  <r>
    <s v="C619"/>
    <x v="0"/>
    <x v="3"/>
    <s v="some high school"/>
    <s v="standard"/>
    <s v="none"/>
    <n v="58"/>
    <n v="60"/>
    <n v="53"/>
    <n v="171"/>
    <n v="57"/>
  </r>
  <r>
    <s v="C620"/>
    <x v="1"/>
    <x v="3"/>
    <s v="bachelor's degree"/>
    <s v="free/reduced"/>
    <s v="none"/>
    <n v="63"/>
    <n v="66"/>
    <n v="68"/>
    <n v="197"/>
    <n v="65.666666666666671"/>
  </r>
  <r>
    <s v="C621"/>
    <x v="1"/>
    <x v="1"/>
    <s v="some high school"/>
    <s v="free/reduced"/>
    <s v="none"/>
    <n v="49"/>
    <n v="64"/>
    <n v="57"/>
    <n v="170"/>
    <n v="56.666666666666664"/>
  </r>
  <r>
    <s v="C622"/>
    <x v="1"/>
    <x v="1"/>
    <s v="some college"/>
    <s v="free/reduced"/>
    <s v="none"/>
    <n v="38"/>
    <n v="47"/>
    <n v="52"/>
    <n v="137"/>
    <n v="45.666666666666664"/>
  </r>
  <r>
    <s v="C623"/>
    <x v="1"/>
    <x v="3"/>
    <s v="some college"/>
    <s v="standard"/>
    <s v="completed"/>
    <n v="74"/>
    <n v="85"/>
    <n v="84"/>
    <n v="243"/>
    <n v="81"/>
  </r>
  <r>
    <s v="C624"/>
    <x v="0"/>
    <x v="4"/>
    <s v="associate's degree"/>
    <s v="free/reduced"/>
    <s v="completed"/>
    <n v="69"/>
    <n v="84"/>
    <n v="82"/>
    <n v="235"/>
    <n v="78.333333333333329"/>
  </r>
  <r>
    <s v="C625"/>
    <x v="1"/>
    <x v="1"/>
    <s v="associate's degree"/>
    <s v="standard"/>
    <s v="none"/>
    <n v="77"/>
    <n v="82"/>
    <n v="80"/>
    <n v="239"/>
    <n v="79.666666666666671"/>
  </r>
  <r>
    <s v="C626"/>
    <x v="1"/>
    <x v="0"/>
    <s v="master's degree"/>
    <s v="free/reduced"/>
    <s v="none"/>
    <n v="40"/>
    <n v="59"/>
    <n v="59"/>
    <n v="158"/>
    <n v="52.666666666666664"/>
  </r>
  <r>
    <s v="C627"/>
    <x v="1"/>
    <x v="3"/>
    <s v="master's degree"/>
    <s v="standard"/>
    <s v="completed"/>
    <n v="96"/>
    <n v="98"/>
    <n v="100"/>
    <n v="294"/>
    <n v="98"/>
  </r>
  <r>
    <s v="C628"/>
    <x v="1"/>
    <x v="3"/>
    <s v="bachelor's degree"/>
    <s v="standard"/>
    <s v="none"/>
    <n v="85"/>
    <n v="86"/>
    <n v="85"/>
    <n v="256"/>
    <n v="85.333333333333329"/>
  </r>
  <r>
    <s v="C629"/>
    <x v="0"/>
    <x v="1"/>
    <s v="associate's degree"/>
    <s v="standard"/>
    <s v="none"/>
    <n v="85"/>
    <n v="77"/>
    <n v="76"/>
    <n v="238"/>
    <n v="79.333333333333329"/>
  </r>
  <r>
    <s v="C630"/>
    <x v="0"/>
    <x v="4"/>
    <s v="high school"/>
    <s v="standard"/>
    <s v="none"/>
    <n v="72"/>
    <n v="59"/>
    <n v="54"/>
    <n v="185"/>
    <n v="61.666666666666664"/>
  </r>
  <r>
    <s v="C631"/>
    <x v="1"/>
    <x v="3"/>
    <s v="associate's degree"/>
    <s v="free/reduced"/>
    <s v="none"/>
    <n v="63"/>
    <n v="78"/>
    <n v="73"/>
    <n v="214"/>
    <n v="71.333333333333329"/>
  </r>
  <r>
    <s v="C632"/>
    <x v="0"/>
    <x v="3"/>
    <s v="some high school"/>
    <s v="standard"/>
    <s v="none"/>
    <n v="58"/>
    <n v="67"/>
    <n v="58"/>
    <n v="183"/>
    <n v="61"/>
  </r>
  <r>
    <s v="C633"/>
    <x v="0"/>
    <x v="3"/>
    <s v="bachelor's degree"/>
    <s v="free/reduced"/>
    <s v="none"/>
    <n v="58"/>
    <n v="64"/>
    <n v="54"/>
    <n v="176"/>
    <n v="58.666666666666664"/>
  </r>
  <r>
    <s v="C634"/>
    <x v="0"/>
    <x v="4"/>
    <s v="high school"/>
    <s v="free/reduced"/>
    <s v="none"/>
    <n v="51"/>
    <n v="57"/>
    <n v="53"/>
    <n v="161"/>
    <n v="53.666666666666664"/>
  </r>
  <r>
    <s v="C635"/>
    <x v="1"/>
    <x v="1"/>
    <s v="master's degree"/>
    <s v="standard"/>
    <s v="completed"/>
    <n v="100"/>
    <n v="100"/>
    <n v="100"/>
    <n v="300"/>
    <n v="100"/>
  </r>
  <r>
    <s v="C636"/>
    <x v="1"/>
    <x v="1"/>
    <s v="master's degree"/>
    <s v="standard"/>
    <s v="none"/>
    <n v="77"/>
    <n v="84"/>
    <n v="92"/>
    <n v="253"/>
    <n v="84.333333333333329"/>
  </r>
  <r>
    <s v="C637"/>
    <x v="0"/>
    <x v="2"/>
    <s v="bachelor's degree"/>
    <s v="free/reduced"/>
    <s v="none"/>
    <n v="63"/>
    <n v="56"/>
    <n v="56"/>
    <n v="175"/>
    <n v="58.333333333333336"/>
  </r>
  <r>
    <s v="C638"/>
    <x v="1"/>
    <x v="4"/>
    <s v="some college"/>
    <s v="standard"/>
    <s v="none"/>
    <n v="64"/>
    <n v="67"/>
    <n v="68"/>
    <n v="199"/>
    <n v="66.333333333333329"/>
  </r>
  <r>
    <s v="C639"/>
    <x v="0"/>
    <x v="2"/>
    <s v="high school"/>
    <s v="standard"/>
    <s v="none"/>
    <n v="100"/>
    <n v="82"/>
    <n v="80"/>
    <n v="262"/>
    <n v="87.333333333333329"/>
  </r>
  <r>
    <s v="C640"/>
    <x v="0"/>
    <x v="4"/>
    <s v="associate's degree"/>
    <s v="standard"/>
    <s v="none"/>
    <n v="66"/>
    <n v="65"/>
    <n v="65"/>
    <n v="196"/>
    <n v="65.333333333333329"/>
  </r>
  <r>
    <s v="C641"/>
    <x v="0"/>
    <x v="2"/>
    <s v="bachelor's degree"/>
    <s v="standard"/>
    <s v="none"/>
    <n v="87"/>
    <n v="87"/>
    <n v="84"/>
    <n v="258"/>
    <n v="86"/>
  </r>
  <r>
    <s v="C642"/>
    <x v="0"/>
    <x v="4"/>
    <s v="high school"/>
    <s v="standard"/>
    <s v="none"/>
    <n v="73"/>
    <n v="72"/>
    <n v="69"/>
    <n v="214"/>
    <n v="71.333333333333329"/>
  </r>
  <r>
    <s v="C643"/>
    <x v="0"/>
    <x v="4"/>
    <s v="master's degree"/>
    <s v="free/reduced"/>
    <s v="completed"/>
    <n v="69"/>
    <n v="66"/>
    <n v="65"/>
    <n v="200"/>
    <n v="66.666666666666671"/>
  </r>
  <r>
    <s v="C644"/>
    <x v="1"/>
    <x v="4"/>
    <s v="high school"/>
    <s v="standard"/>
    <s v="none"/>
    <n v="62"/>
    <n v="64"/>
    <n v="63"/>
    <n v="189"/>
    <n v="63"/>
  </r>
  <r>
    <s v="C645"/>
    <x v="1"/>
    <x v="4"/>
    <s v="some high school"/>
    <s v="standard"/>
    <s v="none"/>
    <n v="40"/>
    <n v="48"/>
    <n v="49"/>
    <n v="137"/>
    <n v="45.666666666666664"/>
  </r>
  <r>
    <s v="C646"/>
    <x v="0"/>
    <x v="4"/>
    <s v="some college"/>
    <s v="free/reduced"/>
    <s v="completed"/>
    <n v="55"/>
    <n v="68"/>
    <n v="60"/>
    <n v="183"/>
    <n v="61"/>
  </r>
  <r>
    <s v="C647"/>
    <x v="0"/>
    <x v="1"/>
    <s v="high school"/>
    <s v="standard"/>
    <s v="completed"/>
    <n v="77"/>
    <n v="77"/>
    <n v="78"/>
    <n v="232"/>
    <n v="77.333333333333329"/>
  </r>
  <r>
    <s v="C648"/>
    <x v="0"/>
    <x v="1"/>
    <s v="some college"/>
    <s v="standard"/>
    <s v="completed"/>
    <n v="63"/>
    <n v="70"/>
    <n v="71"/>
    <n v="204"/>
    <n v="68"/>
  </r>
  <r>
    <s v="C649"/>
    <x v="0"/>
    <x v="1"/>
    <s v="associate's degree"/>
    <s v="standard"/>
    <s v="completed"/>
    <n v="85"/>
    <n v="85"/>
    <n v="91"/>
    <n v="261"/>
    <n v="87"/>
  </r>
  <r>
    <s v="C650"/>
    <x v="1"/>
    <x v="3"/>
    <s v="high school"/>
    <s v="free/reduced"/>
    <s v="none"/>
    <n v="30"/>
    <n v="43"/>
    <n v="40"/>
    <n v="113"/>
    <n v="37.666666666666664"/>
  </r>
  <r>
    <s v="C651"/>
    <x v="0"/>
    <x v="3"/>
    <s v="high school"/>
    <s v="standard"/>
    <s v="none"/>
    <n v="82"/>
    <n v="77"/>
    <n v="71"/>
    <n v="230"/>
    <n v="76.666666666666671"/>
  </r>
  <r>
    <s v="C652"/>
    <x v="0"/>
    <x v="1"/>
    <s v="associate's degree"/>
    <s v="free/reduced"/>
    <s v="completed"/>
    <n v="81"/>
    <n v="71"/>
    <n v="70"/>
    <n v="222"/>
    <n v="74"/>
  </r>
  <r>
    <s v="C653"/>
    <x v="1"/>
    <x v="4"/>
    <s v="some high school"/>
    <s v="standard"/>
    <s v="completed"/>
    <n v="92"/>
    <n v="100"/>
    <n v="97"/>
    <n v="289"/>
    <n v="96.333333333333329"/>
  </r>
  <r>
    <s v="C654"/>
    <x v="0"/>
    <x v="3"/>
    <s v="some college"/>
    <s v="free/reduced"/>
    <s v="none"/>
    <n v="50"/>
    <n v="48"/>
    <n v="36"/>
    <n v="134"/>
    <n v="44.666666666666664"/>
  </r>
  <r>
    <s v="C655"/>
    <x v="1"/>
    <x v="3"/>
    <s v="associate's degree"/>
    <s v="standard"/>
    <s v="none"/>
    <n v="54"/>
    <n v="60"/>
    <n v="56"/>
    <n v="170"/>
    <n v="56.666666666666664"/>
  </r>
  <r>
    <s v="C656"/>
    <x v="0"/>
    <x v="4"/>
    <s v="associate's degree"/>
    <s v="standard"/>
    <s v="completed"/>
    <n v="76"/>
    <n v="83"/>
    <n v="78"/>
    <n v="237"/>
    <n v="79"/>
  </r>
  <r>
    <s v="C657"/>
    <x v="1"/>
    <x v="1"/>
    <s v="some high school"/>
    <s v="standard"/>
    <s v="none"/>
    <n v="60"/>
    <n v="68"/>
    <n v="74"/>
    <n v="202"/>
    <n v="67.333333333333329"/>
  </r>
  <r>
    <s v="C658"/>
    <x v="1"/>
    <x v="0"/>
    <s v="associate's degree"/>
    <s v="free/reduced"/>
    <s v="completed"/>
    <n v="45"/>
    <n v="72"/>
    <n v="66"/>
    <n v="183"/>
    <n v="61"/>
  </r>
  <r>
    <s v="C659"/>
    <x v="0"/>
    <x v="1"/>
    <s v="high school"/>
    <s v="standard"/>
    <s v="none"/>
    <n v="80"/>
    <n v="77"/>
    <n v="72"/>
    <n v="229"/>
    <n v="76.333333333333329"/>
  </r>
  <r>
    <s v="C660"/>
    <x v="0"/>
    <x v="1"/>
    <s v="some high school"/>
    <s v="free/reduced"/>
    <s v="none"/>
    <n v="52"/>
    <n v="45"/>
    <n v="48"/>
    <n v="145"/>
    <n v="48.333333333333336"/>
  </r>
  <r>
    <s v="C661"/>
    <x v="1"/>
    <x v="4"/>
    <s v="high school"/>
    <s v="standard"/>
    <s v="completed"/>
    <n v="90"/>
    <n v="89"/>
    <n v="97"/>
    <n v="276"/>
    <n v="92"/>
  </r>
  <r>
    <s v="C662"/>
    <x v="1"/>
    <x v="1"/>
    <s v="high school"/>
    <s v="free/reduced"/>
    <s v="none"/>
    <n v="53"/>
    <n v="65"/>
    <n v="69"/>
    <n v="187"/>
    <n v="62.333333333333336"/>
  </r>
  <r>
    <s v="C663"/>
    <x v="1"/>
    <x v="4"/>
    <s v="associate's degree"/>
    <s v="standard"/>
    <s v="none"/>
    <n v="92"/>
    <n v="95"/>
    <n v="95"/>
    <n v="282"/>
    <n v="94"/>
  </r>
  <r>
    <s v="C664"/>
    <x v="1"/>
    <x v="4"/>
    <s v="some college"/>
    <s v="standard"/>
    <s v="completed"/>
    <n v="63"/>
    <n v="78"/>
    <n v="75"/>
    <n v="216"/>
    <n v="72"/>
  </r>
  <r>
    <s v="C665"/>
    <x v="1"/>
    <x v="3"/>
    <s v="some high school"/>
    <s v="standard"/>
    <s v="none"/>
    <n v="71"/>
    <n v="77"/>
    <n v="79"/>
    <n v="227"/>
    <n v="75.666666666666671"/>
  </r>
  <r>
    <s v="C666"/>
    <x v="1"/>
    <x v="1"/>
    <s v="some high school"/>
    <s v="standard"/>
    <s v="none"/>
    <n v="64"/>
    <n v="70"/>
    <n v="73"/>
    <n v="207"/>
    <n v="69"/>
  </r>
  <r>
    <s v="C667"/>
    <x v="1"/>
    <x v="4"/>
    <s v="some college"/>
    <s v="standard"/>
    <s v="completed"/>
    <n v="67"/>
    <n v="81"/>
    <n v="89"/>
    <n v="237"/>
    <n v="79"/>
  </r>
  <r>
    <s v="C668"/>
    <x v="0"/>
    <x v="4"/>
    <s v="high school"/>
    <s v="free/reduced"/>
    <s v="none"/>
    <n v="63"/>
    <n v="63"/>
    <n v="61"/>
    <n v="187"/>
    <n v="62.333333333333336"/>
  </r>
  <r>
    <s v="C669"/>
    <x v="0"/>
    <x v="3"/>
    <s v="high school"/>
    <s v="standard"/>
    <s v="none"/>
    <n v="63"/>
    <n v="53"/>
    <n v="44"/>
    <n v="160"/>
    <n v="53.333333333333336"/>
  </r>
  <r>
    <s v="C670"/>
    <x v="0"/>
    <x v="4"/>
    <s v="some high school"/>
    <s v="standard"/>
    <s v="none"/>
    <n v="59"/>
    <n v="49"/>
    <n v="46"/>
    <n v="154"/>
    <n v="51.333333333333336"/>
  </r>
  <r>
    <s v="C671"/>
    <x v="0"/>
    <x v="2"/>
    <s v="high school"/>
    <s v="standard"/>
    <s v="none"/>
    <n v="49"/>
    <n v="43"/>
    <n v="35"/>
    <n v="127"/>
    <n v="42.333333333333336"/>
  </r>
  <r>
    <s v="C672"/>
    <x v="1"/>
    <x v="1"/>
    <s v="master's degree"/>
    <s v="standard"/>
    <s v="none"/>
    <n v="75"/>
    <n v="84"/>
    <n v="86"/>
    <n v="245"/>
    <n v="81.666666666666671"/>
  </r>
  <r>
    <s v="C673"/>
    <x v="1"/>
    <x v="4"/>
    <s v="some high school"/>
    <s v="free/reduced"/>
    <s v="none"/>
    <n v="34"/>
    <n v="47"/>
    <n v="45"/>
    <n v="126"/>
    <n v="42"/>
  </r>
  <r>
    <s v="C674"/>
    <x v="1"/>
    <x v="3"/>
    <s v="associate's degree"/>
    <s v="free/reduced"/>
    <s v="none"/>
    <n v="53"/>
    <n v="70"/>
    <n v="69"/>
    <n v="192"/>
    <n v="64"/>
  </r>
  <r>
    <s v="C675"/>
    <x v="0"/>
    <x v="3"/>
    <s v="master's degree"/>
    <s v="standard"/>
    <s v="none"/>
    <n v="63"/>
    <n v="56"/>
    <n v="60"/>
    <n v="179"/>
    <n v="59.666666666666664"/>
  </r>
  <r>
    <s v="C676"/>
    <x v="0"/>
    <x v="4"/>
    <s v="associate's degree"/>
    <s v="standard"/>
    <s v="none"/>
    <n v="75"/>
    <n v="69"/>
    <n v="65"/>
    <n v="209"/>
    <n v="69.666666666666671"/>
  </r>
  <r>
    <s v="C677"/>
    <x v="0"/>
    <x v="2"/>
    <s v="associate's degree"/>
    <s v="free/reduced"/>
    <s v="none"/>
    <n v="63"/>
    <n v="61"/>
    <n v="62"/>
    <n v="186"/>
    <n v="62"/>
  </r>
  <r>
    <s v="C678"/>
    <x v="1"/>
    <x v="4"/>
    <s v="high school"/>
    <s v="standard"/>
    <s v="none"/>
    <n v="70"/>
    <n v="72"/>
    <n v="75"/>
    <n v="217"/>
    <n v="72.333333333333329"/>
  </r>
  <r>
    <s v="C679"/>
    <x v="1"/>
    <x v="4"/>
    <s v="some college"/>
    <s v="standard"/>
    <s v="none"/>
    <n v="61"/>
    <n v="73"/>
    <n v="70"/>
    <n v="204"/>
    <n v="68"/>
  </r>
  <r>
    <s v="C680"/>
    <x v="0"/>
    <x v="4"/>
    <s v="associate's degree"/>
    <s v="standard"/>
    <s v="none"/>
    <n v="74"/>
    <n v="61"/>
    <n v="59"/>
    <n v="194"/>
    <n v="64.666666666666671"/>
  </r>
  <r>
    <s v="C681"/>
    <x v="0"/>
    <x v="1"/>
    <s v="associate's degree"/>
    <s v="free/reduced"/>
    <s v="none"/>
    <n v="57"/>
    <n v="49"/>
    <n v="48"/>
    <n v="154"/>
    <n v="51.333333333333336"/>
  </r>
  <r>
    <s v="C682"/>
    <x v="0"/>
    <x v="4"/>
    <s v="some high school"/>
    <s v="free/reduced"/>
    <s v="completed"/>
    <n v="41"/>
    <n v="52"/>
    <n v="47"/>
    <n v="140"/>
    <n v="46.666666666666664"/>
  </r>
  <r>
    <s v="C683"/>
    <x v="0"/>
    <x v="1"/>
    <s v="some high school"/>
    <s v="standard"/>
    <s v="none"/>
    <n v="87"/>
    <n v="80"/>
    <n v="76"/>
    <n v="243"/>
    <n v="81"/>
  </r>
  <r>
    <s v="C684"/>
    <x v="0"/>
    <x v="4"/>
    <s v="high school"/>
    <s v="free/reduced"/>
    <s v="none"/>
    <n v="69"/>
    <n v="71"/>
    <n v="62"/>
    <n v="202"/>
    <n v="67.333333333333329"/>
  </r>
  <r>
    <s v="C685"/>
    <x v="0"/>
    <x v="4"/>
    <s v="associate's degree"/>
    <s v="free/reduced"/>
    <s v="none"/>
    <n v="69"/>
    <n v="77"/>
    <n v="70"/>
    <n v="216"/>
    <n v="72"/>
  </r>
  <r>
    <s v="C686"/>
    <x v="0"/>
    <x v="1"/>
    <s v="high school"/>
    <s v="standard"/>
    <s v="completed"/>
    <n v="58"/>
    <n v="56"/>
    <n v="56"/>
    <n v="170"/>
    <n v="56.666666666666664"/>
  </r>
  <r>
    <s v="C687"/>
    <x v="1"/>
    <x v="3"/>
    <s v="some college"/>
    <s v="free/reduced"/>
    <s v="completed"/>
    <n v="47"/>
    <n v="69"/>
    <n v="62"/>
    <n v="178"/>
    <n v="59.333333333333336"/>
  </r>
  <r>
    <s v="C688"/>
    <x v="0"/>
    <x v="1"/>
    <s v="associate's degree"/>
    <s v="standard"/>
    <s v="completed"/>
    <n v="78"/>
    <n v="69"/>
    <n v="71"/>
    <n v="218"/>
    <n v="72.666666666666671"/>
  </r>
  <r>
    <s v="C689"/>
    <x v="1"/>
    <x v="3"/>
    <s v="some college"/>
    <s v="free/reduced"/>
    <s v="completed"/>
    <n v="54"/>
    <n v="61"/>
    <n v="71"/>
    <n v="186"/>
    <n v="62"/>
  </r>
  <r>
    <s v="C690"/>
    <x v="0"/>
    <x v="4"/>
    <s v="some college"/>
    <s v="free/reduced"/>
    <s v="none"/>
    <n v="36"/>
    <n v="27"/>
    <n v="26"/>
    <n v="89"/>
    <n v="29.666666666666668"/>
  </r>
  <r>
    <s v="C691"/>
    <x v="0"/>
    <x v="3"/>
    <s v="bachelor's degree"/>
    <s v="standard"/>
    <s v="completed"/>
    <n v="94"/>
    <n v="92"/>
    <n v="92"/>
    <n v="278"/>
    <n v="92.666666666666671"/>
  </r>
  <r>
    <s v="C692"/>
    <x v="1"/>
    <x v="1"/>
    <s v="associate's degree"/>
    <s v="free/reduced"/>
    <s v="none"/>
    <n v="68"/>
    <n v="84"/>
    <n v="80"/>
    <n v="232"/>
    <n v="77.333333333333329"/>
  </r>
  <r>
    <s v="C693"/>
    <x v="1"/>
    <x v="2"/>
    <s v="high school"/>
    <s v="standard"/>
    <s v="none"/>
    <n v="90"/>
    <n v="88"/>
    <n v="84"/>
    <n v="262"/>
    <n v="87.333333333333329"/>
  </r>
  <r>
    <s v="C694"/>
    <x v="0"/>
    <x v="0"/>
    <s v="some college"/>
    <s v="standard"/>
    <s v="none"/>
    <n v="57"/>
    <n v="57"/>
    <n v="53"/>
    <n v="167"/>
    <n v="55.666666666666664"/>
  </r>
  <r>
    <s v="C695"/>
    <x v="0"/>
    <x v="1"/>
    <s v="some college"/>
    <s v="standard"/>
    <s v="completed"/>
    <n v="96"/>
    <n v="95"/>
    <n v="90"/>
    <n v="281"/>
    <n v="93.666666666666671"/>
  </r>
  <r>
    <s v="C696"/>
    <x v="0"/>
    <x v="3"/>
    <s v="some high school"/>
    <s v="standard"/>
    <s v="completed"/>
    <n v="68"/>
    <n v="63"/>
    <n v="62"/>
    <n v="193"/>
    <n v="64.333333333333329"/>
  </r>
  <r>
    <s v="C697"/>
    <x v="1"/>
    <x v="4"/>
    <s v="some high school"/>
    <s v="standard"/>
    <s v="completed"/>
    <n v="52"/>
    <n v="64"/>
    <n v="63"/>
    <n v="179"/>
    <n v="59.666666666666664"/>
  </r>
  <r>
    <s v="C698"/>
    <x v="0"/>
    <x v="2"/>
    <s v="associate's degree"/>
    <s v="standard"/>
    <s v="none"/>
    <n v="90"/>
    <n v="76"/>
    <n v="73"/>
    <n v="239"/>
    <n v="79.666666666666671"/>
  </r>
  <r>
    <s v="C699"/>
    <x v="0"/>
    <x v="4"/>
    <s v="some college"/>
    <s v="free/reduced"/>
    <s v="completed"/>
    <n v="71"/>
    <n v="82"/>
    <n v="75"/>
    <n v="228"/>
    <n v="76"/>
  </r>
  <r>
    <s v="C700"/>
    <x v="1"/>
    <x v="4"/>
    <s v="some college"/>
    <s v="free/reduced"/>
    <s v="completed"/>
    <n v="58"/>
    <n v="69"/>
    <n v="74"/>
    <n v="201"/>
    <n v="67"/>
  </r>
  <r>
    <s v="C701"/>
    <x v="0"/>
    <x v="4"/>
    <s v="some high school"/>
    <s v="free/reduced"/>
    <s v="none"/>
    <n v="41"/>
    <n v="39"/>
    <n v="34"/>
    <n v="114"/>
    <n v="38"/>
  </r>
  <r>
    <s v="C702"/>
    <x v="0"/>
    <x v="1"/>
    <s v="some high school"/>
    <s v="standard"/>
    <s v="completed"/>
    <n v="43"/>
    <n v="37"/>
    <n v="43"/>
    <n v="123"/>
    <n v="41"/>
  </r>
  <r>
    <s v="C703"/>
    <x v="0"/>
    <x v="1"/>
    <s v="high school"/>
    <s v="standard"/>
    <s v="none"/>
    <n v="85"/>
    <n v="70"/>
    <n v="71"/>
    <n v="226"/>
    <n v="75.333333333333329"/>
  </r>
  <r>
    <s v="C704"/>
    <x v="0"/>
    <x v="3"/>
    <s v="some high school"/>
    <s v="standard"/>
    <s v="none"/>
    <n v="71"/>
    <n v="72"/>
    <n v="69"/>
    <n v="212"/>
    <n v="70.666666666666671"/>
  </r>
  <r>
    <s v="C705"/>
    <x v="1"/>
    <x v="0"/>
    <s v="high school"/>
    <s v="standard"/>
    <s v="none"/>
    <n v="72"/>
    <n v="70"/>
    <n v="72"/>
    <n v="214"/>
    <n v="71.333333333333329"/>
  </r>
  <r>
    <s v="C706"/>
    <x v="0"/>
    <x v="1"/>
    <s v="associate's degree"/>
    <s v="free/reduced"/>
    <s v="none"/>
    <n v="70"/>
    <n v="62"/>
    <n v="66"/>
    <n v="198"/>
    <n v="66"/>
  </r>
  <r>
    <s v="C707"/>
    <x v="1"/>
    <x v="1"/>
    <s v="bachelor's degree"/>
    <s v="standard"/>
    <s v="none"/>
    <n v="89"/>
    <n v="100"/>
    <n v="100"/>
    <n v="289"/>
    <n v="96.333333333333329"/>
  </r>
  <r>
    <s v="C708"/>
    <x v="1"/>
    <x v="2"/>
    <s v="high school"/>
    <s v="standard"/>
    <s v="none"/>
    <n v="92"/>
    <n v="86"/>
    <n v="82"/>
    <n v="260"/>
    <n v="86.666666666666671"/>
  </r>
  <r>
    <s v="C709"/>
    <x v="0"/>
    <x v="2"/>
    <s v="some college"/>
    <s v="free/reduced"/>
    <s v="completed"/>
    <n v="80"/>
    <n v="79"/>
    <n v="81"/>
    <n v="240"/>
    <n v="80"/>
  </r>
  <r>
    <s v="C710"/>
    <x v="0"/>
    <x v="4"/>
    <s v="some high school"/>
    <s v="standard"/>
    <s v="none"/>
    <n v="80"/>
    <n v="70"/>
    <n v="60"/>
    <n v="210"/>
    <n v="70"/>
  </r>
  <r>
    <s v="C711"/>
    <x v="1"/>
    <x v="3"/>
    <s v="high school"/>
    <s v="standard"/>
    <s v="none"/>
    <n v="56"/>
    <n v="64"/>
    <n v="59"/>
    <n v="179"/>
    <n v="59.666666666666664"/>
  </r>
  <r>
    <s v="C712"/>
    <x v="0"/>
    <x v="2"/>
    <s v="high school"/>
    <s v="free/reduced"/>
    <s v="none"/>
    <n v="93"/>
    <n v="86"/>
    <n v="73"/>
    <n v="252"/>
    <n v="84"/>
  </r>
  <r>
    <s v="C713"/>
    <x v="0"/>
    <x v="4"/>
    <s v="associate's degree"/>
    <s v="free/reduced"/>
    <s v="completed"/>
    <n v="49"/>
    <n v="37"/>
    <n v="41"/>
    <n v="127"/>
    <n v="42.333333333333336"/>
  </r>
  <r>
    <s v="C714"/>
    <x v="1"/>
    <x v="2"/>
    <s v="master's degree"/>
    <s v="standard"/>
    <s v="none"/>
    <n v="59"/>
    <n v="57"/>
    <n v="58"/>
    <n v="174"/>
    <n v="58"/>
  </r>
  <r>
    <s v="C715"/>
    <x v="1"/>
    <x v="4"/>
    <s v="some high school"/>
    <s v="standard"/>
    <s v="completed"/>
    <n v="64"/>
    <n v="74"/>
    <n v="75"/>
    <n v="213"/>
    <n v="71"/>
  </r>
  <r>
    <s v="C716"/>
    <x v="0"/>
    <x v="1"/>
    <s v="some high school"/>
    <s v="standard"/>
    <s v="none"/>
    <n v="73"/>
    <n v="66"/>
    <n v="59"/>
    <n v="198"/>
    <n v="66"/>
  </r>
  <r>
    <s v="C717"/>
    <x v="1"/>
    <x v="3"/>
    <s v="some college"/>
    <s v="standard"/>
    <s v="completed"/>
    <n v="82"/>
    <n v="86"/>
    <n v="90"/>
    <n v="258"/>
    <n v="86"/>
  </r>
  <r>
    <s v="C718"/>
    <x v="0"/>
    <x v="1"/>
    <s v="high school"/>
    <s v="free/reduced"/>
    <s v="none"/>
    <n v="48"/>
    <n v="43"/>
    <n v="41"/>
    <n v="132"/>
    <n v="44"/>
  </r>
  <r>
    <s v="C719"/>
    <x v="1"/>
    <x v="0"/>
    <s v="some high school"/>
    <s v="free/reduced"/>
    <s v="completed"/>
    <n v="51"/>
    <n v="64"/>
    <n v="62"/>
    <n v="177"/>
    <n v="59"/>
  </r>
  <r>
    <s v="C720"/>
    <x v="1"/>
    <x v="2"/>
    <s v="some high school"/>
    <s v="free/reduced"/>
    <s v="completed"/>
    <n v="38"/>
    <n v="46"/>
    <n v="43"/>
    <n v="127"/>
    <n v="42.333333333333336"/>
  </r>
  <r>
    <s v="C721"/>
    <x v="0"/>
    <x v="3"/>
    <s v="some college"/>
    <s v="free/reduced"/>
    <s v="none"/>
    <n v="45"/>
    <n v="50"/>
    <n v="42"/>
    <n v="137"/>
    <n v="45.666666666666664"/>
  </r>
  <r>
    <s v="C722"/>
    <x v="1"/>
    <x v="0"/>
    <s v="some college"/>
    <s v="standard"/>
    <s v="completed"/>
    <n v="83"/>
    <n v="92"/>
    <n v="95"/>
    <n v="270"/>
    <n v="90"/>
  </r>
  <r>
    <s v="C723"/>
    <x v="1"/>
    <x v="3"/>
    <s v="some high school"/>
    <s v="standard"/>
    <s v="completed"/>
    <n v="45"/>
    <n v="57"/>
    <n v="56"/>
    <n v="158"/>
    <n v="52.666666666666664"/>
  </r>
  <r>
    <s v="C724"/>
    <x v="0"/>
    <x v="1"/>
    <s v="high school"/>
    <s v="free/reduced"/>
    <s v="none"/>
    <n v="66"/>
    <n v="64"/>
    <n v="62"/>
    <n v="192"/>
    <n v="64"/>
  </r>
  <r>
    <s v="C725"/>
    <x v="0"/>
    <x v="1"/>
    <s v="high school"/>
    <s v="free/reduced"/>
    <s v="completed"/>
    <n v="60"/>
    <n v="62"/>
    <n v="57"/>
    <n v="179"/>
    <n v="59.666666666666664"/>
  </r>
  <r>
    <s v="C726"/>
    <x v="0"/>
    <x v="4"/>
    <s v="associate's degree"/>
    <s v="standard"/>
    <s v="none"/>
    <n v="49"/>
    <n v="47"/>
    <n v="49"/>
    <n v="145"/>
    <n v="48.333333333333336"/>
  </r>
  <r>
    <s v="C727"/>
    <x v="0"/>
    <x v="1"/>
    <s v="bachelor's degree"/>
    <s v="standard"/>
    <s v="none"/>
    <n v="80"/>
    <n v="84"/>
    <n v="86"/>
    <n v="250"/>
    <n v="83.333333333333329"/>
  </r>
  <r>
    <s v="C728"/>
    <x v="0"/>
    <x v="2"/>
    <s v="high school"/>
    <s v="standard"/>
    <s v="none"/>
    <n v="75"/>
    <n v="68"/>
    <n v="66"/>
    <n v="209"/>
    <n v="69.666666666666671"/>
  </r>
  <r>
    <s v="C729"/>
    <x v="0"/>
    <x v="3"/>
    <s v="some college"/>
    <s v="free/reduced"/>
    <s v="completed"/>
    <n v="57"/>
    <n v="68"/>
    <n v="61"/>
    <n v="186"/>
    <n v="62"/>
  </r>
  <r>
    <s v="C730"/>
    <x v="1"/>
    <x v="3"/>
    <s v="some high school"/>
    <s v="free/reduced"/>
    <s v="none"/>
    <n v="25"/>
    <n v="36"/>
    <n v="37"/>
    <n v="98"/>
    <n v="32.666666666666664"/>
  </r>
  <r>
    <s v="C731"/>
    <x v="0"/>
    <x v="2"/>
    <s v="some college"/>
    <s v="free/reduced"/>
    <s v="none"/>
    <n v="90"/>
    <n v="87"/>
    <n v="81"/>
    <n v="258"/>
    <n v="86"/>
  </r>
  <r>
    <s v="C732"/>
    <x v="1"/>
    <x v="1"/>
    <s v="some college"/>
    <s v="standard"/>
    <s v="none"/>
    <n v="63"/>
    <n v="70"/>
    <n v="71"/>
    <n v="204"/>
    <n v="68"/>
  </r>
  <r>
    <s v="C733"/>
    <x v="0"/>
    <x v="2"/>
    <s v="associate's degree"/>
    <s v="standard"/>
    <s v="none"/>
    <n v="100"/>
    <n v="91"/>
    <n v="86"/>
    <n v="277"/>
    <n v="92.333333333333329"/>
  </r>
  <r>
    <s v="C734"/>
    <x v="0"/>
    <x v="4"/>
    <s v="associate's degree"/>
    <s v="free/reduced"/>
    <s v="none"/>
    <n v="76"/>
    <n v="68"/>
    <n v="66"/>
    <n v="210"/>
    <n v="70"/>
  </r>
  <r>
    <s v="C735"/>
    <x v="1"/>
    <x v="3"/>
    <s v="some high school"/>
    <s v="free/reduced"/>
    <s v="none"/>
    <n v="52"/>
    <n v="58"/>
    <n v="53"/>
    <n v="163"/>
    <n v="54.333333333333336"/>
  </r>
  <r>
    <s v="C736"/>
    <x v="1"/>
    <x v="3"/>
    <s v="master's degree"/>
    <s v="standard"/>
    <s v="completed"/>
    <n v="81"/>
    <n v="86"/>
    <n v="93"/>
    <n v="260"/>
    <n v="86.666666666666671"/>
  </r>
  <r>
    <s v="C737"/>
    <x v="0"/>
    <x v="4"/>
    <s v="associate's degree"/>
    <s v="standard"/>
    <s v="completed"/>
    <n v="90"/>
    <n v="89"/>
    <n v="87"/>
    <n v="266"/>
    <n v="88.666666666666671"/>
  </r>
  <r>
    <s v="C738"/>
    <x v="0"/>
    <x v="1"/>
    <s v="associate's degree"/>
    <s v="standard"/>
    <s v="none"/>
    <n v="83"/>
    <n v="82"/>
    <n v="81"/>
    <n v="246"/>
    <n v="82"/>
  </r>
  <r>
    <s v="C739"/>
    <x v="1"/>
    <x v="3"/>
    <s v="high school"/>
    <s v="standard"/>
    <s v="none"/>
    <n v="61"/>
    <n v="73"/>
    <n v="69"/>
    <n v="203"/>
    <n v="67.666666666666671"/>
  </r>
  <r>
    <s v="C740"/>
    <x v="1"/>
    <x v="2"/>
    <s v="associate's degree"/>
    <s v="standard"/>
    <s v="completed"/>
    <n v="79"/>
    <n v="69"/>
    <n v="75"/>
    <n v="223"/>
    <n v="74.333333333333329"/>
  </r>
  <r>
    <s v="C741"/>
    <x v="0"/>
    <x v="3"/>
    <s v="some college"/>
    <s v="standard"/>
    <s v="none"/>
    <n v="52"/>
    <n v="53"/>
    <n v="51"/>
    <n v="156"/>
    <n v="52"/>
  </r>
  <r>
    <s v="C742"/>
    <x v="1"/>
    <x v="3"/>
    <s v="bachelor's degree"/>
    <s v="standard"/>
    <s v="completed"/>
    <n v="62"/>
    <n v="65"/>
    <n v="67"/>
    <n v="194"/>
    <n v="64.666666666666671"/>
  </r>
  <r>
    <s v="C743"/>
    <x v="1"/>
    <x v="1"/>
    <s v="some college"/>
    <s v="standard"/>
    <s v="none"/>
    <n v="85"/>
    <n v="90"/>
    <n v="84"/>
    <n v="259"/>
    <n v="86.333333333333329"/>
  </r>
  <r>
    <s v="C744"/>
    <x v="1"/>
    <x v="2"/>
    <s v="high school"/>
    <s v="free/reduced"/>
    <s v="completed"/>
    <n v="74"/>
    <n v="96"/>
    <n v="95"/>
    <n v="265"/>
    <n v="88.333333333333329"/>
  </r>
  <r>
    <s v="C745"/>
    <x v="0"/>
    <x v="4"/>
    <s v="associate's degree"/>
    <s v="free/reduced"/>
    <s v="none"/>
    <n v="83"/>
    <n v="85"/>
    <n v="78"/>
    <n v="246"/>
    <n v="82"/>
  </r>
  <r>
    <s v="C746"/>
    <x v="0"/>
    <x v="4"/>
    <s v="some college"/>
    <s v="standard"/>
    <s v="none"/>
    <n v="78"/>
    <n v="72"/>
    <n v="72"/>
    <n v="222"/>
    <n v="74"/>
  </r>
  <r>
    <s v="C747"/>
    <x v="1"/>
    <x v="4"/>
    <s v="high school"/>
    <s v="free/reduced"/>
    <s v="none"/>
    <n v="41"/>
    <n v="43"/>
    <n v="40"/>
    <n v="124"/>
    <n v="41.333333333333336"/>
  </r>
  <r>
    <s v="C748"/>
    <x v="1"/>
    <x v="0"/>
    <s v="high school"/>
    <s v="standard"/>
    <s v="none"/>
    <n v="77"/>
    <n v="91"/>
    <n v="87"/>
    <n v="255"/>
    <n v="85"/>
  </r>
  <r>
    <s v="C749"/>
    <x v="0"/>
    <x v="4"/>
    <s v="bachelor's degree"/>
    <s v="standard"/>
    <s v="none"/>
    <n v="95"/>
    <n v="99"/>
    <n v="91"/>
    <n v="285"/>
    <n v="95"/>
  </r>
  <r>
    <s v="C750"/>
    <x v="1"/>
    <x v="3"/>
    <s v="high school"/>
    <s v="free/reduced"/>
    <s v="none"/>
    <n v="50"/>
    <n v="68"/>
    <n v="66"/>
    <n v="184"/>
    <n v="61.333333333333336"/>
  </r>
  <r>
    <s v="C751"/>
    <x v="0"/>
    <x v="4"/>
    <s v="some college"/>
    <s v="standard"/>
    <s v="none"/>
    <n v="74"/>
    <n v="76"/>
    <n v="70"/>
    <n v="220"/>
    <n v="73.333333333333329"/>
  </r>
  <r>
    <s v="C752"/>
    <x v="1"/>
    <x v="1"/>
    <s v="bachelor's degree"/>
    <s v="standard"/>
    <s v="completed"/>
    <n v="74"/>
    <n v="93"/>
    <n v="93"/>
    <n v="260"/>
    <n v="86.666666666666671"/>
  </r>
  <r>
    <s v="C753"/>
    <x v="0"/>
    <x v="2"/>
    <s v="high school"/>
    <s v="standard"/>
    <s v="none"/>
    <n v="70"/>
    <n v="62"/>
    <n v="61"/>
    <n v="193"/>
    <n v="64.333333333333329"/>
  </r>
  <r>
    <s v="C754"/>
    <x v="0"/>
    <x v="1"/>
    <s v="associate's degree"/>
    <s v="free/reduced"/>
    <s v="none"/>
    <n v="61"/>
    <n v="59"/>
    <n v="54"/>
    <n v="174"/>
    <n v="58"/>
  </r>
  <r>
    <s v="C755"/>
    <x v="1"/>
    <x v="0"/>
    <s v="master's degree"/>
    <s v="standard"/>
    <s v="completed"/>
    <n v="94"/>
    <n v="100"/>
    <n v="100"/>
    <n v="294"/>
    <n v="98"/>
  </r>
  <r>
    <s v="C756"/>
    <x v="1"/>
    <x v="1"/>
    <s v="high school"/>
    <s v="standard"/>
    <s v="none"/>
    <n v="66"/>
    <n v="84"/>
    <n v="77"/>
    <n v="227"/>
    <n v="75.666666666666671"/>
  </r>
  <r>
    <s v="C757"/>
    <x v="1"/>
    <x v="1"/>
    <s v="master's degree"/>
    <s v="standard"/>
    <s v="none"/>
    <n v="83"/>
    <n v="88"/>
    <n v="93"/>
    <n v="264"/>
    <n v="88"/>
  </r>
  <r>
    <s v="C758"/>
    <x v="0"/>
    <x v="1"/>
    <s v="high school"/>
    <s v="standard"/>
    <s v="none"/>
    <n v="75"/>
    <n v="63"/>
    <n v="60"/>
    <n v="198"/>
    <n v="66"/>
  </r>
  <r>
    <s v="C759"/>
    <x v="0"/>
    <x v="1"/>
    <s v="high school"/>
    <s v="free/reduced"/>
    <s v="completed"/>
    <n v="56"/>
    <n v="65"/>
    <n v="63"/>
    <n v="184"/>
    <n v="61.333333333333336"/>
  </r>
  <r>
    <s v="C760"/>
    <x v="1"/>
    <x v="3"/>
    <s v="some college"/>
    <s v="free/reduced"/>
    <s v="none"/>
    <n v="66"/>
    <n v="88"/>
    <n v="83"/>
    <n v="237"/>
    <n v="79"/>
  </r>
  <r>
    <s v="C761"/>
    <x v="1"/>
    <x v="3"/>
    <s v="high school"/>
    <s v="free/reduced"/>
    <s v="none"/>
    <n v="61"/>
    <n v="69"/>
    <n v="66"/>
    <n v="196"/>
    <n v="65.333333333333329"/>
  </r>
  <r>
    <s v="C762"/>
    <x v="0"/>
    <x v="4"/>
    <s v="some high school"/>
    <s v="standard"/>
    <s v="completed"/>
    <n v="70"/>
    <n v="79"/>
    <n v="73"/>
    <n v="222"/>
    <n v="74"/>
  </r>
  <r>
    <s v="C763"/>
    <x v="0"/>
    <x v="4"/>
    <s v="master's degree"/>
    <s v="standard"/>
    <s v="none"/>
    <n v="57"/>
    <n v="59"/>
    <n v="53"/>
    <n v="169"/>
    <n v="56.333333333333336"/>
  </r>
  <r>
    <s v="C764"/>
    <x v="1"/>
    <x v="4"/>
    <s v="associate's degree"/>
    <s v="free/reduced"/>
    <s v="completed"/>
    <n v="78"/>
    <n v="89"/>
    <n v="90"/>
    <n v="257"/>
    <n v="85.666666666666671"/>
  </r>
  <r>
    <s v="C765"/>
    <x v="1"/>
    <x v="4"/>
    <s v="some high school"/>
    <s v="standard"/>
    <s v="none"/>
    <n v="62"/>
    <n v="76"/>
    <n v="67"/>
    <n v="205"/>
    <n v="68.333333333333329"/>
  </r>
  <r>
    <s v="C766"/>
    <x v="0"/>
    <x v="4"/>
    <s v="some high school"/>
    <s v="standard"/>
    <s v="completed"/>
    <n v="64"/>
    <n v="53"/>
    <n v="49"/>
    <n v="166"/>
    <n v="55.333333333333336"/>
  </r>
  <r>
    <s v="C767"/>
    <x v="1"/>
    <x v="3"/>
    <s v="high school"/>
    <s v="free/reduced"/>
    <s v="none"/>
    <n v="55"/>
    <n v="66"/>
    <n v="65"/>
    <n v="186"/>
    <n v="62"/>
  </r>
  <r>
    <s v="C768"/>
    <x v="1"/>
    <x v="1"/>
    <s v="some college"/>
    <s v="standard"/>
    <s v="none"/>
    <n v="72"/>
    <n v="83"/>
    <n v="83"/>
    <n v="238"/>
    <n v="79.333333333333329"/>
  </r>
  <r>
    <s v="C769"/>
    <x v="0"/>
    <x v="0"/>
    <s v="some college"/>
    <s v="free/reduced"/>
    <s v="none"/>
    <n v="49"/>
    <n v="48"/>
    <n v="42"/>
    <n v="139"/>
    <n v="46.333333333333336"/>
  </r>
  <r>
    <s v="C770"/>
    <x v="1"/>
    <x v="1"/>
    <s v="some college"/>
    <s v="standard"/>
    <s v="none"/>
    <n v="62"/>
    <n v="60"/>
    <n v="63"/>
    <n v="185"/>
    <n v="61.666666666666664"/>
  </r>
  <r>
    <s v="C771"/>
    <x v="0"/>
    <x v="3"/>
    <s v="some high school"/>
    <s v="free/reduced"/>
    <s v="none"/>
    <n v="76"/>
    <n v="73"/>
    <n v="68"/>
    <n v="217"/>
    <n v="72.333333333333329"/>
  </r>
  <r>
    <s v="C772"/>
    <x v="1"/>
    <x v="4"/>
    <s v="master's degree"/>
    <s v="standard"/>
    <s v="completed"/>
    <n v="73"/>
    <n v="86"/>
    <n v="85"/>
    <n v="244"/>
    <n v="81.333333333333329"/>
  </r>
  <r>
    <s v="C773"/>
    <x v="1"/>
    <x v="4"/>
    <s v="associate's degree"/>
    <s v="standard"/>
    <s v="completed"/>
    <n v="72"/>
    <n v="76"/>
    <n v="78"/>
    <n v="226"/>
    <n v="75.333333333333329"/>
  </r>
  <r>
    <s v="C774"/>
    <x v="0"/>
    <x v="4"/>
    <s v="high school"/>
    <s v="standard"/>
    <s v="none"/>
    <n v="85"/>
    <n v="85"/>
    <n v="76"/>
    <n v="246"/>
    <n v="82"/>
  </r>
  <r>
    <s v="C775"/>
    <x v="0"/>
    <x v="0"/>
    <s v="some college"/>
    <s v="free/reduced"/>
    <s v="none"/>
    <n v="71"/>
    <n v="68"/>
    <n v="65"/>
    <n v="204"/>
    <n v="68"/>
  </r>
  <r>
    <s v="C776"/>
    <x v="1"/>
    <x v="4"/>
    <s v="some high school"/>
    <s v="free/reduced"/>
    <s v="none"/>
    <n v="28"/>
    <n v="38"/>
    <n v="31"/>
    <n v="97"/>
    <n v="32.333333333333336"/>
  </r>
  <r>
    <s v="C777"/>
    <x v="0"/>
    <x v="4"/>
    <s v="high school"/>
    <s v="free/reduced"/>
    <s v="none"/>
    <n v="41"/>
    <n v="42"/>
    <n v="38"/>
    <n v="121"/>
    <n v="40.333333333333336"/>
  </r>
  <r>
    <s v="C778"/>
    <x v="0"/>
    <x v="2"/>
    <s v="associate's degree"/>
    <s v="standard"/>
    <s v="none"/>
    <n v="78"/>
    <n v="72"/>
    <n v="68"/>
    <n v="218"/>
    <n v="72.666666666666671"/>
  </r>
  <r>
    <s v="C779"/>
    <x v="0"/>
    <x v="4"/>
    <s v="master's degree"/>
    <s v="free/reduced"/>
    <s v="none"/>
    <n v="48"/>
    <n v="52"/>
    <n v="44"/>
    <n v="144"/>
    <n v="48"/>
  </r>
  <r>
    <s v="C780"/>
    <x v="0"/>
    <x v="4"/>
    <s v="associate's degree"/>
    <s v="free/reduced"/>
    <s v="none"/>
    <n v="38"/>
    <n v="51"/>
    <n v="47"/>
    <n v="136"/>
    <n v="45.333333333333336"/>
  </r>
  <r>
    <s v="C781"/>
    <x v="1"/>
    <x v="0"/>
    <s v="bachelor's degree"/>
    <s v="standard"/>
    <s v="completed"/>
    <n v="91"/>
    <n v="100"/>
    <n v="100"/>
    <n v="291"/>
    <n v="97"/>
  </r>
  <r>
    <s v="C782"/>
    <x v="1"/>
    <x v="1"/>
    <s v="bachelor's degree"/>
    <s v="standard"/>
    <s v="none"/>
    <n v="71"/>
    <n v="81"/>
    <n v="80"/>
    <n v="232"/>
    <n v="77.333333333333329"/>
  </r>
  <r>
    <s v="C783"/>
    <x v="1"/>
    <x v="1"/>
    <s v="bachelor's degree"/>
    <s v="standard"/>
    <s v="none"/>
    <n v="84"/>
    <n v="87"/>
    <n v="92"/>
    <n v="263"/>
    <n v="87.666666666666671"/>
  </r>
  <r>
    <s v="C784"/>
    <x v="0"/>
    <x v="2"/>
    <s v="associate's degree"/>
    <s v="free/reduced"/>
    <s v="completed"/>
    <n v="63"/>
    <n v="60"/>
    <n v="63"/>
    <n v="186"/>
    <n v="62"/>
  </r>
  <r>
    <s v="C785"/>
    <x v="1"/>
    <x v="0"/>
    <s v="associate's degree"/>
    <s v="standard"/>
    <s v="completed"/>
    <n v="70"/>
    <n v="78"/>
    <n v="87"/>
    <n v="235"/>
    <n v="78.333333333333329"/>
  </r>
  <r>
    <s v="C786"/>
    <x v="0"/>
    <x v="3"/>
    <s v="bachelor's degree"/>
    <s v="free/reduced"/>
    <s v="completed"/>
    <n v="48"/>
    <n v="52"/>
    <n v="57"/>
    <n v="157"/>
    <n v="52.333333333333336"/>
  </r>
  <r>
    <s v="C787"/>
    <x v="0"/>
    <x v="1"/>
    <s v="some high school"/>
    <s v="standard"/>
    <s v="completed"/>
    <n v="68"/>
    <n v="72"/>
    <n v="73"/>
    <n v="213"/>
    <n v="71"/>
  </r>
  <r>
    <s v="C788"/>
    <x v="1"/>
    <x v="1"/>
    <s v="some college"/>
    <s v="standard"/>
    <s v="none"/>
    <n v="84"/>
    <n v="84"/>
    <n v="87"/>
    <n v="255"/>
    <n v="85"/>
  </r>
  <r>
    <s v="C789"/>
    <x v="0"/>
    <x v="1"/>
    <s v="high school"/>
    <s v="standard"/>
    <s v="none"/>
    <n v="61"/>
    <n v="62"/>
    <n v="60"/>
    <n v="183"/>
    <n v="61"/>
  </r>
  <r>
    <s v="C790"/>
    <x v="0"/>
    <x v="4"/>
    <s v="some high school"/>
    <s v="free/reduced"/>
    <s v="none"/>
    <n v="62"/>
    <n v="59"/>
    <n v="62"/>
    <n v="183"/>
    <n v="61"/>
  </r>
  <r>
    <s v="C791"/>
    <x v="1"/>
    <x v="4"/>
    <s v="master's degree"/>
    <s v="free/reduced"/>
    <s v="none"/>
    <n v="66"/>
    <n v="78"/>
    <n v="83"/>
    <n v="227"/>
    <n v="75.666666666666671"/>
  </r>
  <r>
    <s v="C792"/>
    <x v="1"/>
    <x v="4"/>
    <s v="high school"/>
    <s v="standard"/>
    <s v="completed"/>
    <n v="52"/>
    <n v="65"/>
    <n v="71"/>
    <n v="188"/>
    <n v="62.666666666666664"/>
  </r>
  <r>
    <s v="C793"/>
    <x v="1"/>
    <x v="1"/>
    <s v="some college"/>
    <s v="standard"/>
    <s v="completed"/>
    <n v="68"/>
    <n v="75"/>
    <n v="73"/>
    <n v="216"/>
    <n v="72"/>
  </r>
  <r>
    <s v="C794"/>
    <x v="0"/>
    <x v="1"/>
    <s v="some college"/>
    <s v="free/reduced"/>
    <s v="completed"/>
    <n v="62"/>
    <n v="68"/>
    <n v="71"/>
    <n v="201"/>
    <n v="67"/>
  </r>
  <r>
    <s v="C795"/>
    <x v="0"/>
    <x v="2"/>
    <s v="bachelor's degree"/>
    <s v="standard"/>
    <s v="completed"/>
    <n v="90"/>
    <n v="88"/>
    <n v="84"/>
    <n v="262"/>
    <n v="87.333333333333329"/>
  </r>
  <r>
    <s v="C796"/>
    <x v="1"/>
    <x v="0"/>
    <s v="master's degree"/>
    <s v="free/reduced"/>
    <s v="none"/>
    <n v="42"/>
    <n v="50"/>
    <n v="44"/>
    <n v="136"/>
    <n v="45.333333333333336"/>
  </r>
  <r>
    <s v="C797"/>
    <x v="0"/>
    <x v="1"/>
    <s v="associate's degree"/>
    <s v="free/reduced"/>
    <s v="completed"/>
    <n v="74"/>
    <n v="90"/>
    <n v="89"/>
    <n v="253"/>
    <n v="84.333333333333329"/>
  </r>
  <r>
    <s v="C798"/>
    <x v="0"/>
    <x v="3"/>
    <s v="associate's degree"/>
    <s v="standard"/>
    <s v="completed"/>
    <n v="62"/>
    <n v="61"/>
    <n v="61"/>
    <n v="184"/>
    <n v="61.333333333333336"/>
  </r>
  <r>
    <s v="C799"/>
    <x v="0"/>
    <x v="4"/>
    <s v="some college"/>
    <s v="standard"/>
    <s v="none"/>
    <n v="56"/>
    <n v="55"/>
    <n v="50"/>
    <n v="161"/>
    <n v="53.666666666666664"/>
  </r>
  <r>
    <s v="C800"/>
    <x v="0"/>
    <x v="4"/>
    <s v="high school"/>
    <s v="free/reduced"/>
    <s v="none"/>
    <n v="64"/>
    <n v="52"/>
    <n v="54"/>
    <n v="170"/>
    <n v="56.666666666666664"/>
  </r>
  <r>
    <s v="C801"/>
    <x v="0"/>
    <x v="1"/>
    <s v="high school"/>
    <s v="standard"/>
    <s v="completed"/>
    <n v="79"/>
    <n v="84"/>
    <n v="80"/>
    <n v="243"/>
    <n v="81"/>
  </r>
  <r>
    <s v="C802"/>
    <x v="1"/>
    <x v="4"/>
    <s v="some high school"/>
    <s v="standard"/>
    <s v="none"/>
    <n v="44"/>
    <n v="65"/>
    <n v="63"/>
    <n v="172"/>
    <n v="57.333333333333336"/>
  </r>
  <r>
    <s v="C803"/>
    <x v="1"/>
    <x v="3"/>
    <s v="some college"/>
    <s v="standard"/>
    <s v="completed"/>
    <n v="69"/>
    <n v="94"/>
    <n v="87"/>
    <n v="250"/>
    <n v="83.333333333333329"/>
  </r>
  <r>
    <s v="C804"/>
    <x v="0"/>
    <x v="0"/>
    <s v="some college"/>
    <s v="standard"/>
    <s v="none"/>
    <n v="53"/>
    <n v="48"/>
    <n v="48"/>
    <n v="149"/>
    <n v="49.666666666666664"/>
  </r>
  <r>
    <s v="C805"/>
    <x v="0"/>
    <x v="4"/>
    <s v="high school"/>
    <s v="standard"/>
    <s v="none"/>
    <n v="74"/>
    <n v="69"/>
    <n v="61"/>
    <n v="204"/>
    <n v="68"/>
  </r>
  <r>
    <s v="C806"/>
    <x v="0"/>
    <x v="4"/>
    <s v="associate's degree"/>
    <s v="standard"/>
    <s v="none"/>
    <n v="49"/>
    <n v="55"/>
    <n v="48"/>
    <n v="152"/>
    <n v="50.666666666666664"/>
  </r>
  <r>
    <s v="C807"/>
    <x v="1"/>
    <x v="1"/>
    <s v="associate's degree"/>
    <s v="free/reduced"/>
    <s v="none"/>
    <n v="57"/>
    <n v="71"/>
    <n v="71"/>
    <n v="199"/>
    <n v="66.333333333333329"/>
  </r>
  <r>
    <s v="C808"/>
    <x v="1"/>
    <x v="1"/>
    <s v="master's degree"/>
    <s v="standard"/>
    <s v="none"/>
    <n v="61"/>
    <n v="72"/>
    <n v="64"/>
    <n v="197"/>
    <n v="65.666666666666671"/>
  </r>
  <r>
    <s v="C809"/>
    <x v="1"/>
    <x v="4"/>
    <s v="master's degree"/>
    <s v="free/reduced"/>
    <s v="none"/>
    <n v="65"/>
    <n v="88"/>
    <n v="84"/>
    <n v="237"/>
    <n v="79"/>
  </r>
  <r>
    <s v="C810"/>
    <x v="1"/>
    <x v="4"/>
    <s v="some college"/>
    <s v="standard"/>
    <s v="none"/>
    <n v="51"/>
    <n v="60"/>
    <n v="52"/>
    <n v="163"/>
    <n v="54.333333333333336"/>
  </r>
  <r>
    <s v="C811"/>
    <x v="1"/>
    <x v="4"/>
    <s v="some high school"/>
    <s v="standard"/>
    <s v="none"/>
    <n v="49"/>
    <n v="51"/>
    <n v="41"/>
    <n v="141"/>
    <n v="47"/>
  </r>
  <r>
    <s v="C812"/>
    <x v="0"/>
    <x v="3"/>
    <s v="master's degree"/>
    <s v="free/reduced"/>
    <s v="none"/>
    <n v="56"/>
    <n v="65"/>
    <n v="56"/>
    <n v="177"/>
    <n v="59"/>
  </r>
  <r>
    <s v="C813"/>
    <x v="0"/>
    <x v="1"/>
    <s v="associate's degree"/>
    <s v="standard"/>
    <s v="none"/>
    <n v="65"/>
    <n v="62"/>
    <n v="63"/>
    <n v="190"/>
    <n v="63.333333333333336"/>
  </r>
  <r>
    <s v="C814"/>
    <x v="0"/>
    <x v="1"/>
    <s v="some college"/>
    <s v="standard"/>
    <s v="none"/>
    <n v="70"/>
    <n v="64"/>
    <n v="62"/>
    <n v="196"/>
    <n v="65.333333333333329"/>
  </r>
  <r>
    <s v="C815"/>
    <x v="0"/>
    <x v="1"/>
    <s v="some college"/>
    <s v="standard"/>
    <s v="none"/>
    <n v="91"/>
    <n v="95"/>
    <n v="88"/>
    <n v="274"/>
    <n v="91.333333333333329"/>
  </r>
  <r>
    <s v="C816"/>
    <x v="1"/>
    <x v="1"/>
    <s v="high school"/>
    <s v="standard"/>
    <s v="completed"/>
    <n v="48"/>
    <n v="56"/>
    <n v="64"/>
    <n v="168"/>
    <n v="56"/>
  </r>
  <r>
    <s v="C817"/>
    <x v="1"/>
    <x v="4"/>
    <s v="associate's degree"/>
    <s v="standard"/>
    <s v="completed"/>
    <n v="94"/>
    <n v="99"/>
    <n v="100"/>
    <n v="293"/>
    <n v="97.666666666666671"/>
  </r>
  <r>
    <s v="C818"/>
    <x v="0"/>
    <x v="3"/>
    <s v="master's degree"/>
    <s v="standard"/>
    <s v="none"/>
    <n v="77"/>
    <n v="76"/>
    <n v="73"/>
    <n v="226"/>
    <n v="75.333333333333329"/>
  </r>
  <r>
    <s v="C819"/>
    <x v="1"/>
    <x v="1"/>
    <s v="some high school"/>
    <s v="standard"/>
    <s v="none"/>
    <n v="59"/>
    <n v="78"/>
    <n v="75"/>
    <n v="212"/>
    <n v="70.666666666666671"/>
  </r>
  <r>
    <s v="C820"/>
    <x v="1"/>
    <x v="4"/>
    <s v="some college"/>
    <s v="free/reduced"/>
    <s v="none"/>
    <n v="57"/>
    <n v="75"/>
    <n v="70"/>
    <n v="202"/>
    <n v="67.333333333333329"/>
  </r>
  <r>
    <s v="C821"/>
    <x v="1"/>
    <x v="4"/>
    <s v="some high school"/>
    <s v="standard"/>
    <s v="none"/>
    <n v="76"/>
    <n v="82"/>
    <n v="74"/>
    <n v="232"/>
    <n v="77.333333333333329"/>
  </r>
  <r>
    <s v="C822"/>
    <x v="0"/>
    <x v="1"/>
    <s v="high school"/>
    <s v="standard"/>
    <s v="none"/>
    <n v="65"/>
    <n v="63"/>
    <n v="64"/>
    <n v="192"/>
    <n v="64"/>
  </r>
  <r>
    <s v="C823"/>
    <x v="1"/>
    <x v="3"/>
    <s v="master's degree"/>
    <s v="standard"/>
    <s v="completed"/>
    <n v="75"/>
    <n v="75"/>
    <n v="83"/>
    <n v="233"/>
    <n v="77.666666666666671"/>
  </r>
  <r>
    <s v="C824"/>
    <x v="0"/>
    <x v="1"/>
    <s v="master's degree"/>
    <s v="standard"/>
    <s v="none"/>
    <n v="70"/>
    <n v="66"/>
    <n v="65"/>
    <n v="201"/>
    <n v="67"/>
  </r>
  <r>
    <s v="C825"/>
    <x v="0"/>
    <x v="4"/>
    <s v="high school"/>
    <s v="standard"/>
    <s v="completed"/>
    <n v="79"/>
    <n v="79"/>
    <n v="70"/>
    <n v="228"/>
    <n v="76"/>
  </r>
  <r>
    <s v="C826"/>
    <x v="0"/>
    <x v="2"/>
    <s v="associate's degree"/>
    <s v="standard"/>
    <s v="completed"/>
    <n v="100"/>
    <n v="100"/>
    <n v="100"/>
    <n v="300"/>
    <n v="100"/>
  </r>
  <r>
    <s v="C827"/>
    <x v="1"/>
    <x v="0"/>
    <s v="bachelor's degree"/>
    <s v="standard"/>
    <s v="completed"/>
    <n v="83"/>
    <n v="96"/>
    <n v="99"/>
    <n v="278"/>
    <n v="92.666666666666671"/>
  </r>
  <r>
    <s v="C828"/>
    <x v="1"/>
    <x v="4"/>
    <s v="associate's degree"/>
    <s v="free/reduced"/>
    <s v="none"/>
    <n v="70"/>
    <n v="84"/>
    <n v="78"/>
    <n v="232"/>
    <n v="77.333333333333329"/>
  </r>
  <r>
    <s v="C829"/>
    <x v="0"/>
    <x v="2"/>
    <s v="some high school"/>
    <s v="standard"/>
    <s v="completed"/>
    <n v="97"/>
    <n v="80"/>
    <n v="88"/>
    <n v="265"/>
    <n v="88.333333333333329"/>
  </r>
  <r>
    <s v="C830"/>
    <x v="1"/>
    <x v="2"/>
    <s v="high school"/>
    <s v="free/reduced"/>
    <s v="none"/>
    <n v="33"/>
    <n v="32"/>
    <n v="35"/>
    <n v="100"/>
    <n v="33.333333333333336"/>
  </r>
  <r>
    <s v="C831"/>
    <x v="0"/>
    <x v="3"/>
    <s v="master's degree"/>
    <s v="free/reduced"/>
    <s v="none"/>
    <n v="38"/>
    <n v="40"/>
    <n v="41"/>
    <n v="119"/>
    <n v="39.666666666666664"/>
  </r>
  <r>
    <s v="C832"/>
    <x v="0"/>
    <x v="4"/>
    <s v="some college"/>
    <s v="standard"/>
    <s v="completed"/>
    <n v="46"/>
    <n v="51"/>
    <n v="47"/>
    <n v="144"/>
    <n v="48"/>
  </r>
  <r>
    <s v="C833"/>
    <x v="1"/>
    <x v="1"/>
    <s v="some college"/>
    <s v="free/reduced"/>
    <s v="none"/>
    <n v="13"/>
    <n v="36"/>
    <n v="37"/>
    <n v="86"/>
    <n v="28.666666666666668"/>
  </r>
  <r>
    <s v="C834"/>
    <x v="0"/>
    <x v="0"/>
    <s v="master's degree"/>
    <s v="standard"/>
    <s v="none"/>
    <n v="85"/>
    <n v="83"/>
    <n v="78"/>
    <n v="246"/>
    <n v="82"/>
  </r>
  <r>
    <s v="C835"/>
    <x v="1"/>
    <x v="3"/>
    <s v="some college"/>
    <s v="standard"/>
    <s v="none"/>
    <n v="79"/>
    <n v="79"/>
    <n v="80"/>
    <n v="238"/>
    <n v="79.333333333333329"/>
  </r>
  <r>
    <s v="C836"/>
    <x v="1"/>
    <x v="3"/>
    <s v="some high school"/>
    <s v="standard"/>
    <s v="none"/>
    <n v="76"/>
    <n v="81"/>
    <n v="79"/>
    <n v="236"/>
    <n v="78.666666666666671"/>
  </r>
  <r>
    <s v="C837"/>
    <x v="1"/>
    <x v="4"/>
    <s v="some high school"/>
    <s v="free/reduced"/>
    <s v="completed"/>
    <n v="53"/>
    <n v="70"/>
    <n v="65"/>
    <n v="188"/>
    <n v="62.666666666666664"/>
  </r>
  <r>
    <s v="C838"/>
    <x v="0"/>
    <x v="0"/>
    <s v="high school"/>
    <s v="standard"/>
    <s v="completed"/>
    <n v="68"/>
    <n v="70"/>
    <n v="63"/>
    <n v="201"/>
    <n v="67"/>
  </r>
  <r>
    <s v="C839"/>
    <x v="0"/>
    <x v="1"/>
    <s v="associate's degree"/>
    <s v="free/reduced"/>
    <s v="completed"/>
    <n v="67"/>
    <n v="70"/>
    <n v="70"/>
    <n v="207"/>
    <n v="69"/>
  </r>
  <r>
    <s v="C840"/>
    <x v="0"/>
    <x v="2"/>
    <s v="some college"/>
    <s v="standard"/>
    <s v="completed"/>
    <n v="100"/>
    <n v="84"/>
    <n v="88"/>
    <n v="272"/>
    <n v="90.666666666666671"/>
  </r>
  <r>
    <s v="C841"/>
    <x v="0"/>
    <x v="4"/>
    <s v="associate's degree"/>
    <s v="free/reduced"/>
    <s v="none"/>
    <n v="54"/>
    <n v="48"/>
    <n v="45"/>
    <n v="147"/>
    <n v="49"/>
  </r>
  <r>
    <s v="C842"/>
    <x v="1"/>
    <x v="2"/>
    <s v="associate's degree"/>
    <s v="free/reduced"/>
    <s v="none"/>
    <n v="72"/>
    <n v="73"/>
    <n v="70"/>
    <n v="215"/>
    <n v="71.666666666666671"/>
  </r>
  <r>
    <s v="C843"/>
    <x v="0"/>
    <x v="0"/>
    <s v="some college"/>
    <s v="standard"/>
    <s v="completed"/>
    <n v="91"/>
    <n v="97"/>
    <n v="95"/>
    <n v="283"/>
    <n v="94.333333333333329"/>
  </r>
  <r>
    <s v="C844"/>
    <x v="0"/>
    <x v="1"/>
    <s v="master's degree"/>
    <s v="standard"/>
    <s v="completed"/>
    <n v="87"/>
    <n v="81"/>
    <n v="86"/>
    <n v="254"/>
    <n v="84.666666666666671"/>
  </r>
  <r>
    <s v="C845"/>
    <x v="1"/>
    <x v="1"/>
    <s v="associate's degree"/>
    <s v="free/reduced"/>
    <s v="none"/>
    <n v="66"/>
    <n v="75"/>
    <n v="74"/>
    <n v="215"/>
    <n v="71.666666666666671"/>
  </r>
  <r>
    <s v="C846"/>
    <x v="0"/>
    <x v="4"/>
    <s v="some high school"/>
    <s v="standard"/>
    <s v="none"/>
    <n v="65"/>
    <n v="66"/>
    <n v="64"/>
    <n v="195"/>
    <n v="65"/>
  </r>
  <r>
    <s v="C847"/>
    <x v="1"/>
    <x v="2"/>
    <s v="associate's degree"/>
    <s v="free/reduced"/>
    <s v="completed"/>
    <n v="41"/>
    <n v="56"/>
    <n v="53"/>
    <n v="150"/>
    <n v="50"/>
  </r>
  <r>
    <s v="C848"/>
    <x v="1"/>
    <x v="4"/>
    <s v="associate's degree"/>
    <s v="standard"/>
    <s v="none"/>
    <n v="67"/>
    <n v="69"/>
    <n v="65"/>
    <n v="201"/>
    <n v="67"/>
  </r>
  <r>
    <s v="C849"/>
    <x v="0"/>
    <x v="2"/>
    <s v="high school"/>
    <s v="standard"/>
    <s v="none"/>
    <n v="94"/>
    <n v="89"/>
    <n v="86"/>
    <n v="269"/>
    <n v="89.666666666666671"/>
  </r>
  <r>
    <s v="C850"/>
    <x v="1"/>
    <x v="3"/>
    <s v="bachelor's degree"/>
    <s v="free/reduced"/>
    <s v="completed"/>
    <n v="57"/>
    <n v="70"/>
    <n v="68"/>
    <n v="195"/>
    <n v="65"/>
  </r>
  <r>
    <s v="C851"/>
    <x v="0"/>
    <x v="0"/>
    <s v="high school"/>
    <s v="standard"/>
    <s v="none"/>
    <n v="89"/>
    <n v="83"/>
    <n v="80"/>
    <n v="252"/>
    <n v="84"/>
  </r>
  <r>
    <s v="C852"/>
    <x v="0"/>
    <x v="0"/>
    <s v="associate's degree"/>
    <s v="standard"/>
    <s v="completed"/>
    <n v="77"/>
    <n v="73"/>
    <n v="80"/>
    <n v="230"/>
    <n v="76.666666666666671"/>
  </r>
  <r>
    <s v="C853"/>
    <x v="0"/>
    <x v="4"/>
    <s v="some high school"/>
    <s v="standard"/>
    <s v="none"/>
    <n v="57"/>
    <n v="60"/>
    <n v="50"/>
    <n v="167"/>
    <n v="55.666666666666664"/>
  </r>
  <r>
    <s v="C854"/>
    <x v="0"/>
    <x v="1"/>
    <s v="some college"/>
    <s v="standard"/>
    <s v="completed"/>
    <n v="72"/>
    <n v="72"/>
    <n v="72"/>
    <n v="216"/>
    <n v="72"/>
  </r>
  <r>
    <s v="C855"/>
    <x v="0"/>
    <x v="1"/>
    <s v="bachelor's degree"/>
    <s v="standard"/>
    <s v="completed"/>
    <n v="98"/>
    <n v="94"/>
    <n v="95"/>
    <n v="287"/>
    <n v="95.666666666666671"/>
  </r>
  <r>
    <s v="C856"/>
    <x v="1"/>
    <x v="1"/>
    <s v="master's degree"/>
    <s v="standard"/>
    <s v="none"/>
    <n v="87"/>
    <n v="97"/>
    <n v="100"/>
    <n v="284"/>
    <n v="94.666666666666671"/>
  </r>
  <r>
    <s v="C857"/>
    <x v="0"/>
    <x v="4"/>
    <s v="some high school"/>
    <s v="free/reduced"/>
    <s v="none"/>
    <n v="61"/>
    <n v="57"/>
    <n v="55"/>
    <n v="173"/>
    <n v="57.666666666666664"/>
  </r>
  <r>
    <s v="C858"/>
    <x v="1"/>
    <x v="4"/>
    <s v="master's degree"/>
    <s v="standard"/>
    <s v="none"/>
    <n v="85"/>
    <n v="100"/>
    <n v="97"/>
    <n v="282"/>
    <n v="94"/>
  </r>
  <r>
    <s v="C859"/>
    <x v="1"/>
    <x v="1"/>
    <s v="some high school"/>
    <s v="standard"/>
    <s v="none"/>
    <n v="81"/>
    <n v="85"/>
    <n v="91"/>
    <n v="257"/>
    <n v="85.666666666666671"/>
  </r>
  <r>
    <s v="C860"/>
    <x v="1"/>
    <x v="1"/>
    <s v="high school"/>
    <s v="standard"/>
    <s v="completed"/>
    <n v="74"/>
    <n v="84"/>
    <n v="79"/>
    <n v="237"/>
    <n v="79"/>
  </r>
  <r>
    <s v="C861"/>
    <x v="0"/>
    <x v="4"/>
    <s v="bachelor's degree"/>
    <s v="standard"/>
    <s v="none"/>
    <n v="98"/>
    <n v="92"/>
    <n v="90"/>
    <n v="280"/>
    <n v="93.333333333333329"/>
  </r>
  <r>
    <s v="C862"/>
    <x v="1"/>
    <x v="1"/>
    <s v="some college"/>
    <s v="standard"/>
    <s v="none"/>
    <n v="86"/>
    <n v="84"/>
    <n v="89"/>
    <n v="259"/>
    <n v="86.333333333333329"/>
  </r>
  <r>
    <s v="C863"/>
    <x v="0"/>
    <x v="4"/>
    <s v="bachelor's degree"/>
    <s v="standard"/>
    <s v="completed"/>
    <n v="85"/>
    <n v="81"/>
    <n v="82"/>
    <n v="248"/>
    <n v="82.666666666666671"/>
  </r>
  <r>
    <s v="C864"/>
    <x v="0"/>
    <x v="4"/>
    <s v="some college"/>
    <s v="standard"/>
    <s v="none"/>
    <n v="68"/>
    <n v="71"/>
    <n v="63"/>
    <n v="202"/>
    <n v="67.333333333333329"/>
  </r>
  <r>
    <s v="C865"/>
    <x v="1"/>
    <x v="2"/>
    <s v="high school"/>
    <s v="free/reduced"/>
    <s v="completed"/>
    <n v="66"/>
    <n v="78"/>
    <n v="77"/>
    <n v="221"/>
    <n v="73.666666666666671"/>
  </r>
  <r>
    <s v="C866"/>
    <x v="0"/>
    <x v="3"/>
    <s v="some high school"/>
    <s v="free/reduced"/>
    <s v="completed"/>
    <n v="75"/>
    <n v="74"/>
    <n v="71"/>
    <n v="220"/>
    <n v="73.333333333333329"/>
  </r>
  <r>
    <s v="C867"/>
    <x v="0"/>
    <x v="4"/>
    <s v="bachelor's degree"/>
    <s v="standard"/>
    <s v="none"/>
    <n v="79"/>
    <n v="57"/>
    <n v="58"/>
    <n v="194"/>
    <n v="64.666666666666671"/>
  </r>
  <r>
    <s v="C868"/>
    <x v="1"/>
    <x v="3"/>
    <s v="bachelor's degree"/>
    <s v="free/reduced"/>
    <s v="none"/>
    <n v="59"/>
    <n v="85"/>
    <n v="82"/>
    <n v="226"/>
    <n v="75.333333333333329"/>
  </r>
  <r>
    <s v="C869"/>
    <x v="0"/>
    <x v="3"/>
    <s v="master's degree"/>
    <s v="free/reduced"/>
    <s v="none"/>
    <n v="60"/>
    <n v="62"/>
    <n v="58"/>
    <n v="180"/>
    <n v="60"/>
  </r>
  <r>
    <s v="C870"/>
    <x v="0"/>
    <x v="1"/>
    <s v="high school"/>
    <s v="standard"/>
    <s v="none"/>
    <n v="69"/>
    <n v="60"/>
    <n v="54"/>
    <n v="183"/>
    <n v="61"/>
  </r>
  <r>
    <s v="C871"/>
    <x v="1"/>
    <x v="3"/>
    <s v="high school"/>
    <s v="free/reduced"/>
    <s v="none"/>
    <n v="49"/>
    <n v="54"/>
    <n v="58"/>
    <n v="161"/>
    <n v="53.666666666666664"/>
  </r>
  <r>
    <s v="C872"/>
    <x v="0"/>
    <x v="1"/>
    <s v="some college"/>
    <s v="standard"/>
    <s v="none"/>
    <n v="62"/>
    <n v="44"/>
    <n v="52"/>
    <n v="158"/>
    <n v="52.666666666666664"/>
  </r>
  <r>
    <s v="C873"/>
    <x v="1"/>
    <x v="2"/>
    <s v="high school"/>
    <s v="free/reduced"/>
    <s v="completed"/>
    <n v="70"/>
    <n v="84"/>
    <n v="83"/>
    <n v="237"/>
    <n v="79"/>
  </r>
  <r>
    <s v="C874"/>
    <x v="0"/>
    <x v="1"/>
    <s v="bachelor's degree"/>
    <s v="standard"/>
    <s v="none"/>
    <n v="71"/>
    <n v="57"/>
    <n v="60"/>
    <n v="188"/>
    <n v="62.666666666666664"/>
  </r>
  <r>
    <s v="C875"/>
    <x v="0"/>
    <x v="4"/>
    <s v="bachelor's degree"/>
    <s v="standard"/>
    <s v="none"/>
    <n v="71"/>
    <n v="69"/>
    <n v="65"/>
    <n v="205"/>
    <n v="68.333333333333329"/>
  </r>
  <r>
    <s v="C876"/>
    <x v="1"/>
    <x v="4"/>
    <s v="some high school"/>
    <s v="free/reduced"/>
    <s v="none"/>
    <n v="50"/>
    <n v="59"/>
    <n v="54"/>
    <n v="163"/>
    <n v="54.333333333333336"/>
  </r>
  <r>
    <s v="C877"/>
    <x v="1"/>
    <x v="3"/>
    <s v="high school"/>
    <s v="standard"/>
    <s v="none"/>
    <n v="52"/>
    <n v="55"/>
    <n v="57"/>
    <n v="164"/>
    <n v="54.666666666666664"/>
  </r>
  <r>
    <s v="C878"/>
    <x v="0"/>
    <x v="2"/>
    <s v="some college"/>
    <s v="free/reduced"/>
    <s v="completed"/>
    <n v="75"/>
    <n v="65"/>
    <n v="66"/>
    <n v="206"/>
    <n v="68.666666666666671"/>
  </r>
  <r>
    <s v="C879"/>
    <x v="1"/>
    <x v="4"/>
    <s v="bachelor's degree"/>
    <s v="standard"/>
    <s v="none"/>
    <n v="51"/>
    <n v="64"/>
    <n v="63"/>
    <n v="178"/>
    <n v="59.333333333333336"/>
  </r>
  <r>
    <s v="C880"/>
    <x v="0"/>
    <x v="4"/>
    <s v="some high school"/>
    <s v="standard"/>
    <s v="none"/>
    <n v="64"/>
    <n v="48"/>
    <n v="50"/>
    <n v="162"/>
    <n v="54"/>
  </r>
  <r>
    <s v="C881"/>
    <x v="1"/>
    <x v="0"/>
    <s v="some college"/>
    <s v="free/reduced"/>
    <s v="completed"/>
    <n v="65"/>
    <n v="76"/>
    <n v="72"/>
    <n v="213"/>
    <n v="71"/>
  </r>
  <r>
    <s v="C882"/>
    <x v="0"/>
    <x v="3"/>
    <s v="master's degree"/>
    <s v="standard"/>
    <s v="none"/>
    <n v="99"/>
    <n v="81"/>
    <n v="87"/>
    <n v="267"/>
    <n v="89"/>
  </r>
  <r>
    <s v="C883"/>
    <x v="1"/>
    <x v="3"/>
    <s v="associate's degree"/>
    <s v="standard"/>
    <s v="none"/>
    <n v="60"/>
    <n v="62"/>
    <n v="58"/>
    <n v="180"/>
    <n v="60"/>
  </r>
  <r>
    <s v="C884"/>
    <x v="1"/>
    <x v="3"/>
    <s v="some college"/>
    <s v="standard"/>
    <s v="none"/>
    <n v="70"/>
    <n v="78"/>
    <n v="80"/>
    <n v="228"/>
    <n v="76"/>
  </r>
  <r>
    <s v="C885"/>
    <x v="0"/>
    <x v="0"/>
    <s v="some college"/>
    <s v="standard"/>
    <s v="completed"/>
    <n v="77"/>
    <n v="76"/>
    <n v="77"/>
    <n v="230"/>
    <n v="76.666666666666671"/>
  </r>
  <r>
    <s v="C886"/>
    <x v="0"/>
    <x v="3"/>
    <s v="high school"/>
    <s v="free/reduced"/>
    <s v="none"/>
    <n v="37"/>
    <n v="28"/>
    <n v="23"/>
    <n v="88"/>
    <n v="29.333333333333332"/>
  </r>
  <r>
    <s v="C887"/>
    <x v="0"/>
    <x v="2"/>
    <s v="associate's degree"/>
    <s v="free/reduced"/>
    <s v="none"/>
    <n v="73"/>
    <n v="73"/>
    <n v="61"/>
    <n v="207"/>
    <n v="69"/>
  </r>
  <r>
    <s v="C888"/>
    <x v="1"/>
    <x v="3"/>
    <s v="associate's degree"/>
    <s v="free/reduced"/>
    <s v="completed"/>
    <n v="53"/>
    <n v="74"/>
    <n v="75"/>
    <n v="202"/>
    <n v="67.333333333333329"/>
  </r>
  <r>
    <s v="C889"/>
    <x v="1"/>
    <x v="3"/>
    <s v="associate's degree"/>
    <s v="standard"/>
    <s v="none"/>
    <n v="67"/>
    <n v="58"/>
    <n v="62"/>
    <n v="187"/>
    <n v="62.333333333333336"/>
  </r>
  <r>
    <s v="C890"/>
    <x v="1"/>
    <x v="3"/>
    <s v="some college"/>
    <s v="free/reduced"/>
    <s v="none"/>
    <n v="67"/>
    <n v="79"/>
    <n v="80"/>
    <n v="226"/>
    <n v="75.333333333333329"/>
  </r>
  <r>
    <s v="C891"/>
    <x v="0"/>
    <x v="3"/>
    <s v="high school"/>
    <s v="free/reduced"/>
    <s v="none"/>
    <n v="51"/>
    <n v="57"/>
    <n v="50"/>
    <n v="158"/>
    <n v="52.666666666666664"/>
  </r>
  <r>
    <s v="C892"/>
    <x v="0"/>
    <x v="1"/>
    <s v="high school"/>
    <s v="standard"/>
    <s v="completed"/>
    <n v="64"/>
    <n v="71"/>
    <n v="70"/>
    <n v="205"/>
    <n v="68.333333333333329"/>
  </r>
  <r>
    <s v="C893"/>
    <x v="0"/>
    <x v="2"/>
    <s v="some college"/>
    <s v="free/reduced"/>
    <s v="none"/>
    <n v="55"/>
    <n v="42"/>
    <n v="43"/>
    <n v="140"/>
    <n v="46.666666666666664"/>
  </r>
  <r>
    <s v="C894"/>
    <x v="0"/>
    <x v="1"/>
    <s v="associate's degree"/>
    <s v="free/reduced"/>
    <s v="completed"/>
    <n v="55"/>
    <n v="39"/>
    <n v="51"/>
    <n v="145"/>
    <n v="48.333333333333336"/>
  </r>
  <r>
    <s v="C895"/>
    <x v="0"/>
    <x v="2"/>
    <s v="associate's degree"/>
    <s v="standard"/>
    <s v="none"/>
    <n v="86"/>
    <n v="77"/>
    <n v="78"/>
    <n v="241"/>
    <n v="80.333333333333329"/>
  </r>
  <r>
    <s v="C896"/>
    <x v="1"/>
    <x v="3"/>
    <s v="master's degree"/>
    <s v="standard"/>
    <s v="none"/>
    <n v="71"/>
    <n v="88"/>
    <n v="85"/>
    <n v="244"/>
    <n v="81.333333333333329"/>
  </r>
  <r>
    <s v="C897"/>
    <x v="0"/>
    <x v="4"/>
    <s v="high school"/>
    <s v="free/reduced"/>
    <s v="none"/>
    <n v="71"/>
    <n v="63"/>
    <n v="64"/>
    <n v="198"/>
    <n v="66"/>
  </r>
  <r>
    <s v="C898"/>
    <x v="1"/>
    <x v="4"/>
    <s v="some high school"/>
    <s v="free/reduced"/>
    <s v="none"/>
    <n v="51"/>
    <n v="67"/>
    <n v="69"/>
    <n v="187"/>
    <n v="62.333333333333336"/>
  </r>
  <r>
    <s v="C899"/>
    <x v="1"/>
    <x v="2"/>
    <s v="some college"/>
    <s v="standard"/>
    <s v="completed"/>
    <n v="75"/>
    <n v="76"/>
    <n v="85"/>
    <n v="236"/>
    <n v="78.666666666666671"/>
  </r>
  <r>
    <s v="C900"/>
    <x v="0"/>
    <x v="4"/>
    <s v="some high school"/>
    <s v="free/reduced"/>
    <s v="none"/>
    <n v="45"/>
    <n v="31"/>
    <n v="27"/>
    <n v="103"/>
    <n v="34.333333333333336"/>
  </r>
  <r>
    <s v="C901"/>
    <x v="0"/>
    <x v="3"/>
    <s v="some high school"/>
    <s v="standard"/>
    <s v="none"/>
    <n v="59"/>
    <n v="54"/>
    <n v="48"/>
    <n v="161"/>
    <n v="53.666666666666664"/>
  </r>
  <r>
    <s v="C902"/>
    <x v="1"/>
    <x v="2"/>
    <s v="high school"/>
    <s v="free/reduced"/>
    <s v="none"/>
    <n v="64"/>
    <n v="69"/>
    <n v="68"/>
    <n v="201"/>
    <n v="67"/>
  </r>
  <r>
    <s v="C903"/>
    <x v="0"/>
    <x v="0"/>
    <s v="some college"/>
    <s v="standard"/>
    <s v="completed"/>
    <n v="78"/>
    <n v="69"/>
    <n v="73"/>
    <n v="220"/>
    <n v="73.333333333333329"/>
  </r>
  <r>
    <s v="C904"/>
    <x v="0"/>
    <x v="1"/>
    <s v="high school"/>
    <s v="free/reduced"/>
    <s v="none"/>
    <n v="59"/>
    <n v="61"/>
    <n v="58"/>
    <n v="178"/>
    <n v="59.333333333333336"/>
  </r>
  <r>
    <s v="C905"/>
    <x v="0"/>
    <x v="2"/>
    <s v="bachelor's degree"/>
    <s v="free/reduced"/>
    <s v="none"/>
    <n v="80"/>
    <n v="70"/>
    <n v="71"/>
    <n v="221"/>
    <n v="73.666666666666671"/>
  </r>
  <r>
    <s v="C906"/>
    <x v="0"/>
    <x v="3"/>
    <s v="associate's degree"/>
    <s v="standard"/>
    <s v="completed"/>
    <n v="68"/>
    <n v="82"/>
    <n v="77"/>
    <n v="227"/>
    <n v="75.666666666666671"/>
  </r>
  <r>
    <s v="C907"/>
    <x v="1"/>
    <x v="3"/>
    <s v="associate's degree"/>
    <s v="standard"/>
    <s v="none"/>
    <n v="77"/>
    <n v="81"/>
    <n v="79"/>
    <n v="237"/>
    <n v="79"/>
  </r>
  <r>
    <s v="C908"/>
    <x v="0"/>
    <x v="4"/>
    <s v="high school"/>
    <s v="standard"/>
    <s v="none"/>
    <n v="66"/>
    <n v="67"/>
    <n v="64"/>
    <n v="197"/>
    <n v="65.666666666666671"/>
  </r>
  <r>
    <s v="C909"/>
    <x v="1"/>
    <x v="4"/>
    <s v="some college"/>
    <s v="free/reduced"/>
    <s v="completed"/>
    <n v="26"/>
    <n v="44"/>
    <n v="46"/>
    <n v="116"/>
    <n v="38.666666666666664"/>
  </r>
  <r>
    <s v="C910"/>
    <x v="0"/>
    <x v="1"/>
    <s v="some college"/>
    <s v="standard"/>
    <s v="completed"/>
    <n v="80"/>
    <n v="66"/>
    <n v="69"/>
    <n v="215"/>
    <n v="71.666666666666671"/>
  </r>
  <r>
    <s v="C911"/>
    <x v="1"/>
    <x v="1"/>
    <s v="some high school"/>
    <s v="free/reduced"/>
    <s v="none"/>
    <n v="48"/>
    <n v="62"/>
    <n v="61"/>
    <n v="171"/>
    <n v="57"/>
  </r>
  <r>
    <s v="C912"/>
    <x v="1"/>
    <x v="0"/>
    <s v="associate's degree"/>
    <s v="standard"/>
    <s v="none"/>
    <n v="52"/>
    <n v="64"/>
    <n v="55"/>
    <n v="171"/>
    <n v="57"/>
  </r>
  <r>
    <s v="C913"/>
    <x v="1"/>
    <x v="1"/>
    <s v="master's degree"/>
    <s v="free/reduced"/>
    <s v="none"/>
    <n v="54"/>
    <n v="64"/>
    <n v="64"/>
    <n v="182"/>
    <n v="60.666666666666664"/>
  </r>
  <r>
    <s v="C914"/>
    <x v="1"/>
    <x v="4"/>
    <s v="some college"/>
    <s v="standard"/>
    <s v="completed"/>
    <n v="59"/>
    <n v="68"/>
    <n v="67"/>
    <n v="194"/>
    <n v="64.666666666666671"/>
  </r>
  <r>
    <s v="C915"/>
    <x v="0"/>
    <x v="1"/>
    <s v="high school"/>
    <s v="standard"/>
    <s v="none"/>
    <n v="77"/>
    <n v="62"/>
    <n v="65"/>
    <n v="204"/>
    <n v="68"/>
  </r>
  <r>
    <s v="C916"/>
    <x v="1"/>
    <x v="3"/>
    <s v="some college"/>
    <s v="free/reduced"/>
    <s v="none"/>
    <n v="64"/>
    <n v="70"/>
    <n v="69"/>
    <n v="203"/>
    <n v="67.666666666666671"/>
  </r>
  <r>
    <s v="C917"/>
    <x v="0"/>
    <x v="1"/>
    <s v="high school"/>
    <s v="standard"/>
    <s v="none"/>
    <n v="83"/>
    <n v="72"/>
    <n v="68"/>
    <n v="223"/>
    <n v="74.333333333333329"/>
  </r>
  <r>
    <s v="C918"/>
    <x v="0"/>
    <x v="2"/>
    <s v="high school"/>
    <s v="free/reduced"/>
    <s v="none"/>
    <n v="70"/>
    <n v="73"/>
    <n v="69"/>
    <n v="212"/>
    <n v="70.666666666666671"/>
  </r>
  <r>
    <s v="C919"/>
    <x v="0"/>
    <x v="4"/>
    <s v="some high school"/>
    <s v="standard"/>
    <s v="none"/>
    <n v="72"/>
    <n v="68"/>
    <n v="67"/>
    <n v="207"/>
    <n v="69"/>
  </r>
  <r>
    <s v="C920"/>
    <x v="1"/>
    <x v="3"/>
    <s v="associate's degree"/>
    <s v="standard"/>
    <s v="none"/>
    <n v="83"/>
    <n v="78"/>
    <n v="79"/>
    <n v="240"/>
    <n v="80"/>
  </r>
  <r>
    <s v="C921"/>
    <x v="1"/>
    <x v="3"/>
    <s v="associate's degree"/>
    <s v="standard"/>
    <s v="none"/>
    <n v="52"/>
    <n v="58"/>
    <n v="57"/>
    <n v="167"/>
    <n v="55.666666666666664"/>
  </r>
  <r>
    <s v="C922"/>
    <x v="1"/>
    <x v="4"/>
    <s v="some college"/>
    <s v="free/reduced"/>
    <s v="completed"/>
    <n v="53"/>
    <n v="73"/>
    <n v="74"/>
    <n v="200"/>
    <n v="66.666666666666671"/>
  </r>
  <r>
    <s v="C923"/>
    <x v="0"/>
    <x v="1"/>
    <s v="some college"/>
    <s v="standard"/>
    <s v="none"/>
    <n v="55"/>
    <n v="55"/>
    <n v="55"/>
    <n v="165"/>
    <n v="55"/>
  </r>
  <r>
    <s v="C924"/>
    <x v="0"/>
    <x v="4"/>
    <s v="associate's degree"/>
    <s v="standard"/>
    <s v="none"/>
    <n v="65"/>
    <n v="63"/>
    <n v="61"/>
    <n v="189"/>
    <n v="63"/>
  </r>
  <r>
    <s v="C925"/>
    <x v="1"/>
    <x v="2"/>
    <s v="some high school"/>
    <s v="standard"/>
    <s v="none"/>
    <n v="60"/>
    <n v="67"/>
    <n v="64"/>
    <n v="191"/>
    <n v="63.666666666666664"/>
  </r>
  <r>
    <s v="C926"/>
    <x v="0"/>
    <x v="2"/>
    <s v="high school"/>
    <s v="free/reduced"/>
    <s v="completed"/>
    <n v="64"/>
    <n v="62"/>
    <n v="59"/>
    <n v="185"/>
    <n v="61.666666666666664"/>
  </r>
  <r>
    <s v="C927"/>
    <x v="0"/>
    <x v="4"/>
    <s v="associate's degree"/>
    <s v="standard"/>
    <s v="none"/>
    <n v="71"/>
    <n v="72"/>
    <n v="69"/>
    <n v="212"/>
    <n v="70.666666666666671"/>
  </r>
  <r>
    <s v="C928"/>
    <x v="0"/>
    <x v="4"/>
    <s v="bachelor's degree"/>
    <s v="free/reduced"/>
    <s v="completed"/>
    <n v="61"/>
    <n v="71"/>
    <n v="65"/>
    <n v="197"/>
    <n v="65.666666666666671"/>
  </r>
  <r>
    <s v="C929"/>
    <x v="0"/>
    <x v="1"/>
    <s v="associate's degree"/>
    <s v="standard"/>
    <s v="none"/>
    <n v="61"/>
    <n v="55"/>
    <n v="58"/>
    <n v="174"/>
    <n v="58"/>
  </r>
  <r>
    <s v="C930"/>
    <x v="1"/>
    <x v="4"/>
    <s v="master's degree"/>
    <s v="standard"/>
    <s v="none"/>
    <n v="65"/>
    <n v="74"/>
    <n v="79"/>
    <n v="218"/>
    <n v="72.666666666666671"/>
  </r>
  <r>
    <s v="C931"/>
    <x v="1"/>
    <x v="1"/>
    <s v="some high school"/>
    <s v="standard"/>
    <s v="completed"/>
    <n v="71"/>
    <n v="83"/>
    <n v="89"/>
    <n v="243"/>
    <n v="81"/>
  </r>
  <r>
    <s v="C932"/>
    <x v="0"/>
    <x v="2"/>
    <s v="associate's degree"/>
    <s v="free/reduced"/>
    <s v="none"/>
    <n v="48"/>
    <n v="49"/>
    <n v="44"/>
    <n v="141"/>
    <n v="47"/>
  </r>
  <r>
    <s v="C933"/>
    <x v="0"/>
    <x v="2"/>
    <s v="high school"/>
    <s v="free/reduced"/>
    <s v="completed"/>
    <n v="75"/>
    <n v="80"/>
    <n v="75"/>
    <n v="230"/>
    <n v="76.666666666666671"/>
  </r>
  <r>
    <s v="C934"/>
    <x v="0"/>
    <x v="1"/>
    <s v="associate's degree"/>
    <s v="free/reduced"/>
    <s v="none"/>
    <n v="54"/>
    <n v="66"/>
    <n v="65"/>
    <n v="185"/>
    <n v="61.666666666666664"/>
  </r>
  <r>
    <s v="C935"/>
    <x v="1"/>
    <x v="4"/>
    <s v="master's degree"/>
    <s v="standard"/>
    <s v="none"/>
    <n v="70"/>
    <n v="64"/>
    <n v="65"/>
    <n v="199"/>
    <n v="66.333333333333329"/>
  </r>
  <r>
    <s v="C936"/>
    <x v="0"/>
    <x v="1"/>
    <s v="some high school"/>
    <s v="standard"/>
    <s v="none"/>
    <n v="91"/>
    <n v="77"/>
    <n v="72"/>
    <n v="240"/>
    <n v="80"/>
  </r>
  <r>
    <s v="C937"/>
    <x v="1"/>
    <x v="1"/>
    <s v="some high school"/>
    <s v="standard"/>
    <s v="completed"/>
    <n v="33"/>
    <n v="44"/>
    <n v="50"/>
    <n v="127"/>
    <n v="42.333333333333336"/>
  </r>
  <r>
    <s v="C938"/>
    <x v="1"/>
    <x v="3"/>
    <s v="high school"/>
    <s v="standard"/>
    <s v="none"/>
    <n v="45"/>
    <n v="50"/>
    <n v="41"/>
    <n v="136"/>
    <n v="45.333333333333336"/>
  </r>
  <r>
    <s v="C939"/>
    <x v="0"/>
    <x v="0"/>
    <s v="high school"/>
    <s v="free/reduced"/>
    <s v="none"/>
    <n v="45"/>
    <n v="33"/>
    <n v="32"/>
    <n v="110"/>
    <n v="36.666666666666664"/>
  </r>
  <r>
    <s v="C940"/>
    <x v="0"/>
    <x v="1"/>
    <s v="bachelor's degree"/>
    <s v="free/reduced"/>
    <s v="none"/>
    <n v="62"/>
    <n v="61"/>
    <n v="57"/>
    <n v="180"/>
    <n v="60"/>
  </r>
  <r>
    <s v="C941"/>
    <x v="0"/>
    <x v="2"/>
    <s v="associate's degree"/>
    <s v="free/reduced"/>
    <s v="completed"/>
    <n v="92"/>
    <n v="79"/>
    <n v="77"/>
    <n v="248"/>
    <n v="82.666666666666671"/>
  </r>
  <r>
    <s v="C942"/>
    <x v="1"/>
    <x v="1"/>
    <s v="some college"/>
    <s v="standard"/>
    <s v="none"/>
    <n v="74"/>
    <n v="75"/>
    <n v="79"/>
    <n v="228"/>
    <n v="76"/>
  </r>
  <r>
    <s v="C943"/>
    <x v="1"/>
    <x v="4"/>
    <s v="high school"/>
    <s v="standard"/>
    <s v="completed"/>
    <n v="81"/>
    <n v="79"/>
    <n v="83"/>
    <n v="243"/>
    <n v="81"/>
  </r>
  <r>
    <s v="C944"/>
    <x v="0"/>
    <x v="4"/>
    <s v="associate's degree"/>
    <s v="free/reduced"/>
    <s v="none"/>
    <n v="76"/>
    <n v="71"/>
    <n v="66"/>
    <n v="213"/>
    <n v="71"/>
  </r>
  <r>
    <s v="C945"/>
    <x v="1"/>
    <x v="4"/>
    <s v="associate's degree"/>
    <s v="standard"/>
    <s v="completed"/>
    <n v="57"/>
    <n v="72"/>
    <n v="73"/>
    <n v="202"/>
    <n v="67.333333333333329"/>
  </r>
  <r>
    <s v="C946"/>
    <x v="0"/>
    <x v="0"/>
    <s v="some college"/>
    <s v="free/reduced"/>
    <s v="none"/>
    <n v="63"/>
    <n v="61"/>
    <n v="55"/>
    <n v="179"/>
    <n v="59.666666666666664"/>
  </r>
  <r>
    <s v="C947"/>
    <x v="1"/>
    <x v="1"/>
    <s v="high school"/>
    <s v="standard"/>
    <s v="completed"/>
    <n v="57"/>
    <n v="62"/>
    <n v="73"/>
    <n v="192"/>
    <n v="64"/>
  </r>
  <r>
    <s v="C948"/>
    <x v="1"/>
    <x v="3"/>
    <s v="some college"/>
    <s v="standard"/>
    <s v="completed"/>
    <n v="46"/>
    <n v="65"/>
    <n v="64"/>
    <n v="175"/>
    <n v="58.333333333333336"/>
  </r>
  <r>
    <s v="C949"/>
    <x v="0"/>
    <x v="2"/>
    <s v="some high school"/>
    <s v="free/reduced"/>
    <s v="completed"/>
    <n v="49"/>
    <n v="50"/>
    <n v="45"/>
    <n v="144"/>
    <n v="48"/>
  </r>
  <r>
    <s v="C950"/>
    <x v="1"/>
    <x v="1"/>
    <s v="some high school"/>
    <s v="standard"/>
    <s v="none"/>
    <n v="54"/>
    <n v="60"/>
    <n v="65"/>
    <n v="179"/>
    <n v="59.666666666666664"/>
  </r>
  <r>
    <s v="C951"/>
    <x v="0"/>
    <x v="4"/>
    <s v="some high school"/>
    <s v="standard"/>
    <s v="completed"/>
    <n v="89"/>
    <n v="87"/>
    <n v="90"/>
    <n v="266"/>
    <n v="88.666666666666671"/>
  </r>
  <r>
    <s v="C952"/>
    <x v="0"/>
    <x v="1"/>
    <s v="bachelor's degree"/>
    <s v="standard"/>
    <s v="completed"/>
    <n v="77"/>
    <n v="70"/>
    <n v="78"/>
    <n v="225"/>
    <n v="75"/>
  </r>
  <r>
    <s v="C953"/>
    <x v="1"/>
    <x v="4"/>
    <s v="bachelor's degree"/>
    <s v="standard"/>
    <s v="none"/>
    <n v="46"/>
    <n v="63"/>
    <n v="60"/>
    <n v="169"/>
    <n v="56.333333333333336"/>
  </r>
  <r>
    <s v="C954"/>
    <x v="0"/>
    <x v="3"/>
    <s v="associate's degree"/>
    <s v="standard"/>
    <s v="completed"/>
    <n v="66"/>
    <n v="59"/>
    <n v="70"/>
    <n v="195"/>
    <n v="65"/>
  </r>
  <r>
    <s v="C955"/>
    <x v="1"/>
    <x v="4"/>
    <s v="high school"/>
    <s v="standard"/>
    <s v="none"/>
    <n v="48"/>
    <n v="63"/>
    <n v="53"/>
    <n v="164"/>
    <n v="54.666666666666664"/>
  </r>
  <r>
    <s v="C956"/>
    <x v="0"/>
    <x v="1"/>
    <s v="associate's degree"/>
    <s v="standard"/>
    <s v="completed"/>
    <n v="83"/>
    <n v="76"/>
    <n v="81"/>
    <n v="240"/>
    <n v="80"/>
  </r>
  <r>
    <s v="C957"/>
    <x v="0"/>
    <x v="4"/>
    <s v="high school"/>
    <s v="standard"/>
    <s v="completed"/>
    <n v="69"/>
    <n v="75"/>
    <n v="74"/>
    <n v="218"/>
    <n v="72.666666666666671"/>
  </r>
  <r>
    <s v="C958"/>
    <x v="0"/>
    <x v="2"/>
    <s v="bachelor's degree"/>
    <s v="free/reduced"/>
    <s v="none"/>
    <n v="73"/>
    <n v="52"/>
    <n v="54"/>
    <n v="179"/>
    <n v="59.666666666666664"/>
  </r>
  <r>
    <s v="C959"/>
    <x v="1"/>
    <x v="1"/>
    <s v="some college"/>
    <s v="standard"/>
    <s v="none"/>
    <n v="43"/>
    <n v="59"/>
    <n v="59"/>
    <n v="161"/>
    <n v="53.666666666666664"/>
  </r>
  <r>
    <s v="C960"/>
    <x v="0"/>
    <x v="1"/>
    <s v="master's degree"/>
    <s v="standard"/>
    <s v="completed"/>
    <n v="91"/>
    <n v="84"/>
    <n v="83"/>
    <n v="258"/>
    <n v="86"/>
  </r>
  <r>
    <s v="C961"/>
    <x v="0"/>
    <x v="4"/>
    <s v="associate's degree"/>
    <s v="standard"/>
    <s v="completed"/>
    <n v="49"/>
    <n v="58"/>
    <n v="55"/>
    <n v="162"/>
    <n v="54"/>
  </r>
  <r>
    <s v="C962"/>
    <x v="0"/>
    <x v="3"/>
    <s v="master's degree"/>
    <s v="standard"/>
    <s v="none"/>
    <n v="87"/>
    <n v="86"/>
    <n v="84"/>
    <n v="257"/>
    <n v="85.666666666666671"/>
  </r>
  <r>
    <s v="C963"/>
    <x v="0"/>
    <x v="3"/>
    <s v="some high school"/>
    <s v="standard"/>
    <s v="completed"/>
    <n v="46"/>
    <n v="46"/>
    <n v="44"/>
    <n v="136"/>
    <n v="45.333333333333336"/>
  </r>
  <r>
    <s v="C964"/>
    <x v="1"/>
    <x v="1"/>
    <s v="some high school"/>
    <s v="standard"/>
    <s v="completed"/>
    <n v="63"/>
    <n v="61"/>
    <n v="71"/>
    <n v="195"/>
    <n v="65"/>
  </r>
  <r>
    <s v="C965"/>
    <x v="0"/>
    <x v="2"/>
    <s v="bachelor's degree"/>
    <s v="standard"/>
    <s v="none"/>
    <n v="100"/>
    <n v="83"/>
    <n v="86"/>
    <n v="269"/>
    <n v="89.666666666666671"/>
  </r>
  <r>
    <s v="C966"/>
    <x v="1"/>
    <x v="2"/>
    <s v="bachelor's degree"/>
    <s v="standard"/>
    <s v="none"/>
    <n v="86"/>
    <n v="87"/>
    <n v="89"/>
    <n v="262"/>
    <n v="87.333333333333329"/>
  </r>
  <r>
    <s v="C967"/>
    <x v="1"/>
    <x v="0"/>
    <s v="some high school"/>
    <s v="free/reduced"/>
    <s v="completed"/>
    <n v="55"/>
    <n v="73"/>
    <n v="70"/>
    <n v="198"/>
    <n v="66"/>
  </r>
  <r>
    <s v="C968"/>
    <x v="1"/>
    <x v="2"/>
    <s v="master's degree"/>
    <s v="free/reduced"/>
    <s v="none"/>
    <n v="84"/>
    <n v="100"/>
    <n v="99"/>
    <n v="283"/>
    <n v="94.333333333333329"/>
  </r>
  <r>
    <s v="C969"/>
    <x v="1"/>
    <x v="3"/>
    <s v="some high school"/>
    <s v="free/reduced"/>
    <s v="none"/>
    <n v="39"/>
    <n v="51"/>
    <n v="48"/>
    <n v="138"/>
    <n v="46"/>
  </r>
  <r>
    <s v="C970"/>
    <x v="0"/>
    <x v="3"/>
    <s v="high school"/>
    <s v="standard"/>
    <s v="none"/>
    <n v="67"/>
    <n v="57"/>
    <n v="52"/>
    <n v="176"/>
    <n v="58.666666666666664"/>
  </r>
  <r>
    <s v="C971"/>
    <x v="1"/>
    <x v="1"/>
    <s v="some high school"/>
    <s v="standard"/>
    <s v="completed"/>
    <n v="85"/>
    <n v="100"/>
    <n v="97"/>
    <n v="282"/>
    <n v="94"/>
  </r>
  <r>
    <s v="C972"/>
    <x v="0"/>
    <x v="4"/>
    <s v="some high school"/>
    <s v="standard"/>
    <s v="none"/>
    <n v="64"/>
    <n v="51"/>
    <n v="44"/>
    <n v="159"/>
    <n v="53"/>
  </r>
  <r>
    <s v="C973"/>
    <x v="1"/>
    <x v="2"/>
    <s v="associate's degree"/>
    <s v="standard"/>
    <s v="none"/>
    <n v="81"/>
    <n v="77"/>
    <n v="74"/>
    <n v="232"/>
    <n v="77.333333333333329"/>
  </r>
  <r>
    <s v="C974"/>
    <x v="0"/>
    <x v="4"/>
    <s v="associate's degree"/>
    <s v="standard"/>
    <s v="none"/>
    <n v="78"/>
    <n v="71"/>
    <n v="67"/>
    <n v="216"/>
    <n v="72"/>
  </r>
  <r>
    <s v="C975"/>
    <x v="1"/>
    <x v="3"/>
    <s v="some high school"/>
    <s v="standard"/>
    <s v="none"/>
    <n v="59"/>
    <n v="59"/>
    <n v="58"/>
    <n v="176"/>
    <n v="58.666666666666664"/>
  </r>
  <r>
    <s v="C976"/>
    <x v="0"/>
    <x v="4"/>
    <s v="associate's degree"/>
    <s v="standard"/>
    <s v="none"/>
    <n v="74"/>
    <n v="76"/>
    <n v="70"/>
    <n v="220"/>
    <n v="73.333333333333329"/>
  </r>
  <r>
    <s v="C977"/>
    <x v="1"/>
    <x v="3"/>
    <s v="some college"/>
    <s v="free/reduced"/>
    <s v="completed"/>
    <n v="31"/>
    <n v="29"/>
    <n v="35"/>
    <n v="95"/>
    <n v="31.666666666666668"/>
  </r>
  <r>
    <s v="C978"/>
    <x v="1"/>
    <x v="4"/>
    <s v="some high school"/>
    <s v="free/reduced"/>
    <s v="completed"/>
    <n v="54"/>
    <n v="55"/>
    <n v="65"/>
    <n v="174"/>
    <n v="58"/>
  </r>
  <r>
    <s v="C979"/>
    <x v="0"/>
    <x v="4"/>
    <s v="high school"/>
    <s v="free/reduced"/>
    <s v="none"/>
    <n v="51"/>
    <n v="51"/>
    <n v="45"/>
    <n v="147"/>
    <n v="49"/>
  </r>
  <r>
    <s v="C980"/>
    <x v="1"/>
    <x v="3"/>
    <s v="bachelor's degree"/>
    <s v="free/reduced"/>
    <s v="completed"/>
    <n v="57"/>
    <n v="65"/>
    <n v="68"/>
    <n v="190"/>
    <n v="63.333333333333336"/>
  </r>
  <r>
    <s v="C981"/>
    <x v="1"/>
    <x v="4"/>
    <s v="some high school"/>
    <s v="free/reduced"/>
    <s v="none"/>
    <n v="39"/>
    <n v="50"/>
    <n v="49"/>
    <n v="138"/>
    <n v="46"/>
  </r>
  <r>
    <s v="C982"/>
    <x v="0"/>
    <x v="4"/>
    <s v="some college"/>
    <s v="standard"/>
    <s v="none"/>
    <n v="64"/>
    <n v="48"/>
    <n v="48"/>
    <n v="160"/>
    <n v="53.333333333333336"/>
  </r>
  <r>
    <s v="C983"/>
    <x v="0"/>
    <x v="4"/>
    <s v="master's degree"/>
    <s v="free/reduced"/>
    <s v="completed"/>
    <n v="69"/>
    <n v="79"/>
    <n v="72"/>
    <n v="220"/>
    <n v="73.333333333333329"/>
  </r>
  <r>
    <s v="C984"/>
    <x v="0"/>
    <x v="0"/>
    <s v="some high school"/>
    <s v="standard"/>
    <s v="none"/>
    <n v="58"/>
    <n v="50"/>
    <n v="47"/>
    <n v="155"/>
    <n v="51.666666666666664"/>
  </r>
  <r>
    <s v="C985"/>
    <x v="1"/>
    <x v="1"/>
    <s v="high school"/>
    <s v="standard"/>
    <s v="none"/>
    <n v="63"/>
    <n v="71"/>
    <n v="75"/>
    <n v="209"/>
    <n v="69.666666666666671"/>
  </r>
  <r>
    <s v="C986"/>
    <x v="0"/>
    <x v="2"/>
    <s v="associate's degree"/>
    <s v="standard"/>
    <s v="none"/>
    <n v="74"/>
    <n v="73"/>
    <n v="67"/>
    <n v="214"/>
    <n v="71.333333333333329"/>
  </r>
  <r>
    <s v="C987"/>
    <x v="0"/>
    <x v="2"/>
    <s v="some college"/>
    <s v="free/reduced"/>
    <s v="none"/>
    <n v="78"/>
    <n v="84"/>
    <n v="77"/>
    <n v="239"/>
    <n v="79.666666666666671"/>
  </r>
  <r>
    <s v="C988"/>
    <x v="0"/>
    <x v="0"/>
    <s v="some college"/>
    <s v="standard"/>
    <s v="completed"/>
    <n v="78"/>
    <n v="78"/>
    <n v="74"/>
    <n v="230"/>
    <n v="76.666666666666671"/>
  </r>
  <r>
    <s v="C989"/>
    <x v="1"/>
    <x v="3"/>
    <s v="some college"/>
    <s v="standard"/>
    <s v="none"/>
    <n v="75"/>
    <n v="76"/>
    <n v="81"/>
    <n v="232"/>
    <n v="77.333333333333329"/>
  </r>
  <r>
    <s v="C990"/>
    <x v="0"/>
    <x v="1"/>
    <s v="some college"/>
    <s v="standard"/>
    <s v="completed"/>
    <n v="70"/>
    <n v="60"/>
    <n v="65"/>
    <n v="195"/>
    <n v="65"/>
  </r>
  <r>
    <s v="C991"/>
    <x v="0"/>
    <x v="1"/>
    <s v="some college"/>
    <s v="standard"/>
    <s v="none"/>
    <n v="67"/>
    <n v="55"/>
    <n v="53"/>
    <n v="175"/>
    <n v="58.333333333333336"/>
  </r>
  <r>
    <s v="C992"/>
    <x v="1"/>
    <x v="4"/>
    <s v="associate's degree"/>
    <s v="standard"/>
    <s v="none"/>
    <n v="87"/>
    <n v="93"/>
    <n v="88"/>
    <n v="268"/>
    <n v="89.333333333333329"/>
  </r>
  <r>
    <s v="C993"/>
    <x v="0"/>
    <x v="4"/>
    <s v="some college"/>
    <s v="standard"/>
    <s v="none"/>
    <n v="69"/>
    <n v="63"/>
    <n v="66"/>
    <n v="198"/>
    <n v="66"/>
  </r>
  <r>
    <s v="C994"/>
    <x v="1"/>
    <x v="0"/>
    <s v="associate's degree"/>
    <s v="standard"/>
    <s v="none"/>
    <n v="58"/>
    <n v="54"/>
    <n v="58"/>
    <n v="170"/>
    <n v="56.666666666666664"/>
  </r>
  <r>
    <s v="C995"/>
    <x v="0"/>
    <x v="2"/>
    <s v="high school"/>
    <s v="free/reduced"/>
    <s v="completed"/>
    <n v="86"/>
    <n v="82"/>
    <n v="75"/>
    <n v="243"/>
    <n v="81"/>
  </r>
  <r>
    <s v="C996"/>
    <x v="0"/>
    <x v="4"/>
    <s v="high school"/>
    <s v="standard"/>
    <s v="none"/>
    <n v="73"/>
    <n v="70"/>
    <n v="65"/>
    <n v="208"/>
    <n v="69.333333333333329"/>
  </r>
  <r>
    <s v="C997"/>
    <x v="0"/>
    <x v="1"/>
    <s v="associate's degree"/>
    <s v="free/reduced"/>
    <s v="completed"/>
    <n v="85"/>
    <n v="91"/>
    <n v="92"/>
    <n v="268"/>
    <n v="89.333333333333329"/>
  </r>
  <r>
    <s v="C998"/>
    <x v="1"/>
    <x v="4"/>
    <s v="some high school"/>
    <s v="free/reduced"/>
    <s v="none"/>
    <n v="32"/>
    <n v="35"/>
    <n v="41"/>
    <n v="108"/>
    <n v="36"/>
  </r>
  <r>
    <s v="C999"/>
    <x v="1"/>
    <x v="4"/>
    <s v="some college"/>
    <s v="standard"/>
    <s v="none"/>
    <n v="73"/>
    <n v="74"/>
    <n v="82"/>
    <n v="229"/>
    <n v="76.333333333333329"/>
  </r>
  <r>
    <s v="C1000"/>
    <x v="0"/>
    <x v="0"/>
    <s v="some college"/>
    <s v="standard"/>
    <s v="completed"/>
    <n v="65"/>
    <n v="60"/>
    <n v="62"/>
    <n v="187"/>
    <n v="62.333333333333336"/>
  </r>
  <r>
    <m/>
    <x v="2"/>
    <x v="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06B5ED-39B3-45F9-8C00-B61E8E447D54}"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Gender">
  <location ref="A20:C23" firstHeaderRow="1" firstDataRow="2" firstDataCol="1"/>
  <pivotFields count="9">
    <pivotField showAll="0"/>
    <pivotField axis="axisRow" showAll="0">
      <items count="4">
        <item x="1"/>
        <item x="0"/>
        <item h="1" x="2"/>
        <item t="default"/>
      </items>
    </pivotField>
    <pivotField showAll="0"/>
    <pivotField showAll="0"/>
    <pivotField showAll="0"/>
    <pivotField axis="axisCol" showAll="0" sortType="a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1"/>
  </rowFields>
  <rowItems count="2">
    <i>
      <x/>
    </i>
    <i>
      <x v="1"/>
    </i>
  </rowItems>
  <colFields count="1">
    <field x="5"/>
  </colFields>
  <colItems count="2">
    <i>
      <x v="1"/>
    </i>
    <i>
      <x/>
    </i>
  </colItems>
  <dataFields count="1">
    <dataField name="Average of math score" fld="6" subtotal="average" baseField="1" baseItem="0"/>
  </dataFields>
  <formats count="1">
    <format dxfId="2">
      <pivotArea outline="0" collapsedLevelsAreSubtotals="1" fieldPosition="0"/>
    </format>
  </formats>
  <chartFormats count="4">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5" count="1" selected="0">
            <x v="2"/>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A6D7E9-9FB0-4511-A93F-431345C3C59E}" name="PivotTable2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3:D14" firstHeaderRow="1" firstDataRow="1" firstDataCol="0"/>
  <pivotFields count="9">
    <pivotField dataField="1" showAll="0"/>
    <pivotField showAll="0">
      <items count="4">
        <item x="1"/>
        <item x="0"/>
        <item h="1" x="2"/>
        <item t="default"/>
      </items>
    </pivotField>
    <pivotField showAll="0"/>
    <pivotField showAll="0"/>
    <pivotField showAll="0"/>
    <pivotField showAll="0"/>
    <pivotField showAll="0"/>
    <pivotField showAll="0"/>
    <pivotField showAll="0"/>
  </pivotFields>
  <rowItems count="1">
    <i/>
  </rowItems>
  <colItems count="1">
    <i/>
  </colItems>
  <dataFields count="1">
    <dataField name="Total Students" fld="0" subtotal="count" baseField="0" baseItem="5294360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D910DC-66B8-449D-8385-B017400EFC34}"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EducationalLevel">
  <location ref="G5:H11" firstHeaderRow="1" firstDataRow="1" firstDataCol="1"/>
  <pivotFields count="9">
    <pivotField dataField="1" showAll="0"/>
    <pivotField showAll="0">
      <items count="4">
        <item x="1"/>
        <item x="0"/>
        <item h="1" x="2"/>
        <item t="default"/>
      </items>
    </pivotField>
    <pivotField showAll="0"/>
    <pivotField axis="axisRow" multipleItemSelectionAllowed="1" showAll="0" sortType="ascending">
      <items count="8">
        <item x="3"/>
        <item x="4"/>
        <item x="0"/>
        <item x="5"/>
        <item x="2"/>
        <item x="1"/>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3"/>
  </rowFields>
  <rowItems count="6">
    <i>
      <x v="3"/>
    </i>
    <i>
      <x v="1"/>
    </i>
    <i>
      <x v="5"/>
    </i>
    <i>
      <x v="2"/>
    </i>
    <i>
      <x/>
    </i>
    <i>
      <x v="4"/>
    </i>
  </rowItems>
  <colItems count="1">
    <i/>
  </colItems>
  <dataFields count="1">
    <dataField name="Total Students" fld="0" subtotal="count" baseField="0" baseItem="52943600"/>
  </dataField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5"/>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0EE65F-2EF1-4C9A-9DB1-0BF3D8B734A9}"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eparation">
  <location ref="D37:E39" firstHeaderRow="1" firstDataRow="1" firstDataCol="1"/>
  <pivotFields count="9">
    <pivotField showAll="0"/>
    <pivotField showAll="0">
      <items count="4">
        <item x="1"/>
        <item x="0"/>
        <item h="1" x="2"/>
        <item t="default"/>
      </items>
    </pivotField>
    <pivotField showAll="0"/>
    <pivotField showAll="0"/>
    <pivotField showAll="0"/>
    <pivotField axis="axisRow" showAll="0">
      <items count="4">
        <item x="0"/>
        <item x="1"/>
        <item h="1" x="2"/>
        <item t="default"/>
      </items>
    </pivotField>
    <pivotField showAll="0"/>
    <pivotField showAll="0"/>
    <pivotField dataField="1" showAll="0"/>
  </pivotFields>
  <rowFields count="1">
    <field x="5"/>
  </rowFields>
  <rowItems count="2">
    <i>
      <x/>
    </i>
    <i>
      <x v="1"/>
    </i>
  </rowItems>
  <colItems count="1">
    <i/>
  </colItems>
  <dataFields count="1">
    <dataField name="Average of writing score" fld="8" subtotal="average" baseField="5"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205C3E-A47E-45E1-99C8-F352CCCB9970}" name="PivotTable2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7:D8" firstHeaderRow="1" firstDataRow="1" firstDataCol="0"/>
  <pivotFields count="9">
    <pivotField showAll="0"/>
    <pivotField showAll="0">
      <items count="4">
        <item x="1"/>
        <item x="0"/>
        <item h="1" x="2"/>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Average of reading score" fld="7" subtotal="average" baseField="0" baseItem="5294360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3CD53F-FA3F-4B35-A3C8-77687E37FA8C}" name="PivotTable1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3:D4" firstHeaderRow="1" firstDataRow="1" firstDataCol="0"/>
  <pivotFields count="9">
    <pivotField showAll="0"/>
    <pivotField showAll="0">
      <items count="4">
        <item x="1"/>
        <item x="0"/>
        <item h="1" x="2"/>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Average of math score" fld="6" subtotal="average" baseField="0" baseItem="52943600"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B80759-14C3-4F36-9BEA-7F907C2B64AA}"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eparation">
  <location ref="D31:E33" firstHeaderRow="1" firstDataRow="1" firstDataCol="1"/>
  <pivotFields count="9">
    <pivotField showAll="0"/>
    <pivotField showAll="0">
      <items count="4">
        <item x="1"/>
        <item x="0"/>
        <item h="1" x="2"/>
        <item t="default"/>
      </items>
    </pivotField>
    <pivotField showAll="0"/>
    <pivotField showAll="0"/>
    <pivotField showAll="0"/>
    <pivotField axis="axisRow" showAll="0">
      <items count="4">
        <item x="0"/>
        <item x="1"/>
        <item h="1" x="2"/>
        <item t="default"/>
      </items>
    </pivotField>
    <pivotField showAll="0"/>
    <pivotField dataField="1" showAll="0"/>
    <pivotField showAll="0"/>
  </pivotFields>
  <rowFields count="1">
    <field x="5"/>
  </rowFields>
  <rowItems count="2">
    <i>
      <x/>
    </i>
    <i>
      <x v="1"/>
    </i>
  </rowItems>
  <colItems count="1">
    <i/>
  </colItems>
  <dataFields count="1">
    <dataField name="Average of reading score" fld="7" subtotal="average" baseField="5"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39C6E2-115A-4A7D-9749-84690ED0F17E}" name="PivotTable1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Lunch">
  <location ref="B54:C60" firstHeaderRow="1" firstDataRow="1" firstDataCol="1"/>
  <pivotFields count="9">
    <pivotField dataField="1" showAll="0"/>
    <pivotField showAll="0">
      <items count="4">
        <item x="1"/>
        <item x="0"/>
        <item h="1" x="2"/>
        <item t="default"/>
      </items>
    </pivotField>
    <pivotField showAll="0"/>
    <pivotField axis="axisRow" showAll="0">
      <items count="8">
        <item x="3"/>
        <item x="4"/>
        <item x="0"/>
        <item x="5"/>
        <item x="2"/>
        <item x="1"/>
        <item h="1" x="6"/>
        <item t="default"/>
      </items>
    </pivotField>
    <pivotField showAll="0"/>
    <pivotField showAll="0"/>
    <pivotField showAll="0"/>
    <pivotField showAll="0"/>
    <pivotField showAll="0"/>
  </pivotFields>
  <rowFields count="1">
    <field x="3"/>
  </rowFields>
  <rowItems count="6">
    <i>
      <x/>
    </i>
    <i>
      <x v="1"/>
    </i>
    <i>
      <x v="2"/>
    </i>
    <i>
      <x v="3"/>
    </i>
    <i>
      <x v="4"/>
    </i>
    <i>
      <x v="5"/>
    </i>
  </rowItems>
  <colItems count="1">
    <i/>
  </colItems>
  <dataFields count="1">
    <dataField name="Count of ID" fld="0" subtotal="count" baseField="3"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C4425A-8DFC-4E37-87BB-0D554D326600}" name="PivotTable1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Gender">
  <location ref="F13:H16" firstHeaderRow="1" firstDataRow="2" firstDataCol="1"/>
  <pivotFields count="9">
    <pivotField showAll="0"/>
    <pivotField axis="axisRow" showAll="0" sortType="descending">
      <items count="4">
        <item h="1" x="2"/>
        <item x="0"/>
        <item x="1"/>
        <item t="default"/>
      </items>
    </pivotField>
    <pivotField showAll="0"/>
    <pivotField showAll="0"/>
    <pivotField showAll="0"/>
    <pivotField axis="axisCol" showAll="0" sortType="descending">
      <items count="4">
        <item x="2"/>
        <item x="1"/>
        <item x="0"/>
        <item t="default"/>
      </items>
    </pivotField>
    <pivotField showAll="0"/>
    <pivotField showAll="0"/>
    <pivotField dataField="1" showAll="0"/>
  </pivotFields>
  <rowFields count="1">
    <field x="1"/>
  </rowFields>
  <rowItems count="2">
    <i>
      <x v="1"/>
    </i>
    <i>
      <x v="2"/>
    </i>
  </rowItems>
  <colFields count="1">
    <field x="5"/>
  </colFields>
  <colItems count="2">
    <i>
      <x v="1"/>
    </i>
    <i>
      <x v="2"/>
    </i>
  </colItems>
  <dataFields count="1">
    <dataField name="Average of writing score" fld="8" subtotal="average" baseField="1" baseItem="1"/>
  </dataFields>
  <formats count="1">
    <format dxfId="8">
      <pivotArea outline="0" collapsedLevelsAreSubtotals="1" fieldPosition="0"/>
    </format>
  </formats>
  <chartFormats count="4">
    <chartFormat chart="9" format="4" series="1">
      <pivotArea type="data" outline="0" fieldPosition="0">
        <references count="2">
          <reference field="4294967294" count="1" selected="0">
            <x v="0"/>
          </reference>
          <reference field="5" count="1" selected="0">
            <x v="2"/>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0"/>
          </reference>
        </references>
      </pivotArea>
    </chartFormat>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ACAAFE-B920-47A9-A27E-943958D716A6}"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Lunch">
  <location ref="B41:C43" firstHeaderRow="1" firstDataRow="1" firstDataCol="1"/>
  <pivotFields count="9">
    <pivotField showAll="0"/>
    <pivotField showAll="0">
      <items count="4">
        <item x="1"/>
        <item x="0"/>
        <item h="1" x="2"/>
        <item t="default"/>
      </items>
    </pivotField>
    <pivotField showAll="0"/>
    <pivotField showAll="0"/>
    <pivotField axis="axisRow" showAll="0">
      <items count="4">
        <item x="1"/>
        <item x="0"/>
        <item h="1" x="2"/>
        <item t="default"/>
      </items>
    </pivotField>
    <pivotField showAll="0"/>
    <pivotField showAll="0"/>
    <pivotField dataField="1" showAll="0"/>
    <pivotField showAll="0"/>
  </pivotFields>
  <rowFields count="1">
    <field x="4"/>
  </rowFields>
  <rowItems count="2">
    <i>
      <x/>
    </i>
    <i>
      <x v="1"/>
    </i>
  </rowItems>
  <colItems count="1">
    <i/>
  </colItems>
  <dataFields count="1">
    <dataField name="Average of reading score" fld="7" subtotal="average" baseField="5"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FB7E2F-D49F-4C79-9ED6-D395557A0EDC}"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EducationalLevel">
  <location ref="G18:H20" firstHeaderRow="1" firstDataRow="1" firstDataCol="1"/>
  <pivotFields count="9">
    <pivotField showAll="0"/>
    <pivotField axis="axisRow" showAll="0">
      <items count="4">
        <item x="1"/>
        <item x="0"/>
        <item h="1" x="2"/>
        <item t="default"/>
      </items>
    </pivotField>
    <pivotField showAll="0"/>
    <pivotField showAll="0"/>
    <pivotField showAll="0"/>
    <pivotField showAll="0"/>
    <pivotField showAll="0"/>
    <pivotField showAll="0"/>
    <pivotField dataField="1" showAll="0"/>
  </pivotFields>
  <rowFields count="1">
    <field x="1"/>
  </rowFields>
  <rowItems count="2">
    <i>
      <x/>
    </i>
    <i>
      <x v="1"/>
    </i>
  </rowItems>
  <colItems count="1">
    <i/>
  </colItems>
  <dataFields count="1">
    <dataField name="Average of writing score" fld="8" subtotal="average" baseField="1"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48C627-68B4-44F5-B308-0D37D4631755}" name="PivotTable2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0:D11" firstHeaderRow="1" firstDataRow="1" firstDataCol="0"/>
  <pivotFields count="9">
    <pivotField showAll="0"/>
    <pivotField showAll="0">
      <items count="4">
        <item x="1"/>
        <item x="0"/>
        <item h="1" x="2"/>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Average of writing score" fld="8" subtotal="average" baseField="0" baseItem="5294360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C2FEC9-246B-45C2-A225-132D728FF7F1}"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eparation">
  <location ref="A26:B28" firstHeaderRow="1" firstDataRow="1" firstDataCol="1"/>
  <pivotFields count="9">
    <pivotField showAll="0"/>
    <pivotField showAll="0">
      <items count="4">
        <item x="1"/>
        <item x="0"/>
        <item h="1" x="2"/>
        <item t="default"/>
      </items>
    </pivotField>
    <pivotField showAll="0"/>
    <pivotField showAll="0"/>
    <pivotField showAll="0"/>
    <pivotField axis="axisRow" showAll="0">
      <items count="4">
        <item x="0"/>
        <item x="1"/>
        <item h="1" x="2"/>
        <item t="default"/>
      </items>
    </pivotField>
    <pivotField dataField="1" showAll="0"/>
    <pivotField showAll="0"/>
    <pivotField showAll="0"/>
  </pivotFields>
  <rowFields count="1">
    <field x="5"/>
  </rowFields>
  <rowItems count="2">
    <i>
      <x/>
    </i>
    <i>
      <x v="1"/>
    </i>
  </rowItems>
  <colItems count="1">
    <i/>
  </colItems>
  <dataFields count="1">
    <dataField name="Average of math score" fld="6" subtotal="average" baseField="1"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02CAAC0-3F4F-4650-AF0F-9BE881E2706E}"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Race">
  <location ref="G37:I43" firstHeaderRow="1" firstDataRow="2" firstDataCol="1"/>
  <pivotFields count="11">
    <pivotField showAll="0"/>
    <pivotField axis="axisCol" showAll="0" sortType="ascending">
      <items count="4">
        <item x="1"/>
        <item x="0"/>
        <item x="2"/>
        <item t="default"/>
      </items>
      <autoSortScope>
        <pivotArea dataOnly="0" outline="0" fieldPosition="0">
          <references count="1">
            <reference field="4294967294" count="1" selected="0">
              <x v="0"/>
            </reference>
          </references>
        </pivotArea>
      </autoSortScope>
    </pivotField>
    <pivotField axis="axisRow" showAll="0" sortType="ascending">
      <items count="7">
        <item x="0"/>
        <item x="3"/>
        <item x="4"/>
        <item x="1"/>
        <item x="2"/>
        <item h="1" x="5"/>
        <item t="default"/>
      </items>
    </pivotField>
    <pivotField showAll="0"/>
    <pivotField showAll="0"/>
    <pivotField showAll="0"/>
    <pivotField showAll="0"/>
    <pivotField showAll="0"/>
    <pivotField showAll="0"/>
    <pivotField showAll="0"/>
    <pivotField dataField="1" showAll="0"/>
  </pivotFields>
  <rowFields count="1">
    <field x="2"/>
  </rowFields>
  <rowItems count="5">
    <i>
      <x/>
    </i>
    <i>
      <x v="1"/>
    </i>
    <i>
      <x v="2"/>
    </i>
    <i>
      <x v="3"/>
    </i>
    <i>
      <x v="4"/>
    </i>
  </rowItems>
  <colFields count="1">
    <field x="1"/>
  </colFields>
  <colItems count="2">
    <i>
      <x v="1"/>
    </i>
    <i>
      <x/>
    </i>
  </colItems>
  <dataFields count="1">
    <dataField name="Average of average score" fld="10" subtotal="average" baseField="2" baseItem="0"/>
  </dataFields>
  <formats count="1">
    <format dxfId="13">
      <pivotArea outline="0" collapsedLevelsAreSubtotals="1" fieldPosition="0"/>
    </format>
  </formats>
  <chartFormats count="2">
    <chartFormat chart="3" format="4" series="1">
      <pivotArea type="data" outline="0" fieldPosition="0">
        <references count="2">
          <reference field="4294967294" count="1" selected="0">
            <x v="0"/>
          </reference>
          <reference field="1" count="1" selected="0">
            <x v="1"/>
          </reference>
        </references>
      </pivotArea>
    </chartFormat>
    <chartFormat chart="3" format="5"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BC4C6EE-A9A5-4598-A77D-772854AB39D0}"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Race">
  <location ref="A13:B18" firstHeaderRow="1" firstDataRow="1" firstDataCol="1"/>
  <pivotFields count="9">
    <pivotField dataField="1" showAll="0"/>
    <pivotField showAll="0">
      <items count="4">
        <item x="1"/>
        <item x="0"/>
        <item h="1" x="2"/>
        <item t="default"/>
      </items>
    </pivotField>
    <pivotField axis="axisRow" showAll="0" sortType="ascending">
      <items count="7">
        <item x="0"/>
        <item x="3"/>
        <item x="4"/>
        <item x="1"/>
        <item x="2"/>
        <item h="1" x="5"/>
        <item t="default"/>
      </items>
    </pivotField>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Total Students" fld="0" subtotal="count" baseField="0" baseItem="5294360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5AB23DA-8375-48CC-82F5-16EB362EC7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howAll="0"/>
  </pivotFields>
  <rowItems count="1">
    <i/>
  </rowItems>
  <colItems count="1">
    <i/>
  </colItems>
  <dataFields count="1">
    <dataField name="Total Students" fld="0" subtotal="count" baseField="0" baseItem="5294360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572B052-3A2B-46D5-BFFF-7ABD76F08FF0}" name="PivotTable1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Lunch">
  <location ref="B46:C48" firstHeaderRow="1" firstDataRow="1" firstDataCol="1"/>
  <pivotFields count="9">
    <pivotField showAll="0"/>
    <pivotField showAll="0">
      <items count="4">
        <item x="1"/>
        <item x="0"/>
        <item h="1" x="2"/>
        <item t="default"/>
      </items>
    </pivotField>
    <pivotField showAll="0"/>
    <pivotField showAll="0"/>
    <pivotField axis="axisRow" showAll="0">
      <items count="4">
        <item x="1"/>
        <item x="0"/>
        <item h="1" x="2"/>
        <item t="default"/>
      </items>
    </pivotField>
    <pivotField showAll="0"/>
    <pivotField dataField="1" showAll="0"/>
    <pivotField showAll="0"/>
    <pivotField showAll="0"/>
  </pivotFields>
  <rowFields count="1">
    <field x="4"/>
  </rowFields>
  <rowItems count="2">
    <i>
      <x/>
    </i>
    <i>
      <x v="1"/>
    </i>
  </rowItems>
  <colItems count="1">
    <i/>
  </colItems>
  <dataFields count="1">
    <dataField name="Average of math score" fld="6" subtotal="average" baseField="4"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1398C97-07E3-4BFA-94B6-429BC225C725}"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Gender">
  <location ref="F24:H27" firstHeaderRow="1" firstDataRow="2" firstDataCol="1"/>
  <pivotFields count="9">
    <pivotField showAll="0"/>
    <pivotField axis="axisRow" showAll="0" sortType="descending">
      <items count="4">
        <item h="1" x="2"/>
        <item x="0"/>
        <item x="1"/>
        <item t="default"/>
      </items>
    </pivotField>
    <pivotField showAll="0"/>
    <pivotField showAll="0"/>
    <pivotField showAll="0"/>
    <pivotField axis="axisCol"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1"/>
  </rowFields>
  <rowItems count="2">
    <i>
      <x v="1"/>
    </i>
    <i>
      <x v="2"/>
    </i>
  </rowItems>
  <colFields count="1">
    <field x="5"/>
  </colFields>
  <colItems count="2">
    <i>
      <x v="1"/>
    </i>
    <i>
      <x/>
    </i>
  </colItems>
  <dataFields count="1">
    <dataField name="Average of reading score" fld="7" subtotal="average" baseField="1" baseItem="0"/>
  </dataFields>
  <formats count="1">
    <format dxfId="15">
      <pivotArea outline="0" collapsedLevelsAreSubtotals="1" fieldPosition="0"/>
    </format>
  </formats>
  <chartFormats count="4">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6" format="6" series="1">
      <pivotArea type="data" outline="0" fieldPosition="0">
        <references count="2">
          <reference field="4294967294" count="1" selected="0">
            <x v="0"/>
          </reference>
          <reference field="5" count="1" selected="0">
            <x v="2"/>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23A18F6-0F46-40CF-AAFB-3F3573206FA8}"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Lunch">
  <location ref="E45:F47" firstHeaderRow="1" firstDataRow="1" firstDataCol="1"/>
  <pivotFields count="9">
    <pivotField showAll="0"/>
    <pivotField showAll="0">
      <items count="4">
        <item x="1"/>
        <item x="0"/>
        <item h="1" x="2"/>
        <item t="default"/>
      </items>
    </pivotField>
    <pivotField showAll="0"/>
    <pivotField showAll="0"/>
    <pivotField axis="axisRow" showAll="0">
      <items count="4">
        <item x="1"/>
        <item x="0"/>
        <item h="1" x="2"/>
        <item t="default"/>
      </items>
    </pivotField>
    <pivotField showAll="0"/>
    <pivotField showAll="0"/>
    <pivotField showAll="0"/>
    <pivotField dataField="1" showAll="0"/>
  </pivotFields>
  <rowFields count="1">
    <field x="4"/>
  </rowFields>
  <rowItems count="2">
    <i>
      <x/>
    </i>
    <i>
      <x v="1"/>
    </i>
  </rowItems>
  <colItems count="1">
    <i/>
  </colItems>
  <dataFields count="1">
    <dataField name="Average of writing score" fld="8" subtotal="average" baseField="4"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DD34A16-9480-4698-8413-05E021CD9F68}"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7:B9" firstHeaderRow="1" firstDataRow="1" firstDataCol="1"/>
  <pivotFields count="9">
    <pivotField dataField="1" showAll="0"/>
    <pivotField axis="axisRow" showAll="0">
      <items count="4">
        <item x="1"/>
        <item x="0"/>
        <item h="1" x="2"/>
        <item t="default"/>
      </items>
    </pivotField>
    <pivotField showAll="0"/>
    <pivotField showAll="0"/>
    <pivotField showAll="0"/>
    <pivotField showAll="0"/>
    <pivotField showAll="0"/>
    <pivotField showAll="0"/>
    <pivotField showAll="0"/>
  </pivotFields>
  <rowFields count="1">
    <field x="1"/>
  </rowFields>
  <rowItems count="2">
    <i>
      <x/>
    </i>
    <i>
      <x v="1"/>
    </i>
  </rowItems>
  <colItems count="1">
    <i/>
  </colItems>
  <dataFields count="1">
    <dataField name="Total Students" fld="0" subtotal="count" baseField="0" baseItem="5294360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BEFD9B3-5266-4B29-BD79-08E45DACF638}" sourceName="gender">
  <pivotTables>
    <pivotTable tabId="4" name="PivotTable2"/>
    <pivotTable tabId="4" name="PivotTable10"/>
    <pivotTable tabId="4" name="PivotTable11"/>
    <pivotTable tabId="4" name="PivotTable12"/>
    <pivotTable tabId="4" name="PivotTable13"/>
    <pivotTable tabId="4" name="PivotTable14"/>
    <pivotTable tabId="4" name="PivotTable15"/>
    <pivotTable tabId="4" name="PivotTable16"/>
    <pivotTable tabId="4" name="PivotTable19"/>
    <pivotTable tabId="4" name="PivotTable20"/>
    <pivotTable tabId="4" name="PivotTable21"/>
    <pivotTable tabId="4" name="PivotTable22"/>
    <pivotTable tabId="4" name="PivotTable4"/>
    <pivotTable tabId="4" name="PivotTable5"/>
    <pivotTable tabId="4" name="PivotTable6"/>
    <pivotTable tabId="4" name="PivotTable7"/>
    <pivotTable tabId="4" name="PivotTable8"/>
    <pivotTable tabId="4" name="PivotTable17"/>
  </pivotTables>
  <data>
    <tabular pivotCacheId="815206950" showMissing="0">
      <items count="3">
        <i x="1" s="1"/>
        <i x="0" s="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90C933E-6274-4657-84BC-B56E0C0B9804}" cache="Slicer_gender" caption="gender"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1:K1001" totalsRowShown="0">
  <autoFilter ref="B1:K1001" xr:uid="{00000000-0009-0000-0100-000002000000}"/>
  <tableColumns count="10">
    <tableColumn id="1" xr3:uid="{00000000-0010-0000-0000-000001000000}" name="gender"/>
    <tableColumn id="2" xr3:uid="{00000000-0010-0000-0000-000002000000}" name="race/ethnicity"/>
    <tableColumn id="3" xr3:uid="{00000000-0010-0000-0000-000003000000}" name="parental level of education"/>
    <tableColumn id="4" xr3:uid="{00000000-0010-0000-0000-000004000000}" name="lunch"/>
    <tableColumn id="5" xr3:uid="{00000000-0010-0000-0000-000005000000}" name="test preparation course"/>
    <tableColumn id="6" xr3:uid="{00000000-0010-0000-0000-000006000000}" name="math score"/>
    <tableColumn id="7" xr3:uid="{00000000-0010-0000-0000-000007000000}" name="reading score"/>
    <tableColumn id="8" xr3:uid="{00000000-0010-0000-0000-000008000000}" name="writing score"/>
    <tableColumn id="9" xr3:uid="{60CA0C49-7046-49B8-AD8E-CCE20D0B4C37}" name="Total score" dataDxfId="1">
      <calculatedColumnFormula>SUM(Table2[[#This Row],[math score]:[writing score]])</calculatedColumnFormula>
    </tableColumn>
    <tableColumn id="10" xr3:uid="{539ACAFD-726B-40CB-866B-5705182EFE71}" name="average score" dataDxfId="0">
      <calculatedColumnFormula>Table2[[#This Row],[Total score]]/3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F877B0-0CF7-46E0-9209-966E4EB57EC2}" name="Table1" displayName="Table1" ref="A1:A1048576" totalsRowShown="0">
  <autoFilter ref="A1:A1048576" xr:uid="{89F877B0-0CF7-46E0-9209-966E4EB57EC2}"/>
  <tableColumns count="1">
    <tableColumn id="1" xr3:uid="{967C58DC-3DFA-4FFB-A74A-7EE0AC59FDDE}" name="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2.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tabSelected="1" topLeftCell="A16" workbookViewId="0">
      <selection activeCell="E16" sqref="E16"/>
    </sheetView>
  </sheetViews>
  <sheetFormatPr defaultRowHeight="15" x14ac:dyDescent="0.25"/>
  <cols>
    <col min="2" max="2" width="22.140625" customWidth="1"/>
    <col min="3" max="3" width="25.85546875" customWidth="1"/>
    <col min="4" max="4" width="17.140625" customWidth="1"/>
    <col min="5" max="5" width="27.5703125" customWidth="1"/>
    <col min="6" max="6" width="16.5703125" customWidth="1"/>
    <col min="7" max="7" width="17.140625" customWidth="1"/>
    <col min="8" max="8" width="14.140625" customWidth="1"/>
    <col min="9" max="9" width="15.7109375" customWidth="1"/>
  </cols>
  <sheetData>
    <row r="1" spans="1:9" x14ac:dyDescent="0.25">
      <c r="A1" t="s">
        <v>0</v>
      </c>
      <c r="B1" t="s">
        <v>1</v>
      </c>
      <c r="C1" t="s">
        <v>2</v>
      </c>
      <c r="D1" t="s">
        <v>3</v>
      </c>
      <c r="E1" t="s">
        <v>4</v>
      </c>
      <c r="F1" t="s">
        <v>5</v>
      </c>
      <c r="G1" t="s">
        <v>6</v>
      </c>
      <c r="H1" t="s">
        <v>7</v>
      </c>
      <c r="I1" t="s">
        <v>25</v>
      </c>
    </row>
    <row r="2" spans="1:9" x14ac:dyDescent="0.25">
      <c r="A2" t="s">
        <v>8</v>
      </c>
      <c r="B2" t="s">
        <v>9</v>
      </c>
      <c r="C2" t="s">
        <v>10</v>
      </c>
      <c r="D2" t="s">
        <v>11</v>
      </c>
      <c r="E2" t="s">
        <v>12</v>
      </c>
      <c r="F2">
        <v>67</v>
      </c>
      <c r="G2">
        <v>67</v>
      </c>
      <c r="H2">
        <v>63</v>
      </c>
      <c r="I2">
        <f>SUM(F2:H2)</f>
        <v>197</v>
      </c>
    </row>
    <row r="3" spans="1:9" x14ac:dyDescent="0.25">
      <c r="A3" t="s">
        <v>13</v>
      </c>
      <c r="B3" t="s">
        <v>14</v>
      </c>
      <c r="C3" t="s">
        <v>15</v>
      </c>
      <c r="D3" t="s">
        <v>16</v>
      </c>
      <c r="E3" t="s">
        <v>17</v>
      </c>
      <c r="F3">
        <v>40</v>
      </c>
      <c r="G3">
        <v>59</v>
      </c>
      <c r="H3">
        <v>55</v>
      </c>
      <c r="I3">
        <f t="shared" ref="I3:I66" si="0">SUM(F3:H3)</f>
        <v>154</v>
      </c>
    </row>
    <row r="4" spans="1:9" x14ac:dyDescent="0.25">
      <c r="A4" t="s">
        <v>8</v>
      </c>
      <c r="B4" t="s">
        <v>18</v>
      </c>
      <c r="C4" t="s">
        <v>19</v>
      </c>
      <c r="D4" t="s">
        <v>16</v>
      </c>
      <c r="E4" t="s">
        <v>17</v>
      </c>
      <c r="F4">
        <v>59</v>
      </c>
      <c r="G4">
        <v>60</v>
      </c>
      <c r="H4">
        <v>50</v>
      </c>
      <c r="I4">
        <f t="shared" si="0"/>
        <v>169</v>
      </c>
    </row>
    <row r="5" spans="1:9" x14ac:dyDescent="0.25">
      <c r="A5" t="s">
        <v>8</v>
      </c>
      <c r="B5" t="s">
        <v>20</v>
      </c>
      <c r="C5" t="s">
        <v>10</v>
      </c>
      <c r="D5" t="s">
        <v>11</v>
      </c>
      <c r="E5" t="s">
        <v>17</v>
      </c>
      <c r="F5">
        <v>77</v>
      </c>
      <c r="G5">
        <v>78</v>
      </c>
      <c r="H5">
        <v>68</v>
      </c>
      <c r="I5">
        <f t="shared" si="0"/>
        <v>223</v>
      </c>
    </row>
    <row r="6" spans="1:9" x14ac:dyDescent="0.25">
      <c r="A6" t="s">
        <v>8</v>
      </c>
      <c r="B6" t="s">
        <v>18</v>
      </c>
      <c r="C6" t="s">
        <v>21</v>
      </c>
      <c r="D6" t="s">
        <v>11</v>
      </c>
      <c r="E6" t="s">
        <v>12</v>
      </c>
      <c r="F6">
        <v>78</v>
      </c>
      <c r="G6">
        <v>73</v>
      </c>
      <c r="H6">
        <v>68</v>
      </c>
      <c r="I6">
        <f t="shared" si="0"/>
        <v>219</v>
      </c>
    </row>
    <row r="7" spans="1:9" x14ac:dyDescent="0.25">
      <c r="A7" t="s">
        <v>13</v>
      </c>
      <c r="B7" t="s">
        <v>14</v>
      </c>
      <c r="C7" t="s">
        <v>10</v>
      </c>
      <c r="D7" t="s">
        <v>11</v>
      </c>
      <c r="E7" t="s">
        <v>17</v>
      </c>
      <c r="F7">
        <v>63</v>
      </c>
      <c r="G7">
        <v>77</v>
      </c>
      <c r="H7">
        <v>76</v>
      </c>
      <c r="I7">
        <f t="shared" si="0"/>
        <v>216</v>
      </c>
    </row>
    <row r="8" spans="1:9" x14ac:dyDescent="0.25">
      <c r="A8" t="s">
        <v>13</v>
      </c>
      <c r="B8" t="s">
        <v>9</v>
      </c>
      <c r="C8" t="s">
        <v>22</v>
      </c>
      <c r="D8" t="s">
        <v>11</v>
      </c>
      <c r="E8" t="s">
        <v>17</v>
      </c>
      <c r="F8">
        <v>62</v>
      </c>
      <c r="G8">
        <v>59</v>
      </c>
      <c r="H8">
        <v>63</v>
      </c>
      <c r="I8">
        <f t="shared" si="0"/>
        <v>184</v>
      </c>
    </row>
    <row r="9" spans="1:9" x14ac:dyDescent="0.25">
      <c r="A9" t="s">
        <v>8</v>
      </c>
      <c r="B9" t="s">
        <v>18</v>
      </c>
      <c r="C9" t="s">
        <v>19</v>
      </c>
      <c r="D9" t="s">
        <v>11</v>
      </c>
      <c r="E9" t="s">
        <v>12</v>
      </c>
      <c r="F9">
        <v>93</v>
      </c>
      <c r="G9">
        <v>88</v>
      </c>
      <c r="H9">
        <v>84</v>
      </c>
      <c r="I9">
        <f t="shared" si="0"/>
        <v>265</v>
      </c>
    </row>
    <row r="10" spans="1:9" x14ac:dyDescent="0.25">
      <c r="A10" t="s">
        <v>8</v>
      </c>
      <c r="B10" t="s">
        <v>14</v>
      </c>
      <c r="C10" t="s">
        <v>10</v>
      </c>
      <c r="D10" t="s">
        <v>11</v>
      </c>
      <c r="E10" t="s">
        <v>17</v>
      </c>
      <c r="F10">
        <v>63</v>
      </c>
      <c r="G10">
        <v>56</v>
      </c>
      <c r="H10">
        <v>65</v>
      </c>
      <c r="I10">
        <f t="shared" si="0"/>
        <v>184</v>
      </c>
    </row>
    <row r="11" spans="1:9" x14ac:dyDescent="0.25">
      <c r="A11" t="s">
        <v>8</v>
      </c>
      <c r="B11" t="s">
        <v>23</v>
      </c>
      <c r="C11" t="s">
        <v>19</v>
      </c>
      <c r="D11" t="s">
        <v>16</v>
      </c>
      <c r="E11" t="s">
        <v>17</v>
      </c>
      <c r="F11">
        <v>47</v>
      </c>
      <c r="G11">
        <v>42</v>
      </c>
      <c r="H11">
        <v>45</v>
      </c>
      <c r="I11">
        <f t="shared" si="0"/>
        <v>134</v>
      </c>
    </row>
    <row r="12" spans="1:9" x14ac:dyDescent="0.25">
      <c r="A12" t="s">
        <v>8</v>
      </c>
      <c r="B12" t="s">
        <v>18</v>
      </c>
      <c r="C12" t="s">
        <v>19</v>
      </c>
      <c r="D12" t="s">
        <v>11</v>
      </c>
      <c r="E12" t="s">
        <v>12</v>
      </c>
      <c r="F12">
        <v>99</v>
      </c>
      <c r="G12">
        <v>83</v>
      </c>
      <c r="H12">
        <v>85</v>
      </c>
      <c r="I12">
        <f t="shared" si="0"/>
        <v>267</v>
      </c>
    </row>
    <row r="13" spans="1:9" x14ac:dyDescent="0.25">
      <c r="A13" t="s">
        <v>13</v>
      </c>
      <c r="B13" t="s">
        <v>14</v>
      </c>
      <c r="C13" t="s">
        <v>10</v>
      </c>
      <c r="D13" t="s">
        <v>11</v>
      </c>
      <c r="E13" t="s">
        <v>12</v>
      </c>
      <c r="F13">
        <v>80</v>
      </c>
      <c r="G13">
        <v>87</v>
      </c>
      <c r="H13">
        <v>90</v>
      </c>
      <c r="I13">
        <f t="shared" si="0"/>
        <v>257</v>
      </c>
    </row>
    <row r="14" spans="1:9" x14ac:dyDescent="0.25">
      <c r="A14" t="s">
        <v>8</v>
      </c>
      <c r="B14" t="s">
        <v>14</v>
      </c>
      <c r="C14" t="s">
        <v>21</v>
      </c>
      <c r="D14" t="s">
        <v>11</v>
      </c>
      <c r="E14" t="s">
        <v>12</v>
      </c>
      <c r="F14">
        <v>77</v>
      </c>
      <c r="G14">
        <v>87</v>
      </c>
      <c r="H14">
        <v>85</v>
      </c>
      <c r="I14">
        <f t="shared" si="0"/>
        <v>249</v>
      </c>
    </row>
    <row r="15" spans="1:9" x14ac:dyDescent="0.25">
      <c r="A15" t="s">
        <v>8</v>
      </c>
      <c r="B15" t="s">
        <v>23</v>
      </c>
      <c r="C15" t="s">
        <v>10</v>
      </c>
      <c r="D15" t="s">
        <v>11</v>
      </c>
      <c r="E15" t="s">
        <v>12</v>
      </c>
      <c r="F15">
        <v>74</v>
      </c>
      <c r="G15">
        <v>74</v>
      </c>
      <c r="H15">
        <v>73</v>
      </c>
      <c r="I15">
        <f t="shared" si="0"/>
        <v>221</v>
      </c>
    </row>
    <row r="16" spans="1:9" x14ac:dyDescent="0.25">
      <c r="A16" t="s">
        <v>8</v>
      </c>
      <c r="B16" t="s">
        <v>18</v>
      </c>
      <c r="C16" t="s">
        <v>15</v>
      </c>
      <c r="D16" t="s">
        <v>11</v>
      </c>
      <c r="E16" t="s">
        <v>12</v>
      </c>
      <c r="F16">
        <v>81</v>
      </c>
      <c r="G16">
        <v>87</v>
      </c>
      <c r="H16">
        <v>85</v>
      </c>
      <c r="I16">
        <f t="shared" si="0"/>
        <v>253</v>
      </c>
    </row>
    <row r="17" spans="1:9" x14ac:dyDescent="0.25">
      <c r="A17" t="s">
        <v>8</v>
      </c>
      <c r="B17" t="s">
        <v>18</v>
      </c>
      <c r="C17" t="s">
        <v>21</v>
      </c>
      <c r="D17" t="s">
        <v>16</v>
      </c>
      <c r="E17" t="s">
        <v>17</v>
      </c>
      <c r="F17">
        <v>69</v>
      </c>
      <c r="G17">
        <v>61</v>
      </c>
      <c r="H17">
        <v>57</v>
      </c>
      <c r="I17">
        <f t="shared" si="0"/>
        <v>187</v>
      </c>
    </row>
    <row r="18" spans="1:9" x14ac:dyDescent="0.25">
      <c r="A18" t="s">
        <v>8</v>
      </c>
      <c r="B18" t="s">
        <v>20</v>
      </c>
      <c r="C18" t="s">
        <v>10</v>
      </c>
      <c r="D18" t="s">
        <v>11</v>
      </c>
      <c r="E18" t="s">
        <v>17</v>
      </c>
      <c r="F18">
        <v>58</v>
      </c>
      <c r="G18">
        <v>47</v>
      </c>
      <c r="H18">
        <v>42</v>
      </c>
      <c r="I18">
        <f t="shared" si="0"/>
        <v>147</v>
      </c>
    </row>
    <row r="19" spans="1:9" x14ac:dyDescent="0.25">
      <c r="A19" t="s">
        <v>13</v>
      </c>
      <c r="B19" t="s">
        <v>23</v>
      </c>
      <c r="C19" t="s">
        <v>21</v>
      </c>
      <c r="D19" t="s">
        <v>11</v>
      </c>
      <c r="E19" t="s">
        <v>12</v>
      </c>
      <c r="F19">
        <v>54</v>
      </c>
      <c r="G19">
        <v>62</v>
      </c>
      <c r="H19">
        <v>65</v>
      </c>
      <c r="I19">
        <f t="shared" si="0"/>
        <v>181</v>
      </c>
    </row>
    <row r="20" spans="1:9" x14ac:dyDescent="0.25">
      <c r="A20" t="s">
        <v>13</v>
      </c>
      <c r="B20" t="s">
        <v>23</v>
      </c>
      <c r="C20" t="s">
        <v>21</v>
      </c>
      <c r="D20" t="s">
        <v>16</v>
      </c>
      <c r="E20" t="s">
        <v>17</v>
      </c>
      <c r="F20">
        <v>23</v>
      </c>
      <c r="G20">
        <v>44</v>
      </c>
      <c r="H20">
        <v>44</v>
      </c>
      <c r="I20">
        <f t="shared" si="0"/>
        <v>111</v>
      </c>
    </row>
    <row r="21" spans="1:9" x14ac:dyDescent="0.25">
      <c r="A21" t="s">
        <v>8</v>
      </c>
      <c r="B21" t="s">
        <v>23</v>
      </c>
      <c r="C21" t="s">
        <v>19</v>
      </c>
      <c r="D21" t="s">
        <v>16</v>
      </c>
      <c r="E21" t="s">
        <v>17</v>
      </c>
      <c r="F21">
        <v>39</v>
      </c>
      <c r="G21">
        <v>32</v>
      </c>
      <c r="H21">
        <v>31</v>
      </c>
      <c r="I21">
        <f t="shared" si="0"/>
        <v>102</v>
      </c>
    </row>
    <row r="22" spans="1:9" x14ac:dyDescent="0.25">
      <c r="A22" t="s">
        <v>13</v>
      </c>
      <c r="B22" t="s">
        <v>23</v>
      </c>
      <c r="C22" t="s">
        <v>21</v>
      </c>
      <c r="D22" t="s">
        <v>11</v>
      </c>
      <c r="E22" t="s">
        <v>17</v>
      </c>
      <c r="F22">
        <v>83</v>
      </c>
      <c r="G22">
        <v>76</v>
      </c>
      <c r="H22">
        <v>88</v>
      </c>
      <c r="I22">
        <f t="shared" si="0"/>
        <v>247</v>
      </c>
    </row>
    <row r="23" spans="1:9" x14ac:dyDescent="0.25">
      <c r="A23" t="s">
        <v>8</v>
      </c>
      <c r="B23" t="s">
        <v>23</v>
      </c>
      <c r="C23" t="s">
        <v>21</v>
      </c>
      <c r="D23" t="s">
        <v>11</v>
      </c>
      <c r="E23" t="s">
        <v>17</v>
      </c>
      <c r="F23">
        <v>58</v>
      </c>
      <c r="G23">
        <v>52</v>
      </c>
      <c r="H23">
        <v>55</v>
      </c>
      <c r="I23">
        <f t="shared" si="0"/>
        <v>165</v>
      </c>
    </row>
    <row r="24" spans="1:9" x14ac:dyDescent="0.25">
      <c r="A24" t="s">
        <v>8</v>
      </c>
      <c r="B24" t="s">
        <v>20</v>
      </c>
      <c r="C24" t="s">
        <v>19</v>
      </c>
      <c r="D24" t="s">
        <v>11</v>
      </c>
      <c r="E24" t="s">
        <v>12</v>
      </c>
      <c r="F24">
        <v>71</v>
      </c>
      <c r="G24">
        <v>69</v>
      </c>
      <c r="H24">
        <v>73</v>
      </c>
      <c r="I24">
        <f t="shared" si="0"/>
        <v>213</v>
      </c>
    </row>
    <row r="25" spans="1:9" x14ac:dyDescent="0.25">
      <c r="A25" t="s">
        <v>13</v>
      </c>
      <c r="B25" t="s">
        <v>20</v>
      </c>
      <c r="C25" t="s">
        <v>19</v>
      </c>
      <c r="D25" t="s">
        <v>16</v>
      </c>
      <c r="E25" t="s">
        <v>17</v>
      </c>
      <c r="F25">
        <v>44</v>
      </c>
      <c r="G25">
        <v>55</v>
      </c>
      <c r="H25">
        <v>54</v>
      </c>
      <c r="I25">
        <f t="shared" si="0"/>
        <v>153</v>
      </c>
    </row>
    <row r="26" spans="1:9" x14ac:dyDescent="0.25">
      <c r="A26" t="s">
        <v>8</v>
      </c>
      <c r="B26" t="s">
        <v>18</v>
      </c>
      <c r="C26" t="s">
        <v>15</v>
      </c>
      <c r="D26" t="s">
        <v>16</v>
      </c>
      <c r="E26" t="s">
        <v>17</v>
      </c>
      <c r="F26">
        <v>46</v>
      </c>
      <c r="G26">
        <v>38</v>
      </c>
      <c r="H26">
        <v>32</v>
      </c>
      <c r="I26">
        <f t="shared" si="0"/>
        <v>116</v>
      </c>
    </row>
    <row r="27" spans="1:9" x14ac:dyDescent="0.25">
      <c r="A27" t="s">
        <v>8</v>
      </c>
      <c r="B27" t="s">
        <v>23</v>
      </c>
      <c r="C27" t="s">
        <v>10</v>
      </c>
      <c r="D27" t="s">
        <v>16</v>
      </c>
      <c r="E27" t="s">
        <v>17</v>
      </c>
      <c r="F27">
        <v>51</v>
      </c>
      <c r="G27">
        <v>45</v>
      </c>
      <c r="H27">
        <v>42</v>
      </c>
      <c r="I27">
        <f t="shared" si="0"/>
        <v>138</v>
      </c>
    </row>
    <row r="28" spans="1:9" x14ac:dyDescent="0.25">
      <c r="A28" t="s">
        <v>13</v>
      </c>
      <c r="B28" t="s">
        <v>23</v>
      </c>
      <c r="C28" t="s">
        <v>15</v>
      </c>
      <c r="D28" t="s">
        <v>11</v>
      </c>
      <c r="E28" t="s">
        <v>17</v>
      </c>
      <c r="F28">
        <v>53</v>
      </c>
      <c r="G28">
        <v>60</v>
      </c>
      <c r="H28">
        <v>56</v>
      </c>
      <c r="I28">
        <f t="shared" si="0"/>
        <v>169</v>
      </c>
    </row>
    <row r="29" spans="1:9" x14ac:dyDescent="0.25">
      <c r="A29" t="s">
        <v>8</v>
      </c>
      <c r="B29" t="s">
        <v>18</v>
      </c>
      <c r="C29" t="s">
        <v>10</v>
      </c>
      <c r="D29" t="s">
        <v>11</v>
      </c>
      <c r="E29" t="s">
        <v>17</v>
      </c>
      <c r="F29">
        <v>71</v>
      </c>
      <c r="G29">
        <v>68</v>
      </c>
      <c r="H29">
        <v>60</v>
      </c>
      <c r="I29">
        <f t="shared" si="0"/>
        <v>199</v>
      </c>
    </row>
    <row r="30" spans="1:9" x14ac:dyDescent="0.25">
      <c r="A30" t="s">
        <v>13</v>
      </c>
      <c r="B30" t="s">
        <v>20</v>
      </c>
      <c r="C30" t="s">
        <v>10</v>
      </c>
      <c r="D30" t="s">
        <v>11</v>
      </c>
      <c r="E30" t="s">
        <v>12</v>
      </c>
      <c r="F30">
        <v>74</v>
      </c>
      <c r="G30">
        <v>89</v>
      </c>
      <c r="H30">
        <v>89</v>
      </c>
      <c r="I30">
        <f t="shared" si="0"/>
        <v>252</v>
      </c>
    </row>
    <row r="31" spans="1:9" x14ac:dyDescent="0.25">
      <c r="A31" t="s">
        <v>13</v>
      </c>
      <c r="B31" t="s">
        <v>9</v>
      </c>
      <c r="C31" t="s">
        <v>15</v>
      </c>
      <c r="D31" t="s">
        <v>16</v>
      </c>
      <c r="E31" t="s">
        <v>17</v>
      </c>
      <c r="F31">
        <v>33</v>
      </c>
      <c r="G31">
        <v>54</v>
      </c>
      <c r="H31">
        <v>51</v>
      </c>
      <c r="I31">
        <f t="shared" si="0"/>
        <v>138</v>
      </c>
    </row>
    <row r="32" spans="1:9" x14ac:dyDescent="0.25">
      <c r="A32" t="s">
        <v>8</v>
      </c>
      <c r="B32" t="s">
        <v>20</v>
      </c>
      <c r="C32" t="s">
        <v>19</v>
      </c>
      <c r="D32" t="s">
        <v>11</v>
      </c>
      <c r="E32" t="s">
        <v>17</v>
      </c>
      <c r="F32">
        <v>87</v>
      </c>
      <c r="G32">
        <v>79</v>
      </c>
      <c r="H32">
        <v>77</v>
      </c>
      <c r="I32">
        <f t="shared" si="0"/>
        <v>243</v>
      </c>
    </row>
    <row r="33" spans="1:9" x14ac:dyDescent="0.25">
      <c r="A33" t="s">
        <v>8</v>
      </c>
      <c r="B33" t="s">
        <v>9</v>
      </c>
      <c r="C33" t="s">
        <v>22</v>
      </c>
      <c r="D33" t="s">
        <v>16</v>
      </c>
      <c r="E33" t="s">
        <v>17</v>
      </c>
      <c r="F33">
        <v>78</v>
      </c>
      <c r="G33">
        <v>74</v>
      </c>
      <c r="H33">
        <v>73</v>
      </c>
      <c r="I33">
        <f t="shared" si="0"/>
        <v>225</v>
      </c>
    </row>
    <row r="34" spans="1:9" x14ac:dyDescent="0.25">
      <c r="A34" t="s">
        <v>8</v>
      </c>
      <c r="B34" t="s">
        <v>9</v>
      </c>
      <c r="C34" t="s">
        <v>15</v>
      </c>
      <c r="D34" t="s">
        <v>16</v>
      </c>
      <c r="E34" t="s">
        <v>12</v>
      </c>
      <c r="F34">
        <v>40</v>
      </c>
      <c r="G34">
        <v>41</v>
      </c>
      <c r="H34">
        <v>39</v>
      </c>
      <c r="I34">
        <f t="shared" si="0"/>
        <v>120</v>
      </c>
    </row>
    <row r="35" spans="1:9" x14ac:dyDescent="0.25">
      <c r="A35" t="s">
        <v>13</v>
      </c>
      <c r="B35" t="s">
        <v>20</v>
      </c>
      <c r="C35" t="s">
        <v>21</v>
      </c>
      <c r="D35" t="s">
        <v>11</v>
      </c>
      <c r="E35" t="s">
        <v>12</v>
      </c>
      <c r="F35">
        <v>65</v>
      </c>
      <c r="G35">
        <v>65</v>
      </c>
      <c r="H35">
        <v>71</v>
      </c>
      <c r="I35">
        <f t="shared" si="0"/>
        <v>201</v>
      </c>
    </row>
    <row r="36" spans="1:9" x14ac:dyDescent="0.25">
      <c r="A36" t="s">
        <v>13</v>
      </c>
      <c r="B36" t="s">
        <v>20</v>
      </c>
      <c r="C36" t="s">
        <v>22</v>
      </c>
      <c r="D36" t="s">
        <v>11</v>
      </c>
      <c r="E36" t="s">
        <v>12</v>
      </c>
      <c r="F36">
        <v>79</v>
      </c>
      <c r="G36">
        <v>88</v>
      </c>
      <c r="H36">
        <v>89</v>
      </c>
      <c r="I36">
        <f t="shared" si="0"/>
        <v>256</v>
      </c>
    </row>
    <row r="37" spans="1:9" x14ac:dyDescent="0.25">
      <c r="A37" t="s">
        <v>13</v>
      </c>
      <c r="B37" t="s">
        <v>9</v>
      </c>
      <c r="C37" t="s">
        <v>22</v>
      </c>
      <c r="D37" t="s">
        <v>11</v>
      </c>
      <c r="E37" t="s">
        <v>17</v>
      </c>
      <c r="F37">
        <v>68</v>
      </c>
      <c r="G37">
        <v>74</v>
      </c>
      <c r="H37">
        <v>74</v>
      </c>
      <c r="I37">
        <f t="shared" si="0"/>
        <v>216</v>
      </c>
    </row>
    <row r="38" spans="1:9" x14ac:dyDescent="0.25">
      <c r="A38" t="s">
        <v>13</v>
      </c>
      <c r="B38" t="s">
        <v>23</v>
      </c>
      <c r="C38" t="s">
        <v>19</v>
      </c>
      <c r="D38" t="s">
        <v>11</v>
      </c>
      <c r="E38" t="s">
        <v>12</v>
      </c>
      <c r="F38">
        <v>57</v>
      </c>
      <c r="G38">
        <v>77</v>
      </c>
      <c r="H38">
        <v>75</v>
      </c>
      <c r="I38">
        <f t="shared" si="0"/>
        <v>209</v>
      </c>
    </row>
    <row r="39" spans="1:9" x14ac:dyDescent="0.25">
      <c r="A39" t="s">
        <v>8</v>
      </c>
      <c r="B39" t="s">
        <v>20</v>
      </c>
      <c r="C39" t="s">
        <v>10</v>
      </c>
      <c r="D39" t="s">
        <v>16</v>
      </c>
      <c r="E39" t="s">
        <v>17</v>
      </c>
      <c r="F39">
        <v>67</v>
      </c>
      <c r="G39">
        <v>65</v>
      </c>
      <c r="H39">
        <v>54</v>
      </c>
      <c r="I39">
        <f t="shared" si="0"/>
        <v>186</v>
      </c>
    </row>
    <row r="40" spans="1:9" x14ac:dyDescent="0.25">
      <c r="A40" t="s">
        <v>13</v>
      </c>
      <c r="B40" t="s">
        <v>20</v>
      </c>
      <c r="C40" t="s">
        <v>19</v>
      </c>
      <c r="D40" t="s">
        <v>16</v>
      </c>
      <c r="E40" t="s">
        <v>12</v>
      </c>
      <c r="F40">
        <v>58</v>
      </c>
      <c r="G40">
        <v>68</v>
      </c>
      <c r="H40">
        <v>73</v>
      </c>
      <c r="I40">
        <f t="shared" si="0"/>
        <v>199</v>
      </c>
    </row>
    <row r="41" spans="1:9" x14ac:dyDescent="0.25">
      <c r="A41" t="s">
        <v>8</v>
      </c>
      <c r="B41" t="s">
        <v>18</v>
      </c>
      <c r="C41" t="s">
        <v>21</v>
      </c>
      <c r="D41" t="s">
        <v>11</v>
      </c>
      <c r="E41" t="s">
        <v>17</v>
      </c>
      <c r="F41">
        <v>98</v>
      </c>
      <c r="G41">
        <v>81</v>
      </c>
      <c r="H41">
        <v>77</v>
      </c>
      <c r="I41">
        <f t="shared" si="0"/>
        <v>256</v>
      </c>
    </row>
    <row r="42" spans="1:9" x14ac:dyDescent="0.25">
      <c r="A42" t="s">
        <v>13</v>
      </c>
      <c r="B42" t="s">
        <v>20</v>
      </c>
      <c r="C42" t="s">
        <v>24</v>
      </c>
      <c r="D42" t="s">
        <v>16</v>
      </c>
      <c r="E42" t="s">
        <v>17</v>
      </c>
      <c r="F42">
        <v>54</v>
      </c>
      <c r="G42">
        <v>75</v>
      </c>
      <c r="H42">
        <v>72</v>
      </c>
      <c r="I42">
        <f t="shared" si="0"/>
        <v>201</v>
      </c>
    </row>
    <row r="43" spans="1:9" x14ac:dyDescent="0.25">
      <c r="A43" t="s">
        <v>8</v>
      </c>
      <c r="B43" t="s">
        <v>14</v>
      </c>
      <c r="C43" t="s">
        <v>10</v>
      </c>
      <c r="D43" t="s">
        <v>11</v>
      </c>
      <c r="E43" t="s">
        <v>17</v>
      </c>
      <c r="F43">
        <v>77</v>
      </c>
      <c r="G43">
        <v>67</v>
      </c>
      <c r="H43">
        <v>64</v>
      </c>
      <c r="I43">
        <f t="shared" si="0"/>
        <v>208</v>
      </c>
    </row>
    <row r="44" spans="1:9" x14ac:dyDescent="0.25">
      <c r="A44" t="s">
        <v>8</v>
      </c>
      <c r="B44" t="s">
        <v>18</v>
      </c>
      <c r="C44" t="s">
        <v>10</v>
      </c>
      <c r="D44" t="s">
        <v>11</v>
      </c>
      <c r="E44" t="s">
        <v>12</v>
      </c>
      <c r="F44">
        <v>87</v>
      </c>
      <c r="G44">
        <v>79</v>
      </c>
      <c r="H44">
        <v>82</v>
      </c>
      <c r="I44">
        <f t="shared" si="0"/>
        <v>248</v>
      </c>
    </row>
    <row r="45" spans="1:9" x14ac:dyDescent="0.25">
      <c r="A45" t="s">
        <v>13</v>
      </c>
      <c r="B45" t="s">
        <v>23</v>
      </c>
      <c r="C45" t="s">
        <v>24</v>
      </c>
      <c r="D45" t="s">
        <v>11</v>
      </c>
      <c r="E45" t="s">
        <v>17</v>
      </c>
      <c r="F45">
        <v>58</v>
      </c>
      <c r="G45">
        <v>70</v>
      </c>
      <c r="H45">
        <v>70</v>
      </c>
      <c r="I45">
        <f t="shared" si="0"/>
        <v>198</v>
      </c>
    </row>
    <row r="46" spans="1:9" x14ac:dyDescent="0.25">
      <c r="A46" t="s">
        <v>8</v>
      </c>
      <c r="B46" t="s">
        <v>18</v>
      </c>
      <c r="C46" t="s">
        <v>10</v>
      </c>
      <c r="D46" t="s">
        <v>11</v>
      </c>
      <c r="E46" t="s">
        <v>17</v>
      </c>
      <c r="F46">
        <v>100</v>
      </c>
      <c r="G46">
        <v>88</v>
      </c>
      <c r="H46">
        <v>87</v>
      </c>
      <c r="I46">
        <f t="shared" si="0"/>
        <v>275</v>
      </c>
    </row>
    <row r="47" spans="1:9" x14ac:dyDescent="0.25">
      <c r="A47" t="s">
        <v>8</v>
      </c>
      <c r="B47" t="s">
        <v>23</v>
      </c>
      <c r="C47" t="s">
        <v>22</v>
      </c>
      <c r="D47" t="s">
        <v>11</v>
      </c>
      <c r="E47" t="s">
        <v>17</v>
      </c>
      <c r="F47">
        <v>60</v>
      </c>
      <c r="G47">
        <v>46</v>
      </c>
      <c r="H47">
        <v>51</v>
      </c>
      <c r="I47">
        <f t="shared" si="0"/>
        <v>157</v>
      </c>
    </row>
    <row r="48" spans="1:9" x14ac:dyDescent="0.25">
      <c r="A48" t="s">
        <v>8</v>
      </c>
      <c r="B48" t="s">
        <v>23</v>
      </c>
      <c r="C48" t="s">
        <v>21</v>
      </c>
      <c r="D48" t="s">
        <v>16</v>
      </c>
      <c r="E48" t="s">
        <v>17</v>
      </c>
      <c r="F48">
        <v>64</v>
      </c>
      <c r="G48">
        <v>63</v>
      </c>
      <c r="H48">
        <v>57</v>
      </c>
      <c r="I48">
        <f t="shared" si="0"/>
        <v>184</v>
      </c>
    </row>
    <row r="49" spans="1:9" x14ac:dyDescent="0.25">
      <c r="A49" t="s">
        <v>13</v>
      </c>
      <c r="B49" t="s">
        <v>18</v>
      </c>
      <c r="C49" t="s">
        <v>15</v>
      </c>
      <c r="D49" t="s">
        <v>11</v>
      </c>
      <c r="E49" t="s">
        <v>12</v>
      </c>
      <c r="F49">
        <v>65</v>
      </c>
      <c r="G49">
        <v>76</v>
      </c>
      <c r="H49">
        <v>78</v>
      </c>
      <c r="I49">
        <f t="shared" si="0"/>
        <v>219</v>
      </c>
    </row>
    <row r="50" spans="1:9" x14ac:dyDescent="0.25">
      <c r="A50" t="s">
        <v>13</v>
      </c>
      <c r="B50" t="s">
        <v>14</v>
      </c>
      <c r="C50" t="s">
        <v>10</v>
      </c>
      <c r="D50" t="s">
        <v>11</v>
      </c>
      <c r="E50" t="s">
        <v>17</v>
      </c>
      <c r="F50">
        <v>68</v>
      </c>
      <c r="G50">
        <v>72</v>
      </c>
      <c r="H50">
        <v>73</v>
      </c>
      <c r="I50">
        <f t="shared" si="0"/>
        <v>213</v>
      </c>
    </row>
    <row r="51" spans="1:9" x14ac:dyDescent="0.25">
      <c r="A51" t="s">
        <v>8</v>
      </c>
      <c r="B51" t="s">
        <v>23</v>
      </c>
      <c r="C51" t="s">
        <v>21</v>
      </c>
      <c r="D51" t="s">
        <v>16</v>
      </c>
      <c r="E51" t="s">
        <v>12</v>
      </c>
      <c r="F51">
        <v>60</v>
      </c>
      <c r="G51">
        <v>63</v>
      </c>
      <c r="H51">
        <v>57</v>
      </c>
      <c r="I51">
        <f t="shared" si="0"/>
        <v>180</v>
      </c>
    </row>
    <row r="52" spans="1:9" x14ac:dyDescent="0.25">
      <c r="A52" t="s">
        <v>8</v>
      </c>
      <c r="B52" t="s">
        <v>14</v>
      </c>
      <c r="C52" t="s">
        <v>10</v>
      </c>
      <c r="D52" t="s">
        <v>11</v>
      </c>
      <c r="E52" t="s">
        <v>17</v>
      </c>
      <c r="F52">
        <v>65</v>
      </c>
      <c r="G52">
        <v>68</v>
      </c>
      <c r="H52">
        <v>64</v>
      </c>
      <c r="I52">
        <f t="shared" si="0"/>
        <v>197</v>
      </c>
    </row>
    <row r="53" spans="1:9" x14ac:dyDescent="0.25">
      <c r="A53" t="s">
        <v>13</v>
      </c>
      <c r="B53" t="s">
        <v>23</v>
      </c>
      <c r="C53" t="s">
        <v>15</v>
      </c>
      <c r="D53" t="s">
        <v>16</v>
      </c>
      <c r="E53" t="s">
        <v>17</v>
      </c>
      <c r="F53">
        <v>52</v>
      </c>
      <c r="G53">
        <v>58</v>
      </c>
      <c r="H53">
        <v>60</v>
      </c>
      <c r="I53">
        <f t="shared" si="0"/>
        <v>170</v>
      </c>
    </row>
    <row r="54" spans="1:9" x14ac:dyDescent="0.25">
      <c r="A54" t="s">
        <v>13</v>
      </c>
      <c r="B54" t="s">
        <v>23</v>
      </c>
      <c r="C54" t="s">
        <v>21</v>
      </c>
      <c r="D54" t="s">
        <v>11</v>
      </c>
      <c r="E54" t="s">
        <v>17</v>
      </c>
      <c r="F54">
        <v>74</v>
      </c>
      <c r="G54">
        <v>81</v>
      </c>
      <c r="H54">
        <v>85</v>
      </c>
      <c r="I54">
        <f t="shared" si="0"/>
        <v>240</v>
      </c>
    </row>
    <row r="55" spans="1:9" x14ac:dyDescent="0.25">
      <c r="A55" t="s">
        <v>13</v>
      </c>
      <c r="B55" t="s">
        <v>23</v>
      </c>
      <c r="C55" t="s">
        <v>10</v>
      </c>
      <c r="D55" t="s">
        <v>16</v>
      </c>
      <c r="E55" t="s">
        <v>17</v>
      </c>
      <c r="F55">
        <v>36</v>
      </c>
      <c r="G55">
        <v>53</v>
      </c>
      <c r="H55">
        <v>49</v>
      </c>
      <c r="I55">
        <f t="shared" si="0"/>
        <v>138</v>
      </c>
    </row>
    <row r="56" spans="1:9" x14ac:dyDescent="0.25">
      <c r="A56" t="s">
        <v>8</v>
      </c>
      <c r="B56" t="s">
        <v>14</v>
      </c>
      <c r="C56" t="s">
        <v>10</v>
      </c>
      <c r="D56" t="s">
        <v>16</v>
      </c>
      <c r="E56" t="s">
        <v>17</v>
      </c>
      <c r="F56">
        <v>57</v>
      </c>
      <c r="G56">
        <v>57</v>
      </c>
      <c r="H56">
        <v>47</v>
      </c>
      <c r="I56">
        <f t="shared" si="0"/>
        <v>161</v>
      </c>
    </row>
    <row r="57" spans="1:9" x14ac:dyDescent="0.25">
      <c r="A57" t="s">
        <v>13</v>
      </c>
      <c r="B57" t="s">
        <v>23</v>
      </c>
      <c r="C57" t="s">
        <v>19</v>
      </c>
      <c r="D57" t="s">
        <v>11</v>
      </c>
      <c r="E57" t="s">
        <v>12</v>
      </c>
      <c r="F57">
        <v>56</v>
      </c>
      <c r="G57">
        <v>60</v>
      </c>
      <c r="H57">
        <v>62</v>
      </c>
      <c r="I57">
        <f t="shared" si="0"/>
        <v>178</v>
      </c>
    </row>
    <row r="58" spans="1:9" x14ac:dyDescent="0.25">
      <c r="A58" t="s">
        <v>13</v>
      </c>
      <c r="B58" t="s">
        <v>23</v>
      </c>
      <c r="C58" t="s">
        <v>22</v>
      </c>
      <c r="D58" t="s">
        <v>11</v>
      </c>
      <c r="E58" t="s">
        <v>12</v>
      </c>
      <c r="F58">
        <v>67</v>
      </c>
      <c r="G58">
        <v>80</v>
      </c>
      <c r="H58">
        <v>84</v>
      </c>
      <c r="I58">
        <f t="shared" si="0"/>
        <v>231</v>
      </c>
    </row>
    <row r="59" spans="1:9" x14ac:dyDescent="0.25">
      <c r="A59" t="s">
        <v>8</v>
      </c>
      <c r="B59" t="s">
        <v>14</v>
      </c>
      <c r="C59" t="s">
        <v>21</v>
      </c>
      <c r="D59" t="s">
        <v>11</v>
      </c>
      <c r="E59" t="s">
        <v>12</v>
      </c>
      <c r="F59">
        <v>88</v>
      </c>
      <c r="G59">
        <v>87</v>
      </c>
      <c r="H59">
        <v>83</v>
      </c>
      <c r="I59">
        <f t="shared" si="0"/>
        <v>258</v>
      </c>
    </row>
    <row r="60" spans="1:9" x14ac:dyDescent="0.25">
      <c r="A60" t="s">
        <v>13</v>
      </c>
      <c r="B60" t="s">
        <v>14</v>
      </c>
      <c r="C60" t="s">
        <v>19</v>
      </c>
      <c r="D60" t="s">
        <v>16</v>
      </c>
      <c r="E60" t="s">
        <v>17</v>
      </c>
      <c r="F60">
        <v>42</v>
      </c>
      <c r="G60">
        <v>61</v>
      </c>
      <c r="H60">
        <v>51</v>
      </c>
      <c r="I60">
        <f t="shared" si="0"/>
        <v>154</v>
      </c>
    </row>
    <row r="61" spans="1:9" x14ac:dyDescent="0.25">
      <c r="A61" t="s">
        <v>8</v>
      </c>
      <c r="B61" t="s">
        <v>18</v>
      </c>
      <c r="C61" t="s">
        <v>15</v>
      </c>
      <c r="D61" t="s">
        <v>11</v>
      </c>
      <c r="E61" t="s">
        <v>17</v>
      </c>
      <c r="F61">
        <v>68</v>
      </c>
      <c r="G61">
        <v>51</v>
      </c>
      <c r="H61">
        <v>48</v>
      </c>
      <c r="I61">
        <f t="shared" si="0"/>
        <v>167</v>
      </c>
    </row>
    <row r="62" spans="1:9" x14ac:dyDescent="0.25">
      <c r="A62" t="s">
        <v>8</v>
      </c>
      <c r="B62" t="s">
        <v>14</v>
      </c>
      <c r="C62" t="s">
        <v>19</v>
      </c>
      <c r="D62" t="s">
        <v>16</v>
      </c>
      <c r="E62" t="s">
        <v>17</v>
      </c>
      <c r="F62">
        <v>76</v>
      </c>
      <c r="G62">
        <v>66</v>
      </c>
      <c r="H62">
        <v>68</v>
      </c>
      <c r="I62">
        <f t="shared" si="0"/>
        <v>210</v>
      </c>
    </row>
    <row r="63" spans="1:9" x14ac:dyDescent="0.25">
      <c r="A63" t="s">
        <v>13</v>
      </c>
      <c r="B63" t="s">
        <v>18</v>
      </c>
      <c r="C63" t="s">
        <v>15</v>
      </c>
      <c r="D63" t="s">
        <v>11</v>
      </c>
      <c r="E63" t="s">
        <v>17</v>
      </c>
      <c r="F63">
        <v>58</v>
      </c>
      <c r="G63">
        <v>63</v>
      </c>
      <c r="H63">
        <v>59</v>
      </c>
      <c r="I63">
        <f t="shared" si="0"/>
        <v>180</v>
      </c>
    </row>
    <row r="64" spans="1:9" x14ac:dyDescent="0.25">
      <c r="A64" t="s">
        <v>8</v>
      </c>
      <c r="B64" t="s">
        <v>18</v>
      </c>
      <c r="C64" t="s">
        <v>15</v>
      </c>
      <c r="D64" t="s">
        <v>11</v>
      </c>
      <c r="E64" t="s">
        <v>12</v>
      </c>
      <c r="F64">
        <v>69</v>
      </c>
      <c r="G64">
        <v>67</v>
      </c>
      <c r="H64">
        <v>62</v>
      </c>
      <c r="I64">
        <f t="shared" si="0"/>
        <v>198</v>
      </c>
    </row>
    <row r="65" spans="1:9" x14ac:dyDescent="0.25">
      <c r="A65" t="s">
        <v>8</v>
      </c>
      <c r="B65" t="s">
        <v>9</v>
      </c>
      <c r="C65" t="s">
        <v>22</v>
      </c>
      <c r="D65" t="s">
        <v>11</v>
      </c>
      <c r="E65" t="s">
        <v>12</v>
      </c>
      <c r="F65">
        <v>77</v>
      </c>
      <c r="G65">
        <v>82</v>
      </c>
      <c r="H65">
        <v>78</v>
      </c>
      <c r="I65">
        <f t="shared" si="0"/>
        <v>237</v>
      </c>
    </row>
    <row r="66" spans="1:9" x14ac:dyDescent="0.25">
      <c r="A66" t="s">
        <v>8</v>
      </c>
      <c r="B66" t="s">
        <v>14</v>
      </c>
      <c r="C66" t="s">
        <v>24</v>
      </c>
      <c r="D66" t="s">
        <v>11</v>
      </c>
      <c r="E66" t="s">
        <v>12</v>
      </c>
      <c r="F66">
        <v>83</v>
      </c>
      <c r="G66">
        <v>93</v>
      </c>
      <c r="H66">
        <v>97</v>
      </c>
      <c r="I66">
        <f t="shared" si="0"/>
        <v>273</v>
      </c>
    </row>
    <row r="67" spans="1:9" x14ac:dyDescent="0.25">
      <c r="A67" t="s">
        <v>13</v>
      </c>
      <c r="B67" t="s">
        <v>23</v>
      </c>
      <c r="C67" t="s">
        <v>15</v>
      </c>
      <c r="D67" t="s">
        <v>16</v>
      </c>
      <c r="E67" t="s">
        <v>12</v>
      </c>
      <c r="F67">
        <v>49</v>
      </c>
      <c r="G67">
        <v>74</v>
      </c>
      <c r="H67">
        <v>70</v>
      </c>
      <c r="I67">
        <f t="shared" ref="I67:I130" si="1">SUM(F67:H67)</f>
        <v>193</v>
      </c>
    </row>
    <row r="68" spans="1:9" x14ac:dyDescent="0.25">
      <c r="A68" t="s">
        <v>8</v>
      </c>
      <c r="B68" t="s">
        <v>23</v>
      </c>
      <c r="C68" t="s">
        <v>10</v>
      </c>
      <c r="D68" t="s">
        <v>11</v>
      </c>
      <c r="E68" t="s">
        <v>17</v>
      </c>
      <c r="F68">
        <v>71</v>
      </c>
      <c r="G68">
        <v>60</v>
      </c>
      <c r="H68">
        <v>56</v>
      </c>
      <c r="I68">
        <f t="shared" si="1"/>
        <v>187</v>
      </c>
    </row>
    <row r="69" spans="1:9" x14ac:dyDescent="0.25">
      <c r="A69" t="s">
        <v>13</v>
      </c>
      <c r="B69" t="s">
        <v>14</v>
      </c>
      <c r="C69" t="s">
        <v>15</v>
      </c>
      <c r="D69" t="s">
        <v>16</v>
      </c>
      <c r="E69" t="s">
        <v>17</v>
      </c>
      <c r="F69">
        <v>47</v>
      </c>
      <c r="G69">
        <v>46</v>
      </c>
      <c r="H69">
        <v>49</v>
      </c>
      <c r="I69">
        <f t="shared" si="1"/>
        <v>142</v>
      </c>
    </row>
    <row r="70" spans="1:9" x14ac:dyDescent="0.25">
      <c r="A70" t="s">
        <v>8</v>
      </c>
      <c r="B70" t="s">
        <v>20</v>
      </c>
      <c r="C70" t="s">
        <v>10</v>
      </c>
      <c r="D70" t="s">
        <v>11</v>
      </c>
      <c r="E70" t="s">
        <v>17</v>
      </c>
      <c r="F70">
        <v>79</v>
      </c>
      <c r="G70">
        <v>64</v>
      </c>
      <c r="H70">
        <v>60</v>
      </c>
      <c r="I70">
        <f t="shared" si="1"/>
        <v>203</v>
      </c>
    </row>
    <row r="71" spans="1:9" x14ac:dyDescent="0.25">
      <c r="A71" t="s">
        <v>13</v>
      </c>
      <c r="B71" t="s">
        <v>23</v>
      </c>
      <c r="C71" t="s">
        <v>10</v>
      </c>
      <c r="D71" t="s">
        <v>11</v>
      </c>
      <c r="E71" t="s">
        <v>17</v>
      </c>
      <c r="F71">
        <v>60</v>
      </c>
      <c r="G71">
        <v>64</v>
      </c>
      <c r="H71">
        <v>57</v>
      </c>
      <c r="I71">
        <f t="shared" si="1"/>
        <v>181</v>
      </c>
    </row>
    <row r="72" spans="1:9" x14ac:dyDescent="0.25">
      <c r="A72" t="s">
        <v>13</v>
      </c>
      <c r="B72" t="s">
        <v>23</v>
      </c>
      <c r="C72" t="s">
        <v>21</v>
      </c>
      <c r="D72" t="s">
        <v>11</v>
      </c>
      <c r="E72" t="s">
        <v>12</v>
      </c>
      <c r="F72">
        <v>56</v>
      </c>
      <c r="G72">
        <v>68</v>
      </c>
      <c r="H72">
        <v>73</v>
      </c>
      <c r="I72">
        <f t="shared" si="1"/>
        <v>197</v>
      </c>
    </row>
    <row r="73" spans="1:9" x14ac:dyDescent="0.25">
      <c r="A73" t="s">
        <v>8</v>
      </c>
      <c r="B73" t="s">
        <v>23</v>
      </c>
      <c r="C73" t="s">
        <v>21</v>
      </c>
      <c r="D73" t="s">
        <v>11</v>
      </c>
      <c r="E73" t="s">
        <v>17</v>
      </c>
      <c r="F73">
        <v>57</v>
      </c>
      <c r="G73">
        <v>52</v>
      </c>
      <c r="H73">
        <v>47</v>
      </c>
      <c r="I73">
        <f t="shared" si="1"/>
        <v>156</v>
      </c>
    </row>
    <row r="74" spans="1:9" x14ac:dyDescent="0.25">
      <c r="A74" t="s">
        <v>13</v>
      </c>
      <c r="B74" t="s">
        <v>20</v>
      </c>
      <c r="C74" t="s">
        <v>19</v>
      </c>
      <c r="D74" t="s">
        <v>11</v>
      </c>
      <c r="E74" t="s">
        <v>17</v>
      </c>
      <c r="F74">
        <v>49</v>
      </c>
      <c r="G74">
        <v>70</v>
      </c>
      <c r="H74">
        <v>63</v>
      </c>
      <c r="I74">
        <f t="shared" si="1"/>
        <v>182</v>
      </c>
    </row>
    <row r="75" spans="1:9" x14ac:dyDescent="0.25">
      <c r="A75" t="s">
        <v>13</v>
      </c>
      <c r="B75" t="s">
        <v>23</v>
      </c>
      <c r="C75" t="s">
        <v>15</v>
      </c>
      <c r="D75" t="s">
        <v>11</v>
      </c>
      <c r="E75" t="s">
        <v>12</v>
      </c>
      <c r="F75">
        <v>79</v>
      </c>
      <c r="G75">
        <v>76</v>
      </c>
      <c r="H75">
        <v>81</v>
      </c>
      <c r="I75">
        <f t="shared" si="1"/>
        <v>236</v>
      </c>
    </row>
    <row r="76" spans="1:9" x14ac:dyDescent="0.25">
      <c r="A76" t="s">
        <v>8</v>
      </c>
      <c r="B76" t="s">
        <v>20</v>
      </c>
      <c r="C76" t="s">
        <v>24</v>
      </c>
      <c r="D76" t="s">
        <v>16</v>
      </c>
      <c r="E76" t="s">
        <v>17</v>
      </c>
      <c r="F76">
        <v>71</v>
      </c>
      <c r="G76">
        <v>76</v>
      </c>
      <c r="H76">
        <v>67</v>
      </c>
      <c r="I76">
        <f t="shared" si="1"/>
        <v>214</v>
      </c>
    </row>
    <row r="77" spans="1:9" x14ac:dyDescent="0.25">
      <c r="A77" t="s">
        <v>13</v>
      </c>
      <c r="B77" t="s">
        <v>23</v>
      </c>
      <c r="C77" t="s">
        <v>10</v>
      </c>
      <c r="D77" t="s">
        <v>11</v>
      </c>
      <c r="E77" t="s">
        <v>17</v>
      </c>
      <c r="F77">
        <v>71</v>
      </c>
      <c r="G77">
        <v>77</v>
      </c>
      <c r="H77">
        <v>70</v>
      </c>
      <c r="I77">
        <f t="shared" si="1"/>
        <v>218</v>
      </c>
    </row>
    <row r="78" spans="1:9" x14ac:dyDescent="0.25">
      <c r="A78" t="s">
        <v>13</v>
      </c>
      <c r="B78" t="s">
        <v>23</v>
      </c>
      <c r="C78" t="s">
        <v>19</v>
      </c>
      <c r="D78" t="s">
        <v>11</v>
      </c>
      <c r="E78" t="s">
        <v>17</v>
      </c>
      <c r="F78">
        <v>47</v>
      </c>
      <c r="G78">
        <v>63</v>
      </c>
      <c r="H78">
        <v>59</v>
      </c>
      <c r="I78">
        <f t="shared" si="1"/>
        <v>169</v>
      </c>
    </row>
    <row r="79" spans="1:9" x14ac:dyDescent="0.25">
      <c r="A79" t="s">
        <v>13</v>
      </c>
      <c r="B79" t="s">
        <v>14</v>
      </c>
      <c r="C79" t="s">
        <v>10</v>
      </c>
      <c r="D79" t="s">
        <v>16</v>
      </c>
      <c r="E79" t="s">
        <v>17</v>
      </c>
      <c r="F79">
        <v>72</v>
      </c>
      <c r="G79">
        <v>91</v>
      </c>
      <c r="H79">
        <v>81</v>
      </c>
      <c r="I79">
        <f t="shared" si="1"/>
        <v>244</v>
      </c>
    </row>
    <row r="80" spans="1:9" x14ac:dyDescent="0.25">
      <c r="A80" t="s">
        <v>8</v>
      </c>
      <c r="B80" t="s">
        <v>23</v>
      </c>
      <c r="C80" t="s">
        <v>21</v>
      </c>
      <c r="D80" t="s">
        <v>11</v>
      </c>
      <c r="E80" t="s">
        <v>17</v>
      </c>
      <c r="F80">
        <v>78</v>
      </c>
      <c r="G80">
        <v>73</v>
      </c>
      <c r="H80">
        <v>76</v>
      </c>
      <c r="I80">
        <f t="shared" si="1"/>
        <v>227</v>
      </c>
    </row>
    <row r="81" spans="1:9" x14ac:dyDescent="0.25">
      <c r="A81" t="s">
        <v>8</v>
      </c>
      <c r="B81" t="s">
        <v>14</v>
      </c>
      <c r="C81" t="s">
        <v>15</v>
      </c>
      <c r="D81" t="s">
        <v>11</v>
      </c>
      <c r="E81" t="s">
        <v>17</v>
      </c>
      <c r="F81">
        <v>54</v>
      </c>
      <c r="G81">
        <v>43</v>
      </c>
      <c r="H81">
        <v>45</v>
      </c>
      <c r="I81">
        <f t="shared" si="1"/>
        <v>142</v>
      </c>
    </row>
    <row r="82" spans="1:9" x14ac:dyDescent="0.25">
      <c r="A82" t="s">
        <v>13</v>
      </c>
      <c r="B82" t="s">
        <v>20</v>
      </c>
      <c r="C82" t="s">
        <v>22</v>
      </c>
      <c r="D82" t="s">
        <v>11</v>
      </c>
      <c r="E82" t="s">
        <v>17</v>
      </c>
      <c r="F82">
        <v>46</v>
      </c>
      <c r="G82">
        <v>59</v>
      </c>
      <c r="H82">
        <v>62</v>
      </c>
      <c r="I82">
        <f t="shared" si="1"/>
        <v>167</v>
      </c>
    </row>
    <row r="83" spans="1:9" x14ac:dyDescent="0.25">
      <c r="A83" t="s">
        <v>13</v>
      </c>
      <c r="B83" t="s">
        <v>14</v>
      </c>
      <c r="C83" t="s">
        <v>15</v>
      </c>
      <c r="D83" t="s">
        <v>16</v>
      </c>
      <c r="E83" t="s">
        <v>17</v>
      </c>
      <c r="F83">
        <v>31</v>
      </c>
      <c r="G83">
        <v>38</v>
      </c>
      <c r="H83">
        <v>42</v>
      </c>
      <c r="I83">
        <f t="shared" si="1"/>
        <v>111</v>
      </c>
    </row>
    <row r="84" spans="1:9" x14ac:dyDescent="0.25">
      <c r="A84" t="s">
        <v>13</v>
      </c>
      <c r="B84" t="s">
        <v>23</v>
      </c>
      <c r="C84" t="s">
        <v>21</v>
      </c>
      <c r="D84" t="s">
        <v>16</v>
      </c>
      <c r="E84" t="s">
        <v>17</v>
      </c>
      <c r="F84">
        <v>51</v>
      </c>
      <c r="G84">
        <v>59</v>
      </c>
      <c r="H84">
        <v>59</v>
      </c>
      <c r="I84">
        <f t="shared" si="1"/>
        <v>169</v>
      </c>
    </row>
    <row r="85" spans="1:9" x14ac:dyDescent="0.25">
      <c r="A85" t="s">
        <v>8</v>
      </c>
      <c r="B85" t="s">
        <v>20</v>
      </c>
      <c r="C85" t="s">
        <v>10</v>
      </c>
      <c r="D85" t="s">
        <v>11</v>
      </c>
      <c r="E85" t="s">
        <v>12</v>
      </c>
      <c r="F85">
        <v>78</v>
      </c>
      <c r="G85">
        <v>76</v>
      </c>
      <c r="H85">
        <v>73</v>
      </c>
      <c r="I85">
        <f t="shared" si="1"/>
        <v>227</v>
      </c>
    </row>
    <row r="86" spans="1:9" x14ac:dyDescent="0.25">
      <c r="A86" t="s">
        <v>13</v>
      </c>
      <c r="B86" t="s">
        <v>20</v>
      </c>
      <c r="C86" t="s">
        <v>21</v>
      </c>
      <c r="D86" t="s">
        <v>16</v>
      </c>
      <c r="E86" t="s">
        <v>17</v>
      </c>
      <c r="F86">
        <v>32</v>
      </c>
      <c r="G86">
        <v>41</v>
      </c>
      <c r="H86">
        <v>39</v>
      </c>
      <c r="I86">
        <f t="shared" si="1"/>
        <v>112</v>
      </c>
    </row>
    <row r="87" spans="1:9" x14ac:dyDescent="0.25">
      <c r="A87" t="s">
        <v>13</v>
      </c>
      <c r="B87" t="s">
        <v>23</v>
      </c>
      <c r="C87" t="s">
        <v>15</v>
      </c>
      <c r="D87" t="s">
        <v>11</v>
      </c>
      <c r="E87" t="s">
        <v>17</v>
      </c>
      <c r="F87">
        <v>53</v>
      </c>
      <c r="G87">
        <v>71</v>
      </c>
      <c r="H87">
        <v>69</v>
      </c>
      <c r="I87">
        <f t="shared" si="1"/>
        <v>193</v>
      </c>
    </row>
    <row r="88" spans="1:9" x14ac:dyDescent="0.25">
      <c r="A88" t="s">
        <v>13</v>
      </c>
      <c r="B88" t="s">
        <v>23</v>
      </c>
      <c r="C88" t="s">
        <v>19</v>
      </c>
      <c r="D88" t="s">
        <v>16</v>
      </c>
      <c r="E88" t="s">
        <v>17</v>
      </c>
      <c r="F88">
        <v>63</v>
      </c>
      <c r="G88">
        <v>76</v>
      </c>
      <c r="H88">
        <v>69</v>
      </c>
      <c r="I88">
        <f t="shared" si="1"/>
        <v>208</v>
      </c>
    </row>
    <row r="89" spans="1:9" x14ac:dyDescent="0.25">
      <c r="A89" t="s">
        <v>8</v>
      </c>
      <c r="B89" t="s">
        <v>14</v>
      </c>
      <c r="C89" t="s">
        <v>19</v>
      </c>
      <c r="D89" t="s">
        <v>11</v>
      </c>
      <c r="E89" t="s">
        <v>17</v>
      </c>
      <c r="F89">
        <v>97</v>
      </c>
      <c r="G89">
        <v>93</v>
      </c>
      <c r="H89">
        <v>88</v>
      </c>
      <c r="I89">
        <f t="shared" si="1"/>
        <v>278</v>
      </c>
    </row>
    <row r="90" spans="1:9" x14ac:dyDescent="0.25">
      <c r="A90" t="s">
        <v>13</v>
      </c>
      <c r="B90" t="s">
        <v>14</v>
      </c>
      <c r="C90" t="s">
        <v>19</v>
      </c>
      <c r="D90" t="s">
        <v>11</v>
      </c>
      <c r="E90" t="s">
        <v>17</v>
      </c>
      <c r="F90">
        <v>56</v>
      </c>
      <c r="G90">
        <v>52</v>
      </c>
      <c r="H90">
        <v>61</v>
      </c>
      <c r="I90">
        <f t="shared" si="1"/>
        <v>169</v>
      </c>
    </row>
    <row r="91" spans="1:9" x14ac:dyDescent="0.25">
      <c r="A91" t="s">
        <v>8</v>
      </c>
      <c r="B91" t="s">
        <v>20</v>
      </c>
      <c r="C91" t="s">
        <v>10</v>
      </c>
      <c r="D91" t="s">
        <v>11</v>
      </c>
      <c r="E91" t="s">
        <v>17</v>
      </c>
      <c r="F91">
        <v>72</v>
      </c>
      <c r="G91">
        <v>76</v>
      </c>
      <c r="H91">
        <v>72</v>
      </c>
      <c r="I91">
        <f t="shared" si="1"/>
        <v>220</v>
      </c>
    </row>
    <row r="92" spans="1:9" x14ac:dyDescent="0.25">
      <c r="A92" t="s">
        <v>8</v>
      </c>
      <c r="B92" t="s">
        <v>23</v>
      </c>
      <c r="C92" t="s">
        <v>19</v>
      </c>
      <c r="D92" t="s">
        <v>16</v>
      </c>
      <c r="E92" t="s">
        <v>17</v>
      </c>
      <c r="F92">
        <v>57</v>
      </c>
      <c r="G92">
        <v>47</v>
      </c>
      <c r="H92">
        <v>42</v>
      </c>
      <c r="I92">
        <f t="shared" si="1"/>
        <v>146</v>
      </c>
    </row>
    <row r="93" spans="1:9" x14ac:dyDescent="0.25">
      <c r="A93" t="s">
        <v>8</v>
      </c>
      <c r="B93" t="s">
        <v>20</v>
      </c>
      <c r="C93" t="s">
        <v>15</v>
      </c>
      <c r="D93" t="s">
        <v>11</v>
      </c>
      <c r="E93" t="s">
        <v>17</v>
      </c>
      <c r="F93">
        <v>74</v>
      </c>
      <c r="G93">
        <v>71</v>
      </c>
      <c r="H93">
        <v>70</v>
      </c>
      <c r="I93">
        <f t="shared" si="1"/>
        <v>215</v>
      </c>
    </row>
    <row r="94" spans="1:9" x14ac:dyDescent="0.25">
      <c r="A94" t="s">
        <v>13</v>
      </c>
      <c r="B94" t="s">
        <v>14</v>
      </c>
      <c r="C94" t="s">
        <v>24</v>
      </c>
      <c r="D94" t="s">
        <v>11</v>
      </c>
      <c r="E94" t="s">
        <v>17</v>
      </c>
      <c r="F94">
        <v>81</v>
      </c>
      <c r="G94">
        <v>81</v>
      </c>
      <c r="H94">
        <v>87</v>
      </c>
      <c r="I94">
        <f t="shared" si="1"/>
        <v>249</v>
      </c>
    </row>
    <row r="95" spans="1:9" x14ac:dyDescent="0.25">
      <c r="A95" t="s">
        <v>8</v>
      </c>
      <c r="B95" t="s">
        <v>14</v>
      </c>
      <c r="C95" t="s">
        <v>22</v>
      </c>
      <c r="D95" t="s">
        <v>11</v>
      </c>
      <c r="E95" t="s">
        <v>12</v>
      </c>
      <c r="F95">
        <v>94</v>
      </c>
      <c r="G95">
        <v>87</v>
      </c>
      <c r="H95">
        <v>93</v>
      </c>
      <c r="I95">
        <f t="shared" si="1"/>
        <v>274</v>
      </c>
    </row>
    <row r="96" spans="1:9" x14ac:dyDescent="0.25">
      <c r="A96" t="s">
        <v>8</v>
      </c>
      <c r="B96" t="s">
        <v>20</v>
      </c>
      <c r="C96" t="s">
        <v>24</v>
      </c>
      <c r="D96" t="s">
        <v>16</v>
      </c>
      <c r="E96" t="s">
        <v>17</v>
      </c>
      <c r="F96">
        <v>81</v>
      </c>
      <c r="G96">
        <v>73</v>
      </c>
      <c r="H96">
        <v>72</v>
      </c>
      <c r="I96">
        <f t="shared" si="1"/>
        <v>226</v>
      </c>
    </row>
    <row r="97" spans="1:9" x14ac:dyDescent="0.25">
      <c r="A97" t="s">
        <v>13</v>
      </c>
      <c r="B97" t="s">
        <v>23</v>
      </c>
      <c r="C97" t="s">
        <v>10</v>
      </c>
      <c r="D97" t="s">
        <v>11</v>
      </c>
      <c r="E97" t="s">
        <v>12</v>
      </c>
      <c r="F97">
        <v>58</v>
      </c>
      <c r="G97">
        <v>63</v>
      </c>
      <c r="H97">
        <v>67</v>
      </c>
      <c r="I97">
        <f t="shared" si="1"/>
        <v>188</v>
      </c>
    </row>
    <row r="98" spans="1:9" x14ac:dyDescent="0.25">
      <c r="A98" t="s">
        <v>13</v>
      </c>
      <c r="B98" t="s">
        <v>18</v>
      </c>
      <c r="C98" t="s">
        <v>21</v>
      </c>
      <c r="D98" t="s">
        <v>11</v>
      </c>
      <c r="E98" t="s">
        <v>12</v>
      </c>
      <c r="F98">
        <v>95</v>
      </c>
      <c r="G98">
        <v>100</v>
      </c>
      <c r="H98">
        <v>100</v>
      </c>
      <c r="I98">
        <f t="shared" si="1"/>
        <v>295</v>
      </c>
    </row>
    <row r="99" spans="1:9" x14ac:dyDescent="0.25">
      <c r="A99" t="s">
        <v>8</v>
      </c>
      <c r="B99" t="s">
        <v>20</v>
      </c>
      <c r="C99" t="s">
        <v>10</v>
      </c>
      <c r="D99" t="s">
        <v>16</v>
      </c>
      <c r="E99" t="s">
        <v>17</v>
      </c>
      <c r="F99">
        <v>45</v>
      </c>
      <c r="G99">
        <v>52</v>
      </c>
      <c r="H99">
        <v>49</v>
      </c>
      <c r="I99">
        <f t="shared" si="1"/>
        <v>146</v>
      </c>
    </row>
    <row r="100" spans="1:9" x14ac:dyDescent="0.25">
      <c r="A100" t="s">
        <v>8</v>
      </c>
      <c r="B100" t="s">
        <v>9</v>
      </c>
      <c r="C100" t="s">
        <v>19</v>
      </c>
      <c r="D100" t="s">
        <v>11</v>
      </c>
      <c r="E100" t="s">
        <v>17</v>
      </c>
      <c r="F100">
        <v>63</v>
      </c>
      <c r="G100">
        <v>50</v>
      </c>
      <c r="H100">
        <v>49</v>
      </c>
      <c r="I100">
        <f t="shared" si="1"/>
        <v>162</v>
      </c>
    </row>
    <row r="101" spans="1:9" x14ac:dyDescent="0.25">
      <c r="A101" t="s">
        <v>8</v>
      </c>
      <c r="B101" t="s">
        <v>20</v>
      </c>
      <c r="C101" t="s">
        <v>21</v>
      </c>
      <c r="D101" t="s">
        <v>11</v>
      </c>
      <c r="E101" t="s">
        <v>17</v>
      </c>
      <c r="F101">
        <v>60</v>
      </c>
      <c r="G101">
        <v>54</v>
      </c>
      <c r="H101">
        <v>53</v>
      </c>
      <c r="I101">
        <f t="shared" si="1"/>
        <v>167</v>
      </c>
    </row>
    <row r="102" spans="1:9" x14ac:dyDescent="0.25">
      <c r="A102" t="s">
        <v>8</v>
      </c>
      <c r="B102" t="s">
        <v>23</v>
      </c>
      <c r="C102" t="s">
        <v>19</v>
      </c>
      <c r="D102" t="s">
        <v>16</v>
      </c>
      <c r="E102" t="s">
        <v>12</v>
      </c>
      <c r="F102">
        <v>54</v>
      </c>
      <c r="G102">
        <v>61</v>
      </c>
      <c r="H102">
        <v>62</v>
      </c>
      <c r="I102">
        <f t="shared" si="1"/>
        <v>177</v>
      </c>
    </row>
    <row r="103" spans="1:9" x14ac:dyDescent="0.25">
      <c r="A103" t="s">
        <v>8</v>
      </c>
      <c r="B103" t="s">
        <v>23</v>
      </c>
      <c r="C103" t="s">
        <v>19</v>
      </c>
      <c r="D103" t="s">
        <v>11</v>
      </c>
      <c r="E103" t="s">
        <v>12</v>
      </c>
      <c r="F103">
        <v>75</v>
      </c>
      <c r="G103">
        <v>78</v>
      </c>
      <c r="H103">
        <v>79</v>
      </c>
      <c r="I103">
        <f t="shared" si="1"/>
        <v>232</v>
      </c>
    </row>
    <row r="104" spans="1:9" x14ac:dyDescent="0.25">
      <c r="A104" t="s">
        <v>8</v>
      </c>
      <c r="B104" t="s">
        <v>18</v>
      </c>
      <c r="C104" t="s">
        <v>10</v>
      </c>
      <c r="D104" t="s">
        <v>11</v>
      </c>
      <c r="E104" t="s">
        <v>17</v>
      </c>
      <c r="F104">
        <v>79</v>
      </c>
      <c r="G104">
        <v>78</v>
      </c>
      <c r="H104">
        <v>77</v>
      </c>
      <c r="I104">
        <f t="shared" si="1"/>
        <v>234</v>
      </c>
    </row>
    <row r="105" spans="1:9" x14ac:dyDescent="0.25">
      <c r="A105" t="s">
        <v>8</v>
      </c>
      <c r="B105" t="s">
        <v>14</v>
      </c>
      <c r="C105" t="s">
        <v>10</v>
      </c>
      <c r="D105" t="s">
        <v>11</v>
      </c>
      <c r="E105" t="s">
        <v>17</v>
      </c>
      <c r="F105">
        <v>66</v>
      </c>
      <c r="G105">
        <v>67</v>
      </c>
      <c r="H105">
        <v>67</v>
      </c>
      <c r="I105">
        <f t="shared" si="1"/>
        <v>200</v>
      </c>
    </row>
    <row r="106" spans="1:9" x14ac:dyDescent="0.25">
      <c r="A106" t="s">
        <v>13</v>
      </c>
      <c r="B106" t="s">
        <v>20</v>
      </c>
      <c r="C106" t="s">
        <v>19</v>
      </c>
      <c r="D106" t="s">
        <v>11</v>
      </c>
      <c r="E106" t="s">
        <v>17</v>
      </c>
      <c r="F106">
        <v>47</v>
      </c>
      <c r="G106">
        <v>58</v>
      </c>
      <c r="H106">
        <v>58</v>
      </c>
      <c r="I106">
        <f t="shared" si="1"/>
        <v>163</v>
      </c>
    </row>
    <row r="107" spans="1:9" x14ac:dyDescent="0.25">
      <c r="A107" t="s">
        <v>13</v>
      </c>
      <c r="B107" t="s">
        <v>14</v>
      </c>
      <c r="C107" t="s">
        <v>22</v>
      </c>
      <c r="D107" t="s">
        <v>11</v>
      </c>
      <c r="E107" t="s">
        <v>17</v>
      </c>
      <c r="F107">
        <v>70</v>
      </c>
      <c r="G107">
        <v>78</v>
      </c>
      <c r="H107">
        <v>82</v>
      </c>
      <c r="I107">
        <f t="shared" si="1"/>
        <v>230</v>
      </c>
    </row>
    <row r="108" spans="1:9" x14ac:dyDescent="0.25">
      <c r="A108" t="s">
        <v>8</v>
      </c>
      <c r="B108" t="s">
        <v>14</v>
      </c>
      <c r="C108" t="s">
        <v>10</v>
      </c>
      <c r="D108" t="s">
        <v>11</v>
      </c>
      <c r="E108" t="s">
        <v>17</v>
      </c>
      <c r="F108">
        <v>82</v>
      </c>
      <c r="G108">
        <v>74</v>
      </c>
      <c r="H108">
        <v>73</v>
      </c>
      <c r="I108">
        <f t="shared" si="1"/>
        <v>229</v>
      </c>
    </row>
    <row r="109" spans="1:9" x14ac:dyDescent="0.25">
      <c r="A109" t="s">
        <v>8</v>
      </c>
      <c r="B109" t="s">
        <v>9</v>
      </c>
      <c r="C109" t="s">
        <v>22</v>
      </c>
      <c r="D109" t="s">
        <v>11</v>
      </c>
      <c r="E109" t="s">
        <v>17</v>
      </c>
      <c r="F109">
        <v>56</v>
      </c>
      <c r="G109">
        <v>38</v>
      </c>
      <c r="H109">
        <v>44</v>
      </c>
      <c r="I109">
        <f t="shared" si="1"/>
        <v>138</v>
      </c>
    </row>
    <row r="110" spans="1:9" x14ac:dyDescent="0.25">
      <c r="A110" t="s">
        <v>8</v>
      </c>
      <c r="B110" t="s">
        <v>20</v>
      </c>
      <c r="C110" t="s">
        <v>21</v>
      </c>
      <c r="D110" t="s">
        <v>11</v>
      </c>
      <c r="E110" t="s">
        <v>17</v>
      </c>
      <c r="F110">
        <v>92</v>
      </c>
      <c r="G110">
        <v>78</v>
      </c>
      <c r="H110">
        <v>71</v>
      </c>
      <c r="I110">
        <f t="shared" si="1"/>
        <v>241</v>
      </c>
    </row>
    <row r="111" spans="1:9" x14ac:dyDescent="0.25">
      <c r="A111" t="s">
        <v>8</v>
      </c>
      <c r="B111" t="s">
        <v>23</v>
      </c>
      <c r="C111" t="s">
        <v>19</v>
      </c>
      <c r="D111" t="s">
        <v>16</v>
      </c>
      <c r="E111" t="s">
        <v>17</v>
      </c>
      <c r="F111">
        <v>30</v>
      </c>
      <c r="G111">
        <v>33</v>
      </c>
      <c r="H111">
        <v>33</v>
      </c>
      <c r="I111">
        <f t="shared" si="1"/>
        <v>96</v>
      </c>
    </row>
    <row r="112" spans="1:9" x14ac:dyDescent="0.25">
      <c r="A112" t="s">
        <v>13</v>
      </c>
      <c r="B112" t="s">
        <v>23</v>
      </c>
      <c r="C112" t="s">
        <v>19</v>
      </c>
      <c r="D112" t="s">
        <v>11</v>
      </c>
      <c r="E112" t="s">
        <v>12</v>
      </c>
      <c r="F112">
        <v>79</v>
      </c>
      <c r="G112">
        <v>88</v>
      </c>
      <c r="H112">
        <v>86</v>
      </c>
      <c r="I112">
        <f t="shared" si="1"/>
        <v>253</v>
      </c>
    </row>
    <row r="113" spans="1:9" x14ac:dyDescent="0.25">
      <c r="A113" t="s">
        <v>13</v>
      </c>
      <c r="B113" t="s">
        <v>14</v>
      </c>
      <c r="C113" t="s">
        <v>15</v>
      </c>
      <c r="D113" t="s">
        <v>11</v>
      </c>
      <c r="E113" t="s">
        <v>17</v>
      </c>
      <c r="F113">
        <v>41</v>
      </c>
      <c r="G113">
        <v>52</v>
      </c>
      <c r="H113">
        <v>47</v>
      </c>
      <c r="I113">
        <f t="shared" si="1"/>
        <v>140</v>
      </c>
    </row>
    <row r="114" spans="1:9" x14ac:dyDescent="0.25">
      <c r="A114" t="s">
        <v>13</v>
      </c>
      <c r="B114" t="s">
        <v>23</v>
      </c>
      <c r="C114" t="s">
        <v>24</v>
      </c>
      <c r="D114" t="s">
        <v>11</v>
      </c>
      <c r="E114" t="s">
        <v>17</v>
      </c>
      <c r="F114">
        <v>63</v>
      </c>
      <c r="G114">
        <v>82</v>
      </c>
      <c r="H114">
        <v>71</v>
      </c>
      <c r="I114">
        <f t="shared" si="1"/>
        <v>216</v>
      </c>
    </row>
    <row r="115" spans="1:9" x14ac:dyDescent="0.25">
      <c r="A115" t="s">
        <v>8</v>
      </c>
      <c r="B115" t="s">
        <v>9</v>
      </c>
      <c r="C115" t="s">
        <v>22</v>
      </c>
      <c r="D115" t="s">
        <v>16</v>
      </c>
      <c r="E115" t="s">
        <v>17</v>
      </c>
      <c r="F115">
        <v>43</v>
      </c>
      <c r="G115">
        <v>34</v>
      </c>
      <c r="H115">
        <v>33</v>
      </c>
      <c r="I115">
        <f t="shared" si="1"/>
        <v>110</v>
      </c>
    </row>
    <row r="116" spans="1:9" x14ac:dyDescent="0.25">
      <c r="A116" t="s">
        <v>8</v>
      </c>
      <c r="B116" t="s">
        <v>14</v>
      </c>
      <c r="C116" t="s">
        <v>10</v>
      </c>
      <c r="D116" t="s">
        <v>11</v>
      </c>
      <c r="E116" t="s">
        <v>17</v>
      </c>
      <c r="F116">
        <v>77</v>
      </c>
      <c r="G116">
        <v>76</v>
      </c>
      <c r="H116">
        <v>74</v>
      </c>
      <c r="I116">
        <f t="shared" si="1"/>
        <v>227</v>
      </c>
    </row>
    <row r="117" spans="1:9" x14ac:dyDescent="0.25">
      <c r="A117" t="s">
        <v>8</v>
      </c>
      <c r="B117" t="s">
        <v>20</v>
      </c>
      <c r="C117" t="s">
        <v>21</v>
      </c>
      <c r="D117" t="s">
        <v>11</v>
      </c>
      <c r="E117" t="s">
        <v>12</v>
      </c>
      <c r="F117">
        <v>76</v>
      </c>
      <c r="G117">
        <v>79</v>
      </c>
      <c r="H117">
        <v>76</v>
      </c>
      <c r="I117">
        <f t="shared" si="1"/>
        <v>231</v>
      </c>
    </row>
    <row r="118" spans="1:9" x14ac:dyDescent="0.25">
      <c r="A118" t="s">
        <v>13</v>
      </c>
      <c r="B118" t="s">
        <v>18</v>
      </c>
      <c r="C118" t="s">
        <v>19</v>
      </c>
      <c r="D118" t="s">
        <v>16</v>
      </c>
      <c r="E118" t="s">
        <v>17</v>
      </c>
      <c r="F118">
        <v>49</v>
      </c>
      <c r="G118">
        <v>61</v>
      </c>
      <c r="H118">
        <v>63</v>
      </c>
      <c r="I118">
        <f t="shared" si="1"/>
        <v>173</v>
      </c>
    </row>
    <row r="119" spans="1:9" x14ac:dyDescent="0.25">
      <c r="A119" t="s">
        <v>8</v>
      </c>
      <c r="B119" t="s">
        <v>23</v>
      </c>
      <c r="C119" t="s">
        <v>21</v>
      </c>
      <c r="D119" t="s">
        <v>11</v>
      </c>
      <c r="E119" t="s">
        <v>12</v>
      </c>
      <c r="F119">
        <v>59</v>
      </c>
      <c r="G119">
        <v>57</v>
      </c>
      <c r="H119">
        <v>55</v>
      </c>
      <c r="I119">
        <f t="shared" si="1"/>
        <v>171</v>
      </c>
    </row>
    <row r="120" spans="1:9" x14ac:dyDescent="0.25">
      <c r="A120" t="s">
        <v>8</v>
      </c>
      <c r="B120" t="s">
        <v>20</v>
      </c>
      <c r="C120" t="s">
        <v>22</v>
      </c>
      <c r="D120" t="s">
        <v>16</v>
      </c>
      <c r="E120" t="s">
        <v>17</v>
      </c>
      <c r="F120">
        <v>59</v>
      </c>
      <c r="G120">
        <v>70</v>
      </c>
      <c r="H120">
        <v>58</v>
      </c>
      <c r="I120">
        <f t="shared" si="1"/>
        <v>187</v>
      </c>
    </row>
    <row r="121" spans="1:9" x14ac:dyDescent="0.25">
      <c r="A121" t="s">
        <v>13</v>
      </c>
      <c r="B121" t="s">
        <v>14</v>
      </c>
      <c r="C121" t="s">
        <v>15</v>
      </c>
      <c r="D121" t="s">
        <v>11</v>
      </c>
      <c r="E121" t="s">
        <v>12</v>
      </c>
      <c r="F121">
        <v>76</v>
      </c>
      <c r="G121">
        <v>90</v>
      </c>
      <c r="H121">
        <v>87</v>
      </c>
      <c r="I121">
        <f t="shared" si="1"/>
        <v>253</v>
      </c>
    </row>
    <row r="122" spans="1:9" x14ac:dyDescent="0.25">
      <c r="A122" t="s">
        <v>13</v>
      </c>
      <c r="B122" t="s">
        <v>23</v>
      </c>
      <c r="C122" t="s">
        <v>10</v>
      </c>
      <c r="D122" t="s">
        <v>11</v>
      </c>
      <c r="E122" t="s">
        <v>12</v>
      </c>
      <c r="F122">
        <v>55</v>
      </c>
      <c r="G122">
        <v>71</v>
      </c>
      <c r="H122">
        <v>71</v>
      </c>
      <c r="I122">
        <f t="shared" si="1"/>
        <v>197</v>
      </c>
    </row>
    <row r="123" spans="1:9" x14ac:dyDescent="0.25">
      <c r="A123" t="s">
        <v>13</v>
      </c>
      <c r="B123" t="s">
        <v>14</v>
      </c>
      <c r="C123" t="s">
        <v>22</v>
      </c>
      <c r="D123" t="s">
        <v>11</v>
      </c>
      <c r="E123" t="s">
        <v>12</v>
      </c>
      <c r="F123">
        <v>78</v>
      </c>
      <c r="G123">
        <v>87</v>
      </c>
      <c r="H123">
        <v>89</v>
      </c>
      <c r="I123">
        <f t="shared" si="1"/>
        <v>254</v>
      </c>
    </row>
    <row r="124" spans="1:9" x14ac:dyDescent="0.25">
      <c r="A124" t="s">
        <v>13</v>
      </c>
      <c r="B124" t="s">
        <v>23</v>
      </c>
      <c r="C124" t="s">
        <v>22</v>
      </c>
      <c r="D124" t="s">
        <v>11</v>
      </c>
      <c r="E124" t="s">
        <v>12</v>
      </c>
      <c r="F124">
        <v>51</v>
      </c>
      <c r="G124">
        <v>53</v>
      </c>
      <c r="H124">
        <v>62</v>
      </c>
      <c r="I124">
        <f t="shared" si="1"/>
        <v>166</v>
      </c>
    </row>
    <row r="125" spans="1:9" x14ac:dyDescent="0.25">
      <c r="A125" t="s">
        <v>13</v>
      </c>
      <c r="B125" t="s">
        <v>23</v>
      </c>
      <c r="C125" t="s">
        <v>15</v>
      </c>
      <c r="D125" t="s">
        <v>11</v>
      </c>
      <c r="E125" t="s">
        <v>12</v>
      </c>
      <c r="F125">
        <v>41</v>
      </c>
      <c r="G125">
        <v>43</v>
      </c>
      <c r="H125">
        <v>45</v>
      </c>
      <c r="I125">
        <f t="shared" si="1"/>
        <v>129</v>
      </c>
    </row>
    <row r="126" spans="1:9" x14ac:dyDescent="0.25">
      <c r="A126" t="s">
        <v>13</v>
      </c>
      <c r="B126" t="s">
        <v>14</v>
      </c>
      <c r="C126" t="s">
        <v>21</v>
      </c>
      <c r="D126" t="s">
        <v>11</v>
      </c>
      <c r="E126" t="s">
        <v>17</v>
      </c>
      <c r="F126">
        <v>74</v>
      </c>
      <c r="G126">
        <v>78</v>
      </c>
      <c r="H126">
        <v>86</v>
      </c>
      <c r="I126">
        <f t="shared" si="1"/>
        <v>238</v>
      </c>
    </row>
    <row r="127" spans="1:9" x14ac:dyDescent="0.25">
      <c r="A127" t="s">
        <v>8</v>
      </c>
      <c r="B127" t="s">
        <v>23</v>
      </c>
      <c r="C127" t="s">
        <v>24</v>
      </c>
      <c r="D127" t="s">
        <v>11</v>
      </c>
      <c r="E127" t="s">
        <v>17</v>
      </c>
      <c r="F127">
        <v>62</v>
      </c>
      <c r="G127">
        <v>54</v>
      </c>
      <c r="H127">
        <v>58</v>
      </c>
      <c r="I127">
        <f t="shared" si="1"/>
        <v>174</v>
      </c>
    </row>
    <row r="128" spans="1:9" x14ac:dyDescent="0.25">
      <c r="A128" t="s">
        <v>8</v>
      </c>
      <c r="B128" t="s">
        <v>14</v>
      </c>
      <c r="C128" t="s">
        <v>21</v>
      </c>
      <c r="D128" t="s">
        <v>11</v>
      </c>
      <c r="E128" t="s">
        <v>17</v>
      </c>
      <c r="F128">
        <v>77</v>
      </c>
      <c r="G128">
        <v>71</v>
      </c>
      <c r="H128">
        <v>64</v>
      </c>
      <c r="I128">
        <f t="shared" si="1"/>
        <v>212</v>
      </c>
    </row>
    <row r="129" spans="1:9" x14ac:dyDescent="0.25">
      <c r="A129" t="s">
        <v>8</v>
      </c>
      <c r="B129" t="s">
        <v>23</v>
      </c>
      <c r="C129" t="s">
        <v>15</v>
      </c>
      <c r="D129" t="s">
        <v>11</v>
      </c>
      <c r="E129" t="s">
        <v>17</v>
      </c>
      <c r="F129">
        <v>45</v>
      </c>
      <c r="G129">
        <v>52</v>
      </c>
      <c r="H129">
        <v>45</v>
      </c>
      <c r="I129">
        <f t="shared" si="1"/>
        <v>142</v>
      </c>
    </row>
    <row r="130" spans="1:9" x14ac:dyDescent="0.25">
      <c r="A130" t="s">
        <v>8</v>
      </c>
      <c r="B130" t="s">
        <v>18</v>
      </c>
      <c r="C130" t="s">
        <v>19</v>
      </c>
      <c r="D130" t="s">
        <v>11</v>
      </c>
      <c r="E130" t="s">
        <v>12</v>
      </c>
      <c r="F130">
        <v>100</v>
      </c>
      <c r="G130">
        <v>84</v>
      </c>
      <c r="H130">
        <v>87</v>
      </c>
      <c r="I130">
        <f t="shared" si="1"/>
        <v>271</v>
      </c>
    </row>
    <row r="131" spans="1:9" x14ac:dyDescent="0.25">
      <c r="A131" t="s">
        <v>13</v>
      </c>
      <c r="B131" t="s">
        <v>14</v>
      </c>
      <c r="C131" t="s">
        <v>21</v>
      </c>
      <c r="D131" t="s">
        <v>16</v>
      </c>
      <c r="E131" t="s">
        <v>12</v>
      </c>
      <c r="F131">
        <v>83</v>
      </c>
      <c r="G131">
        <v>95</v>
      </c>
      <c r="H131">
        <v>100</v>
      </c>
      <c r="I131">
        <f t="shared" ref="I131:I194" si="2">SUM(F131:H131)</f>
        <v>278</v>
      </c>
    </row>
    <row r="132" spans="1:9" x14ac:dyDescent="0.25">
      <c r="A132" t="s">
        <v>13</v>
      </c>
      <c r="B132" t="s">
        <v>18</v>
      </c>
      <c r="C132" t="s">
        <v>21</v>
      </c>
      <c r="D132" t="s">
        <v>16</v>
      </c>
      <c r="E132" t="s">
        <v>12</v>
      </c>
      <c r="F132">
        <v>77</v>
      </c>
      <c r="G132">
        <v>75</v>
      </c>
      <c r="H132">
        <v>82</v>
      </c>
      <c r="I132">
        <f t="shared" si="2"/>
        <v>234</v>
      </c>
    </row>
    <row r="133" spans="1:9" x14ac:dyDescent="0.25">
      <c r="A133" t="s">
        <v>8</v>
      </c>
      <c r="B133" t="s">
        <v>23</v>
      </c>
      <c r="C133" t="s">
        <v>10</v>
      </c>
      <c r="D133" t="s">
        <v>11</v>
      </c>
      <c r="E133" t="s">
        <v>12</v>
      </c>
      <c r="F133">
        <v>66</v>
      </c>
      <c r="G133">
        <v>70</v>
      </c>
      <c r="H133">
        <v>64</v>
      </c>
      <c r="I133">
        <f t="shared" si="2"/>
        <v>200</v>
      </c>
    </row>
    <row r="134" spans="1:9" x14ac:dyDescent="0.25">
      <c r="A134" t="s">
        <v>8</v>
      </c>
      <c r="B134" t="s">
        <v>20</v>
      </c>
      <c r="C134" t="s">
        <v>19</v>
      </c>
      <c r="D134" t="s">
        <v>11</v>
      </c>
      <c r="E134" t="s">
        <v>17</v>
      </c>
      <c r="F134">
        <v>65</v>
      </c>
      <c r="G134">
        <v>63</v>
      </c>
      <c r="H134">
        <v>57</v>
      </c>
      <c r="I134">
        <f t="shared" si="2"/>
        <v>185</v>
      </c>
    </row>
    <row r="135" spans="1:9" x14ac:dyDescent="0.25">
      <c r="A135" t="s">
        <v>8</v>
      </c>
      <c r="B135" t="s">
        <v>14</v>
      </c>
      <c r="C135" t="s">
        <v>21</v>
      </c>
      <c r="D135" t="s">
        <v>11</v>
      </c>
      <c r="E135" t="s">
        <v>17</v>
      </c>
      <c r="F135">
        <v>62</v>
      </c>
      <c r="G135">
        <v>55</v>
      </c>
      <c r="H135">
        <v>56</v>
      </c>
      <c r="I135">
        <f t="shared" si="2"/>
        <v>173</v>
      </c>
    </row>
    <row r="136" spans="1:9" x14ac:dyDescent="0.25">
      <c r="A136" t="s">
        <v>8</v>
      </c>
      <c r="B136" t="s">
        <v>18</v>
      </c>
      <c r="C136" t="s">
        <v>19</v>
      </c>
      <c r="D136" t="s">
        <v>11</v>
      </c>
      <c r="E136" t="s">
        <v>17</v>
      </c>
      <c r="F136">
        <v>55</v>
      </c>
      <c r="G136">
        <v>54</v>
      </c>
      <c r="H136">
        <v>54</v>
      </c>
      <c r="I136">
        <f t="shared" si="2"/>
        <v>163</v>
      </c>
    </row>
    <row r="137" spans="1:9" x14ac:dyDescent="0.25">
      <c r="A137" t="s">
        <v>8</v>
      </c>
      <c r="B137" t="s">
        <v>23</v>
      </c>
      <c r="C137" t="s">
        <v>15</v>
      </c>
      <c r="D137" t="s">
        <v>16</v>
      </c>
      <c r="E137" t="s">
        <v>17</v>
      </c>
      <c r="F137">
        <v>73</v>
      </c>
      <c r="G137">
        <v>78</v>
      </c>
      <c r="H137">
        <v>69</v>
      </c>
      <c r="I137">
        <f t="shared" si="2"/>
        <v>220</v>
      </c>
    </row>
    <row r="138" spans="1:9" x14ac:dyDescent="0.25">
      <c r="A138" t="s">
        <v>8</v>
      </c>
      <c r="B138" t="s">
        <v>9</v>
      </c>
      <c r="C138" t="s">
        <v>19</v>
      </c>
      <c r="D138" t="s">
        <v>11</v>
      </c>
      <c r="E138" t="s">
        <v>12</v>
      </c>
      <c r="F138">
        <v>73</v>
      </c>
      <c r="G138">
        <v>81</v>
      </c>
      <c r="H138">
        <v>76</v>
      </c>
      <c r="I138">
        <f t="shared" si="2"/>
        <v>230</v>
      </c>
    </row>
    <row r="139" spans="1:9" x14ac:dyDescent="0.25">
      <c r="A139" t="s">
        <v>13</v>
      </c>
      <c r="B139" t="s">
        <v>20</v>
      </c>
      <c r="C139" t="s">
        <v>21</v>
      </c>
      <c r="D139" t="s">
        <v>11</v>
      </c>
      <c r="E139" t="s">
        <v>12</v>
      </c>
      <c r="F139">
        <v>48</v>
      </c>
      <c r="G139">
        <v>66</v>
      </c>
      <c r="H139">
        <v>68</v>
      </c>
      <c r="I139">
        <f t="shared" si="2"/>
        <v>182</v>
      </c>
    </row>
    <row r="140" spans="1:9" x14ac:dyDescent="0.25">
      <c r="A140" t="s">
        <v>8</v>
      </c>
      <c r="B140" t="s">
        <v>14</v>
      </c>
      <c r="C140" t="s">
        <v>19</v>
      </c>
      <c r="D140" t="s">
        <v>16</v>
      </c>
      <c r="E140" t="s">
        <v>17</v>
      </c>
      <c r="F140">
        <v>52</v>
      </c>
      <c r="G140">
        <v>44</v>
      </c>
      <c r="H140">
        <v>49</v>
      </c>
      <c r="I140">
        <f t="shared" si="2"/>
        <v>145</v>
      </c>
    </row>
    <row r="141" spans="1:9" x14ac:dyDescent="0.25">
      <c r="A141" t="s">
        <v>13</v>
      </c>
      <c r="B141" t="s">
        <v>23</v>
      </c>
      <c r="C141" t="s">
        <v>15</v>
      </c>
      <c r="D141" t="s">
        <v>16</v>
      </c>
      <c r="E141" t="s">
        <v>17</v>
      </c>
      <c r="F141">
        <v>60</v>
      </c>
      <c r="G141">
        <v>72</v>
      </c>
      <c r="H141">
        <v>64</v>
      </c>
      <c r="I141">
        <f t="shared" si="2"/>
        <v>196</v>
      </c>
    </row>
    <row r="142" spans="1:9" x14ac:dyDescent="0.25">
      <c r="A142" t="s">
        <v>8</v>
      </c>
      <c r="B142" t="s">
        <v>20</v>
      </c>
      <c r="C142" t="s">
        <v>21</v>
      </c>
      <c r="D142" t="s">
        <v>16</v>
      </c>
      <c r="E142" t="s">
        <v>17</v>
      </c>
      <c r="F142">
        <v>68</v>
      </c>
      <c r="G142">
        <v>63</v>
      </c>
      <c r="H142">
        <v>57</v>
      </c>
      <c r="I142">
        <f t="shared" si="2"/>
        <v>188</v>
      </c>
    </row>
    <row r="143" spans="1:9" x14ac:dyDescent="0.25">
      <c r="A143" t="s">
        <v>13</v>
      </c>
      <c r="B143" t="s">
        <v>14</v>
      </c>
      <c r="C143" t="s">
        <v>19</v>
      </c>
      <c r="D143" t="s">
        <v>16</v>
      </c>
      <c r="E143" t="s">
        <v>17</v>
      </c>
      <c r="F143">
        <v>65</v>
      </c>
      <c r="G143">
        <v>77</v>
      </c>
      <c r="H143">
        <v>83</v>
      </c>
      <c r="I143">
        <f t="shared" si="2"/>
        <v>225</v>
      </c>
    </row>
    <row r="144" spans="1:9" x14ac:dyDescent="0.25">
      <c r="A144" t="s">
        <v>13</v>
      </c>
      <c r="B144" t="s">
        <v>14</v>
      </c>
      <c r="C144" t="s">
        <v>22</v>
      </c>
      <c r="D144" t="s">
        <v>11</v>
      </c>
      <c r="E144" t="s">
        <v>17</v>
      </c>
      <c r="F144">
        <v>86</v>
      </c>
      <c r="G144">
        <v>83</v>
      </c>
      <c r="H144">
        <v>87</v>
      </c>
      <c r="I144">
        <f t="shared" si="2"/>
        <v>256</v>
      </c>
    </row>
    <row r="145" spans="1:9" x14ac:dyDescent="0.25">
      <c r="A145" t="s">
        <v>13</v>
      </c>
      <c r="B145" t="s">
        <v>20</v>
      </c>
      <c r="C145" t="s">
        <v>21</v>
      </c>
      <c r="D145" t="s">
        <v>11</v>
      </c>
      <c r="E145" t="s">
        <v>17</v>
      </c>
      <c r="F145">
        <v>55</v>
      </c>
      <c r="G145">
        <v>62</v>
      </c>
      <c r="H145">
        <v>60</v>
      </c>
      <c r="I145">
        <f t="shared" si="2"/>
        <v>177</v>
      </c>
    </row>
    <row r="146" spans="1:9" x14ac:dyDescent="0.25">
      <c r="A146" t="s">
        <v>8</v>
      </c>
      <c r="B146" t="s">
        <v>20</v>
      </c>
      <c r="C146" t="s">
        <v>24</v>
      </c>
      <c r="D146" t="s">
        <v>11</v>
      </c>
      <c r="E146" t="s">
        <v>12</v>
      </c>
      <c r="F146">
        <v>80</v>
      </c>
      <c r="G146">
        <v>71</v>
      </c>
      <c r="H146">
        <v>68</v>
      </c>
      <c r="I146">
        <f t="shared" si="2"/>
        <v>219</v>
      </c>
    </row>
    <row r="147" spans="1:9" x14ac:dyDescent="0.25">
      <c r="A147" t="s">
        <v>13</v>
      </c>
      <c r="B147" t="s">
        <v>20</v>
      </c>
      <c r="C147" t="s">
        <v>10</v>
      </c>
      <c r="D147" t="s">
        <v>16</v>
      </c>
      <c r="E147" t="s">
        <v>17</v>
      </c>
      <c r="F147">
        <v>51</v>
      </c>
      <c r="G147">
        <v>57</v>
      </c>
      <c r="H147">
        <v>57</v>
      </c>
      <c r="I147">
        <f t="shared" si="2"/>
        <v>165</v>
      </c>
    </row>
    <row r="148" spans="1:9" x14ac:dyDescent="0.25">
      <c r="A148" t="s">
        <v>13</v>
      </c>
      <c r="B148" t="s">
        <v>20</v>
      </c>
      <c r="C148" t="s">
        <v>15</v>
      </c>
      <c r="D148" t="s">
        <v>11</v>
      </c>
      <c r="E148" t="s">
        <v>12</v>
      </c>
      <c r="F148">
        <v>63</v>
      </c>
      <c r="G148">
        <v>61</v>
      </c>
      <c r="H148">
        <v>66</v>
      </c>
      <c r="I148">
        <f t="shared" si="2"/>
        <v>190</v>
      </c>
    </row>
    <row r="149" spans="1:9" x14ac:dyDescent="0.25">
      <c r="A149" t="s">
        <v>8</v>
      </c>
      <c r="B149" t="s">
        <v>18</v>
      </c>
      <c r="C149" t="s">
        <v>19</v>
      </c>
      <c r="D149" t="s">
        <v>11</v>
      </c>
      <c r="E149" t="s">
        <v>17</v>
      </c>
      <c r="F149">
        <v>60</v>
      </c>
      <c r="G149">
        <v>55</v>
      </c>
      <c r="H149">
        <v>46</v>
      </c>
      <c r="I149">
        <f t="shared" si="2"/>
        <v>161</v>
      </c>
    </row>
    <row r="150" spans="1:9" x14ac:dyDescent="0.25">
      <c r="A150" t="s">
        <v>13</v>
      </c>
      <c r="B150" t="s">
        <v>18</v>
      </c>
      <c r="C150" t="s">
        <v>22</v>
      </c>
      <c r="D150" t="s">
        <v>11</v>
      </c>
      <c r="E150" t="s">
        <v>12</v>
      </c>
      <c r="F150">
        <v>100</v>
      </c>
      <c r="G150">
        <v>100</v>
      </c>
      <c r="H150">
        <v>100</v>
      </c>
      <c r="I150">
        <f t="shared" si="2"/>
        <v>300</v>
      </c>
    </row>
    <row r="151" spans="1:9" x14ac:dyDescent="0.25">
      <c r="A151" t="s">
        <v>8</v>
      </c>
      <c r="B151" t="s">
        <v>9</v>
      </c>
      <c r="C151" t="s">
        <v>21</v>
      </c>
      <c r="D151" t="s">
        <v>16</v>
      </c>
      <c r="E151" t="s">
        <v>17</v>
      </c>
      <c r="F151">
        <v>46</v>
      </c>
      <c r="G151">
        <v>44</v>
      </c>
      <c r="H151">
        <v>44</v>
      </c>
      <c r="I151">
        <f t="shared" si="2"/>
        <v>134</v>
      </c>
    </row>
    <row r="152" spans="1:9" x14ac:dyDescent="0.25">
      <c r="A152" t="s">
        <v>13</v>
      </c>
      <c r="B152" t="s">
        <v>23</v>
      </c>
      <c r="C152" t="s">
        <v>19</v>
      </c>
      <c r="D152" t="s">
        <v>11</v>
      </c>
      <c r="E152" t="s">
        <v>12</v>
      </c>
      <c r="F152">
        <v>67</v>
      </c>
      <c r="G152">
        <v>78</v>
      </c>
      <c r="H152">
        <v>80</v>
      </c>
      <c r="I152">
        <f t="shared" si="2"/>
        <v>225</v>
      </c>
    </row>
    <row r="153" spans="1:9" x14ac:dyDescent="0.25">
      <c r="A153" t="s">
        <v>13</v>
      </c>
      <c r="B153" t="s">
        <v>23</v>
      </c>
      <c r="C153" t="s">
        <v>10</v>
      </c>
      <c r="D153" t="s">
        <v>16</v>
      </c>
      <c r="E153" t="s">
        <v>17</v>
      </c>
      <c r="F153">
        <v>54</v>
      </c>
      <c r="G153">
        <v>67</v>
      </c>
      <c r="H153">
        <v>59</v>
      </c>
      <c r="I153">
        <f t="shared" si="2"/>
        <v>180</v>
      </c>
    </row>
    <row r="154" spans="1:9" x14ac:dyDescent="0.25">
      <c r="A154" t="s">
        <v>13</v>
      </c>
      <c r="B154" t="s">
        <v>20</v>
      </c>
      <c r="C154" t="s">
        <v>21</v>
      </c>
      <c r="D154" t="s">
        <v>11</v>
      </c>
      <c r="E154" t="s">
        <v>17</v>
      </c>
      <c r="F154">
        <v>63</v>
      </c>
      <c r="G154">
        <v>79</v>
      </c>
      <c r="H154">
        <v>76</v>
      </c>
      <c r="I154">
        <f t="shared" si="2"/>
        <v>218</v>
      </c>
    </row>
    <row r="155" spans="1:9" x14ac:dyDescent="0.25">
      <c r="A155" t="s">
        <v>8</v>
      </c>
      <c r="B155" t="s">
        <v>14</v>
      </c>
      <c r="C155" t="s">
        <v>22</v>
      </c>
      <c r="D155" t="s">
        <v>11</v>
      </c>
      <c r="E155" t="s">
        <v>17</v>
      </c>
      <c r="F155">
        <v>68</v>
      </c>
      <c r="G155">
        <v>66</v>
      </c>
      <c r="H155">
        <v>73</v>
      </c>
      <c r="I155">
        <f t="shared" si="2"/>
        <v>207</v>
      </c>
    </row>
    <row r="156" spans="1:9" x14ac:dyDescent="0.25">
      <c r="A156" t="s">
        <v>13</v>
      </c>
      <c r="B156" t="s">
        <v>23</v>
      </c>
      <c r="C156" t="s">
        <v>21</v>
      </c>
      <c r="D156" t="s">
        <v>16</v>
      </c>
      <c r="E156" t="s">
        <v>17</v>
      </c>
      <c r="F156">
        <v>54</v>
      </c>
      <c r="G156">
        <v>63</v>
      </c>
      <c r="H156">
        <v>58</v>
      </c>
      <c r="I156">
        <f t="shared" si="2"/>
        <v>175</v>
      </c>
    </row>
    <row r="157" spans="1:9" x14ac:dyDescent="0.25">
      <c r="A157" t="s">
        <v>13</v>
      </c>
      <c r="B157" t="s">
        <v>23</v>
      </c>
      <c r="C157" t="s">
        <v>19</v>
      </c>
      <c r="D157" t="s">
        <v>11</v>
      </c>
      <c r="E157" t="s">
        <v>17</v>
      </c>
      <c r="F157">
        <v>43</v>
      </c>
      <c r="G157">
        <v>44</v>
      </c>
      <c r="H157">
        <v>47</v>
      </c>
      <c r="I157">
        <f t="shared" si="2"/>
        <v>134</v>
      </c>
    </row>
    <row r="158" spans="1:9" x14ac:dyDescent="0.25">
      <c r="A158" t="s">
        <v>8</v>
      </c>
      <c r="B158" t="s">
        <v>20</v>
      </c>
      <c r="C158" t="s">
        <v>10</v>
      </c>
      <c r="D158" t="s">
        <v>16</v>
      </c>
      <c r="E158" t="s">
        <v>17</v>
      </c>
      <c r="F158">
        <v>64</v>
      </c>
      <c r="G158">
        <v>64</v>
      </c>
      <c r="H158">
        <v>59</v>
      </c>
      <c r="I158">
        <f t="shared" si="2"/>
        <v>187</v>
      </c>
    </row>
    <row r="159" spans="1:9" x14ac:dyDescent="0.25">
      <c r="A159" t="s">
        <v>13</v>
      </c>
      <c r="B159" t="s">
        <v>18</v>
      </c>
      <c r="C159" t="s">
        <v>21</v>
      </c>
      <c r="D159" t="s">
        <v>16</v>
      </c>
      <c r="E159" t="s">
        <v>17</v>
      </c>
      <c r="F159">
        <v>92</v>
      </c>
      <c r="G159">
        <v>87</v>
      </c>
      <c r="H159">
        <v>87</v>
      </c>
      <c r="I159">
        <f t="shared" si="2"/>
        <v>266</v>
      </c>
    </row>
    <row r="160" spans="1:9" x14ac:dyDescent="0.25">
      <c r="A160" t="s">
        <v>13</v>
      </c>
      <c r="B160" t="s">
        <v>14</v>
      </c>
      <c r="C160" t="s">
        <v>21</v>
      </c>
      <c r="D160" t="s">
        <v>16</v>
      </c>
      <c r="E160" t="s">
        <v>17</v>
      </c>
      <c r="F160">
        <v>82</v>
      </c>
      <c r="G160">
        <v>95</v>
      </c>
      <c r="H160">
        <v>93</v>
      </c>
      <c r="I160">
        <f t="shared" si="2"/>
        <v>270</v>
      </c>
    </row>
    <row r="161" spans="1:9" x14ac:dyDescent="0.25">
      <c r="A161" t="s">
        <v>8</v>
      </c>
      <c r="B161" t="s">
        <v>18</v>
      </c>
      <c r="C161" t="s">
        <v>15</v>
      </c>
      <c r="D161" t="s">
        <v>16</v>
      </c>
      <c r="E161" t="s">
        <v>17</v>
      </c>
      <c r="F161">
        <v>84</v>
      </c>
      <c r="G161">
        <v>78</v>
      </c>
      <c r="H161">
        <v>79</v>
      </c>
      <c r="I161">
        <f t="shared" si="2"/>
        <v>241</v>
      </c>
    </row>
    <row r="162" spans="1:9" x14ac:dyDescent="0.25">
      <c r="A162" t="s">
        <v>13</v>
      </c>
      <c r="B162" t="s">
        <v>14</v>
      </c>
      <c r="C162" t="s">
        <v>21</v>
      </c>
      <c r="D162" t="s">
        <v>11</v>
      </c>
      <c r="E162" t="s">
        <v>12</v>
      </c>
      <c r="F162">
        <v>84</v>
      </c>
      <c r="G162">
        <v>98</v>
      </c>
      <c r="H162">
        <v>97</v>
      </c>
      <c r="I162">
        <f t="shared" si="2"/>
        <v>279</v>
      </c>
    </row>
    <row r="163" spans="1:9" x14ac:dyDescent="0.25">
      <c r="A163" t="s">
        <v>8</v>
      </c>
      <c r="B163" t="s">
        <v>14</v>
      </c>
      <c r="C163" t="s">
        <v>21</v>
      </c>
      <c r="D163" t="s">
        <v>16</v>
      </c>
      <c r="E163" t="s">
        <v>17</v>
      </c>
      <c r="F163">
        <v>65</v>
      </c>
      <c r="G163">
        <v>63</v>
      </c>
      <c r="H163">
        <v>65</v>
      </c>
      <c r="I163">
        <f t="shared" si="2"/>
        <v>193</v>
      </c>
    </row>
    <row r="164" spans="1:9" x14ac:dyDescent="0.25">
      <c r="A164" t="s">
        <v>13</v>
      </c>
      <c r="B164" t="s">
        <v>23</v>
      </c>
      <c r="C164" t="s">
        <v>22</v>
      </c>
      <c r="D164" t="s">
        <v>11</v>
      </c>
      <c r="E164" t="s">
        <v>17</v>
      </c>
      <c r="F164">
        <v>83</v>
      </c>
      <c r="G164">
        <v>92</v>
      </c>
      <c r="H164">
        <v>91</v>
      </c>
      <c r="I164">
        <f t="shared" si="2"/>
        <v>266</v>
      </c>
    </row>
    <row r="165" spans="1:9" x14ac:dyDescent="0.25">
      <c r="A165" t="s">
        <v>13</v>
      </c>
      <c r="B165" t="s">
        <v>20</v>
      </c>
      <c r="C165" t="s">
        <v>15</v>
      </c>
      <c r="D165" t="s">
        <v>11</v>
      </c>
      <c r="E165" t="s">
        <v>12</v>
      </c>
      <c r="F165">
        <v>70</v>
      </c>
      <c r="G165">
        <v>75</v>
      </c>
      <c r="H165">
        <v>75</v>
      </c>
      <c r="I165">
        <f t="shared" si="2"/>
        <v>220</v>
      </c>
    </row>
    <row r="166" spans="1:9" x14ac:dyDescent="0.25">
      <c r="A166" t="s">
        <v>8</v>
      </c>
      <c r="B166" t="s">
        <v>9</v>
      </c>
      <c r="C166" t="s">
        <v>22</v>
      </c>
      <c r="D166" t="s">
        <v>11</v>
      </c>
      <c r="E166" t="s">
        <v>12</v>
      </c>
      <c r="F166">
        <v>66</v>
      </c>
      <c r="G166">
        <v>72</v>
      </c>
      <c r="H166">
        <v>70</v>
      </c>
      <c r="I166">
        <f t="shared" si="2"/>
        <v>208</v>
      </c>
    </row>
    <row r="167" spans="1:9" x14ac:dyDescent="0.25">
      <c r="A167" t="s">
        <v>13</v>
      </c>
      <c r="B167" t="s">
        <v>14</v>
      </c>
      <c r="C167" t="s">
        <v>22</v>
      </c>
      <c r="D167" t="s">
        <v>11</v>
      </c>
      <c r="E167" t="s">
        <v>12</v>
      </c>
      <c r="F167">
        <v>71</v>
      </c>
      <c r="G167">
        <v>87</v>
      </c>
      <c r="H167">
        <v>92</v>
      </c>
      <c r="I167">
        <f t="shared" si="2"/>
        <v>250</v>
      </c>
    </row>
    <row r="168" spans="1:9" x14ac:dyDescent="0.25">
      <c r="A168" t="s">
        <v>8</v>
      </c>
      <c r="B168" t="s">
        <v>20</v>
      </c>
      <c r="C168" t="s">
        <v>22</v>
      </c>
      <c r="D168" t="s">
        <v>11</v>
      </c>
      <c r="E168" t="s">
        <v>17</v>
      </c>
      <c r="F168">
        <v>66</v>
      </c>
      <c r="G168">
        <v>64</v>
      </c>
      <c r="H168">
        <v>58</v>
      </c>
      <c r="I168">
        <f t="shared" si="2"/>
        <v>188</v>
      </c>
    </row>
    <row r="169" spans="1:9" x14ac:dyDescent="0.25">
      <c r="A169" t="s">
        <v>13</v>
      </c>
      <c r="B169" t="s">
        <v>20</v>
      </c>
      <c r="C169" t="s">
        <v>15</v>
      </c>
      <c r="D169" t="s">
        <v>11</v>
      </c>
      <c r="E169" t="s">
        <v>12</v>
      </c>
      <c r="F169">
        <v>57</v>
      </c>
      <c r="G169">
        <v>64</v>
      </c>
      <c r="H169">
        <v>68</v>
      </c>
      <c r="I169">
        <f t="shared" si="2"/>
        <v>189</v>
      </c>
    </row>
    <row r="170" spans="1:9" x14ac:dyDescent="0.25">
      <c r="A170" t="s">
        <v>13</v>
      </c>
      <c r="B170" t="s">
        <v>23</v>
      </c>
      <c r="C170" t="s">
        <v>24</v>
      </c>
      <c r="D170" t="s">
        <v>11</v>
      </c>
      <c r="E170" t="s">
        <v>17</v>
      </c>
      <c r="F170">
        <v>86</v>
      </c>
      <c r="G170">
        <v>90</v>
      </c>
      <c r="H170">
        <v>93</v>
      </c>
      <c r="I170">
        <f t="shared" si="2"/>
        <v>269</v>
      </c>
    </row>
    <row r="171" spans="1:9" x14ac:dyDescent="0.25">
      <c r="A171" t="s">
        <v>13</v>
      </c>
      <c r="B171" t="s">
        <v>9</v>
      </c>
      <c r="C171" t="s">
        <v>10</v>
      </c>
      <c r="D171" t="s">
        <v>11</v>
      </c>
      <c r="E171" t="s">
        <v>17</v>
      </c>
      <c r="F171">
        <v>80</v>
      </c>
      <c r="G171">
        <v>85</v>
      </c>
      <c r="H171">
        <v>83</v>
      </c>
      <c r="I171">
        <f t="shared" si="2"/>
        <v>248</v>
      </c>
    </row>
    <row r="172" spans="1:9" x14ac:dyDescent="0.25">
      <c r="A172" t="s">
        <v>13</v>
      </c>
      <c r="B172" t="s">
        <v>20</v>
      </c>
      <c r="C172" t="s">
        <v>10</v>
      </c>
      <c r="D172" t="s">
        <v>11</v>
      </c>
      <c r="E172" t="s">
        <v>17</v>
      </c>
      <c r="F172">
        <v>62</v>
      </c>
      <c r="G172">
        <v>60</v>
      </c>
      <c r="H172">
        <v>59</v>
      </c>
      <c r="I172">
        <f t="shared" si="2"/>
        <v>181</v>
      </c>
    </row>
    <row r="173" spans="1:9" x14ac:dyDescent="0.25">
      <c r="A173" t="s">
        <v>13</v>
      </c>
      <c r="B173" t="s">
        <v>14</v>
      </c>
      <c r="C173" t="s">
        <v>19</v>
      </c>
      <c r="D173" t="s">
        <v>11</v>
      </c>
      <c r="E173" t="s">
        <v>17</v>
      </c>
      <c r="F173">
        <v>71</v>
      </c>
      <c r="G173">
        <v>71</v>
      </c>
      <c r="H173">
        <v>76</v>
      </c>
      <c r="I173">
        <f t="shared" si="2"/>
        <v>218</v>
      </c>
    </row>
    <row r="174" spans="1:9" x14ac:dyDescent="0.25">
      <c r="A174" t="s">
        <v>13</v>
      </c>
      <c r="B174" t="s">
        <v>23</v>
      </c>
      <c r="C174" t="s">
        <v>19</v>
      </c>
      <c r="D174" t="s">
        <v>16</v>
      </c>
      <c r="E174" t="s">
        <v>12</v>
      </c>
      <c r="F174">
        <v>57</v>
      </c>
      <c r="G174">
        <v>66</v>
      </c>
      <c r="H174">
        <v>71</v>
      </c>
      <c r="I174">
        <f t="shared" si="2"/>
        <v>194</v>
      </c>
    </row>
    <row r="175" spans="1:9" x14ac:dyDescent="0.25">
      <c r="A175" t="s">
        <v>8</v>
      </c>
      <c r="B175" t="s">
        <v>9</v>
      </c>
      <c r="C175" t="s">
        <v>15</v>
      </c>
      <c r="D175" t="s">
        <v>16</v>
      </c>
      <c r="E175" t="s">
        <v>12</v>
      </c>
      <c r="F175">
        <v>69</v>
      </c>
      <c r="G175">
        <v>64</v>
      </c>
      <c r="H175">
        <v>62</v>
      </c>
      <c r="I175">
        <f t="shared" si="2"/>
        <v>195</v>
      </c>
    </row>
    <row r="176" spans="1:9" x14ac:dyDescent="0.25">
      <c r="A176" t="s">
        <v>8</v>
      </c>
      <c r="B176" t="s">
        <v>20</v>
      </c>
      <c r="C176" t="s">
        <v>19</v>
      </c>
      <c r="D176" t="s">
        <v>11</v>
      </c>
      <c r="E176" t="s">
        <v>12</v>
      </c>
      <c r="F176">
        <v>83</v>
      </c>
      <c r="G176">
        <v>74</v>
      </c>
      <c r="H176">
        <v>72</v>
      </c>
      <c r="I176">
        <f t="shared" si="2"/>
        <v>229</v>
      </c>
    </row>
    <row r="177" spans="1:9" x14ac:dyDescent="0.25">
      <c r="A177" t="s">
        <v>13</v>
      </c>
      <c r="B177" t="s">
        <v>14</v>
      </c>
      <c r="C177" t="s">
        <v>19</v>
      </c>
      <c r="D177" t="s">
        <v>16</v>
      </c>
      <c r="E177" t="s">
        <v>17</v>
      </c>
      <c r="F177">
        <v>50</v>
      </c>
      <c r="G177">
        <v>56</v>
      </c>
      <c r="H177">
        <v>60</v>
      </c>
      <c r="I177">
        <f t="shared" si="2"/>
        <v>166</v>
      </c>
    </row>
    <row r="178" spans="1:9" x14ac:dyDescent="0.25">
      <c r="A178" t="s">
        <v>13</v>
      </c>
      <c r="B178" t="s">
        <v>23</v>
      </c>
      <c r="C178" t="s">
        <v>22</v>
      </c>
      <c r="D178" t="s">
        <v>11</v>
      </c>
      <c r="E178" t="s">
        <v>17</v>
      </c>
      <c r="F178">
        <v>55</v>
      </c>
      <c r="G178">
        <v>56</v>
      </c>
      <c r="H178">
        <v>56</v>
      </c>
      <c r="I178">
        <f t="shared" si="2"/>
        <v>167</v>
      </c>
    </row>
    <row r="179" spans="1:9" x14ac:dyDescent="0.25">
      <c r="A179" t="s">
        <v>8</v>
      </c>
      <c r="B179" t="s">
        <v>20</v>
      </c>
      <c r="C179" t="s">
        <v>15</v>
      </c>
      <c r="D179" t="s">
        <v>16</v>
      </c>
      <c r="E179" t="s">
        <v>17</v>
      </c>
      <c r="F179">
        <v>55</v>
      </c>
      <c r="G179">
        <v>53</v>
      </c>
      <c r="H179">
        <v>51</v>
      </c>
      <c r="I179">
        <f t="shared" si="2"/>
        <v>159</v>
      </c>
    </row>
    <row r="180" spans="1:9" x14ac:dyDescent="0.25">
      <c r="A180" t="s">
        <v>13</v>
      </c>
      <c r="B180" t="s">
        <v>14</v>
      </c>
      <c r="C180" t="s">
        <v>19</v>
      </c>
      <c r="D180" t="s">
        <v>16</v>
      </c>
      <c r="E180" t="s">
        <v>12</v>
      </c>
      <c r="F180">
        <v>83</v>
      </c>
      <c r="G180">
        <v>93</v>
      </c>
      <c r="H180">
        <v>95</v>
      </c>
      <c r="I180">
        <f t="shared" si="2"/>
        <v>271</v>
      </c>
    </row>
    <row r="181" spans="1:9" x14ac:dyDescent="0.25">
      <c r="A181" t="s">
        <v>8</v>
      </c>
      <c r="B181" t="s">
        <v>14</v>
      </c>
      <c r="C181" t="s">
        <v>10</v>
      </c>
      <c r="D181" t="s">
        <v>11</v>
      </c>
      <c r="E181" t="s">
        <v>12</v>
      </c>
      <c r="F181">
        <v>89</v>
      </c>
      <c r="G181">
        <v>87</v>
      </c>
      <c r="H181">
        <v>86</v>
      </c>
      <c r="I181">
        <f t="shared" si="2"/>
        <v>262</v>
      </c>
    </row>
    <row r="182" spans="1:9" x14ac:dyDescent="0.25">
      <c r="A182" t="s">
        <v>13</v>
      </c>
      <c r="B182" t="s">
        <v>14</v>
      </c>
      <c r="C182" t="s">
        <v>15</v>
      </c>
      <c r="D182" t="s">
        <v>11</v>
      </c>
      <c r="E182" t="s">
        <v>17</v>
      </c>
      <c r="F182">
        <v>51</v>
      </c>
      <c r="G182">
        <v>62</v>
      </c>
      <c r="H182">
        <v>64</v>
      </c>
      <c r="I182">
        <f t="shared" si="2"/>
        <v>177</v>
      </c>
    </row>
    <row r="183" spans="1:9" x14ac:dyDescent="0.25">
      <c r="A183" t="s">
        <v>13</v>
      </c>
      <c r="B183" t="s">
        <v>23</v>
      </c>
      <c r="C183" t="s">
        <v>19</v>
      </c>
      <c r="D183" t="s">
        <v>11</v>
      </c>
      <c r="E183" t="s">
        <v>17</v>
      </c>
      <c r="F183">
        <v>48</v>
      </c>
      <c r="G183">
        <v>52</v>
      </c>
      <c r="H183">
        <v>49</v>
      </c>
      <c r="I183">
        <f t="shared" si="2"/>
        <v>149</v>
      </c>
    </row>
    <row r="184" spans="1:9" x14ac:dyDescent="0.25">
      <c r="A184" t="s">
        <v>13</v>
      </c>
      <c r="B184" t="s">
        <v>18</v>
      </c>
      <c r="C184" t="s">
        <v>22</v>
      </c>
      <c r="D184" t="s">
        <v>11</v>
      </c>
      <c r="E184" t="s">
        <v>17</v>
      </c>
      <c r="F184">
        <v>84</v>
      </c>
      <c r="G184">
        <v>95</v>
      </c>
      <c r="H184">
        <v>89</v>
      </c>
      <c r="I184">
        <f t="shared" si="2"/>
        <v>268</v>
      </c>
    </row>
    <row r="185" spans="1:9" x14ac:dyDescent="0.25">
      <c r="A185" t="s">
        <v>13</v>
      </c>
      <c r="B185" t="s">
        <v>23</v>
      </c>
      <c r="C185" t="s">
        <v>21</v>
      </c>
      <c r="D185" t="s">
        <v>11</v>
      </c>
      <c r="E185" t="s">
        <v>17</v>
      </c>
      <c r="F185">
        <v>69</v>
      </c>
      <c r="G185">
        <v>83</v>
      </c>
      <c r="H185">
        <v>76</v>
      </c>
      <c r="I185">
        <f t="shared" si="2"/>
        <v>228</v>
      </c>
    </row>
    <row r="186" spans="1:9" x14ac:dyDescent="0.25">
      <c r="A186" t="s">
        <v>13</v>
      </c>
      <c r="B186" t="s">
        <v>23</v>
      </c>
      <c r="C186" t="s">
        <v>21</v>
      </c>
      <c r="D186" t="s">
        <v>11</v>
      </c>
      <c r="E186" t="s">
        <v>12</v>
      </c>
      <c r="F186">
        <v>75</v>
      </c>
      <c r="G186">
        <v>85</v>
      </c>
      <c r="H186">
        <v>87</v>
      </c>
      <c r="I186">
        <f t="shared" si="2"/>
        <v>247</v>
      </c>
    </row>
    <row r="187" spans="1:9" x14ac:dyDescent="0.25">
      <c r="A187" t="s">
        <v>13</v>
      </c>
      <c r="B187" t="s">
        <v>23</v>
      </c>
      <c r="C187" t="s">
        <v>24</v>
      </c>
      <c r="D187" t="s">
        <v>11</v>
      </c>
      <c r="E187" t="s">
        <v>17</v>
      </c>
      <c r="F187">
        <v>91</v>
      </c>
      <c r="G187">
        <v>100</v>
      </c>
      <c r="H187">
        <v>99</v>
      </c>
      <c r="I187">
        <f t="shared" si="2"/>
        <v>290</v>
      </c>
    </row>
    <row r="188" spans="1:9" x14ac:dyDescent="0.25">
      <c r="A188" t="s">
        <v>8</v>
      </c>
      <c r="B188" t="s">
        <v>20</v>
      </c>
      <c r="C188" t="s">
        <v>10</v>
      </c>
      <c r="D188" t="s">
        <v>11</v>
      </c>
      <c r="E188" t="s">
        <v>17</v>
      </c>
      <c r="F188">
        <v>76</v>
      </c>
      <c r="G188">
        <v>77</v>
      </c>
      <c r="H188">
        <v>67</v>
      </c>
      <c r="I188">
        <f t="shared" si="2"/>
        <v>220</v>
      </c>
    </row>
    <row r="189" spans="1:9" x14ac:dyDescent="0.25">
      <c r="A189" t="s">
        <v>8</v>
      </c>
      <c r="B189" t="s">
        <v>18</v>
      </c>
      <c r="C189" t="s">
        <v>15</v>
      </c>
      <c r="D189" t="s">
        <v>16</v>
      </c>
      <c r="E189" t="s">
        <v>17</v>
      </c>
      <c r="F189">
        <v>63</v>
      </c>
      <c r="G189">
        <v>61</v>
      </c>
      <c r="H189">
        <v>59</v>
      </c>
      <c r="I189">
        <f t="shared" si="2"/>
        <v>183</v>
      </c>
    </row>
    <row r="190" spans="1:9" x14ac:dyDescent="0.25">
      <c r="A190" t="s">
        <v>8</v>
      </c>
      <c r="B190" t="s">
        <v>14</v>
      </c>
      <c r="C190" t="s">
        <v>10</v>
      </c>
      <c r="D190" t="s">
        <v>11</v>
      </c>
      <c r="E190" t="s">
        <v>17</v>
      </c>
      <c r="F190">
        <v>73</v>
      </c>
      <c r="G190">
        <v>65</v>
      </c>
      <c r="H190">
        <v>64</v>
      </c>
      <c r="I190">
        <f t="shared" si="2"/>
        <v>202</v>
      </c>
    </row>
    <row r="191" spans="1:9" x14ac:dyDescent="0.25">
      <c r="A191" t="s">
        <v>8</v>
      </c>
      <c r="B191" t="s">
        <v>20</v>
      </c>
      <c r="C191" t="s">
        <v>15</v>
      </c>
      <c r="D191" t="s">
        <v>16</v>
      </c>
      <c r="E191" t="s">
        <v>12</v>
      </c>
      <c r="F191">
        <v>52</v>
      </c>
      <c r="G191">
        <v>63</v>
      </c>
      <c r="H191">
        <v>53</v>
      </c>
      <c r="I191">
        <f t="shared" si="2"/>
        <v>168</v>
      </c>
    </row>
    <row r="192" spans="1:9" x14ac:dyDescent="0.25">
      <c r="A192" t="s">
        <v>8</v>
      </c>
      <c r="B192" t="s">
        <v>20</v>
      </c>
      <c r="C192" t="s">
        <v>15</v>
      </c>
      <c r="D192" t="s">
        <v>11</v>
      </c>
      <c r="E192" t="s">
        <v>12</v>
      </c>
      <c r="F192">
        <v>58</v>
      </c>
      <c r="G192">
        <v>57</v>
      </c>
      <c r="H192">
        <v>53</v>
      </c>
      <c r="I192">
        <f t="shared" si="2"/>
        <v>168</v>
      </c>
    </row>
    <row r="193" spans="1:9" x14ac:dyDescent="0.25">
      <c r="A193" t="s">
        <v>13</v>
      </c>
      <c r="B193" t="s">
        <v>20</v>
      </c>
      <c r="C193" t="s">
        <v>15</v>
      </c>
      <c r="D193" t="s">
        <v>11</v>
      </c>
      <c r="E193" t="s">
        <v>17</v>
      </c>
      <c r="F193">
        <v>33</v>
      </c>
      <c r="G193">
        <v>51</v>
      </c>
      <c r="H193">
        <v>51</v>
      </c>
      <c r="I193">
        <f t="shared" si="2"/>
        <v>135</v>
      </c>
    </row>
    <row r="194" spans="1:9" x14ac:dyDescent="0.25">
      <c r="A194" t="s">
        <v>8</v>
      </c>
      <c r="B194" t="s">
        <v>18</v>
      </c>
      <c r="C194" t="s">
        <v>15</v>
      </c>
      <c r="D194" t="s">
        <v>16</v>
      </c>
      <c r="E194" t="s">
        <v>17</v>
      </c>
      <c r="F194">
        <v>68</v>
      </c>
      <c r="G194">
        <v>62</v>
      </c>
      <c r="H194">
        <v>61</v>
      </c>
      <c r="I194">
        <f t="shared" si="2"/>
        <v>191</v>
      </c>
    </row>
    <row r="195" spans="1:9" x14ac:dyDescent="0.25">
      <c r="A195" t="s">
        <v>13</v>
      </c>
      <c r="B195" t="s">
        <v>23</v>
      </c>
      <c r="C195" t="s">
        <v>21</v>
      </c>
      <c r="D195" t="s">
        <v>11</v>
      </c>
      <c r="E195" t="s">
        <v>12</v>
      </c>
      <c r="F195">
        <v>77</v>
      </c>
      <c r="G195">
        <v>91</v>
      </c>
      <c r="H195">
        <v>89</v>
      </c>
      <c r="I195">
        <f t="shared" ref="I195:I258" si="3">SUM(F195:H195)</f>
        <v>257</v>
      </c>
    </row>
    <row r="196" spans="1:9" x14ac:dyDescent="0.25">
      <c r="A196" t="s">
        <v>13</v>
      </c>
      <c r="B196" t="s">
        <v>23</v>
      </c>
      <c r="C196" t="s">
        <v>22</v>
      </c>
      <c r="D196" t="s">
        <v>11</v>
      </c>
      <c r="E196" t="s">
        <v>17</v>
      </c>
      <c r="F196">
        <v>64</v>
      </c>
      <c r="G196">
        <v>64</v>
      </c>
      <c r="H196">
        <v>66</v>
      </c>
      <c r="I196">
        <f t="shared" si="3"/>
        <v>194</v>
      </c>
    </row>
    <row r="197" spans="1:9" x14ac:dyDescent="0.25">
      <c r="A197" t="s">
        <v>13</v>
      </c>
      <c r="B197" t="s">
        <v>14</v>
      </c>
      <c r="C197" t="s">
        <v>15</v>
      </c>
      <c r="D197" t="s">
        <v>16</v>
      </c>
      <c r="E197" t="s">
        <v>17</v>
      </c>
      <c r="F197">
        <v>39</v>
      </c>
      <c r="G197">
        <v>49</v>
      </c>
      <c r="H197">
        <v>48</v>
      </c>
      <c r="I197">
        <f t="shared" si="3"/>
        <v>136</v>
      </c>
    </row>
    <row r="198" spans="1:9" x14ac:dyDescent="0.25">
      <c r="A198" t="s">
        <v>8</v>
      </c>
      <c r="B198" t="s">
        <v>14</v>
      </c>
      <c r="C198" t="s">
        <v>22</v>
      </c>
      <c r="D198" t="s">
        <v>11</v>
      </c>
      <c r="E198" t="s">
        <v>17</v>
      </c>
      <c r="F198">
        <v>50</v>
      </c>
      <c r="G198">
        <v>46</v>
      </c>
      <c r="H198">
        <v>48</v>
      </c>
      <c r="I198">
        <f t="shared" si="3"/>
        <v>144</v>
      </c>
    </row>
    <row r="199" spans="1:9" x14ac:dyDescent="0.25">
      <c r="A199" t="s">
        <v>8</v>
      </c>
      <c r="B199" t="s">
        <v>9</v>
      </c>
      <c r="C199" t="s">
        <v>24</v>
      </c>
      <c r="D199" t="s">
        <v>16</v>
      </c>
      <c r="E199" t="s">
        <v>17</v>
      </c>
      <c r="F199">
        <v>53</v>
      </c>
      <c r="G199">
        <v>57</v>
      </c>
      <c r="H199">
        <v>51</v>
      </c>
      <c r="I199">
        <f t="shared" si="3"/>
        <v>161</v>
      </c>
    </row>
    <row r="200" spans="1:9" x14ac:dyDescent="0.25">
      <c r="A200" t="s">
        <v>13</v>
      </c>
      <c r="B200" t="s">
        <v>20</v>
      </c>
      <c r="C200" t="s">
        <v>21</v>
      </c>
      <c r="D200" t="s">
        <v>11</v>
      </c>
      <c r="E200" t="s">
        <v>12</v>
      </c>
      <c r="F200">
        <v>54</v>
      </c>
      <c r="G200">
        <v>62</v>
      </c>
      <c r="H200">
        <v>70</v>
      </c>
      <c r="I200">
        <f t="shared" si="3"/>
        <v>186</v>
      </c>
    </row>
    <row r="201" spans="1:9" x14ac:dyDescent="0.25">
      <c r="A201" t="s">
        <v>8</v>
      </c>
      <c r="B201" t="s">
        <v>14</v>
      </c>
      <c r="C201" t="s">
        <v>10</v>
      </c>
      <c r="D201" t="s">
        <v>11</v>
      </c>
      <c r="E201" t="s">
        <v>17</v>
      </c>
      <c r="F201">
        <v>74</v>
      </c>
      <c r="G201">
        <v>63</v>
      </c>
      <c r="H201">
        <v>65</v>
      </c>
      <c r="I201">
        <f t="shared" si="3"/>
        <v>202</v>
      </c>
    </row>
    <row r="202" spans="1:9" x14ac:dyDescent="0.25">
      <c r="A202" t="s">
        <v>13</v>
      </c>
      <c r="B202" t="s">
        <v>14</v>
      </c>
      <c r="C202" t="s">
        <v>21</v>
      </c>
      <c r="D202" t="s">
        <v>11</v>
      </c>
      <c r="E202" t="s">
        <v>12</v>
      </c>
      <c r="F202">
        <v>50</v>
      </c>
      <c r="G202">
        <v>63</v>
      </c>
      <c r="H202">
        <v>65</v>
      </c>
      <c r="I202">
        <f t="shared" si="3"/>
        <v>178</v>
      </c>
    </row>
    <row r="203" spans="1:9" x14ac:dyDescent="0.25">
      <c r="A203" t="s">
        <v>8</v>
      </c>
      <c r="B203" t="s">
        <v>18</v>
      </c>
      <c r="C203" t="s">
        <v>21</v>
      </c>
      <c r="D203" t="s">
        <v>11</v>
      </c>
      <c r="E203" t="s">
        <v>17</v>
      </c>
      <c r="F203">
        <v>55</v>
      </c>
      <c r="G203">
        <v>54</v>
      </c>
      <c r="H203">
        <v>47</v>
      </c>
      <c r="I203">
        <f t="shared" si="3"/>
        <v>156</v>
      </c>
    </row>
    <row r="204" spans="1:9" x14ac:dyDescent="0.25">
      <c r="A204" t="s">
        <v>8</v>
      </c>
      <c r="B204" t="s">
        <v>23</v>
      </c>
      <c r="C204" t="s">
        <v>19</v>
      </c>
      <c r="D204" t="s">
        <v>11</v>
      </c>
      <c r="E204" t="s">
        <v>17</v>
      </c>
      <c r="F204">
        <v>77</v>
      </c>
      <c r="G204">
        <v>64</v>
      </c>
      <c r="H204">
        <v>70</v>
      </c>
      <c r="I204">
        <f t="shared" si="3"/>
        <v>211</v>
      </c>
    </row>
    <row r="205" spans="1:9" x14ac:dyDescent="0.25">
      <c r="A205" t="s">
        <v>13</v>
      </c>
      <c r="B205" t="s">
        <v>20</v>
      </c>
      <c r="C205" t="s">
        <v>15</v>
      </c>
      <c r="D205" t="s">
        <v>11</v>
      </c>
      <c r="E205" t="s">
        <v>12</v>
      </c>
      <c r="F205">
        <v>49</v>
      </c>
      <c r="G205">
        <v>64</v>
      </c>
      <c r="H205">
        <v>67</v>
      </c>
      <c r="I205">
        <f t="shared" si="3"/>
        <v>180</v>
      </c>
    </row>
    <row r="206" spans="1:9" x14ac:dyDescent="0.25">
      <c r="A206" t="s">
        <v>13</v>
      </c>
      <c r="B206" t="s">
        <v>14</v>
      </c>
      <c r="C206" t="s">
        <v>21</v>
      </c>
      <c r="D206" t="s">
        <v>16</v>
      </c>
      <c r="E206" t="s">
        <v>17</v>
      </c>
      <c r="F206">
        <v>66</v>
      </c>
      <c r="G206">
        <v>83</v>
      </c>
      <c r="H206">
        <v>82</v>
      </c>
      <c r="I206">
        <f t="shared" si="3"/>
        <v>231</v>
      </c>
    </row>
    <row r="207" spans="1:9" x14ac:dyDescent="0.25">
      <c r="A207" t="s">
        <v>8</v>
      </c>
      <c r="B207" t="s">
        <v>20</v>
      </c>
      <c r="C207" t="s">
        <v>15</v>
      </c>
      <c r="D207" t="s">
        <v>11</v>
      </c>
      <c r="E207" t="s">
        <v>12</v>
      </c>
      <c r="F207">
        <v>77</v>
      </c>
      <c r="G207">
        <v>74</v>
      </c>
      <c r="H207">
        <v>75</v>
      </c>
      <c r="I207">
        <f t="shared" si="3"/>
        <v>226</v>
      </c>
    </row>
    <row r="208" spans="1:9" x14ac:dyDescent="0.25">
      <c r="A208" t="s">
        <v>13</v>
      </c>
      <c r="B208" t="s">
        <v>9</v>
      </c>
      <c r="C208" t="s">
        <v>24</v>
      </c>
      <c r="D208" t="s">
        <v>11</v>
      </c>
      <c r="E208" t="s">
        <v>12</v>
      </c>
      <c r="F208">
        <v>74</v>
      </c>
      <c r="G208">
        <v>78</v>
      </c>
      <c r="H208">
        <v>84</v>
      </c>
      <c r="I208">
        <f t="shared" si="3"/>
        <v>236</v>
      </c>
    </row>
    <row r="209" spans="1:9" x14ac:dyDescent="0.25">
      <c r="A209" t="s">
        <v>8</v>
      </c>
      <c r="B209" t="s">
        <v>23</v>
      </c>
      <c r="C209" t="s">
        <v>19</v>
      </c>
      <c r="D209" t="s">
        <v>11</v>
      </c>
      <c r="E209" t="s">
        <v>17</v>
      </c>
      <c r="F209">
        <v>85</v>
      </c>
      <c r="G209">
        <v>78</v>
      </c>
      <c r="H209">
        <v>81</v>
      </c>
      <c r="I209">
        <f t="shared" si="3"/>
        <v>244</v>
      </c>
    </row>
    <row r="210" spans="1:9" x14ac:dyDescent="0.25">
      <c r="A210" t="s">
        <v>13</v>
      </c>
      <c r="B210" t="s">
        <v>9</v>
      </c>
      <c r="C210" t="s">
        <v>19</v>
      </c>
      <c r="D210" t="s">
        <v>11</v>
      </c>
      <c r="E210" t="s">
        <v>17</v>
      </c>
      <c r="F210">
        <v>77</v>
      </c>
      <c r="G210">
        <v>86</v>
      </c>
      <c r="H210">
        <v>84</v>
      </c>
      <c r="I210">
        <f t="shared" si="3"/>
        <v>247</v>
      </c>
    </row>
    <row r="211" spans="1:9" x14ac:dyDescent="0.25">
      <c r="A211" t="s">
        <v>13</v>
      </c>
      <c r="B211" t="s">
        <v>20</v>
      </c>
      <c r="C211" t="s">
        <v>21</v>
      </c>
      <c r="D211" t="s">
        <v>11</v>
      </c>
      <c r="E211" t="s">
        <v>17</v>
      </c>
      <c r="F211">
        <v>64</v>
      </c>
      <c r="G211">
        <v>62</v>
      </c>
      <c r="H211">
        <v>66</v>
      </c>
      <c r="I211">
        <f t="shared" si="3"/>
        <v>192</v>
      </c>
    </row>
    <row r="212" spans="1:9" x14ac:dyDescent="0.25">
      <c r="A212" t="s">
        <v>13</v>
      </c>
      <c r="B212" t="s">
        <v>14</v>
      </c>
      <c r="C212" t="s">
        <v>10</v>
      </c>
      <c r="D212" t="s">
        <v>16</v>
      </c>
      <c r="E212" t="s">
        <v>12</v>
      </c>
      <c r="F212">
        <v>61</v>
      </c>
      <c r="G212">
        <v>69</v>
      </c>
      <c r="H212">
        <v>68</v>
      </c>
      <c r="I212">
        <f t="shared" si="3"/>
        <v>198</v>
      </c>
    </row>
    <row r="213" spans="1:9" x14ac:dyDescent="0.25">
      <c r="A213" t="s">
        <v>8</v>
      </c>
      <c r="B213" t="s">
        <v>14</v>
      </c>
      <c r="C213" t="s">
        <v>21</v>
      </c>
      <c r="D213" t="s">
        <v>11</v>
      </c>
      <c r="E213" t="s">
        <v>17</v>
      </c>
      <c r="F213">
        <v>97</v>
      </c>
      <c r="G213">
        <v>88</v>
      </c>
      <c r="H213">
        <v>85</v>
      </c>
      <c r="I213">
        <f t="shared" si="3"/>
        <v>270</v>
      </c>
    </row>
    <row r="214" spans="1:9" x14ac:dyDescent="0.25">
      <c r="A214" t="s">
        <v>8</v>
      </c>
      <c r="B214" t="s">
        <v>23</v>
      </c>
      <c r="C214" t="s">
        <v>19</v>
      </c>
      <c r="D214" t="s">
        <v>11</v>
      </c>
      <c r="E214" t="s">
        <v>12</v>
      </c>
      <c r="F214">
        <v>66</v>
      </c>
      <c r="G214">
        <v>75</v>
      </c>
      <c r="H214">
        <v>70</v>
      </c>
      <c r="I214">
        <f t="shared" si="3"/>
        <v>211</v>
      </c>
    </row>
    <row r="215" spans="1:9" x14ac:dyDescent="0.25">
      <c r="A215" t="s">
        <v>8</v>
      </c>
      <c r="B215" t="s">
        <v>23</v>
      </c>
      <c r="C215" t="s">
        <v>15</v>
      </c>
      <c r="D215" t="s">
        <v>11</v>
      </c>
      <c r="E215" t="s">
        <v>17</v>
      </c>
      <c r="F215">
        <v>62</v>
      </c>
      <c r="G215">
        <v>66</v>
      </c>
      <c r="H215">
        <v>64</v>
      </c>
      <c r="I215">
        <f t="shared" si="3"/>
        <v>192</v>
      </c>
    </row>
    <row r="216" spans="1:9" x14ac:dyDescent="0.25">
      <c r="A216" t="s">
        <v>13</v>
      </c>
      <c r="B216" t="s">
        <v>18</v>
      </c>
      <c r="C216" t="s">
        <v>15</v>
      </c>
      <c r="D216" t="s">
        <v>11</v>
      </c>
      <c r="E216" t="s">
        <v>12</v>
      </c>
      <c r="F216">
        <v>64</v>
      </c>
      <c r="G216">
        <v>80</v>
      </c>
      <c r="H216">
        <v>77</v>
      </c>
      <c r="I216">
        <f t="shared" si="3"/>
        <v>221</v>
      </c>
    </row>
    <row r="217" spans="1:9" x14ac:dyDescent="0.25">
      <c r="A217" t="s">
        <v>13</v>
      </c>
      <c r="B217" t="s">
        <v>20</v>
      </c>
      <c r="C217" t="s">
        <v>22</v>
      </c>
      <c r="D217" t="s">
        <v>16</v>
      </c>
      <c r="E217" t="s">
        <v>17</v>
      </c>
      <c r="F217">
        <v>55</v>
      </c>
      <c r="G217">
        <v>57</v>
      </c>
      <c r="H217">
        <v>60</v>
      </c>
      <c r="I217">
        <f t="shared" si="3"/>
        <v>172</v>
      </c>
    </row>
    <row r="218" spans="1:9" x14ac:dyDescent="0.25">
      <c r="A218" t="s">
        <v>13</v>
      </c>
      <c r="B218" t="s">
        <v>20</v>
      </c>
      <c r="C218" t="s">
        <v>21</v>
      </c>
      <c r="D218" t="s">
        <v>11</v>
      </c>
      <c r="E218" t="s">
        <v>17</v>
      </c>
      <c r="F218">
        <v>53</v>
      </c>
      <c r="G218">
        <v>72</v>
      </c>
      <c r="H218">
        <v>66</v>
      </c>
      <c r="I218">
        <f t="shared" si="3"/>
        <v>191</v>
      </c>
    </row>
    <row r="219" spans="1:9" x14ac:dyDescent="0.25">
      <c r="A219" t="s">
        <v>13</v>
      </c>
      <c r="B219" t="s">
        <v>14</v>
      </c>
      <c r="C219" t="s">
        <v>19</v>
      </c>
      <c r="D219" t="s">
        <v>16</v>
      </c>
      <c r="E219" t="s">
        <v>17</v>
      </c>
      <c r="F219">
        <v>71</v>
      </c>
      <c r="G219">
        <v>81</v>
      </c>
      <c r="H219">
        <v>77</v>
      </c>
      <c r="I219">
        <f t="shared" si="3"/>
        <v>229</v>
      </c>
    </row>
    <row r="220" spans="1:9" x14ac:dyDescent="0.25">
      <c r="A220" t="s">
        <v>8</v>
      </c>
      <c r="B220" t="s">
        <v>20</v>
      </c>
      <c r="C220" t="s">
        <v>10</v>
      </c>
      <c r="D220" t="s">
        <v>16</v>
      </c>
      <c r="E220" t="s">
        <v>12</v>
      </c>
      <c r="F220">
        <v>66</v>
      </c>
      <c r="G220">
        <v>59</v>
      </c>
      <c r="H220">
        <v>68</v>
      </c>
      <c r="I220">
        <f t="shared" si="3"/>
        <v>193</v>
      </c>
    </row>
    <row r="221" spans="1:9" x14ac:dyDescent="0.25">
      <c r="A221" t="s">
        <v>8</v>
      </c>
      <c r="B221" t="s">
        <v>23</v>
      </c>
      <c r="C221" t="s">
        <v>21</v>
      </c>
      <c r="D221" t="s">
        <v>11</v>
      </c>
      <c r="E221" t="s">
        <v>17</v>
      </c>
      <c r="F221">
        <v>68</v>
      </c>
      <c r="G221">
        <v>61</v>
      </c>
      <c r="H221">
        <v>62</v>
      </c>
      <c r="I221">
        <f t="shared" si="3"/>
        <v>191</v>
      </c>
    </row>
    <row r="222" spans="1:9" x14ac:dyDescent="0.25">
      <c r="A222" t="s">
        <v>8</v>
      </c>
      <c r="B222" t="s">
        <v>14</v>
      </c>
      <c r="C222" t="s">
        <v>19</v>
      </c>
      <c r="D222" t="s">
        <v>11</v>
      </c>
      <c r="E222" t="s">
        <v>17</v>
      </c>
      <c r="F222">
        <v>89</v>
      </c>
      <c r="G222">
        <v>90</v>
      </c>
      <c r="H222">
        <v>83</v>
      </c>
      <c r="I222">
        <f t="shared" si="3"/>
        <v>262</v>
      </c>
    </row>
    <row r="223" spans="1:9" x14ac:dyDescent="0.25">
      <c r="A223" t="s">
        <v>8</v>
      </c>
      <c r="B223" t="s">
        <v>23</v>
      </c>
      <c r="C223" t="s">
        <v>21</v>
      </c>
      <c r="D223" t="s">
        <v>11</v>
      </c>
      <c r="E223" t="s">
        <v>12</v>
      </c>
      <c r="F223">
        <v>65</v>
      </c>
      <c r="G223">
        <v>69</v>
      </c>
      <c r="H223">
        <v>74</v>
      </c>
      <c r="I223">
        <f t="shared" si="3"/>
        <v>208</v>
      </c>
    </row>
    <row r="224" spans="1:9" x14ac:dyDescent="0.25">
      <c r="A224" t="s">
        <v>13</v>
      </c>
      <c r="B224" t="s">
        <v>20</v>
      </c>
      <c r="C224" t="s">
        <v>15</v>
      </c>
      <c r="D224" t="s">
        <v>11</v>
      </c>
      <c r="E224" t="s">
        <v>17</v>
      </c>
      <c r="F224">
        <v>43</v>
      </c>
      <c r="G224">
        <v>48</v>
      </c>
      <c r="H224">
        <v>44</v>
      </c>
      <c r="I224">
        <f t="shared" si="3"/>
        <v>135</v>
      </c>
    </row>
    <row r="225" spans="1:9" x14ac:dyDescent="0.25">
      <c r="A225" t="s">
        <v>13</v>
      </c>
      <c r="B225" t="s">
        <v>14</v>
      </c>
      <c r="C225" t="s">
        <v>24</v>
      </c>
      <c r="D225" t="s">
        <v>11</v>
      </c>
      <c r="E225" t="s">
        <v>17</v>
      </c>
      <c r="F225">
        <v>79</v>
      </c>
      <c r="G225">
        <v>77</v>
      </c>
      <c r="H225">
        <v>83</v>
      </c>
      <c r="I225">
        <f t="shared" si="3"/>
        <v>239</v>
      </c>
    </row>
    <row r="226" spans="1:9" x14ac:dyDescent="0.25">
      <c r="A226" t="s">
        <v>8</v>
      </c>
      <c r="B226" t="s">
        <v>14</v>
      </c>
      <c r="C226" t="s">
        <v>22</v>
      </c>
      <c r="D226" t="s">
        <v>11</v>
      </c>
      <c r="E226" t="s">
        <v>17</v>
      </c>
      <c r="F226">
        <v>99</v>
      </c>
      <c r="G226">
        <v>94</v>
      </c>
      <c r="H226">
        <v>97</v>
      </c>
      <c r="I226">
        <f t="shared" si="3"/>
        <v>290</v>
      </c>
    </row>
    <row r="227" spans="1:9" x14ac:dyDescent="0.25">
      <c r="A227" t="s">
        <v>8</v>
      </c>
      <c r="B227" t="s">
        <v>14</v>
      </c>
      <c r="C227" t="s">
        <v>15</v>
      </c>
      <c r="D227" t="s">
        <v>11</v>
      </c>
      <c r="E227" t="s">
        <v>17</v>
      </c>
      <c r="F227">
        <v>82</v>
      </c>
      <c r="G227">
        <v>69</v>
      </c>
      <c r="H227">
        <v>72</v>
      </c>
      <c r="I227">
        <f t="shared" si="3"/>
        <v>223</v>
      </c>
    </row>
    <row r="228" spans="1:9" x14ac:dyDescent="0.25">
      <c r="A228" t="s">
        <v>8</v>
      </c>
      <c r="B228" t="s">
        <v>14</v>
      </c>
      <c r="C228" t="s">
        <v>19</v>
      </c>
      <c r="D228" t="s">
        <v>16</v>
      </c>
      <c r="E228" t="s">
        <v>12</v>
      </c>
      <c r="F228">
        <v>35</v>
      </c>
      <c r="G228">
        <v>36</v>
      </c>
      <c r="H228">
        <v>39</v>
      </c>
      <c r="I228">
        <f t="shared" si="3"/>
        <v>110</v>
      </c>
    </row>
    <row r="229" spans="1:9" x14ac:dyDescent="0.25">
      <c r="A229" t="s">
        <v>13</v>
      </c>
      <c r="B229" t="s">
        <v>14</v>
      </c>
      <c r="C229" t="s">
        <v>22</v>
      </c>
      <c r="D229" t="s">
        <v>16</v>
      </c>
      <c r="E229" t="s">
        <v>17</v>
      </c>
      <c r="F229">
        <v>61</v>
      </c>
      <c r="G229">
        <v>71</v>
      </c>
      <c r="H229">
        <v>73</v>
      </c>
      <c r="I229">
        <f t="shared" si="3"/>
        <v>205</v>
      </c>
    </row>
    <row r="230" spans="1:9" x14ac:dyDescent="0.25">
      <c r="A230" t="s">
        <v>13</v>
      </c>
      <c r="B230" t="s">
        <v>14</v>
      </c>
      <c r="C230" t="s">
        <v>10</v>
      </c>
      <c r="D230" t="s">
        <v>11</v>
      </c>
      <c r="E230" t="s">
        <v>17</v>
      </c>
      <c r="F230">
        <v>76</v>
      </c>
      <c r="G230">
        <v>80</v>
      </c>
      <c r="H230">
        <v>81</v>
      </c>
      <c r="I230">
        <f t="shared" si="3"/>
        <v>237</v>
      </c>
    </row>
    <row r="231" spans="1:9" x14ac:dyDescent="0.25">
      <c r="A231" t="s">
        <v>8</v>
      </c>
      <c r="B231" t="s">
        <v>23</v>
      </c>
      <c r="C231" t="s">
        <v>21</v>
      </c>
      <c r="D231" t="s">
        <v>16</v>
      </c>
      <c r="E231" t="s">
        <v>12</v>
      </c>
      <c r="F231">
        <v>94</v>
      </c>
      <c r="G231">
        <v>83</v>
      </c>
      <c r="H231">
        <v>82</v>
      </c>
      <c r="I231">
        <f t="shared" si="3"/>
        <v>259</v>
      </c>
    </row>
    <row r="232" spans="1:9" x14ac:dyDescent="0.25">
      <c r="A232" t="s">
        <v>13</v>
      </c>
      <c r="B232" t="s">
        <v>23</v>
      </c>
      <c r="C232" t="s">
        <v>10</v>
      </c>
      <c r="D232" t="s">
        <v>11</v>
      </c>
      <c r="E232" t="s">
        <v>17</v>
      </c>
      <c r="F232">
        <v>75</v>
      </c>
      <c r="G232">
        <v>90</v>
      </c>
      <c r="H232">
        <v>78</v>
      </c>
      <c r="I232">
        <f t="shared" si="3"/>
        <v>243</v>
      </c>
    </row>
    <row r="233" spans="1:9" x14ac:dyDescent="0.25">
      <c r="A233" t="s">
        <v>8</v>
      </c>
      <c r="B233" t="s">
        <v>20</v>
      </c>
      <c r="C233" t="s">
        <v>19</v>
      </c>
      <c r="D233" t="s">
        <v>11</v>
      </c>
      <c r="E233" t="s">
        <v>17</v>
      </c>
      <c r="F233">
        <v>81</v>
      </c>
      <c r="G233">
        <v>75</v>
      </c>
      <c r="H233">
        <v>70</v>
      </c>
      <c r="I233">
        <f t="shared" si="3"/>
        <v>226</v>
      </c>
    </row>
    <row r="234" spans="1:9" x14ac:dyDescent="0.25">
      <c r="A234" t="s">
        <v>8</v>
      </c>
      <c r="B234" t="s">
        <v>23</v>
      </c>
      <c r="C234" t="s">
        <v>19</v>
      </c>
      <c r="D234" t="s">
        <v>16</v>
      </c>
      <c r="E234" t="s">
        <v>17</v>
      </c>
      <c r="F234">
        <v>35</v>
      </c>
      <c r="G234">
        <v>44</v>
      </c>
      <c r="H234">
        <v>33</v>
      </c>
      <c r="I234">
        <f t="shared" si="3"/>
        <v>112</v>
      </c>
    </row>
    <row r="235" spans="1:9" x14ac:dyDescent="0.25">
      <c r="A235" t="s">
        <v>8</v>
      </c>
      <c r="B235" t="s">
        <v>23</v>
      </c>
      <c r="C235" t="s">
        <v>19</v>
      </c>
      <c r="D235" t="s">
        <v>11</v>
      </c>
      <c r="E235" t="s">
        <v>17</v>
      </c>
      <c r="F235">
        <v>76</v>
      </c>
      <c r="G235">
        <v>74</v>
      </c>
      <c r="H235">
        <v>72</v>
      </c>
      <c r="I235">
        <f t="shared" si="3"/>
        <v>222</v>
      </c>
    </row>
    <row r="236" spans="1:9" x14ac:dyDescent="0.25">
      <c r="A236" t="s">
        <v>13</v>
      </c>
      <c r="B236" t="s">
        <v>20</v>
      </c>
      <c r="C236" t="s">
        <v>22</v>
      </c>
      <c r="D236" t="s">
        <v>11</v>
      </c>
      <c r="E236" t="s">
        <v>17</v>
      </c>
      <c r="F236">
        <v>58</v>
      </c>
      <c r="G236">
        <v>79</v>
      </c>
      <c r="H236">
        <v>82</v>
      </c>
      <c r="I236">
        <f t="shared" si="3"/>
        <v>219</v>
      </c>
    </row>
    <row r="237" spans="1:9" x14ac:dyDescent="0.25">
      <c r="A237" t="s">
        <v>8</v>
      </c>
      <c r="B237" t="s">
        <v>23</v>
      </c>
      <c r="C237" t="s">
        <v>21</v>
      </c>
      <c r="D237" t="s">
        <v>11</v>
      </c>
      <c r="E237" t="s">
        <v>12</v>
      </c>
      <c r="F237">
        <v>100</v>
      </c>
      <c r="G237">
        <v>91</v>
      </c>
      <c r="H237">
        <v>90</v>
      </c>
      <c r="I237">
        <f t="shared" si="3"/>
        <v>281</v>
      </c>
    </row>
    <row r="238" spans="1:9" x14ac:dyDescent="0.25">
      <c r="A238" t="s">
        <v>13</v>
      </c>
      <c r="B238" t="s">
        <v>23</v>
      </c>
      <c r="C238" t="s">
        <v>22</v>
      </c>
      <c r="D238" t="s">
        <v>11</v>
      </c>
      <c r="E238" t="s">
        <v>17</v>
      </c>
      <c r="F238">
        <v>53</v>
      </c>
      <c r="G238">
        <v>68</v>
      </c>
      <c r="H238">
        <v>64</v>
      </c>
      <c r="I238">
        <f t="shared" si="3"/>
        <v>185</v>
      </c>
    </row>
    <row r="239" spans="1:9" x14ac:dyDescent="0.25">
      <c r="A239" t="s">
        <v>13</v>
      </c>
      <c r="B239" t="s">
        <v>14</v>
      </c>
      <c r="C239" t="s">
        <v>10</v>
      </c>
      <c r="D239" t="s">
        <v>11</v>
      </c>
      <c r="E239" t="s">
        <v>17</v>
      </c>
      <c r="F239">
        <v>82</v>
      </c>
      <c r="G239">
        <v>95</v>
      </c>
      <c r="H239">
        <v>96</v>
      </c>
      <c r="I239">
        <f t="shared" si="3"/>
        <v>273</v>
      </c>
    </row>
    <row r="240" spans="1:9" x14ac:dyDescent="0.25">
      <c r="A240" t="s">
        <v>8</v>
      </c>
      <c r="B240" t="s">
        <v>20</v>
      </c>
      <c r="C240" t="s">
        <v>21</v>
      </c>
      <c r="D240" t="s">
        <v>11</v>
      </c>
      <c r="E240" t="s">
        <v>17</v>
      </c>
      <c r="F240">
        <v>76</v>
      </c>
      <c r="G240">
        <v>62</v>
      </c>
      <c r="H240">
        <v>64</v>
      </c>
      <c r="I240">
        <f t="shared" si="3"/>
        <v>202</v>
      </c>
    </row>
    <row r="241" spans="1:9" x14ac:dyDescent="0.25">
      <c r="A241" t="s">
        <v>8</v>
      </c>
      <c r="B241" t="s">
        <v>23</v>
      </c>
      <c r="C241" t="s">
        <v>22</v>
      </c>
      <c r="D241" t="s">
        <v>11</v>
      </c>
      <c r="E241" t="s">
        <v>12</v>
      </c>
      <c r="F241">
        <v>83</v>
      </c>
      <c r="G241">
        <v>75</v>
      </c>
      <c r="H241">
        <v>75</v>
      </c>
      <c r="I241">
        <f t="shared" si="3"/>
        <v>233</v>
      </c>
    </row>
    <row r="242" spans="1:9" x14ac:dyDescent="0.25">
      <c r="A242" t="s">
        <v>13</v>
      </c>
      <c r="B242" t="s">
        <v>14</v>
      </c>
      <c r="C242" t="s">
        <v>19</v>
      </c>
      <c r="D242" t="s">
        <v>11</v>
      </c>
      <c r="E242" t="s">
        <v>17</v>
      </c>
      <c r="F242">
        <v>72</v>
      </c>
      <c r="G242">
        <v>84</v>
      </c>
      <c r="H242">
        <v>82</v>
      </c>
      <c r="I242">
        <f t="shared" si="3"/>
        <v>238</v>
      </c>
    </row>
    <row r="243" spans="1:9" x14ac:dyDescent="0.25">
      <c r="A243" t="s">
        <v>8</v>
      </c>
      <c r="B243" t="s">
        <v>14</v>
      </c>
      <c r="C243" t="s">
        <v>21</v>
      </c>
      <c r="D243" t="s">
        <v>11</v>
      </c>
      <c r="E243" t="s">
        <v>12</v>
      </c>
      <c r="F243">
        <v>76</v>
      </c>
      <c r="G243">
        <v>76</v>
      </c>
      <c r="H243">
        <v>83</v>
      </c>
      <c r="I243">
        <f t="shared" si="3"/>
        <v>235</v>
      </c>
    </row>
    <row r="244" spans="1:9" x14ac:dyDescent="0.25">
      <c r="A244" t="s">
        <v>8</v>
      </c>
      <c r="B244" t="s">
        <v>14</v>
      </c>
      <c r="C244" t="s">
        <v>15</v>
      </c>
      <c r="D244" t="s">
        <v>11</v>
      </c>
      <c r="E244" t="s">
        <v>17</v>
      </c>
      <c r="F244">
        <v>66</v>
      </c>
      <c r="G244">
        <v>64</v>
      </c>
      <c r="H244">
        <v>58</v>
      </c>
      <c r="I244">
        <f t="shared" si="3"/>
        <v>188</v>
      </c>
    </row>
    <row r="245" spans="1:9" x14ac:dyDescent="0.25">
      <c r="A245" t="s">
        <v>8</v>
      </c>
      <c r="B245" t="s">
        <v>23</v>
      </c>
      <c r="C245" t="s">
        <v>19</v>
      </c>
      <c r="D245" t="s">
        <v>11</v>
      </c>
      <c r="E245" t="s">
        <v>17</v>
      </c>
      <c r="F245">
        <v>63</v>
      </c>
      <c r="G245">
        <v>65</v>
      </c>
      <c r="H245">
        <v>63</v>
      </c>
      <c r="I245">
        <f t="shared" si="3"/>
        <v>191</v>
      </c>
    </row>
    <row r="246" spans="1:9" x14ac:dyDescent="0.25">
      <c r="A246" t="s">
        <v>8</v>
      </c>
      <c r="B246" t="s">
        <v>20</v>
      </c>
      <c r="C246" t="s">
        <v>15</v>
      </c>
      <c r="D246" t="s">
        <v>11</v>
      </c>
      <c r="E246" t="s">
        <v>17</v>
      </c>
      <c r="F246">
        <v>36</v>
      </c>
      <c r="G246">
        <v>34</v>
      </c>
      <c r="H246">
        <v>28</v>
      </c>
      <c r="I246">
        <f t="shared" si="3"/>
        <v>98</v>
      </c>
    </row>
    <row r="247" spans="1:9" x14ac:dyDescent="0.25">
      <c r="A247" t="s">
        <v>8</v>
      </c>
      <c r="B247" t="s">
        <v>23</v>
      </c>
      <c r="C247" t="s">
        <v>10</v>
      </c>
      <c r="D247" t="s">
        <v>11</v>
      </c>
      <c r="E247" t="s">
        <v>17</v>
      </c>
      <c r="F247">
        <v>68</v>
      </c>
      <c r="G247">
        <v>74</v>
      </c>
      <c r="H247">
        <v>71</v>
      </c>
      <c r="I247">
        <f t="shared" si="3"/>
        <v>213</v>
      </c>
    </row>
    <row r="248" spans="1:9" x14ac:dyDescent="0.25">
      <c r="A248" t="s">
        <v>13</v>
      </c>
      <c r="B248" t="s">
        <v>23</v>
      </c>
      <c r="C248" t="s">
        <v>15</v>
      </c>
      <c r="D248" t="s">
        <v>16</v>
      </c>
      <c r="E248" t="s">
        <v>12</v>
      </c>
      <c r="F248">
        <v>40</v>
      </c>
      <c r="G248">
        <v>52</v>
      </c>
      <c r="H248">
        <v>42</v>
      </c>
      <c r="I248">
        <f t="shared" si="3"/>
        <v>134</v>
      </c>
    </row>
    <row r="249" spans="1:9" x14ac:dyDescent="0.25">
      <c r="A249" t="s">
        <v>8</v>
      </c>
      <c r="B249" t="s">
        <v>14</v>
      </c>
      <c r="C249" t="s">
        <v>15</v>
      </c>
      <c r="D249" t="s">
        <v>11</v>
      </c>
      <c r="E249" t="s">
        <v>17</v>
      </c>
      <c r="F249">
        <v>68</v>
      </c>
      <c r="G249">
        <v>71</v>
      </c>
      <c r="H249">
        <v>61</v>
      </c>
      <c r="I249">
        <f t="shared" si="3"/>
        <v>200</v>
      </c>
    </row>
    <row r="250" spans="1:9" x14ac:dyDescent="0.25">
      <c r="A250" t="s">
        <v>8</v>
      </c>
      <c r="B250" t="s">
        <v>23</v>
      </c>
      <c r="C250" t="s">
        <v>21</v>
      </c>
      <c r="D250" t="s">
        <v>11</v>
      </c>
      <c r="E250" t="s">
        <v>12</v>
      </c>
      <c r="F250">
        <v>56</v>
      </c>
      <c r="G250">
        <v>54</v>
      </c>
      <c r="H250">
        <v>52</v>
      </c>
      <c r="I250">
        <f t="shared" si="3"/>
        <v>162</v>
      </c>
    </row>
    <row r="251" spans="1:9" x14ac:dyDescent="0.25">
      <c r="A251" t="s">
        <v>13</v>
      </c>
      <c r="B251" t="s">
        <v>14</v>
      </c>
      <c r="C251" t="s">
        <v>21</v>
      </c>
      <c r="D251" t="s">
        <v>16</v>
      </c>
      <c r="E251" t="s">
        <v>17</v>
      </c>
      <c r="F251">
        <v>74</v>
      </c>
      <c r="G251">
        <v>83</v>
      </c>
      <c r="H251">
        <v>80</v>
      </c>
      <c r="I251">
        <f t="shared" si="3"/>
        <v>237</v>
      </c>
    </row>
    <row r="252" spans="1:9" x14ac:dyDescent="0.25">
      <c r="A252" t="s">
        <v>13</v>
      </c>
      <c r="B252" t="s">
        <v>14</v>
      </c>
      <c r="C252" t="s">
        <v>19</v>
      </c>
      <c r="D252" t="s">
        <v>16</v>
      </c>
      <c r="E252" t="s">
        <v>17</v>
      </c>
      <c r="F252">
        <v>53</v>
      </c>
      <c r="G252">
        <v>70</v>
      </c>
      <c r="H252">
        <v>71</v>
      </c>
      <c r="I252">
        <f t="shared" si="3"/>
        <v>194</v>
      </c>
    </row>
    <row r="253" spans="1:9" x14ac:dyDescent="0.25">
      <c r="A253" t="s">
        <v>8</v>
      </c>
      <c r="B253" t="s">
        <v>20</v>
      </c>
      <c r="C253" t="s">
        <v>15</v>
      </c>
      <c r="D253" t="s">
        <v>11</v>
      </c>
      <c r="E253" t="s">
        <v>17</v>
      </c>
      <c r="F253">
        <v>88</v>
      </c>
      <c r="G253">
        <v>65</v>
      </c>
      <c r="H253">
        <v>70</v>
      </c>
      <c r="I253">
        <f t="shared" si="3"/>
        <v>223</v>
      </c>
    </row>
    <row r="254" spans="1:9" x14ac:dyDescent="0.25">
      <c r="A254" t="s">
        <v>8</v>
      </c>
      <c r="B254" t="s">
        <v>14</v>
      </c>
      <c r="C254" t="s">
        <v>15</v>
      </c>
      <c r="D254" t="s">
        <v>11</v>
      </c>
      <c r="E254" t="s">
        <v>17</v>
      </c>
      <c r="F254">
        <v>67</v>
      </c>
      <c r="G254">
        <v>63</v>
      </c>
      <c r="H254">
        <v>61</v>
      </c>
      <c r="I254">
        <f t="shared" si="3"/>
        <v>191</v>
      </c>
    </row>
    <row r="255" spans="1:9" x14ac:dyDescent="0.25">
      <c r="A255" t="s">
        <v>13</v>
      </c>
      <c r="B255" t="s">
        <v>20</v>
      </c>
      <c r="C255" t="s">
        <v>21</v>
      </c>
      <c r="D255" t="s">
        <v>11</v>
      </c>
      <c r="E255" t="s">
        <v>17</v>
      </c>
      <c r="F255">
        <v>60</v>
      </c>
      <c r="G255">
        <v>76</v>
      </c>
      <c r="H255">
        <v>65</v>
      </c>
      <c r="I255">
        <f t="shared" si="3"/>
        <v>201</v>
      </c>
    </row>
    <row r="256" spans="1:9" x14ac:dyDescent="0.25">
      <c r="A256" t="s">
        <v>13</v>
      </c>
      <c r="B256" t="s">
        <v>23</v>
      </c>
      <c r="C256" t="s">
        <v>10</v>
      </c>
      <c r="D256" t="s">
        <v>16</v>
      </c>
      <c r="E256" t="s">
        <v>17</v>
      </c>
      <c r="F256">
        <v>51</v>
      </c>
      <c r="G256">
        <v>61</v>
      </c>
      <c r="H256">
        <v>54</v>
      </c>
      <c r="I256">
        <f t="shared" si="3"/>
        <v>166</v>
      </c>
    </row>
    <row r="257" spans="1:9" x14ac:dyDescent="0.25">
      <c r="A257" t="s">
        <v>13</v>
      </c>
      <c r="B257" t="s">
        <v>14</v>
      </c>
      <c r="C257" t="s">
        <v>15</v>
      </c>
      <c r="D257" t="s">
        <v>11</v>
      </c>
      <c r="E257" t="s">
        <v>17</v>
      </c>
      <c r="F257">
        <v>53</v>
      </c>
      <c r="G257">
        <v>66</v>
      </c>
      <c r="H257">
        <v>59</v>
      </c>
      <c r="I257">
        <f t="shared" si="3"/>
        <v>178</v>
      </c>
    </row>
    <row r="258" spans="1:9" x14ac:dyDescent="0.25">
      <c r="A258" t="s">
        <v>8</v>
      </c>
      <c r="B258" t="s">
        <v>9</v>
      </c>
      <c r="C258" t="s">
        <v>22</v>
      </c>
      <c r="D258" t="s">
        <v>11</v>
      </c>
      <c r="E258" t="s">
        <v>17</v>
      </c>
      <c r="F258">
        <v>80</v>
      </c>
      <c r="G258">
        <v>78</v>
      </c>
      <c r="H258">
        <v>74</v>
      </c>
      <c r="I258">
        <f t="shared" si="3"/>
        <v>232</v>
      </c>
    </row>
    <row r="259" spans="1:9" x14ac:dyDescent="0.25">
      <c r="A259" t="s">
        <v>13</v>
      </c>
      <c r="B259" t="s">
        <v>18</v>
      </c>
      <c r="C259" t="s">
        <v>15</v>
      </c>
      <c r="D259" t="s">
        <v>11</v>
      </c>
      <c r="E259" t="s">
        <v>17</v>
      </c>
      <c r="F259">
        <v>69</v>
      </c>
      <c r="G259">
        <v>71</v>
      </c>
      <c r="H259">
        <v>67</v>
      </c>
      <c r="I259">
        <f t="shared" ref="I259:I322" si="4">SUM(F259:H259)</f>
        <v>207</v>
      </c>
    </row>
    <row r="260" spans="1:9" x14ac:dyDescent="0.25">
      <c r="A260" t="s">
        <v>13</v>
      </c>
      <c r="B260" t="s">
        <v>20</v>
      </c>
      <c r="C260" t="s">
        <v>15</v>
      </c>
      <c r="D260" t="s">
        <v>16</v>
      </c>
      <c r="E260" t="s">
        <v>17</v>
      </c>
      <c r="F260">
        <v>64</v>
      </c>
      <c r="G260">
        <v>79</v>
      </c>
      <c r="H260">
        <v>70</v>
      </c>
      <c r="I260">
        <f t="shared" si="4"/>
        <v>213</v>
      </c>
    </row>
    <row r="261" spans="1:9" x14ac:dyDescent="0.25">
      <c r="A261" t="s">
        <v>13</v>
      </c>
      <c r="B261" t="s">
        <v>14</v>
      </c>
      <c r="C261" t="s">
        <v>21</v>
      </c>
      <c r="D261" t="s">
        <v>16</v>
      </c>
      <c r="E261" t="s">
        <v>12</v>
      </c>
      <c r="F261">
        <v>80</v>
      </c>
      <c r="G261">
        <v>87</v>
      </c>
      <c r="H261">
        <v>89</v>
      </c>
      <c r="I261">
        <f t="shared" si="4"/>
        <v>256</v>
      </c>
    </row>
    <row r="262" spans="1:9" x14ac:dyDescent="0.25">
      <c r="A262" t="s">
        <v>13</v>
      </c>
      <c r="B262" t="s">
        <v>9</v>
      </c>
      <c r="C262" t="s">
        <v>15</v>
      </c>
      <c r="D262" t="s">
        <v>11</v>
      </c>
      <c r="E262" t="s">
        <v>17</v>
      </c>
      <c r="F262">
        <v>58</v>
      </c>
      <c r="G262">
        <v>72</v>
      </c>
      <c r="H262">
        <v>62</v>
      </c>
      <c r="I262">
        <f t="shared" si="4"/>
        <v>192</v>
      </c>
    </row>
    <row r="263" spans="1:9" x14ac:dyDescent="0.25">
      <c r="A263" t="s">
        <v>13</v>
      </c>
      <c r="B263" t="s">
        <v>23</v>
      </c>
      <c r="C263" t="s">
        <v>10</v>
      </c>
      <c r="D263" t="s">
        <v>11</v>
      </c>
      <c r="E263" t="s">
        <v>17</v>
      </c>
      <c r="F263">
        <v>39</v>
      </c>
      <c r="G263">
        <v>46</v>
      </c>
      <c r="H263">
        <v>50</v>
      </c>
      <c r="I263">
        <f t="shared" si="4"/>
        <v>135</v>
      </c>
    </row>
    <row r="264" spans="1:9" x14ac:dyDescent="0.25">
      <c r="A264" t="s">
        <v>8</v>
      </c>
      <c r="B264" t="s">
        <v>14</v>
      </c>
      <c r="C264" t="s">
        <v>15</v>
      </c>
      <c r="D264" t="s">
        <v>11</v>
      </c>
      <c r="E264" t="s">
        <v>17</v>
      </c>
      <c r="F264">
        <v>64</v>
      </c>
      <c r="G264">
        <v>56</v>
      </c>
      <c r="H264">
        <v>50</v>
      </c>
      <c r="I264">
        <f t="shared" si="4"/>
        <v>170</v>
      </c>
    </row>
    <row r="265" spans="1:9" x14ac:dyDescent="0.25">
      <c r="A265" t="s">
        <v>8</v>
      </c>
      <c r="B265" t="s">
        <v>14</v>
      </c>
      <c r="C265" t="s">
        <v>21</v>
      </c>
      <c r="D265" t="s">
        <v>11</v>
      </c>
      <c r="E265" t="s">
        <v>17</v>
      </c>
      <c r="F265">
        <v>61</v>
      </c>
      <c r="G265">
        <v>66</v>
      </c>
      <c r="H265">
        <v>63</v>
      </c>
      <c r="I265">
        <f t="shared" si="4"/>
        <v>190</v>
      </c>
    </row>
    <row r="266" spans="1:9" x14ac:dyDescent="0.25">
      <c r="A266" t="s">
        <v>8</v>
      </c>
      <c r="B266" t="s">
        <v>14</v>
      </c>
      <c r="C266" t="s">
        <v>15</v>
      </c>
      <c r="D266" t="s">
        <v>11</v>
      </c>
      <c r="E266" t="s">
        <v>12</v>
      </c>
      <c r="F266">
        <v>90</v>
      </c>
      <c r="G266">
        <v>82</v>
      </c>
      <c r="H266">
        <v>88</v>
      </c>
      <c r="I266">
        <f t="shared" si="4"/>
        <v>260</v>
      </c>
    </row>
    <row r="267" spans="1:9" x14ac:dyDescent="0.25">
      <c r="A267" t="s">
        <v>8</v>
      </c>
      <c r="B267" t="s">
        <v>14</v>
      </c>
      <c r="C267" t="s">
        <v>15</v>
      </c>
      <c r="D267" t="s">
        <v>11</v>
      </c>
      <c r="E267" t="s">
        <v>17</v>
      </c>
      <c r="F267">
        <v>73</v>
      </c>
      <c r="G267">
        <v>71</v>
      </c>
      <c r="H267">
        <v>64</v>
      </c>
      <c r="I267">
        <f t="shared" si="4"/>
        <v>208</v>
      </c>
    </row>
    <row r="268" spans="1:9" x14ac:dyDescent="0.25">
      <c r="A268" t="s">
        <v>8</v>
      </c>
      <c r="B268" t="s">
        <v>23</v>
      </c>
      <c r="C268" t="s">
        <v>21</v>
      </c>
      <c r="D268" t="s">
        <v>11</v>
      </c>
      <c r="E268" t="s">
        <v>17</v>
      </c>
      <c r="F268">
        <v>73</v>
      </c>
      <c r="G268">
        <v>73</v>
      </c>
      <c r="H268">
        <v>70</v>
      </c>
      <c r="I268">
        <f t="shared" si="4"/>
        <v>216</v>
      </c>
    </row>
    <row r="269" spans="1:9" x14ac:dyDescent="0.25">
      <c r="A269" t="s">
        <v>13</v>
      </c>
      <c r="B269" t="s">
        <v>14</v>
      </c>
      <c r="C269" t="s">
        <v>21</v>
      </c>
      <c r="D269" t="s">
        <v>11</v>
      </c>
      <c r="E269" t="s">
        <v>17</v>
      </c>
      <c r="F269">
        <v>67</v>
      </c>
      <c r="G269">
        <v>76</v>
      </c>
      <c r="H269">
        <v>77</v>
      </c>
      <c r="I269">
        <f t="shared" si="4"/>
        <v>220</v>
      </c>
    </row>
    <row r="270" spans="1:9" x14ac:dyDescent="0.25">
      <c r="A270" t="s">
        <v>13</v>
      </c>
      <c r="B270" t="s">
        <v>20</v>
      </c>
      <c r="C270" t="s">
        <v>19</v>
      </c>
      <c r="D270" t="s">
        <v>11</v>
      </c>
      <c r="E270" t="s">
        <v>17</v>
      </c>
      <c r="F270">
        <v>57</v>
      </c>
      <c r="G270">
        <v>58</v>
      </c>
      <c r="H270">
        <v>62</v>
      </c>
      <c r="I270">
        <f t="shared" si="4"/>
        <v>177</v>
      </c>
    </row>
    <row r="271" spans="1:9" x14ac:dyDescent="0.25">
      <c r="A271" t="s">
        <v>13</v>
      </c>
      <c r="B271" t="s">
        <v>18</v>
      </c>
      <c r="C271" t="s">
        <v>19</v>
      </c>
      <c r="D271" t="s">
        <v>11</v>
      </c>
      <c r="E271" t="s">
        <v>17</v>
      </c>
      <c r="F271">
        <v>65</v>
      </c>
      <c r="G271">
        <v>73</v>
      </c>
      <c r="H271">
        <v>72</v>
      </c>
      <c r="I271">
        <f t="shared" si="4"/>
        <v>210</v>
      </c>
    </row>
    <row r="272" spans="1:9" x14ac:dyDescent="0.25">
      <c r="A272" t="s">
        <v>13</v>
      </c>
      <c r="B272" t="s">
        <v>23</v>
      </c>
      <c r="C272" t="s">
        <v>15</v>
      </c>
      <c r="D272" t="s">
        <v>11</v>
      </c>
      <c r="E272" t="s">
        <v>17</v>
      </c>
      <c r="F272">
        <v>71</v>
      </c>
      <c r="G272">
        <v>72</v>
      </c>
      <c r="H272">
        <v>71</v>
      </c>
      <c r="I272">
        <f t="shared" si="4"/>
        <v>214</v>
      </c>
    </row>
    <row r="273" spans="1:9" x14ac:dyDescent="0.25">
      <c r="A273" t="s">
        <v>13</v>
      </c>
      <c r="B273" t="s">
        <v>14</v>
      </c>
      <c r="C273" t="s">
        <v>15</v>
      </c>
      <c r="D273" t="s">
        <v>11</v>
      </c>
      <c r="E273" t="s">
        <v>17</v>
      </c>
      <c r="F273">
        <v>59</v>
      </c>
      <c r="G273">
        <v>69</v>
      </c>
      <c r="H273">
        <v>72</v>
      </c>
      <c r="I273">
        <f t="shared" si="4"/>
        <v>200</v>
      </c>
    </row>
    <row r="274" spans="1:9" x14ac:dyDescent="0.25">
      <c r="A274" t="s">
        <v>8</v>
      </c>
      <c r="B274" t="s">
        <v>20</v>
      </c>
      <c r="C274" t="s">
        <v>10</v>
      </c>
      <c r="D274" t="s">
        <v>11</v>
      </c>
      <c r="E274" t="s">
        <v>12</v>
      </c>
      <c r="F274">
        <v>74</v>
      </c>
      <c r="G274">
        <v>71</v>
      </c>
      <c r="H274">
        <v>65</v>
      </c>
      <c r="I274">
        <f t="shared" si="4"/>
        <v>210</v>
      </c>
    </row>
    <row r="275" spans="1:9" x14ac:dyDescent="0.25">
      <c r="A275" t="s">
        <v>13</v>
      </c>
      <c r="B275" t="s">
        <v>18</v>
      </c>
      <c r="C275" t="s">
        <v>10</v>
      </c>
      <c r="D275" t="s">
        <v>11</v>
      </c>
      <c r="E275" t="s">
        <v>17</v>
      </c>
      <c r="F275">
        <v>93</v>
      </c>
      <c r="G275">
        <v>100</v>
      </c>
      <c r="H275">
        <v>93</v>
      </c>
      <c r="I275">
        <f t="shared" si="4"/>
        <v>286</v>
      </c>
    </row>
    <row r="276" spans="1:9" x14ac:dyDescent="0.25">
      <c r="A276" t="s">
        <v>13</v>
      </c>
      <c r="B276" t="s">
        <v>20</v>
      </c>
      <c r="C276" t="s">
        <v>15</v>
      </c>
      <c r="D276" t="s">
        <v>11</v>
      </c>
      <c r="E276" t="s">
        <v>12</v>
      </c>
      <c r="F276">
        <v>85</v>
      </c>
      <c r="G276">
        <v>93</v>
      </c>
      <c r="H276">
        <v>92</v>
      </c>
      <c r="I276">
        <f t="shared" si="4"/>
        <v>270</v>
      </c>
    </row>
    <row r="277" spans="1:9" x14ac:dyDescent="0.25">
      <c r="A277" t="s">
        <v>13</v>
      </c>
      <c r="B277" t="s">
        <v>18</v>
      </c>
      <c r="C277" t="s">
        <v>15</v>
      </c>
      <c r="D277" t="s">
        <v>11</v>
      </c>
      <c r="E277" t="s">
        <v>17</v>
      </c>
      <c r="F277">
        <v>76</v>
      </c>
      <c r="G277">
        <v>83</v>
      </c>
      <c r="H277">
        <v>79</v>
      </c>
      <c r="I277">
        <f t="shared" si="4"/>
        <v>238</v>
      </c>
    </row>
    <row r="278" spans="1:9" x14ac:dyDescent="0.25">
      <c r="A278" t="s">
        <v>13</v>
      </c>
      <c r="B278" t="s">
        <v>14</v>
      </c>
      <c r="C278" t="s">
        <v>10</v>
      </c>
      <c r="D278" t="s">
        <v>16</v>
      </c>
      <c r="E278" t="s">
        <v>17</v>
      </c>
      <c r="F278">
        <v>58</v>
      </c>
      <c r="G278">
        <v>72</v>
      </c>
      <c r="H278">
        <v>70</v>
      </c>
      <c r="I278">
        <f t="shared" si="4"/>
        <v>200</v>
      </c>
    </row>
    <row r="279" spans="1:9" x14ac:dyDescent="0.25">
      <c r="A279" t="s">
        <v>13</v>
      </c>
      <c r="B279" t="s">
        <v>18</v>
      </c>
      <c r="C279" t="s">
        <v>21</v>
      </c>
      <c r="D279" t="s">
        <v>11</v>
      </c>
      <c r="E279" t="s">
        <v>17</v>
      </c>
      <c r="F279">
        <v>72</v>
      </c>
      <c r="G279">
        <v>77</v>
      </c>
      <c r="H279">
        <v>77</v>
      </c>
      <c r="I279">
        <f t="shared" si="4"/>
        <v>226</v>
      </c>
    </row>
    <row r="280" spans="1:9" x14ac:dyDescent="0.25">
      <c r="A280" t="s">
        <v>13</v>
      </c>
      <c r="B280" t="s">
        <v>20</v>
      </c>
      <c r="C280" t="s">
        <v>10</v>
      </c>
      <c r="D280" t="s">
        <v>11</v>
      </c>
      <c r="E280" t="s">
        <v>17</v>
      </c>
      <c r="F280">
        <v>40</v>
      </c>
      <c r="G280">
        <v>49</v>
      </c>
      <c r="H280">
        <v>47</v>
      </c>
      <c r="I280">
        <f t="shared" si="4"/>
        <v>136</v>
      </c>
    </row>
    <row r="281" spans="1:9" x14ac:dyDescent="0.25">
      <c r="A281" t="s">
        <v>8</v>
      </c>
      <c r="B281" t="s">
        <v>14</v>
      </c>
      <c r="C281" t="s">
        <v>10</v>
      </c>
      <c r="D281" t="s">
        <v>11</v>
      </c>
      <c r="E281" t="s">
        <v>12</v>
      </c>
      <c r="F281">
        <v>75</v>
      </c>
      <c r="G281">
        <v>73</v>
      </c>
      <c r="H281">
        <v>66</v>
      </c>
      <c r="I281">
        <f t="shared" si="4"/>
        <v>214</v>
      </c>
    </row>
    <row r="282" spans="1:9" x14ac:dyDescent="0.25">
      <c r="A282" t="s">
        <v>8</v>
      </c>
      <c r="B282" t="s">
        <v>14</v>
      </c>
      <c r="C282" t="s">
        <v>15</v>
      </c>
      <c r="D282" t="s">
        <v>11</v>
      </c>
      <c r="E282" t="s">
        <v>17</v>
      </c>
      <c r="F282">
        <v>85</v>
      </c>
      <c r="G282">
        <v>81</v>
      </c>
      <c r="H282">
        <v>80</v>
      </c>
      <c r="I282">
        <f t="shared" si="4"/>
        <v>246</v>
      </c>
    </row>
    <row r="283" spans="1:9" x14ac:dyDescent="0.25">
      <c r="A283" t="s">
        <v>8</v>
      </c>
      <c r="B283" t="s">
        <v>18</v>
      </c>
      <c r="C283" t="s">
        <v>21</v>
      </c>
      <c r="D283" t="s">
        <v>11</v>
      </c>
      <c r="E283" t="s">
        <v>12</v>
      </c>
      <c r="F283">
        <v>100</v>
      </c>
      <c r="G283">
        <v>100</v>
      </c>
      <c r="H283">
        <v>100</v>
      </c>
      <c r="I283">
        <f t="shared" si="4"/>
        <v>300</v>
      </c>
    </row>
    <row r="284" spans="1:9" x14ac:dyDescent="0.25">
      <c r="A284" t="s">
        <v>13</v>
      </c>
      <c r="B284" t="s">
        <v>20</v>
      </c>
      <c r="C284" t="s">
        <v>19</v>
      </c>
      <c r="D284" t="s">
        <v>16</v>
      </c>
      <c r="E284" t="s">
        <v>12</v>
      </c>
      <c r="F284">
        <v>53</v>
      </c>
      <c r="G284">
        <v>65</v>
      </c>
      <c r="H284">
        <v>66</v>
      </c>
      <c r="I284">
        <f t="shared" si="4"/>
        <v>184</v>
      </c>
    </row>
    <row r="285" spans="1:9" x14ac:dyDescent="0.25">
      <c r="A285" t="s">
        <v>8</v>
      </c>
      <c r="B285" t="s">
        <v>14</v>
      </c>
      <c r="C285" t="s">
        <v>19</v>
      </c>
      <c r="D285" t="s">
        <v>16</v>
      </c>
      <c r="E285" t="s">
        <v>17</v>
      </c>
      <c r="F285">
        <v>40</v>
      </c>
      <c r="G285">
        <v>42</v>
      </c>
      <c r="H285">
        <v>39</v>
      </c>
      <c r="I285">
        <f t="shared" si="4"/>
        <v>121</v>
      </c>
    </row>
    <row r="286" spans="1:9" x14ac:dyDescent="0.25">
      <c r="A286" t="s">
        <v>8</v>
      </c>
      <c r="B286" t="s">
        <v>20</v>
      </c>
      <c r="C286" t="s">
        <v>22</v>
      </c>
      <c r="D286" t="s">
        <v>16</v>
      </c>
      <c r="E286" t="s">
        <v>17</v>
      </c>
      <c r="F286">
        <v>49</v>
      </c>
      <c r="G286">
        <v>49</v>
      </c>
      <c r="H286">
        <v>49</v>
      </c>
      <c r="I286">
        <f t="shared" si="4"/>
        <v>147</v>
      </c>
    </row>
    <row r="287" spans="1:9" x14ac:dyDescent="0.25">
      <c r="A287" t="s">
        <v>8</v>
      </c>
      <c r="B287" t="s">
        <v>23</v>
      </c>
      <c r="C287" t="s">
        <v>21</v>
      </c>
      <c r="D287" t="s">
        <v>11</v>
      </c>
      <c r="E287" t="s">
        <v>17</v>
      </c>
      <c r="F287">
        <v>77</v>
      </c>
      <c r="G287">
        <v>80</v>
      </c>
      <c r="H287">
        <v>80</v>
      </c>
      <c r="I287">
        <f t="shared" si="4"/>
        <v>237</v>
      </c>
    </row>
    <row r="288" spans="1:9" x14ac:dyDescent="0.25">
      <c r="A288" t="s">
        <v>13</v>
      </c>
      <c r="B288" t="s">
        <v>14</v>
      </c>
      <c r="C288" t="s">
        <v>10</v>
      </c>
      <c r="D288" t="s">
        <v>11</v>
      </c>
      <c r="E288" t="s">
        <v>17</v>
      </c>
      <c r="F288">
        <v>82</v>
      </c>
      <c r="G288">
        <v>89</v>
      </c>
      <c r="H288">
        <v>84</v>
      </c>
      <c r="I288">
        <f t="shared" si="4"/>
        <v>255</v>
      </c>
    </row>
    <row r="289" spans="1:9" x14ac:dyDescent="0.25">
      <c r="A289" t="s">
        <v>8</v>
      </c>
      <c r="B289" t="s">
        <v>23</v>
      </c>
      <c r="C289" t="s">
        <v>19</v>
      </c>
      <c r="D289" t="s">
        <v>11</v>
      </c>
      <c r="E289" t="s">
        <v>17</v>
      </c>
      <c r="F289">
        <v>55</v>
      </c>
      <c r="G289">
        <v>48</v>
      </c>
      <c r="H289">
        <v>42</v>
      </c>
      <c r="I289">
        <f t="shared" si="4"/>
        <v>145</v>
      </c>
    </row>
    <row r="290" spans="1:9" x14ac:dyDescent="0.25">
      <c r="A290" t="s">
        <v>13</v>
      </c>
      <c r="B290" t="s">
        <v>23</v>
      </c>
      <c r="C290" t="s">
        <v>15</v>
      </c>
      <c r="D290" t="s">
        <v>16</v>
      </c>
      <c r="E290" t="s">
        <v>17</v>
      </c>
      <c r="F290">
        <v>62</v>
      </c>
      <c r="G290">
        <v>71</v>
      </c>
      <c r="H290">
        <v>77</v>
      </c>
      <c r="I290">
        <f t="shared" si="4"/>
        <v>210</v>
      </c>
    </row>
    <row r="291" spans="1:9" x14ac:dyDescent="0.25">
      <c r="A291" t="s">
        <v>8</v>
      </c>
      <c r="B291" t="s">
        <v>20</v>
      </c>
      <c r="C291" t="s">
        <v>10</v>
      </c>
      <c r="D291" t="s">
        <v>11</v>
      </c>
      <c r="E291" t="s">
        <v>12</v>
      </c>
      <c r="F291">
        <v>69</v>
      </c>
      <c r="G291">
        <v>63</v>
      </c>
      <c r="H291">
        <v>59</v>
      </c>
      <c r="I291">
        <f t="shared" si="4"/>
        <v>191</v>
      </c>
    </row>
    <row r="292" spans="1:9" x14ac:dyDescent="0.25">
      <c r="A292" t="s">
        <v>8</v>
      </c>
      <c r="B292" t="s">
        <v>23</v>
      </c>
      <c r="C292" t="s">
        <v>21</v>
      </c>
      <c r="D292" t="s">
        <v>11</v>
      </c>
      <c r="E292" t="s">
        <v>17</v>
      </c>
      <c r="F292">
        <v>78</v>
      </c>
      <c r="G292">
        <v>74</v>
      </c>
      <c r="H292">
        <v>76</v>
      </c>
      <c r="I292">
        <f t="shared" si="4"/>
        <v>228</v>
      </c>
    </row>
    <row r="293" spans="1:9" x14ac:dyDescent="0.25">
      <c r="A293" t="s">
        <v>13</v>
      </c>
      <c r="B293" t="s">
        <v>20</v>
      </c>
      <c r="C293" t="s">
        <v>10</v>
      </c>
      <c r="D293" t="s">
        <v>16</v>
      </c>
      <c r="E293" t="s">
        <v>12</v>
      </c>
      <c r="F293">
        <v>71</v>
      </c>
      <c r="G293">
        <v>77</v>
      </c>
      <c r="H293">
        <v>82</v>
      </c>
      <c r="I293">
        <f t="shared" si="4"/>
        <v>230</v>
      </c>
    </row>
    <row r="294" spans="1:9" x14ac:dyDescent="0.25">
      <c r="A294" t="s">
        <v>8</v>
      </c>
      <c r="B294" t="s">
        <v>14</v>
      </c>
      <c r="C294" t="s">
        <v>19</v>
      </c>
      <c r="D294" t="s">
        <v>16</v>
      </c>
      <c r="E294" t="s">
        <v>12</v>
      </c>
      <c r="F294">
        <v>59</v>
      </c>
      <c r="G294">
        <v>71</v>
      </c>
      <c r="H294">
        <v>66</v>
      </c>
      <c r="I294">
        <f t="shared" si="4"/>
        <v>196</v>
      </c>
    </row>
    <row r="295" spans="1:9" x14ac:dyDescent="0.25">
      <c r="A295" t="s">
        <v>13</v>
      </c>
      <c r="B295" t="s">
        <v>14</v>
      </c>
      <c r="C295" t="s">
        <v>10</v>
      </c>
      <c r="D295" t="s">
        <v>16</v>
      </c>
      <c r="E295" t="s">
        <v>17</v>
      </c>
      <c r="F295">
        <v>60</v>
      </c>
      <c r="G295">
        <v>75</v>
      </c>
      <c r="H295">
        <v>70</v>
      </c>
      <c r="I295">
        <f t="shared" si="4"/>
        <v>205</v>
      </c>
    </row>
    <row r="296" spans="1:9" x14ac:dyDescent="0.25">
      <c r="A296" t="s">
        <v>13</v>
      </c>
      <c r="B296" t="s">
        <v>23</v>
      </c>
      <c r="C296" t="s">
        <v>22</v>
      </c>
      <c r="D296" t="s">
        <v>16</v>
      </c>
      <c r="E296" t="s">
        <v>12</v>
      </c>
      <c r="F296">
        <v>43</v>
      </c>
      <c r="G296">
        <v>60</v>
      </c>
      <c r="H296">
        <v>60</v>
      </c>
      <c r="I296">
        <f t="shared" si="4"/>
        <v>163</v>
      </c>
    </row>
    <row r="297" spans="1:9" x14ac:dyDescent="0.25">
      <c r="A297" t="s">
        <v>13</v>
      </c>
      <c r="B297" t="s">
        <v>23</v>
      </c>
      <c r="C297" t="s">
        <v>15</v>
      </c>
      <c r="D297" t="s">
        <v>11</v>
      </c>
      <c r="E297" t="s">
        <v>17</v>
      </c>
      <c r="F297">
        <v>77</v>
      </c>
      <c r="G297">
        <v>83</v>
      </c>
      <c r="H297">
        <v>86</v>
      </c>
      <c r="I297">
        <f t="shared" si="4"/>
        <v>246</v>
      </c>
    </row>
    <row r="298" spans="1:9" x14ac:dyDescent="0.25">
      <c r="A298" t="s">
        <v>8</v>
      </c>
      <c r="B298" t="s">
        <v>14</v>
      </c>
      <c r="C298" t="s">
        <v>15</v>
      </c>
      <c r="D298" t="s">
        <v>16</v>
      </c>
      <c r="E298" t="s">
        <v>17</v>
      </c>
      <c r="F298">
        <v>50</v>
      </c>
      <c r="G298">
        <v>47</v>
      </c>
      <c r="H298">
        <v>46</v>
      </c>
      <c r="I298">
        <f t="shared" si="4"/>
        <v>143</v>
      </c>
    </row>
    <row r="299" spans="1:9" x14ac:dyDescent="0.25">
      <c r="A299" t="s">
        <v>13</v>
      </c>
      <c r="B299" t="s">
        <v>18</v>
      </c>
      <c r="C299" t="s">
        <v>22</v>
      </c>
      <c r="D299" t="s">
        <v>16</v>
      </c>
      <c r="E299" t="s">
        <v>17</v>
      </c>
      <c r="F299">
        <v>56</v>
      </c>
      <c r="G299">
        <v>58</v>
      </c>
      <c r="H299">
        <v>52</v>
      </c>
      <c r="I299">
        <f t="shared" si="4"/>
        <v>166</v>
      </c>
    </row>
    <row r="300" spans="1:9" x14ac:dyDescent="0.25">
      <c r="A300" t="s">
        <v>8</v>
      </c>
      <c r="B300" t="s">
        <v>20</v>
      </c>
      <c r="C300" t="s">
        <v>10</v>
      </c>
      <c r="D300" t="s">
        <v>11</v>
      </c>
      <c r="E300" t="s">
        <v>17</v>
      </c>
      <c r="F300">
        <v>69</v>
      </c>
      <c r="G300">
        <v>58</v>
      </c>
      <c r="H300">
        <v>50</v>
      </c>
      <c r="I300">
        <f t="shared" si="4"/>
        <v>177</v>
      </c>
    </row>
    <row r="301" spans="1:9" x14ac:dyDescent="0.25">
      <c r="A301" t="s">
        <v>8</v>
      </c>
      <c r="B301" t="s">
        <v>14</v>
      </c>
      <c r="C301" t="s">
        <v>10</v>
      </c>
      <c r="D301" t="s">
        <v>11</v>
      </c>
      <c r="E301" t="s">
        <v>17</v>
      </c>
      <c r="F301">
        <v>47</v>
      </c>
      <c r="G301">
        <v>43</v>
      </c>
      <c r="H301">
        <v>39</v>
      </c>
      <c r="I301">
        <f t="shared" si="4"/>
        <v>129</v>
      </c>
    </row>
    <row r="302" spans="1:9" x14ac:dyDescent="0.25">
      <c r="A302" t="s">
        <v>8</v>
      </c>
      <c r="B302" t="s">
        <v>20</v>
      </c>
      <c r="C302" t="s">
        <v>19</v>
      </c>
      <c r="D302" t="s">
        <v>16</v>
      </c>
      <c r="E302" t="s">
        <v>17</v>
      </c>
      <c r="F302">
        <v>43</v>
      </c>
      <c r="G302">
        <v>28</v>
      </c>
      <c r="H302">
        <v>24</v>
      </c>
      <c r="I302">
        <f t="shared" si="4"/>
        <v>95</v>
      </c>
    </row>
    <row r="303" spans="1:9" x14ac:dyDescent="0.25">
      <c r="A303" t="s">
        <v>8</v>
      </c>
      <c r="B303" t="s">
        <v>9</v>
      </c>
      <c r="C303" t="s">
        <v>15</v>
      </c>
      <c r="D303" t="s">
        <v>16</v>
      </c>
      <c r="E303" t="s">
        <v>17</v>
      </c>
      <c r="F303">
        <v>48</v>
      </c>
      <c r="G303">
        <v>39</v>
      </c>
      <c r="H303">
        <v>40</v>
      </c>
      <c r="I303">
        <f t="shared" si="4"/>
        <v>127</v>
      </c>
    </row>
    <row r="304" spans="1:9" x14ac:dyDescent="0.25">
      <c r="A304" t="s">
        <v>8</v>
      </c>
      <c r="B304" t="s">
        <v>23</v>
      </c>
      <c r="C304" t="s">
        <v>10</v>
      </c>
      <c r="D304" t="s">
        <v>16</v>
      </c>
      <c r="E304" t="s">
        <v>17</v>
      </c>
      <c r="F304">
        <v>55</v>
      </c>
      <c r="G304">
        <v>62</v>
      </c>
      <c r="H304">
        <v>49</v>
      </c>
      <c r="I304">
        <f t="shared" si="4"/>
        <v>166</v>
      </c>
    </row>
    <row r="305" spans="1:9" x14ac:dyDescent="0.25">
      <c r="A305" t="s">
        <v>8</v>
      </c>
      <c r="B305" t="s">
        <v>23</v>
      </c>
      <c r="C305" t="s">
        <v>19</v>
      </c>
      <c r="D305" t="s">
        <v>11</v>
      </c>
      <c r="E305" t="s">
        <v>17</v>
      </c>
      <c r="F305">
        <v>73</v>
      </c>
      <c r="G305">
        <v>68</v>
      </c>
      <c r="H305">
        <v>66</v>
      </c>
      <c r="I305">
        <f t="shared" si="4"/>
        <v>207</v>
      </c>
    </row>
    <row r="306" spans="1:9" x14ac:dyDescent="0.25">
      <c r="A306" t="s">
        <v>8</v>
      </c>
      <c r="B306" t="s">
        <v>14</v>
      </c>
      <c r="C306" t="s">
        <v>22</v>
      </c>
      <c r="D306" t="s">
        <v>11</v>
      </c>
      <c r="E306" t="s">
        <v>17</v>
      </c>
      <c r="F306">
        <v>71</v>
      </c>
      <c r="G306">
        <v>63</v>
      </c>
      <c r="H306">
        <v>66</v>
      </c>
      <c r="I306">
        <f t="shared" si="4"/>
        <v>200</v>
      </c>
    </row>
    <row r="307" spans="1:9" x14ac:dyDescent="0.25">
      <c r="A307" t="s">
        <v>13</v>
      </c>
      <c r="B307" t="s">
        <v>20</v>
      </c>
      <c r="C307" t="s">
        <v>19</v>
      </c>
      <c r="D307" t="s">
        <v>11</v>
      </c>
      <c r="E307" t="s">
        <v>17</v>
      </c>
      <c r="F307">
        <v>54</v>
      </c>
      <c r="G307">
        <v>57</v>
      </c>
      <c r="H307">
        <v>60</v>
      </c>
      <c r="I307">
        <f t="shared" si="4"/>
        <v>171</v>
      </c>
    </row>
    <row r="308" spans="1:9" x14ac:dyDescent="0.25">
      <c r="A308" t="s">
        <v>8</v>
      </c>
      <c r="B308" t="s">
        <v>23</v>
      </c>
      <c r="C308" t="s">
        <v>10</v>
      </c>
      <c r="D308" t="s">
        <v>11</v>
      </c>
      <c r="E308" t="s">
        <v>17</v>
      </c>
      <c r="F308">
        <v>66</v>
      </c>
      <c r="G308">
        <v>61</v>
      </c>
      <c r="H308">
        <v>63</v>
      </c>
      <c r="I308">
        <f t="shared" si="4"/>
        <v>190</v>
      </c>
    </row>
    <row r="309" spans="1:9" x14ac:dyDescent="0.25">
      <c r="A309" t="s">
        <v>8</v>
      </c>
      <c r="B309" t="s">
        <v>9</v>
      </c>
      <c r="C309" t="s">
        <v>24</v>
      </c>
      <c r="D309" t="s">
        <v>11</v>
      </c>
      <c r="E309" t="s">
        <v>17</v>
      </c>
      <c r="F309">
        <v>63</v>
      </c>
      <c r="G309">
        <v>63</v>
      </c>
      <c r="H309">
        <v>67</v>
      </c>
      <c r="I309">
        <f t="shared" si="4"/>
        <v>193</v>
      </c>
    </row>
    <row r="310" spans="1:9" x14ac:dyDescent="0.25">
      <c r="A310" t="s">
        <v>13</v>
      </c>
      <c r="B310" t="s">
        <v>14</v>
      </c>
      <c r="C310" t="s">
        <v>22</v>
      </c>
      <c r="D310" t="s">
        <v>11</v>
      </c>
      <c r="E310" t="s">
        <v>17</v>
      </c>
      <c r="F310">
        <v>66</v>
      </c>
      <c r="G310">
        <v>81</v>
      </c>
      <c r="H310">
        <v>73</v>
      </c>
      <c r="I310">
        <f t="shared" si="4"/>
        <v>220</v>
      </c>
    </row>
    <row r="311" spans="1:9" x14ac:dyDescent="0.25">
      <c r="A311" t="s">
        <v>8</v>
      </c>
      <c r="B311" t="s">
        <v>23</v>
      </c>
      <c r="C311" t="s">
        <v>22</v>
      </c>
      <c r="D311" t="s">
        <v>11</v>
      </c>
      <c r="E311" t="s">
        <v>12</v>
      </c>
      <c r="F311">
        <v>79</v>
      </c>
      <c r="G311">
        <v>80</v>
      </c>
      <c r="H311">
        <v>75</v>
      </c>
      <c r="I311">
        <f t="shared" si="4"/>
        <v>234</v>
      </c>
    </row>
    <row r="312" spans="1:9" x14ac:dyDescent="0.25">
      <c r="A312" t="s">
        <v>8</v>
      </c>
      <c r="B312" t="s">
        <v>14</v>
      </c>
      <c r="C312" t="s">
        <v>21</v>
      </c>
      <c r="D312" t="s">
        <v>16</v>
      </c>
      <c r="E312" t="s">
        <v>12</v>
      </c>
      <c r="F312">
        <v>73</v>
      </c>
      <c r="G312">
        <v>69</v>
      </c>
      <c r="H312">
        <v>70</v>
      </c>
      <c r="I312">
        <f t="shared" si="4"/>
        <v>212</v>
      </c>
    </row>
    <row r="313" spans="1:9" x14ac:dyDescent="0.25">
      <c r="A313" t="s">
        <v>13</v>
      </c>
      <c r="B313" t="s">
        <v>23</v>
      </c>
      <c r="C313" t="s">
        <v>15</v>
      </c>
      <c r="D313" t="s">
        <v>11</v>
      </c>
      <c r="E313" t="s">
        <v>17</v>
      </c>
      <c r="F313">
        <v>36</v>
      </c>
      <c r="G313">
        <v>57</v>
      </c>
      <c r="H313">
        <v>53</v>
      </c>
      <c r="I313">
        <f t="shared" si="4"/>
        <v>146</v>
      </c>
    </row>
    <row r="314" spans="1:9" x14ac:dyDescent="0.25">
      <c r="A314" t="s">
        <v>8</v>
      </c>
      <c r="B314" t="s">
        <v>23</v>
      </c>
      <c r="C314" t="s">
        <v>21</v>
      </c>
      <c r="D314" t="s">
        <v>16</v>
      </c>
      <c r="E314" t="s">
        <v>17</v>
      </c>
      <c r="F314">
        <v>50</v>
      </c>
      <c r="G314">
        <v>48</v>
      </c>
      <c r="H314">
        <v>43</v>
      </c>
      <c r="I314">
        <f t="shared" si="4"/>
        <v>141</v>
      </c>
    </row>
    <row r="315" spans="1:9" x14ac:dyDescent="0.25">
      <c r="A315" t="s">
        <v>8</v>
      </c>
      <c r="B315" t="s">
        <v>18</v>
      </c>
      <c r="C315" t="s">
        <v>19</v>
      </c>
      <c r="D315" t="s">
        <v>11</v>
      </c>
      <c r="E315" t="s">
        <v>12</v>
      </c>
      <c r="F315">
        <v>87</v>
      </c>
      <c r="G315">
        <v>78</v>
      </c>
      <c r="H315">
        <v>80</v>
      </c>
      <c r="I315">
        <f t="shared" si="4"/>
        <v>245</v>
      </c>
    </row>
    <row r="316" spans="1:9" x14ac:dyDescent="0.25">
      <c r="A316" t="s">
        <v>8</v>
      </c>
      <c r="B316" t="s">
        <v>23</v>
      </c>
      <c r="C316" t="s">
        <v>21</v>
      </c>
      <c r="D316" t="s">
        <v>11</v>
      </c>
      <c r="E316" t="s">
        <v>17</v>
      </c>
      <c r="F316">
        <v>71</v>
      </c>
      <c r="G316">
        <v>68</v>
      </c>
      <c r="H316">
        <v>63</v>
      </c>
      <c r="I316">
        <f t="shared" si="4"/>
        <v>202</v>
      </c>
    </row>
    <row r="317" spans="1:9" x14ac:dyDescent="0.25">
      <c r="A317" t="s">
        <v>13</v>
      </c>
      <c r="B317" t="s">
        <v>23</v>
      </c>
      <c r="C317" t="s">
        <v>21</v>
      </c>
      <c r="D317" t="s">
        <v>11</v>
      </c>
      <c r="E317" t="s">
        <v>12</v>
      </c>
      <c r="F317">
        <v>85</v>
      </c>
      <c r="G317">
        <v>87</v>
      </c>
      <c r="H317">
        <v>94</v>
      </c>
      <c r="I317">
        <f t="shared" si="4"/>
        <v>266</v>
      </c>
    </row>
    <row r="318" spans="1:9" x14ac:dyDescent="0.25">
      <c r="A318" t="s">
        <v>13</v>
      </c>
      <c r="B318" t="s">
        <v>23</v>
      </c>
      <c r="C318" t="s">
        <v>10</v>
      </c>
      <c r="D318" t="s">
        <v>11</v>
      </c>
      <c r="E318" t="s">
        <v>12</v>
      </c>
      <c r="F318">
        <v>58</v>
      </c>
      <c r="G318">
        <v>67</v>
      </c>
      <c r="H318">
        <v>64</v>
      </c>
      <c r="I318">
        <f t="shared" si="4"/>
        <v>189</v>
      </c>
    </row>
    <row r="319" spans="1:9" x14ac:dyDescent="0.25">
      <c r="A319" t="s">
        <v>8</v>
      </c>
      <c r="B319" t="s">
        <v>23</v>
      </c>
      <c r="C319" t="s">
        <v>19</v>
      </c>
      <c r="D319" t="s">
        <v>11</v>
      </c>
      <c r="E319" t="s">
        <v>17</v>
      </c>
      <c r="F319">
        <v>86</v>
      </c>
      <c r="G319">
        <v>83</v>
      </c>
      <c r="H319">
        <v>81</v>
      </c>
      <c r="I319">
        <f t="shared" si="4"/>
        <v>250</v>
      </c>
    </row>
    <row r="320" spans="1:9" x14ac:dyDescent="0.25">
      <c r="A320" t="s">
        <v>13</v>
      </c>
      <c r="B320" t="s">
        <v>14</v>
      </c>
      <c r="C320" t="s">
        <v>15</v>
      </c>
      <c r="D320" t="s">
        <v>16</v>
      </c>
      <c r="E320" t="s">
        <v>17</v>
      </c>
      <c r="F320">
        <v>64</v>
      </c>
      <c r="G320">
        <v>86</v>
      </c>
      <c r="H320">
        <v>89</v>
      </c>
      <c r="I320">
        <f t="shared" si="4"/>
        <v>239</v>
      </c>
    </row>
    <row r="321" spans="1:9" x14ac:dyDescent="0.25">
      <c r="A321" t="s">
        <v>8</v>
      </c>
      <c r="B321" t="s">
        <v>14</v>
      </c>
      <c r="C321" t="s">
        <v>19</v>
      </c>
      <c r="D321" t="s">
        <v>11</v>
      </c>
      <c r="E321" t="s">
        <v>17</v>
      </c>
      <c r="F321">
        <v>83</v>
      </c>
      <c r="G321">
        <v>85</v>
      </c>
      <c r="H321">
        <v>79</v>
      </c>
      <c r="I321">
        <f t="shared" si="4"/>
        <v>247</v>
      </c>
    </row>
    <row r="322" spans="1:9" x14ac:dyDescent="0.25">
      <c r="A322" t="s">
        <v>8</v>
      </c>
      <c r="B322" t="s">
        <v>18</v>
      </c>
      <c r="C322" t="s">
        <v>10</v>
      </c>
      <c r="D322" t="s">
        <v>16</v>
      </c>
      <c r="E322" t="s">
        <v>12</v>
      </c>
      <c r="F322">
        <v>58</v>
      </c>
      <c r="G322">
        <v>56</v>
      </c>
      <c r="H322">
        <v>49</v>
      </c>
      <c r="I322">
        <f t="shared" si="4"/>
        <v>163</v>
      </c>
    </row>
    <row r="323" spans="1:9" x14ac:dyDescent="0.25">
      <c r="A323" t="s">
        <v>13</v>
      </c>
      <c r="B323" t="s">
        <v>23</v>
      </c>
      <c r="C323" t="s">
        <v>19</v>
      </c>
      <c r="D323" t="s">
        <v>16</v>
      </c>
      <c r="E323" t="s">
        <v>12</v>
      </c>
      <c r="F323">
        <v>59</v>
      </c>
      <c r="G323">
        <v>83</v>
      </c>
      <c r="H323">
        <v>81</v>
      </c>
      <c r="I323">
        <f t="shared" ref="I323:I386" si="5">SUM(F323:H323)</f>
        <v>223</v>
      </c>
    </row>
    <row r="324" spans="1:9" x14ac:dyDescent="0.25">
      <c r="A324" t="s">
        <v>13</v>
      </c>
      <c r="B324" t="s">
        <v>23</v>
      </c>
      <c r="C324" t="s">
        <v>10</v>
      </c>
      <c r="D324" t="s">
        <v>11</v>
      </c>
      <c r="E324" t="s">
        <v>17</v>
      </c>
      <c r="F324">
        <v>40</v>
      </c>
      <c r="G324">
        <v>58</v>
      </c>
      <c r="H324">
        <v>54</v>
      </c>
      <c r="I324">
        <f t="shared" si="5"/>
        <v>152</v>
      </c>
    </row>
    <row r="325" spans="1:9" x14ac:dyDescent="0.25">
      <c r="A325" t="s">
        <v>8</v>
      </c>
      <c r="B325" t="s">
        <v>14</v>
      </c>
      <c r="C325" t="s">
        <v>21</v>
      </c>
      <c r="D325" t="s">
        <v>11</v>
      </c>
      <c r="E325" t="s">
        <v>12</v>
      </c>
      <c r="F325">
        <v>82</v>
      </c>
      <c r="G325">
        <v>83</v>
      </c>
      <c r="H325">
        <v>85</v>
      </c>
      <c r="I325">
        <f t="shared" si="5"/>
        <v>250</v>
      </c>
    </row>
    <row r="326" spans="1:9" x14ac:dyDescent="0.25">
      <c r="A326" t="s">
        <v>8</v>
      </c>
      <c r="B326" t="s">
        <v>18</v>
      </c>
      <c r="C326" t="s">
        <v>15</v>
      </c>
      <c r="D326" t="s">
        <v>11</v>
      </c>
      <c r="E326" t="s">
        <v>17</v>
      </c>
      <c r="F326">
        <v>87</v>
      </c>
      <c r="G326">
        <v>84</v>
      </c>
      <c r="H326">
        <v>80</v>
      </c>
      <c r="I326">
        <f t="shared" si="5"/>
        <v>251</v>
      </c>
    </row>
    <row r="327" spans="1:9" x14ac:dyDescent="0.25">
      <c r="A327" t="s">
        <v>13</v>
      </c>
      <c r="B327" t="s">
        <v>23</v>
      </c>
      <c r="C327" t="s">
        <v>15</v>
      </c>
      <c r="D327" t="s">
        <v>11</v>
      </c>
      <c r="E327" t="s">
        <v>17</v>
      </c>
      <c r="F327">
        <v>62</v>
      </c>
      <c r="G327">
        <v>65</v>
      </c>
      <c r="H327">
        <v>64</v>
      </c>
      <c r="I327">
        <f t="shared" si="5"/>
        <v>191</v>
      </c>
    </row>
    <row r="328" spans="1:9" x14ac:dyDescent="0.25">
      <c r="A328" t="s">
        <v>8</v>
      </c>
      <c r="B328" t="s">
        <v>20</v>
      </c>
      <c r="C328" t="s">
        <v>21</v>
      </c>
      <c r="D328" t="s">
        <v>16</v>
      </c>
      <c r="E328" t="s">
        <v>12</v>
      </c>
      <c r="F328">
        <v>76</v>
      </c>
      <c r="G328">
        <v>80</v>
      </c>
      <c r="H328">
        <v>78</v>
      </c>
      <c r="I328">
        <f t="shared" si="5"/>
        <v>234</v>
      </c>
    </row>
    <row r="329" spans="1:9" x14ac:dyDescent="0.25">
      <c r="A329" t="s">
        <v>13</v>
      </c>
      <c r="B329" t="s">
        <v>9</v>
      </c>
      <c r="C329" t="s">
        <v>10</v>
      </c>
      <c r="D329" t="s">
        <v>11</v>
      </c>
      <c r="E329" t="s">
        <v>17</v>
      </c>
      <c r="F329">
        <v>63</v>
      </c>
      <c r="G329">
        <v>69</v>
      </c>
      <c r="H329">
        <v>60</v>
      </c>
      <c r="I329">
        <f t="shared" si="5"/>
        <v>192</v>
      </c>
    </row>
    <row r="330" spans="1:9" x14ac:dyDescent="0.25">
      <c r="A330" t="s">
        <v>8</v>
      </c>
      <c r="B330" t="s">
        <v>14</v>
      </c>
      <c r="C330" t="s">
        <v>19</v>
      </c>
      <c r="D330" t="s">
        <v>16</v>
      </c>
      <c r="E330" t="s">
        <v>12</v>
      </c>
      <c r="F330">
        <v>58</v>
      </c>
      <c r="G330">
        <v>60</v>
      </c>
      <c r="H330">
        <v>59</v>
      </c>
      <c r="I330">
        <f t="shared" si="5"/>
        <v>177</v>
      </c>
    </row>
    <row r="331" spans="1:9" x14ac:dyDescent="0.25">
      <c r="A331" t="s">
        <v>8</v>
      </c>
      <c r="B331" t="s">
        <v>14</v>
      </c>
      <c r="C331" t="s">
        <v>21</v>
      </c>
      <c r="D331" t="s">
        <v>11</v>
      </c>
      <c r="E331" t="s">
        <v>12</v>
      </c>
      <c r="F331">
        <v>61</v>
      </c>
      <c r="G331">
        <v>63</v>
      </c>
      <c r="H331">
        <v>65</v>
      </c>
      <c r="I331">
        <f t="shared" si="5"/>
        <v>189</v>
      </c>
    </row>
    <row r="332" spans="1:9" x14ac:dyDescent="0.25">
      <c r="A332" t="s">
        <v>8</v>
      </c>
      <c r="B332" t="s">
        <v>23</v>
      </c>
      <c r="C332" t="s">
        <v>19</v>
      </c>
      <c r="D332" t="s">
        <v>11</v>
      </c>
      <c r="E332" t="s">
        <v>17</v>
      </c>
      <c r="F332">
        <v>78</v>
      </c>
      <c r="G332">
        <v>69</v>
      </c>
      <c r="H332">
        <v>71</v>
      </c>
      <c r="I332">
        <f t="shared" si="5"/>
        <v>218</v>
      </c>
    </row>
    <row r="333" spans="1:9" x14ac:dyDescent="0.25">
      <c r="A333" t="s">
        <v>13</v>
      </c>
      <c r="B333" t="s">
        <v>23</v>
      </c>
      <c r="C333" t="s">
        <v>22</v>
      </c>
      <c r="D333" t="s">
        <v>16</v>
      </c>
      <c r="E333" t="s">
        <v>12</v>
      </c>
      <c r="F333">
        <v>78</v>
      </c>
      <c r="G333">
        <v>90</v>
      </c>
      <c r="H333">
        <v>81</v>
      </c>
      <c r="I333">
        <f t="shared" si="5"/>
        <v>249</v>
      </c>
    </row>
    <row r="334" spans="1:9" x14ac:dyDescent="0.25">
      <c r="A334" t="s">
        <v>8</v>
      </c>
      <c r="B334" t="s">
        <v>23</v>
      </c>
      <c r="C334" t="s">
        <v>19</v>
      </c>
      <c r="D334" t="s">
        <v>11</v>
      </c>
      <c r="E334" t="s">
        <v>17</v>
      </c>
      <c r="F334">
        <v>56</v>
      </c>
      <c r="G334">
        <v>54</v>
      </c>
      <c r="H334">
        <v>43</v>
      </c>
      <c r="I334">
        <f t="shared" si="5"/>
        <v>153</v>
      </c>
    </row>
    <row r="335" spans="1:9" x14ac:dyDescent="0.25">
      <c r="A335" t="s">
        <v>8</v>
      </c>
      <c r="B335" t="s">
        <v>14</v>
      </c>
      <c r="C335" t="s">
        <v>15</v>
      </c>
      <c r="D335" t="s">
        <v>11</v>
      </c>
      <c r="E335" t="s">
        <v>17</v>
      </c>
      <c r="F335">
        <v>96</v>
      </c>
      <c r="G335">
        <v>83</v>
      </c>
      <c r="H335">
        <v>82</v>
      </c>
      <c r="I335">
        <f t="shared" si="5"/>
        <v>261</v>
      </c>
    </row>
    <row r="336" spans="1:9" x14ac:dyDescent="0.25">
      <c r="A336" t="s">
        <v>8</v>
      </c>
      <c r="B336" t="s">
        <v>23</v>
      </c>
      <c r="C336" t="s">
        <v>10</v>
      </c>
      <c r="D336" t="s">
        <v>11</v>
      </c>
      <c r="E336" t="s">
        <v>17</v>
      </c>
      <c r="F336">
        <v>48</v>
      </c>
      <c r="G336">
        <v>43</v>
      </c>
      <c r="H336">
        <v>40</v>
      </c>
      <c r="I336">
        <f t="shared" si="5"/>
        <v>131</v>
      </c>
    </row>
    <row r="337" spans="1:9" x14ac:dyDescent="0.25">
      <c r="A337" t="s">
        <v>8</v>
      </c>
      <c r="B337" t="s">
        <v>23</v>
      </c>
      <c r="C337" t="s">
        <v>21</v>
      </c>
      <c r="D337" t="s">
        <v>11</v>
      </c>
      <c r="E337" t="s">
        <v>12</v>
      </c>
      <c r="F337">
        <v>70</v>
      </c>
      <c r="G337">
        <v>76</v>
      </c>
      <c r="H337">
        <v>72</v>
      </c>
      <c r="I337">
        <f t="shared" si="5"/>
        <v>218</v>
      </c>
    </row>
    <row r="338" spans="1:9" x14ac:dyDescent="0.25">
      <c r="A338" t="s">
        <v>8</v>
      </c>
      <c r="B338" t="s">
        <v>14</v>
      </c>
      <c r="C338" t="s">
        <v>19</v>
      </c>
      <c r="D338" t="s">
        <v>16</v>
      </c>
      <c r="E338" t="s">
        <v>17</v>
      </c>
      <c r="F338">
        <v>43</v>
      </c>
      <c r="G338">
        <v>68</v>
      </c>
      <c r="H338">
        <v>58</v>
      </c>
      <c r="I338">
        <f t="shared" si="5"/>
        <v>169</v>
      </c>
    </row>
    <row r="339" spans="1:9" x14ac:dyDescent="0.25">
      <c r="A339" t="s">
        <v>13</v>
      </c>
      <c r="B339" t="s">
        <v>18</v>
      </c>
      <c r="C339" t="s">
        <v>10</v>
      </c>
      <c r="D339" t="s">
        <v>16</v>
      </c>
      <c r="E339" t="s">
        <v>17</v>
      </c>
      <c r="F339">
        <v>45</v>
      </c>
      <c r="G339">
        <v>46</v>
      </c>
      <c r="H339">
        <v>49</v>
      </c>
      <c r="I339">
        <f t="shared" si="5"/>
        <v>140</v>
      </c>
    </row>
    <row r="340" spans="1:9" x14ac:dyDescent="0.25">
      <c r="A340" t="s">
        <v>13</v>
      </c>
      <c r="B340" t="s">
        <v>23</v>
      </c>
      <c r="C340" t="s">
        <v>21</v>
      </c>
      <c r="D340" t="s">
        <v>11</v>
      </c>
      <c r="E340" t="s">
        <v>17</v>
      </c>
      <c r="F340">
        <v>58</v>
      </c>
      <c r="G340">
        <v>68</v>
      </c>
      <c r="H340">
        <v>62</v>
      </c>
      <c r="I340">
        <f t="shared" si="5"/>
        <v>188</v>
      </c>
    </row>
    <row r="341" spans="1:9" x14ac:dyDescent="0.25">
      <c r="A341" t="s">
        <v>13</v>
      </c>
      <c r="B341" t="s">
        <v>9</v>
      </c>
      <c r="C341" t="s">
        <v>10</v>
      </c>
      <c r="D341" t="s">
        <v>11</v>
      </c>
      <c r="E341" t="s">
        <v>12</v>
      </c>
      <c r="F341">
        <v>70</v>
      </c>
      <c r="G341">
        <v>73</v>
      </c>
      <c r="H341">
        <v>80</v>
      </c>
      <c r="I341">
        <f t="shared" si="5"/>
        <v>223</v>
      </c>
    </row>
    <row r="342" spans="1:9" x14ac:dyDescent="0.25">
      <c r="A342" t="s">
        <v>13</v>
      </c>
      <c r="B342" t="s">
        <v>18</v>
      </c>
      <c r="C342" t="s">
        <v>15</v>
      </c>
      <c r="D342" t="s">
        <v>11</v>
      </c>
      <c r="E342" t="s">
        <v>17</v>
      </c>
      <c r="F342">
        <v>60</v>
      </c>
      <c r="G342">
        <v>61</v>
      </c>
      <c r="H342">
        <v>58</v>
      </c>
      <c r="I342">
        <f t="shared" si="5"/>
        <v>179</v>
      </c>
    </row>
    <row r="343" spans="1:9" x14ac:dyDescent="0.25">
      <c r="A343" t="s">
        <v>8</v>
      </c>
      <c r="B343" t="s">
        <v>23</v>
      </c>
      <c r="C343" t="s">
        <v>15</v>
      </c>
      <c r="D343" t="s">
        <v>16</v>
      </c>
      <c r="E343" t="s">
        <v>17</v>
      </c>
      <c r="F343">
        <v>52</v>
      </c>
      <c r="G343">
        <v>53</v>
      </c>
      <c r="H343">
        <v>47</v>
      </c>
      <c r="I343">
        <f t="shared" si="5"/>
        <v>152</v>
      </c>
    </row>
    <row r="344" spans="1:9" x14ac:dyDescent="0.25">
      <c r="A344" t="s">
        <v>8</v>
      </c>
      <c r="B344" t="s">
        <v>23</v>
      </c>
      <c r="C344" t="s">
        <v>21</v>
      </c>
      <c r="D344" t="s">
        <v>16</v>
      </c>
      <c r="E344" t="s">
        <v>17</v>
      </c>
      <c r="F344">
        <v>61</v>
      </c>
      <c r="G344">
        <v>62</v>
      </c>
      <c r="H344">
        <v>54</v>
      </c>
      <c r="I344">
        <f t="shared" si="5"/>
        <v>177</v>
      </c>
    </row>
    <row r="345" spans="1:9" x14ac:dyDescent="0.25">
      <c r="A345" t="s">
        <v>13</v>
      </c>
      <c r="B345" t="s">
        <v>14</v>
      </c>
      <c r="C345" t="s">
        <v>15</v>
      </c>
      <c r="D345" t="s">
        <v>11</v>
      </c>
      <c r="E345" t="s">
        <v>17</v>
      </c>
      <c r="F345">
        <v>55</v>
      </c>
      <c r="G345">
        <v>70</v>
      </c>
      <c r="H345">
        <v>61</v>
      </c>
      <c r="I345">
        <f t="shared" si="5"/>
        <v>186</v>
      </c>
    </row>
    <row r="346" spans="1:9" x14ac:dyDescent="0.25">
      <c r="A346" t="s">
        <v>8</v>
      </c>
      <c r="B346" t="s">
        <v>20</v>
      </c>
      <c r="C346" t="s">
        <v>10</v>
      </c>
      <c r="D346" t="s">
        <v>11</v>
      </c>
      <c r="E346" t="s">
        <v>12</v>
      </c>
      <c r="F346">
        <v>80</v>
      </c>
      <c r="G346">
        <v>80</v>
      </c>
      <c r="H346">
        <v>79</v>
      </c>
      <c r="I346">
        <f t="shared" si="5"/>
        <v>239</v>
      </c>
    </row>
    <row r="347" spans="1:9" x14ac:dyDescent="0.25">
      <c r="A347" t="s">
        <v>8</v>
      </c>
      <c r="B347" t="s">
        <v>14</v>
      </c>
      <c r="C347" t="s">
        <v>19</v>
      </c>
      <c r="D347" t="s">
        <v>16</v>
      </c>
      <c r="E347" t="s">
        <v>17</v>
      </c>
      <c r="F347">
        <v>63</v>
      </c>
      <c r="G347">
        <v>60</v>
      </c>
      <c r="H347">
        <v>54</v>
      </c>
      <c r="I347">
        <f t="shared" si="5"/>
        <v>177</v>
      </c>
    </row>
    <row r="348" spans="1:9" x14ac:dyDescent="0.25">
      <c r="A348" t="s">
        <v>13</v>
      </c>
      <c r="B348" t="s">
        <v>20</v>
      </c>
      <c r="C348" t="s">
        <v>24</v>
      </c>
      <c r="D348" t="s">
        <v>11</v>
      </c>
      <c r="E348" t="s">
        <v>17</v>
      </c>
      <c r="F348">
        <v>79</v>
      </c>
      <c r="G348">
        <v>79</v>
      </c>
      <c r="H348">
        <v>87</v>
      </c>
      <c r="I348">
        <f t="shared" si="5"/>
        <v>245</v>
      </c>
    </row>
    <row r="349" spans="1:9" x14ac:dyDescent="0.25">
      <c r="A349" t="s">
        <v>8</v>
      </c>
      <c r="B349" t="s">
        <v>9</v>
      </c>
      <c r="C349" t="s">
        <v>21</v>
      </c>
      <c r="D349" t="s">
        <v>11</v>
      </c>
      <c r="E349" t="s">
        <v>17</v>
      </c>
      <c r="F349">
        <v>74</v>
      </c>
      <c r="G349">
        <v>78</v>
      </c>
      <c r="H349">
        <v>72</v>
      </c>
      <c r="I349">
        <f t="shared" si="5"/>
        <v>224</v>
      </c>
    </row>
    <row r="350" spans="1:9" x14ac:dyDescent="0.25">
      <c r="A350" t="s">
        <v>13</v>
      </c>
      <c r="B350" t="s">
        <v>20</v>
      </c>
      <c r="C350" t="s">
        <v>19</v>
      </c>
      <c r="D350" t="s">
        <v>16</v>
      </c>
      <c r="E350" t="s">
        <v>12</v>
      </c>
      <c r="F350">
        <v>46</v>
      </c>
      <c r="G350">
        <v>58</v>
      </c>
      <c r="H350">
        <v>64</v>
      </c>
      <c r="I350">
        <f t="shared" si="5"/>
        <v>168</v>
      </c>
    </row>
    <row r="351" spans="1:9" x14ac:dyDescent="0.25">
      <c r="A351" t="s">
        <v>13</v>
      </c>
      <c r="B351" t="s">
        <v>20</v>
      </c>
      <c r="C351" t="s">
        <v>15</v>
      </c>
      <c r="D351" t="s">
        <v>11</v>
      </c>
      <c r="E351" t="s">
        <v>12</v>
      </c>
      <c r="F351">
        <v>72</v>
      </c>
      <c r="G351">
        <v>88</v>
      </c>
      <c r="H351">
        <v>92</v>
      </c>
      <c r="I351">
        <f t="shared" si="5"/>
        <v>252</v>
      </c>
    </row>
    <row r="352" spans="1:9" x14ac:dyDescent="0.25">
      <c r="A352" t="s">
        <v>13</v>
      </c>
      <c r="B352" t="s">
        <v>18</v>
      </c>
      <c r="C352" t="s">
        <v>15</v>
      </c>
      <c r="D352" t="s">
        <v>16</v>
      </c>
      <c r="E352" t="s">
        <v>17</v>
      </c>
      <c r="F352">
        <v>58</v>
      </c>
      <c r="G352">
        <v>64</v>
      </c>
      <c r="H352">
        <v>64</v>
      </c>
      <c r="I352">
        <f t="shared" si="5"/>
        <v>186</v>
      </c>
    </row>
    <row r="353" spans="1:9" x14ac:dyDescent="0.25">
      <c r="A353" t="s">
        <v>13</v>
      </c>
      <c r="B353" t="s">
        <v>18</v>
      </c>
      <c r="C353" t="s">
        <v>24</v>
      </c>
      <c r="D353" t="s">
        <v>11</v>
      </c>
      <c r="E353" t="s">
        <v>17</v>
      </c>
      <c r="F353">
        <v>47</v>
      </c>
      <c r="G353">
        <v>50</v>
      </c>
      <c r="H353">
        <v>47</v>
      </c>
      <c r="I353">
        <f t="shared" si="5"/>
        <v>144</v>
      </c>
    </row>
    <row r="354" spans="1:9" x14ac:dyDescent="0.25">
      <c r="A354" t="s">
        <v>13</v>
      </c>
      <c r="B354" t="s">
        <v>14</v>
      </c>
      <c r="C354" t="s">
        <v>22</v>
      </c>
      <c r="D354" t="s">
        <v>11</v>
      </c>
      <c r="E354" t="s">
        <v>12</v>
      </c>
      <c r="F354">
        <v>68</v>
      </c>
      <c r="G354">
        <v>78</v>
      </c>
      <c r="H354">
        <v>84</v>
      </c>
      <c r="I354">
        <f t="shared" si="5"/>
        <v>230</v>
      </c>
    </row>
    <row r="355" spans="1:9" x14ac:dyDescent="0.25">
      <c r="A355" t="s">
        <v>8</v>
      </c>
      <c r="B355" t="s">
        <v>14</v>
      </c>
      <c r="C355" t="s">
        <v>22</v>
      </c>
      <c r="D355" t="s">
        <v>16</v>
      </c>
      <c r="E355" t="s">
        <v>12</v>
      </c>
      <c r="F355">
        <v>68</v>
      </c>
      <c r="G355">
        <v>71</v>
      </c>
      <c r="H355">
        <v>67</v>
      </c>
      <c r="I355">
        <f t="shared" si="5"/>
        <v>206</v>
      </c>
    </row>
    <row r="356" spans="1:9" x14ac:dyDescent="0.25">
      <c r="A356" t="s">
        <v>13</v>
      </c>
      <c r="B356" t="s">
        <v>14</v>
      </c>
      <c r="C356" t="s">
        <v>10</v>
      </c>
      <c r="D356" t="s">
        <v>11</v>
      </c>
      <c r="E356" t="s">
        <v>17</v>
      </c>
      <c r="F356">
        <v>65</v>
      </c>
      <c r="G356">
        <v>75</v>
      </c>
      <c r="H356">
        <v>68</v>
      </c>
      <c r="I356">
        <f t="shared" si="5"/>
        <v>208</v>
      </c>
    </row>
    <row r="357" spans="1:9" x14ac:dyDescent="0.25">
      <c r="A357" t="s">
        <v>13</v>
      </c>
      <c r="B357" t="s">
        <v>20</v>
      </c>
      <c r="C357" t="s">
        <v>21</v>
      </c>
      <c r="D357" t="s">
        <v>11</v>
      </c>
      <c r="E357" t="s">
        <v>17</v>
      </c>
      <c r="F357">
        <v>50</v>
      </c>
      <c r="G357">
        <v>54</v>
      </c>
      <c r="H357">
        <v>51</v>
      </c>
      <c r="I357">
        <f t="shared" si="5"/>
        <v>155</v>
      </c>
    </row>
    <row r="358" spans="1:9" x14ac:dyDescent="0.25">
      <c r="A358" t="s">
        <v>13</v>
      </c>
      <c r="B358" t="s">
        <v>20</v>
      </c>
      <c r="C358" t="s">
        <v>10</v>
      </c>
      <c r="D358" t="s">
        <v>16</v>
      </c>
      <c r="E358" t="s">
        <v>12</v>
      </c>
      <c r="F358">
        <v>48</v>
      </c>
      <c r="G358">
        <v>71</v>
      </c>
      <c r="H358">
        <v>68</v>
      </c>
      <c r="I358">
        <f t="shared" si="5"/>
        <v>187</v>
      </c>
    </row>
    <row r="359" spans="1:9" x14ac:dyDescent="0.25">
      <c r="A359" t="s">
        <v>13</v>
      </c>
      <c r="B359" t="s">
        <v>20</v>
      </c>
      <c r="C359" t="s">
        <v>22</v>
      </c>
      <c r="D359" t="s">
        <v>11</v>
      </c>
      <c r="E359" t="s">
        <v>17</v>
      </c>
      <c r="F359">
        <v>58</v>
      </c>
      <c r="G359">
        <v>60</v>
      </c>
      <c r="H359">
        <v>64</v>
      </c>
      <c r="I359">
        <f t="shared" si="5"/>
        <v>182</v>
      </c>
    </row>
    <row r="360" spans="1:9" x14ac:dyDescent="0.25">
      <c r="A360" t="s">
        <v>8</v>
      </c>
      <c r="B360" t="s">
        <v>23</v>
      </c>
      <c r="C360" t="s">
        <v>15</v>
      </c>
      <c r="D360" t="s">
        <v>16</v>
      </c>
      <c r="E360" t="s">
        <v>12</v>
      </c>
      <c r="F360">
        <v>71</v>
      </c>
      <c r="G360">
        <v>74</v>
      </c>
      <c r="H360">
        <v>68</v>
      </c>
      <c r="I360">
        <f t="shared" si="5"/>
        <v>213</v>
      </c>
    </row>
    <row r="361" spans="1:9" x14ac:dyDescent="0.25">
      <c r="A361" t="s">
        <v>8</v>
      </c>
      <c r="B361" t="s">
        <v>14</v>
      </c>
      <c r="C361" t="s">
        <v>15</v>
      </c>
      <c r="D361" t="s">
        <v>16</v>
      </c>
      <c r="E361" t="s">
        <v>12</v>
      </c>
      <c r="F361">
        <v>58</v>
      </c>
      <c r="G361">
        <v>52</v>
      </c>
      <c r="H361">
        <v>48</v>
      </c>
      <c r="I361">
        <f t="shared" si="5"/>
        <v>158</v>
      </c>
    </row>
    <row r="362" spans="1:9" x14ac:dyDescent="0.25">
      <c r="A362" t="s">
        <v>13</v>
      </c>
      <c r="B362" t="s">
        <v>9</v>
      </c>
      <c r="C362" t="s">
        <v>19</v>
      </c>
      <c r="D362" t="s">
        <v>16</v>
      </c>
      <c r="E362" t="s">
        <v>17</v>
      </c>
      <c r="F362">
        <v>66</v>
      </c>
      <c r="G362">
        <v>90</v>
      </c>
      <c r="H362">
        <v>83</v>
      </c>
      <c r="I362">
        <f t="shared" si="5"/>
        <v>239</v>
      </c>
    </row>
    <row r="363" spans="1:9" x14ac:dyDescent="0.25">
      <c r="A363" t="s">
        <v>8</v>
      </c>
      <c r="B363" t="s">
        <v>23</v>
      </c>
      <c r="C363" t="s">
        <v>19</v>
      </c>
      <c r="D363" t="s">
        <v>16</v>
      </c>
      <c r="E363" t="s">
        <v>17</v>
      </c>
      <c r="F363">
        <v>44</v>
      </c>
      <c r="G363">
        <v>53</v>
      </c>
      <c r="H363">
        <v>43</v>
      </c>
      <c r="I363">
        <f t="shared" si="5"/>
        <v>140</v>
      </c>
    </row>
    <row r="364" spans="1:9" x14ac:dyDescent="0.25">
      <c r="A364" t="s">
        <v>13</v>
      </c>
      <c r="B364" t="s">
        <v>20</v>
      </c>
      <c r="C364" t="s">
        <v>15</v>
      </c>
      <c r="D364" t="s">
        <v>11</v>
      </c>
      <c r="E364" t="s">
        <v>12</v>
      </c>
      <c r="F364">
        <v>51</v>
      </c>
      <c r="G364">
        <v>63</v>
      </c>
      <c r="H364">
        <v>66</v>
      </c>
      <c r="I364">
        <f t="shared" si="5"/>
        <v>180</v>
      </c>
    </row>
    <row r="365" spans="1:9" x14ac:dyDescent="0.25">
      <c r="A365" t="s">
        <v>8</v>
      </c>
      <c r="B365" t="s">
        <v>9</v>
      </c>
      <c r="C365" t="s">
        <v>19</v>
      </c>
      <c r="D365" t="s">
        <v>11</v>
      </c>
      <c r="E365" t="s">
        <v>12</v>
      </c>
      <c r="F365">
        <v>78</v>
      </c>
      <c r="G365">
        <v>83</v>
      </c>
      <c r="H365">
        <v>77</v>
      </c>
      <c r="I365">
        <f t="shared" si="5"/>
        <v>238</v>
      </c>
    </row>
    <row r="366" spans="1:9" x14ac:dyDescent="0.25">
      <c r="A366" t="s">
        <v>8</v>
      </c>
      <c r="B366" t="s">
        <v>23</v>
      </c>
      <c r="C366" t="s">
        <v>10</v>
      </c>
      <c r="D366" t="s">
        <v>11</v>
      </c>
      <c r="E366" t="s">
        <v>17</v>
      </c>
      <c r="F366">
        <v>72</v>
      </c>
      <c r="G366">
        <v>71</v>
      </c>
      <c r="H366">
        <v>65</v>
      </c>
      <c r="I366">
        <f t="shared" si="5"/>
        <v>208</v>
      </c>
    </row>
    <row r="367" spans="1:9" x14ac:dyDescent="0.25">
      <c r="A367" t="s">
        <v>13</v>
      </c>
      <c r="B367" t="s">
        <v>14</v>
      </c>
      <c r="C367" t="s">
        <v>21</v>
      </c>
      <c r="D367" t="s">
        <v>11</v>
      </c>
      <c r="E367" t="s">
        <v>17</v>
      </c>
      <c r="F367">
        <v>60</v>
      </c>
      <c r="G367">
        <v>64</v>
      </c>
      <c r="H367">
        <v>67</v>
      </c>
      <c r="I367">
        <f t="shared" si="5"/>
        <v>191</v>
      </c>
    </row>
    <row r="368" spans="1:9" x14ac:dyDescent="0.25">
      <c r="A368" t="s">
        <v>13</v>
      </c>
      <c r="B368" t="s">
        <v>23</v>
      </c>
      <c r="C368" t="s">
        <v>21</v>
      </c>
      <c r="D368" t="s">
        <v>16</v>
      </c>
      <c r="E368" t="s">
        <v>17</v>
      </c>
      <c r="F368">
        <v>55</v>
      </c>
      <c r="G368">
        <v>61</v>
      </c>
      <c r="H368">
        <v>60</v>
      </c>
      <c r="I368">
        <f t="shared" si="5"/>
        <v>176</v>
      </c>
    </row>
    <row r="369" spans="1:9" x14ac:dyDescent="0.25">
      <c r="A369" t="s">
        <v>8</v>
      </c>
      <c r="B369" t="s">
        <v>20</v>
      </c>
      <c r="C369" t="s">
        <v>15</v>
      </c>
      <c r="D369" t="s">
        <v>11</v>
      </c>
      <c r="E369" t="s">
        <v>17</v>
      </c>
      <c r="F369">
        <v>64</v>
      </c>
      <c r="G369">
        <v>67</v>
      </c>
      <c r="H369">
        <v>64</v>
      </c>
      <c r="I369">
        <f t="shared" si="5"/>
        <v>195</v>
      </c>
    </row>
    <row r="370" spans="1:9" x14ac:dyDescent="0.25">
      <c r="A370" t="s">
        <v>13</v>
      </c>
      <c r="B370" t="s">
        <v>23</v>
      </c>
      <c r="C370" t="s">
        <v>15</v>
      </c>
      <c r="D370" t="s">
        <v>16</v>
      </c>
      <c r="E370" t="s">
        <v>17</v>
      </c>
      <c r="F370">
        <v>57</v>
      </c>
      <c r="G370">
        <v>64</v>
      </c>
      <c r="H370">
        <v>60</v>
      </c>
      <c r="I370">
        <f t="shared" si="5"/>
        <v>181</v>
      </c>
    </row>
    <row r="371" spans="1:9" x14ac:dyDescent="0.25">
      <c r="A371" t="s">
        <v>13</v>
      </c>
      <c r="B371" t="s">
        <v>9</v>
      </c>
      <c r="C371" t="s">
        <v>10</v>
      </c>
      <c r="D371" t="s">
        <v>11</v>
      </c>
      <c r="E371" t="s">
        <v>17</v>
      </c>
      <c r="F371">
        <v>70</v>
      </c>
      <c r="G371">
        <v>75</v>
      </c>
      <c r="H371">
        <v>74</v>
      </c>
      <c r="I371">
        <f t="shared" si="5"/>
        <v>219</v>
      </c>
    </row>
    <row r="372" spans="1:9" x14ac:dyDescent="0.25">
      <c r="A372" t="s">
        <v>8</v>
      </c>
      <c r="B372" t="s">
        <v>14</v>
      </c>
      <c r="C372" t="s">
        <v>15</v>
      </c>
      <c r="D372" t="s">
        <v>11</v>
      </c>
      <c r="E372" t="s">
        <v>12</v>
      </c>
      <c r="F372">
        <v>84</v>
      </c>
      <c r="G372">
        <v>72</v>
      </c>
      <c r="H372">
        <v>76</v>
      </c>
      <c r="I372">
        <f t="shared" si="5"/>
        <v>232</v>
      </c>
    </row>
    <row r="373" spans="1:9" x14ac:dyDescent="0.25">
      <c r="A373" t="s">
        <v>13</v>
      </c>
      <c r="B373" t="s">
        <v>20</v>
      </c>
      <c r="C373" t="s">
        <v>19</v>
      </c>
      <c r="D373" t="s">
        <v>11</v>
      </c>
      <c r="E373" t="s">
        <v>12</v>
      </c>
      <c r="F373">
        <v>66</v>
      </c>
      <c r="G373">
        <v>71</v>
      </c>
      <c r="H373">
        <v>76</v>
      </c>
      <c r="I373">
        <f t="shared" si="5"/>
        <v>213</v>
      </c>
    </row>
    <row r="374" spans="1:9" x14ac:dyDescent="0.25">
      <c r="A374" t="s">
        <v>13</v>
      </c>
      <c r="B374" t="s">
        <v>23</v>
      </c>
      <c r="C374" t="s">
        <v>22</v>
      </c>
      <c r="D374" t="s">
        <v>16</v>
      </c>
      <c r="E374" t="s">
        <v>12</v>
      </c>
      <c r="F374">
        <v>56</v>
      </c>
      <c r="G374">
        <v>65</v>
      </c>
      <c r="H374">
        <v>73</v>
      </c>
      <c r="I374">
        <f t="shared" si="5"/>
        <v>194</v>
      </c>
    </row>
    <row r="375" spans="1:9" x14ac:dyDescent="0.25">
      <c r="A375" t="s">
        <v>8</v>
      </c>
      <c r="B375" t="s">
        <v>18</v>
      </c>
      <c r="C375" t="s">
        <v>19</v>
      </c>
      <c r="D375" t="s">
        <v>16</v>
      </c>
      <c r="E375" t="s">
        <v>12</v>
      </c>
      <c r="F375">
        <v>59</v>
      </c>
      <c r="G375">
        <v>53</v>
      </c>
      <c r="H375">
        <v>56</v>
      </c>
      <c r="I375">
        <f t="shared" si="5"/>
        <v>168</v>
      </c>
    </row>
    <row r="376" spans="1:9" x14ac:dyDescent="0.25">
      <c r="A376" t="s">
        <v>13</v>
      </c>
      <c r="B376" t="s">
        <v>18</v>
      </c>
      <c r="C376" t="s">
        <v>22</v>
      </c>
      <c r="D376" t="s">
        <v>11</v>
      </c>
      <c r="E376" t="s">
        <v>17</v>
      </c>
      <c r="F376">
        <v>87</v>
      </c>
      <c r="G376">
        <v>89</v>
      </c>
      <c r="H376">
        <v>84</v>
      </c>
      <c r="I376">
        <f t="shared" si="5"/>
        <v>260</v>
      </c>
    </row>
    <row r="377" spans="1:9" x14ac:dyDescent="0.25">
      <c r="A377" t="s">
        <v>8</v>
      </c>
      <c r="B377" t="s">
        <v>18</v>
      </c>
      <c r="C377" t="s">
        <v>10</v>
      </c>
      <c r="D377" t="s">
        <v>16</v>
      </c>
      <c r="E377" t="s">
        <v>17</v>
      </c>
      <c r="F377">
        <v>73</v>
      </c>
      <c r="G377">
        <v>75</v>
      </c>
      <c r="H377">
        <v>64</v>
      </c>
      <c r="I377">
        <f t="shared" si="5"/>
        <v>212</v>
      </c>
    </row>
    <row r="378" spans="1:9" x14ac:dyDescent="0.25">
      <c r="A378" t="s">
        <v>13</v>
      </c>
      <c r="B378" t="s">
        <v>9</v>
      </c>
      <c r="C378" t="s">
        <v>10</v>
      </c>
      <c r="D378" t="s">
        <v>11</v>
      </c>
      <c r="E378" t="s">
        <v>17</v>
      </c>
      <c r="F378">
        <v>85</v>
      </c>
      <c r="G378">
        <v>91</v>
      </c>
      <c r="H378">
        <v>89</v>
      </c>
      <c r="I378">
        <f t="shared" si="5"/>
        <v>265</v>
      </c>
    </row>
    <row r="379" spans="1:9" x14ac:dyDescent="0.25">
      <c r="A379" t="s">
        <v>8</v>
      </c>
      <c r="B379" t="s">
        <v>20</v>
      </c>
      <c r="C379" t="s">
        <v>19</v>
      </c>
      <c r="D379" t="s">
        <v>16</v>
      </c>
      <c r="E379" t="s">
        <v>17</v>
      </c>
      <c r="F379">
        <v>49</v>
      </c>
      <c r="G379">
        <v>54</v>
      </c>
      <c r="H379">
        <v>42</v>
      </c>
      <c r="I379">
        <f t="shared" si="5"/>
        <v>145</v>
      </c>
    </row>
    <row r="380" spans="1:9" x14ac:dyDescent="0.25">
      <c r="A380" t="s">
        <v>13</v>
      </c>
      <c r="B380" t="s">
        <v>23</v>
      </c>
      <c r="C380" t="s">
        <v>22</v>
      </c>
      <c r="D380" t="s">
        <v>11</v>
      </c>
      <c r="E380" t="s">
        <v>12</v>
      </c>
      <c r="F380">
        <v>82</v>
      </c>
      <c r="G380">
        <v>87</v>
      </c>
      <c r="H380">
        <v>90</v>
      </c>
      <c r="I380">
        <f t="shared" si="5"/>
        <v>259</v>
      </c>
    </row>
    <row r="381" spans="1:9" x14ac:dyDescent="0.25">
      <c r="A381" t="s">
        <v>13</v>
      </c>
      <c r="B381" t="s">
        <v>14</v>
      </c>
      <c r="C381" t="s">
        <v>19</v>
      </c>
      <c r="D381" t="s">
        <v>11</v>
      </c>
      <c r="E381" t="s">
        <v>17</v>
      </c>
      <c r="F381">
        <v>80</v>
      </c>
      <c r="G381">
        <v>90</v>
      </c>
      <c r="H381">
        <v>90</v>
      </c>
      <c r="I381">
        <f t="shared" si="5"/>
        <v>260</v>
      </c>
    </row>
    <row r="382" spans="1:9" x14ac:dyDescent="0.25">
      <c r="A382" t="s">
        <v>13</v>
      </c>
      <c r="B382" t="s">
        <v>18</v>
      </c>
      <c r="C382" t="s">
        <v>10</v>
      </c>
      <c r="D382" t="s">
        <v>11</v>
      </c>
      <c r="E382" t="s">
        <v>17</v>
      </c>
      <c r="F382">
        <v>48</v>
      </c>
      <c r="G382">
        <v>51</v>
      </c>
      <c r="H382">
        <v>43</v>
      </c>
      <c r="I382">
        <f t="shared" si="5"/>
        <v>142</v>
      </c>
    </row>
    <row r="383" spans="1:9" x14ac:dyDescent="0.25">
      <c r="A383" t="s">
        <v>13</v>
      </c>
      <c r="B383" t="s">
        <v>14</v>
      </c>
      <c r="C383" t="s">
        <v>10</v>
      </c>
      <c r="D383" t="s">
        <v>11</v>
      </c>
      <c r="E383" t="s">
        <v>12</v>
      </c>
      <c r="F383">
        <v>85</v>
      </c>
      <c r="G383">
        <v>83</v>
      </c>
      <c r="H383">
        <v>94</v>
      </c>
      <c r="I383">
        <f t="shared" si="5"/>
        <v>262</v>
      </c>
    </row>
    <row r="384" spans="1:9" x14ac:dyDescent="0.25">
      <c r="A384" t="s">
        <v>13</v>
      </c>
      <c r="B384" t="s">
        <v>18</v>
      </c>
      <c r="C384" t="s">
        <v>15</v>
      </c>
      <c r="D384" t="s">
        <v>11</v>
      </c>
      <c r="E384" t="s">
        <v>12</v>
      </c>
      <c r="F384">
        <v>70</v>
      </c>
      <c r="G384">
        <v>78</v>
      </c>
      <c r="H384">
        <v>76</v>
      </c>
      <c r="I384">
        <f t="shared" si="5"/>
        <v>224</v>
      </c>
    </row>
    <row r="385" spans="1:9" x14ac:dyDescent="0.25">
      <c r="A385" t="s">
        <v>8</v>
      </c>
      <c r="B385" t="s">
        <v>18</v>
      </c>
      <c r="C385" t="s">
        <v>21</v>
      </c>
      <c r="D385" t="s">
        <v>11</v>
      </c>
      <c r="E385" t="s">
        <v>12</v>
      </c>
      <c r="F385">
        <v>89</v>
      </c>
      <c r="G385">
        <v>84</v>
      </c>
      <c r="H385">
        <v>81</v>
      </c>
      <c r="I385">
        <f t="shared" si="5"/>
        <v>254</v>
      </c>
    </row>
    <row r="386" spans="1:9" x14ac:dyDescent="0.25">
      <c r="A386" t="s">
        <v>13</v>
      </c>
      <c r="B386" t="s">
        <v>14</v>
      </c>
      <c r="C386" t="s">
        <v>10</v>
      </c>
      <c r="D386" t="s">
        <v>11</v>
      </c>
      <c r="E386" t="s">
        <v>12</v>
      </c>
      <c r="F386">
        <v>72</v>
      </c>
      <c r="G386">
        <v>86</v>
      </c>
      <c r="H386">
        <v>79</v>
      </c>
      <c r="I386">
        <f t="shared" si="5"/>
        <v>237</v>
      </c>
    </row>
    <row r="387" spans="1:9" x14ac:dyDescent="0.25">
      <c r="A387" t="s">
        <v>13</v>
      </c>
      <c r="B387" t="s">
        <v>14</v>
      </c>
      <c r="C387" t="s">
        <v>15</v>
      </c>
      <c r="D387" t="s">
        <v>16</v>
      </c>
      <c r="E387" t="s">
        <v>17</v>
      </c>
      <c r="F387">
        <v>80</v>
      </c>
      <c r="G387">
        <v>86</v>
      </c>
      <c r="H387">
        <v>87</v>
      </c>
      <c r="I387">
        <f t="shared" ref="I387:I450" si="6">SUM(F387:H387)</f>
        <v>253</v>
      </c>
    </row>
    <row r="388" spans="1:9" x14ac:dyDescent="0.25">
      <c r="A388" t="s">
        <v>13</v>
      </c>
      <c r="B388" t="s">
        <v>14</v>
      </c>
      <c r="C388" t="s">
        <v>15</v>
      </c>
      <c r="D388" t="s">
        <v>16</v>
      </c>
      <c r="E388" t="s">
        <v>17</v>
      </c>
      <c r="F388">
        <v>43</v>
      </c>
      <c r="G388">
        <v>57</v>
      </c>
      <c r="H388">
        <v>50</v>
      </c>
      <c r="I388">
        <f t="shared" si="6"/>
        <v>150</v>
      </c>
    </row>
    <row r="389" spans="1:9" x14ac:dyDescent="0.25">
      <c r="A389" t="s">
        <v>8</v>
      </c>
      <c r="B389" t="s">
        <v>23</v>
      </c>
      <c r="C389" t="s">
        <v>15</v>
      </c>
      <c r="D389" t="s">
        <v>16</v>
      </c>
      <c r="E389" t="s">
        <v>12</v>
      </c>
      <c r="F389">
        <v>54</v>
      </c>
      <c r="G389">
        <v>61</v>
      </c>
      <c r="H389">
        <v>61</v>
      </c>
      <c r="I389">
        <f t="shared" si="6"/>
        <v>176</v>
      </c>
    </row>
    <row r="390" spans="1:9" x14ac:dyDescent="0.25">
      <c r="A390" t="s">
        <v>8</v>
      </c>
      <c r="B390" t="s">
        <v>9</v>
      </c>
      <c r="C390" t="s">
        <v>21</v>
      </c>
      <c r="D390" t="s">
        <v>16</v>
      </c>
      <c r="E390" t="s">
        <v>12</v>
      </c>
      <c r="F390">
        <v>82</v>
      </c>
      <c r="G390">
        <v>82</v>
      </c>
      <c r="H390">
        <v>78</v>
      </c>
      <c r="I390">
        <f t="shared" si="6"/>
        <v>242</v>
      </c>
    </row>
    <row r="391" spans="1:9" x14ac:dyDescent="0.25">
      <c r="A391" t="s">
        <v>8</v>
      </c>
      <c r="B391" t="s">
        <v>23</v>
      </c>
      <c r="C391" t="s">
        <v>22</v>
      </c>
      <c r="D391" t="s">
        <v>16</v>
      </c>
      <c r="E391" t="s">
        <v>17</v>
      </c>
      <c r="F391">
        <v>74</v>
      </c>
      <c r="G391">
        <v>80</v>
      </c>
      <c r="H391">
        <v>78</v>
      </c>
      <c r="I391">
        <f t="shared" si="6"/>
        <v>232</v>
      </c>
    </row>
    <row r="392" spans="1:9" x14ac:dyDescent="0.25">
      <c r="A392" t="s">
        <v>13</v>
      </c>
      <c r="B392" t="s">
        <v>23</v>
      </c>
      <c r="C392" t="s">
        <v>19</v>
      </c>
      <c r="D392" t="s">
        <v>11</v>
      </c>
      <c r="E392" t="s">
        <v>17</v>
      </c>
      <c r="F392">
        <v>63</v>
      </c>
      <c r="G392">
        <v>62</v>
      </c>
      <c r="H392">
        <v>64</v>
      </c>
      <c r="I392">
        <f t="shared" si="6"/>
        <v>189</v>
      </c>
    </row>
    <row r="393" spans="1:9" x14ac:dyDescent="0.25">
      <c r="A393" t="s">
        <v>13</v>
      </c>
      <c r="B393" t="s">
        <v>23</v>
      </c>
      <c r="C393" t="s">
        <v>10</v>
      </c>
      <c r="D393" t="s">
        <v>16</v>
      </c>
      <c r="E393" t="s">
        <v>17</v>
      </c>
      <c r="F393">
        <v>47</v>
      </c>
      <c r="G393">
        <v>56</v>
      </c>
      <c r="H393">
        <v>51</v>
      </c>
      <c r="I393">
        <f t="shared" si="6"/>
        <v>154</v>
      </c>
    </row>
    <row r="394" spans="1:9" x14ac:dyDescent="0.25">
      <c r="A394" t="s">
        <v>13</v>
      </c>
      <c r="B394" t="s">
        <v>23</v>
      </c>
      <c r="C394" t="s">
        <v>19</v>
      </c>
      <c r="D394" t="s">
        <v>16</v>
      </c>
      <c r="E394" t="s">
        <v>17</v>
      </c>
      <c r="F394">
        <v>13</v>
      </c>
      <c r="G394">
        <v>29</v>
      </c>
      <c r="H394">
        <v>23</v>
      </c>
      <c r="I394">
        <f t="shared" si="6"/>
        <v>65</v>
      </c>
    </row>
    <row r="395" spans="1:9" x14ac:dyDescent="0.25">
      <c r="A395" t="s">
        <v>8</v>
      </c>
      <c r="B395" t="s">
        <v>14</v>
      </c>
      <c r="C395" t="s">
        <v>19</v>
      </c>
      <c r="D395" t="s">
        <v>16</v>
      </c>
      <c r="E395" t="s">
        <v>17</v>
      </c>
      <c r="F395">
        <v>67</v>
      </c>
      <c r="G395">
        <v>58</v>
      </c>
      <c r="H395">
        <v>56</v>
      </c>
      <c r="I395">
        <f t="shared" si="6"/>
        <v>181</v>
      </c>
    </row>
    <row r="396" spans="1:9" x14ac:dyDescent="0.25">
      <c r="A396" t="s">
        <v>8</v>
      </c>
      <c r="B396" t="s">
        <v>23</v>
      </c>
      <c r="C396" t="s">
        <v>15</v>
      </c>
      <c r="D396" t="s">
        <v>11</v>
      </c>
      <c r="E396" t="s">
        <v>17</v>
      </c>
      <c r="F396">
        <v>57</v>
      </c>
      <c r="G396">
        <v>59</v>
      </c>
      <c r="H396">
        <v>54</v>
      </c>
      <c r="I396">
        <f t="shared" si="6"/>
        <v>170</v>
      </c>
    </row>
    <row r="397" spans="1:9" x14ac:dyDescent="0.25">
      <c r="A397" t="s">
        <v>13</v>
      </c>
      <c r="B397" t="s">
        <v>20</v>
      </c>
      <c r="C397" t="s">
        <v>15</v>
      </c>
      <c r="D397" t="s">
        <v>11</v>
      </c>
      <c r="E397" t="s">
        <v>17</v>
      </c>
      <c r="F397">
        <v>64</v>
      </c>
      <c r="G397">
        <v>78</v>
      </c>
      <c r="H397">
        <v>83</v>
      </c>
      <c r="I397">
        <f t="shared" si="6"/>
        <v>225</v>
      </c>
    </row>
    <row r="398" spans="1:9" x14ac:dyDescent="0.25">
      <c r="A398" t="s">
        <v>13</v>
      </c>
      <c r="B398" t="s">
        <v>14</v>
      </c>
      <c r="C398" t="s">
        <v>21</v>
      </c>
      <c r="D398" t="s">
        <v>11</v>
      </c>
      <c r="E398" t="s">
        <v>17</v>
      </c>
      <c r="F398">
        <v>85</v>
      </c>
      <c r="G398">
        <v>100</v>
      </c>
      <c r="H398">
        <v>100</v>
      </c>
      <c r="I398">
        <f t="shared" si="6"/>
        <v>285</v>
      </c>
    </row>
    <row r="399" spans="1:9" x14ac:dyDescent="0.25">
      <c r="A399" t="s">
        <v>13</v>
      </c>
      <c r="B399" t="s">
        <v>20</v>
      </c>
      <c r="C399" t="s">
        <v>21</v>
      </c>
      <c r="D399" t="s">
        <v>11</v>
      </c>
      <c r="E399" t="s">
        <v>12</v>
      </c>
      <c r="F399">
        <v>70</v>
      </c>
      <c r="G399">
        <v>80</v>
      </c>
      <c r="H399">
        <v>86</v>
      </c>
      <c r="I399">
        <f t="shared" si="6"/>
        <v>236</v>
      </c>
    </row>
    <row r="400" spans="1:9" x14ac:dyDescent="0.25">
      <c r="A400" t="s">
        <v>8</v>
      </c>
      <c r="B400" t="s">
        <v>20</v>
      </c>
      <c r="C400" t="s">
        <v>22</v>
      </c>
      <c r="D400" t="s">
        <v>11</v>
      </c>
      <c r="E400" t="s">
        <v>12</v>
      </c>
      <c r="F400">
        <v>90</v>
      </c>
      <c r="G400">
        <v>73</v>
      </c>
      <c r="H400">
        <v>83</v>
      </c>
      <c r="I400">
        <f t="shared" si="6"/>
        <v>246</v>
      </c>
    </row>
    <row r="401" spans="1:9" x14ac:dyDescent="0.25">
      <c r="A401" t="s">
        <v>13</v>
      </c>
      <c r="B401" t="s">
        <v>9</v>
      </c>
      <c r="C401" t="s">
        <v>19</v>
      </c>
      <c r="D401" t="s">
        <v>16</v>
      </c>
      <c r="E401" t="s">
        <v>12</v>
      </c>
      <c r="F401">
        <v>53</v>
      </c>
      <c r="G401">
        <v>70</v>
      </c>
      <c r="H401">
        <v>69</v>
      </c>
      <c r="I401">
        <f t="shared" si="6"/>
        <v>192</v>
      </c>
    </row>
    <row r="402" spans="1:9" x14ac:dyDescent="0.25">
      <c r="A402" t="s">
        <v>8</v>
      </c>
      <c r="B402" t="s">
        <v>23</v>
      </c>
      <c r="C402" t="s">
        <v>19</v>
      </c>
      <c r="D402" t="s">
        <v>11</v>
      </c>
      <c r="E402" t="s">
        <v>12</v>
      </c>
      <c r="F402">
        <v>74</v>
      </c>
      <c r="G402">
        <v>73</v>
      </c>
      <c r="H402">
        <v>75</v>
      </c>
      <c r="I402">
        <f t="shared" si="6"/>
        <v>222</v>
      </c>
    </row>
    <row r="403" spans="1:9" x14ac:dyDescent="0.25">
      <c r="A403" t="s">
        <v>8</v>
      </c>
      <c r="B403" t="s">
        <v>9</v>
      </c>
      <c r="C403" t="s">
        <v>21</v>
      </c>
      <c r="D403" t="s">
        <v>11</v>
      </c>
      <c r="E403" t="s">
        <v>12</v>
      </c>
      <c r="F403">
        <v>61</v>
      </c>
      <c r="G403">
        <v>71</v>
      </c>
      <c r="H403">
        <v>67</v>
      </c>
      <c r="I403">
        <f t="shared" si="6"/>
        <v>199</v>
      </c>
    </row>
    <row r="404" spans="1:9" x14ac:dyDescent="0.25">
      <c r="A404" t="s">
        <v>13</v>
      </c>
      <c r="B404" t="s">
        <v>23</v>
      </c>
      <c r="C404" t="s">
        <v>15</v>
      </c>
      <c r="D404" t="s">
        <v>11</v>
      </c>
      <c r="E404" t="s">
        <v>12</v>
      </c>
      <c r="F404">
        <v>55</v>
      </c>
      <c r="G404">
        <v>74</v>
      </c>
      <c r="H404">
        <v>73</v>
      </c>
      <c r="I404">
        <f t="shared" si="6"/>
        <v>202</v>
      </c>
    </row>
    <row r="405" spans="1:9" x14ac:dyDescent="0.25">
      <c r="A405" t="s">
        <v>13</v>
      </c>
      <c r="B405" t="s">
        <v>20</v>
      </c>
      <c r="C405" t="s">
        <v>19</v>
      </c>
      <c r="D405" t="s">
        <v>11</v>
      </c>
      <c r="E405" t="s">
        <v>12</v>
      </c>
      <c r="F405">
        <v>65</v>
      </c>
      <c r="G405">
        <v>63</v>
      </c>
      <c r="H405">
        <v>66</v>
      </c>
      <c r="I405">
        <f t="shared" si="6"/>
        <v>194</v>
      </c>
    </row>
    <row r="406" spans="1:9" x14ac:dyDescent="0.25">
      <c r="A406" t="s">
        <v>13</v>
      </c>
      <c r="B406" t="s">
        <v>9</v>
      </c>
      <c r="C406" t="s">
        <v>10</v>
      </c>
      <c r="D406" t="s">
        <v>11</v>
      </c>
      <c r="E406" t="s">
        <v>17</v>
      </c>
      <c r="F406">
        <v>77</v>
      </c>
      <c r="G406">
        <v>77</v>
      </c>
      <c r="H406">
        <v>79</v>
      </c>
      <c r="I406">
        <f t="shared" si="6"/>
        <v>233</v>
      </c>
    </row>
    <row r="407" spans="1:9" x14ac:dyDescent="0.25">
      <c r="A407" t="s">
        <v>8</v>
      </c>
      <c r="B407" t="s">
        <v>23</v>
      </c>
      <c r="C407" t="s">
        <v>21</v>
      </c>
      <c r="D407" t="s">
        <v>11</v>
      </c>
      <c r="E407" t="s">
        <v>17</v>
      </c>
      <c r="F407">
        <v>74</v>
      </c>
      <c r="G407">
        <v>61</v>
      </c>
      <c r="H407">
        <v>56</v>
      </c>
      <c r="I407">
        <f t="shared" si="6"/>
        <v>191</v>
      </c>
    </row>
    <row r="408" spans="1:9" x14ac:dyDescent="0.25">
      <c r="A408" t="s">
        <v>8</v>
      </c>
      <c r="B408" t="s">
        <v>14</v>
      </c>
      <c r="C408" t="s">
        <v>19</v>
      </c>
      <c r="D408" t="s">
        <v>11</v>
      </c>
      <c r="E408" t="s">
        <v>17</v>
      </c>
      <c r="F408">
        <v>94</v>
      </c>
      <c r="G408">
        <v>92</v>
      </c>
      <c r="H408">
        <v>85</v>
      </c>
      <c r="I408">
        <f t="shared" si="6"/>
        <v>271</v>
      </c>
    </row>
    <row r="409" spans="1:9" x14ac:dyDescent="0.25">
      <c r="A409" t="s">
        <v>13</v>
      </c>
      <c r="B409" t="s">
        <v>20</v>
      </c>
      <c r="C409" t="s">
        <v>21</v>
      </c>
      <c r="D409" t="s">
        <v>11</v>
      </c>
      <c r="E409" t="s">
        <v>12</v>
      </c>
      <c r="F409">
        <v>54</v>
      </c>
      <c r="G409">
        <v>64</v>
      </c>
      <c r="H409">
        <v>68</v>
      </c>
      <c r="I409">
        <f t="shared" si="6"/>
        <v>186</v>
      </c>
    </row>
    <row r="410" spans="1:9" x14ac:dyDescent="0.25">
      <c r="A410" t="s">
        <v>8</v>
      </c>
      <c r="B410" t="s">
        <v>9</v>
      </c>
      <c r="C410" t="s">
        <v>10</v>
      </c>
      <c r="D410" t="s">
        <v>11</v>
      </c>
      <c r="E410" t="s">
        <v>17</v>
      </c>
      <c r="F410">
        <v>52</v>
      </c>
      <c r="G410">
        <v>49</v>
      </c>
      <c r="H410">
        <v>43</v>
      </c>
      <c r="I410">
        <f t="shared" si="6"/>
        <v>144</v>
      </c>
    </row>
    <row r="411" spans="1:9" x14ac:dyDescent="0.25">
      <c r="A411" t="s">
        <v>8</v>
      </c>
      <c r="B411" t="s">
        <v>14</v>
      </c>
      <c r="C411" t="s">
        <v>19</v>
      </c>
      <c r="D411" t="s">
        <v>11</v>
      </c>
      <c r="E411" t="s">
        <v>17</v>
      </c>
      <c r="F411">
        <v>73</v>
      </c>
      <c r="G411">
        <v>75</v>
      </c>
      <c r="H411">
        <v>71</v>
      </c>
      <c r="I411">
        <f t="shared" si="6"/>
        <v>219</v>
      </c>
    </row>
    <row r="412" spans="1:9" x14ac:dyDescent="0.25">
      <c r="A412" t="s">
        <v>8</v>
      </c>
      <c r="B412" t="s">
        <v>23</v>
      </c>
      <c r="C412" t="s">
        <v>10</v>
      </c>
      <c r="D412" t="s">
        <v>11</v>
      </c>
      <c r="E412" t="s">
        <v>17</v>
      </c>
      <c r="F412">
        <v>81</v>
      </c>
      <c r="G412">
        <v>72</v>
      </c>
      <c r="H412">
        <v>58</v>
      </c>
      <c r="I412">
        <f t="shared" si="6"/>
        <v>211</v>
      </c>
    </row>
    <row r="413" spans="1:9" x14ac:dyDescent="0.25">
      <c r="A413" t="s">
        <v>13</v>
      </c>
      <c r="B413" t="s">
        <v>20</v>
      </c>
      <c r="C413" t="s">
        <v>22</v>
      </c>
      <c r="D413" t="s">
        <v>16</v>
      </c>
      <c r="E413" t="s">
        <v>17</v>
      </c>
      <c r="F413">
        <v>62</v>
      </c>
      <c r="G413">
        <v>75</v>
      </c>
      <c r="H413">
        <v>72</v>
      </c>
      <c r="I413">
        <f t="shared" si="6"/>
        <v>209</v>
      </c>
    </row>
    <row r="414" spans="1:9" x14ac:dyDescent="0.25">
      <c r="A414" t="s">
        <v>13</v>
      </c>
      <c r="B414" t="s">
        <v>23</v>
      </c>
      <c r="C414" t="s">
        <v>24</v>
      </c>
      <c r="D414" t="s">
        <v>16</v>
      </c>
      <c r="E414" t="s">
        <v>17</v>
      </c>
      <c r="F414">
        <v>55</v>
      </c>
      <c r="G414">
        <v>60</v>
      </c>
      <c r="H414">
        <v>61</v>
      </c>
      <c r="I414">
        <f t="shared" si="6"/>
        <v>176</v>
      </c>
    </row>
    <row r="415" spans="1:9" x14ac:dyDescent="0.25">
      <c r="A415" t="s">
        <v>8</v>
      </c>
      <c r="B415" t="s">
        <v>23</v>
      </c>
      <c r="C415" t="s">
        <v>15</v>
      </c>
      <c r="D415" t="s">
        <v>16</v>
      </c>
      <c r="E415" t="s">
        <v>12</v>
      </c>
      <c r="F415">
        <v>55</v>
      </c>
      <c r="G415">
        <v>61</v>
      </c>
      <c r="H415">
        <v>61</v>
      </c>
      <c r="I415">
        <f t="shared" si="6"/>
        <v>177</v>
      </c>
    </row>
    <row r="416" spans="1:9" x14ac:dyDescent="0.25">
      <c r="A416" t="s">
        <v>13</v>
      </c>
      <c r="B416" t="s">
        <v>14</v>
      </c>
      <c r="C416" t="s">
        <v>15</v>
      </c>
      <c r="D416" t="s">
        <v>11</v>
      </c>
      <c r="E416" t="s">
        <v>17</v>
      </c>
      <c r="F416">
        <v>61</v>
      </c>
      <c r="G416">
        <v>62</v>
      </c>
      <c r="H416">
        <v>61</v>
      </c>
      <c r="I416">
        <f t="shared" si="6"/>
        <v>184</v>
      </c>
    </row>
    <row r="417" spans="1:9" x14ac:dyDescent="0.25">
      <c r="A417" t="s">
        <v>8</v>
      </c>
      <c r="B417" t="s">
        <v>18</v>
      </c>
      <c r="C417" t="s">
        <v>10</v>
      </c>
      <c r="D417" t="s">
        <v>11</v>
      </c>
      <c r="E417" t="s">
        <v>17</v>
      </c>
      <c r="F417">
        <v>75</v>
      </c>
      <c r="G417">
        <v>70</v>
      </c>
      <c r="H417">
        <v>64</v>
      </c>
      <c r="I417">
        <f t="shared" si="6"/>
        <v>209</v>
      </c>
    </row>
    <row r="418" spans="1:9" x14ac:dyDescent="0.25">
      <c r="A418" t="s">
        <v>8</v>
      </c>
      <c r="B418" t="s">
        <v>18</v>
      </c>
      <c r="C418" t="s">
        <v>19</v>
      </c>
      <c r="D418" t="s">
        <v>16</v>
      </c>
      <c r="E418" t="s">
        <v>17</v>
      </c>
      <c r="F418">
        <v>79</v>
      </c>
      <c r="G418">
        <v>65</v>
      </c>
      <c r="H418">
        <v>59</v>
      </c>
      <c r="I418">
        <f t="shared" si="6"/>
        <v>203</v>
      </c>
    </row>
    <row r="419" spans="1:9" x14ac:dyDescent="0.25">
      <c r="A419" t="s">
        <v>13</v>
      </c>
      <c r="B419" t="s">
        <v>23</v>
      </c>
      <c r="C419" t="s">
        <v>15</v>
      </c>
      <c r="D419" t="s">
        <v>11</v>
      </c>
      <c r="E419" t="s">
        <v>17</v>
      </c>
      <c r="F419">
        <v>70</v>
      </c>
      <c r="G419">
        <v>70</v>
      </c>
      <c r="H419">
        <v>68</v>
      </c>
      <c r="I419">
        <f t="shared" si="6"/>
        <v>208</v>
      </c>
    </row>
    <row r="420" spans="1:9" x14ac:dyDescent="0.25">
      <c r="A420" t="s">
        <v>8</v>
      </c>
      <c r="B420" t="s">
        <v>9</v>
      </c>
      <c r="C420" t="s">
        <v>19</v>
      </c>
      <c r="D420" t="s">
        <v>11</v>
      </c>
      <c r="E420" t="s">
        <v>17</v>
      </c>
      <c r="F420">
        <v>72</v>
      </c>
      <c r="G420">
        <v>65</v>
      </c>
      <c r="H420">
        <v>59</v>
      </c>
      <c r="I420">
        <f t="shared" si="6"/>
        <v>196</v>
      </c>
    </row>
    <row r="421" spans="1:9" x14ac:dyDescent="0.25">
      <c r="A421" t="s">
        <v>13</v>
      </c>
      <c r="B421" t="s">
        <v>23</v>
      </c>
      <c r="C421" t="s">
        <v>15</v>
      </c>
      <c r="D421" t="s">
        <v>16</v>
      </c>
      <c r="E421" t="s">
        <v>17</v>
      </c>
      <c r="F421">
        <v>38</v>
      </c>
      <c r="G421">
        <v>46</v>
      </c>
      <c r="H421">
        <v>33</v>
      </c>
      <c r="I421">
        <f t="shared" si="6"/>
        <v>117</v>
      </c>
    </row>
    <row r="422" spans="1:9" x14ac:dyDescent="0.25">
      <c r="A422" t="s">
        <v>13</v>
      </c>
      <c r="B422" t="s">
        <v>9</v>
      </c>
      <c r="C422" t="s">
        <v>22</v>
      </c>
      <c r="D422" t="s">
        <v>11</v>
      </c>
      <c r="E422" t="s">
        <v>17</v>
      </c>
      <c r="F422">
        <v>57</v>
      </c>
      <c r="G422">
        <v>71</v>
      </c>
      <c r="H422">
        <v>63</v>
      </c>
      <c r="I422">
        <f t="shared" si="6"/>
        <v>191</v>
      </c>
    </row>
    <row r="423" spans="1:9" x14ac:dyDescent="0.25">
      <c r="A423" t="s">
        <v>8</v>
      </c>
      <c r="B423" t="s">
        <v>14</v>
      </c>
      <c r="C423" t="s">
        <v>15</v>
      </c>
      <c r="D423" t="s">
        <v>11</v>
      </c>
      <c r="E423" t="s">
        <v>17</v>
      </c>
      <c r="F423">
        <v>76</v>
      </c>
      <c r="G423">
        <v>71</v>
      </c>
      <c r="H423">
        <v>70</v>
      </c>
      <c r="I423">
        <f t="shared" si="6"/>
        <v>217</v>
      </c>
    </row>
    <row r="424" spans="1:9" x14ac:dyDescent="0.25">
      <c r="A424" t="s">
        <v>8</v>
      </c>
      <c r="B424" t="s">
        <v>23</v>
      </c>
      <c r="C424" t="s">
        <v>19</v>
      </c>
      <c r="D424" t="s">
        <v>16</v>
      </c>
      <c r="E424" t="s">
        <v>17</v>
      </c>
      <c r="F424">
        <v>45</v>
      </c>
      <c r="G424">
        <v>45</v>
      </c>
      <c r="H424">
        <v>38</v>
      </c>
      <c r="I424">
        <f t="shared" si="6"/>
        <v>128</v>
      </c>
    </row>
    <row r="425" spans="1:9" x14ac:dyDescent="0.25">
      <c r="A425" t="s">
        <v>8</v>
      </c>
      <c r="B425" t="s">
        <v>14</v>
      </c>
      <c r="C425" t="s">
        <v>21</v>
      </c>
      <c r="D425" t="s">
        <v>11</v>
      </c>
      <c r="E425" t="s">
        <v>17</v>
      </c>
      <c r="F425">
        <v>77</v>
      </c>
      <c r="G425">
        <v>73</v>
      </c>
      <c r="H425">
        <v>74</v>
      </c>
      <c r="I425">
        <f t="shared" si="6"/>
        <v>224</v>
      </c>
    </row>
    <row r="426" spans="1:9" x14ac:dyDescent="0.25">
      <c r="A426" t="s">
        <v>8</v>
      </c>
      <c r="B426" t="s">
        <v>23</v>
      </c>
      <c r="C426" t="s">
        <v>10</v>
      </c>
      <c r="D426" t="s">
        <v>11</v>
      </c>
      <c r="E426" t="s">
        <v>17</v>
      </c>
      <c r="F426">
        <v>40</v>
      </c>
      <c r="G426">
        <v>39</v>
      </c>
      <c r="H426">
        <v>30</v>
      </c>
      <c r="I426">
        <f t="shared" si="6"/>
        <v>109</v>
      </c>
    </row>
    <row r="427" spans="1:9" x14ac:dyDescent="0.25">
      <c r="A427" t="s">
        <v>13</v>
      </c>
      <c r="B427" t="s">
        <v>18</v>
      </c>
      <c r="C427" t="s">
        <v>19</v>
      </c>
      <c r="D427" t="s">
        <v>11</v>
      </c>
      <c r="E427" t="s">
        <v>17</v>
      </c>
      <c r="F427">
        <v>78</v>
      </c>
      <c r="G427">
        <v>83</v>
      </c>
      <c r="H427">
        <v>78</v>
      </c>
      <c r="I427">
        <f t="shared" si="6"/>
        <v>239</v>
      </c>
    </row>
    <row r="428" spans="1:9" x14ac:dyDescent="0.25">
      <c r="A428" t="s">
        <v>13</v>
      </c>
      <c r="B428" t="s">
        <v>9</v>
      </c>
      <c r="C428" t="s">
        <v>24</v>
      </c>
      <c r="D428" t="s">
        <v>16</v>
      </c>
      <c r="E428" t="s">
        <v>17</v>
      </c>
      <c r="F428">
        <v>63</v>
      </c>
      <c r="G428">
        <v>65</v>
      </c>
      <c r="H428">
        <v>66</v>
      </c>
      <c r="I428">
        <f t="shared" si="6"/>
        <v>194</v>
      </c>
    </row>
    <row r="429" spans="1:9" x14ac:dyDescent="0.25">
      <c r="A429" t="s">
        <v>8</v>
      </c>
      <c r="B429" t="s">
        <v>23</v>
      </c>
      <c r="C429" t="s">
        <v>21</v>
      </c>
      <c r="D429" t="s">
        <v>11</v>
      </c>
      <c r="E429" t="s">
        <v>17</v>
      </c>
      <c r="F429">
        <v>83</v>
      </c>
      <c r="G429">
        <v>70</v>
      </c>
      <c r="H429">
        <v>73</v>
      </c>
      <c r="I429">
        <f t="shared" si="6"/>
        <v>226</v>
      </c>
    </row>
    <row r="430" spans="1:9" x14ac:dyDescent="0.25">
      <c r="A430" t="s">
        <v>8</v>
      </c>
      <c r="B430" t="s">
        <v>23</v>
      </c>
      <c r="C430" t="s">
        <v>21</v>
      </c>
      <c r="D430" t="s">
        <v>16</v>
      </c>
      <c r="E430" t="s">
        <v>17</v>
      </c>
      <c r="F430">
        <v>55</v>
      </c>
      <c r="G430">
        <v>52</v>
      </c>
      <c r="H430">
        <v>47</v>
      </c>
      <c r="I430">
        <f t="shared" si="6"/>
        <v>154</v>
      </c>
    </row>
    <row r="431" spans="1:9" x14ac:dyDescent="0.25">
      <c r="A431" t="s">
        <v>8</v>
      </c>
      <c r="B431" t="s">
        <v>20</v>
      </c>
      <c r="C431" t="s">
        <v>19</v>
      </c>
      <c r="D431" t="s">
        <v>11</v>
      </c>
      <c r="E431" t="s">
        <v>12</v>
      </c>
      <c r="F431">
        <v>88</v>
      </c>
      <c r="G431">
        <v>78</v>
      </c>
      <c r="H431">
        <v>76</v>
      </c>
      <c r="I431">
        <f t="shared" si="6"/>
        <v>242</v>
      </c>
    </row>
    <row r="432" spans="1:9" x14ac:dyDescent="0.25">
      <c r="A432" t="s">
        <v>8</v>
      </c>
      <c r="B432" t="s">
        <v>23</v>
      </c>
      <c r="C432" t="s">
        <v>22</v>
      </c>
      <c r="D432" t="s">
        <v>11</v>
      </c>
      <c r="E432" t="s">
        <v>17</v>
      </c>
      <c r="F432">
        <v>82</v>
      </c>
      <c r="G432">
        <v>83</v>
      </c>
      <c r="H432">
        <v>85</v>
      </c>
      <c r="I432">
        <f t="shared" si="6"/>
        <v>250</v>
      </c>
    </row>
    <row r="433" spans="1:9" x14ac:dyDescent="0.25">
      <c r="A433" t="s">
        <v>8</v>
      </c>
      <c r="B433" t="s">
        <v>18</v>
      </c>
      <c r="C433" t="s">
        <v>22</v>
      </c>
      <c r="D433" t="s">
        <v>11</v>
      </c>
      <c r="E433" t="s">
        <v>17</v>
      </c>
      <c r="F433">
        <v>86</v>
      </c>
      <c r="G433">
        <v>71</v>
      </c>
      <c r="H433">
        <v>71</v>
      </c>
      <c r="I433">
        <f t="shared" si="6"/>
        <v>228</v>
      </c>
    </row>
    <row r="434" spans="1:9" x14ac:dyDescent="0.25">
      <c r="A434" t="s">
        <v>13</v>
      </c>
      <c r="B434" t="s">
        <v>23</v>
      </c>
      <c r="C434" t="s">
        <v>21</v>
      </c>
      <c r="D434" t="s">
        <v>16</v>
      </c>
      <c r="E434" t="s">
        <v>17</v>
      </c>
      <c r="F434">
        <v>61</v>
      </c>
      <c r="G434">
        <v>74</v>
      </c>
      <c r="H434">
        <v>72</v>
      </c>
      <c r="I434">
        <f t="shared" si="6"/>
        <v>207</v>
      </c>
    </row>
    <row r="435" spans="1:9" x14ac:dyDescent="0.25">
      <c r="A435" t="s">
        <v>13</v>
      </c>
      <c r="B435" t="s">
        <v>14</v>
      </c>
      <c r="C435" t="s">
        <v>19</v>
      </c>
      <c r="D435" t="s">
        <v>11</v>
      </c>
      <c r="E435" t="s">
        <v>12</v>
      </c>
      <c r="F435">
        <v>78</v>
      </c>
      <c r="G435">
        <v>85</v>
      </c>
      <c r="H435">
        <v>93</v>
      </c>
      <c r="I435">
        <f t="shared" si="6"/>
        <v>256</v>
      </c>
    </row>
    <row r="436" spans="1:9" x14ac:dyDescent="0.25">
      <c r="A436" t="s">
        <v>8</v>
      </c>
      <c r="B436" t="s">
        <v>23</v>
      </c>
      <c r="C436" t="s">
        <v>21</v>
      </c>
      <c r="D436" t="s">
        <v>11</v>
      </c>
      <c r="E436" t="s">
        <v>17</v>
      </c>
      <c r="F436">
        <v>67</v>
      </c>
      <c r="G436">
        <v>63</v>
      </c>
      <c r="H436">
        <v>66</v>
      </c>
      <c r="I436">
        <f t="shared" si="6"/>
        <v>196</v>
      </c>
    </row>
    <row r="437" spans="1:9" x14ac:dyDescent="0.25">
      <c r="A437" t="s">
        <v>13</v>
      </c>
      <c r="B437" t="s">
        <v>18</v>
      </c>
      <c r="C437" t="s">
        <v>15</v>
      </c>
      <c r="D437" t="s">
        <v>11</v>
      </c>
      <c r="E437" t="s">
        <v>17</v>
      </c>
      <c r="F437">
        <v>83</v>
      </c>
      <c r="G437">
        <v>87</v>
      </c>
      <c r="H437">
        <v>83</v>
      </c>
      <c r="I437">
        <f t="shared" si="6"/>
        <v>253</v>
      </c>
    </row>
    <row r="438" spans="1:9" x14ac:dyDescent="0.25">
      <c r="A438" t="s">
        <v>8</v>
      </c>
      <c r="B438" t="s">
        <v>23</v>
      </c>
      <c r="C438" t="s">
        <v>15</v>
      </c>
      <c r="D438" t="s">
        <v>11</v>
      </c>
      <c r="E438" t="s">
        <v>17</v>
      </c>
      <c r="F438">
        <v>68</v>
      </c>
      <c r="G438">
        <v>74</v>
      </c>
      <c r="H438">
        <v>69</v>
      </c>
      <c r="I438">
        <f t="shared" si="6"/>
        <v>211</v>
      </c>
    </row>
    <row r="439" spans="1:9" x14ac:dyDescent="0.25">
      <c r="A439" t="s">
        <v>8</v>
      </c>
      <c r="B439" t="s">
        <v>23</v>
      </c>
      <c r="C439" t="s">
        <v>19</v>
      </c>
      <c r="D439" t="s">
        <v>11</v>
      </c>
      <c r="E439" t="s">
        <v>17</v>
      </c>
      <c r="F439">
        <v>53</v>
      </c>
      <c r="G439">
        <v>52</v>
      </c>
      <c r="H439">
        <v>44</v>
      </c>
      <c r="I439">
        <f t="shared" si="6"/>
        <v>149</v>
      </c>
    </row>
    <row r="440" spans="1:9" x14ac:dyDescent="0.25">
      <c r="A440" t="s">
        <v>8</v>
      </c>
      <c r="B440" t="s">
        <v>14</v>
      </c>
      <c r="C440" t="s">
        <v>21</v>
      </c>
      <c r="D440" t="s">
        <v>11</v>
      </c>
      <c r="E440" t="s">
        <v>17</v>
      </c>
      <c r="F440">
        <v>91</v>
      </c>
      <c r="G440">
        <v>88</v>
      </c>
      <c r="H440">
        <v>90</v>
      </c>
      <c r="I440">
        <f t="shared" si="6"/>
        <v>269</v>
      </c>
    </row>
    <row r="441" spans="1:9" x14ac:dyDescent="0.25">
      <c r="A441" t="s">
        <v>8</v>
      </c>
      <c r="B441" t="s">
        <v>20</v>
      </c>
      <c r="C441" t="s">
        <v>21</v>
      </c>
      <c r="D441" t="s">
        <v>16</v>
      </c>
      <c r="E441" t="s">
        <v>17</v>
      </c>
      <c r="F441">
        <v>67</v>
      </c>
      <c r="G441">
        <v>66</v>
      </c>
      <c r="H441">
        <v>66</v>
      </c>
      <c r="I441">
        <f t="shared" si="6"/>
        <v>199</v>
      </c>
    </row>
    <row r="442" spans="1:9" x14ac:dyDescent="0.25">
      <c r="A442" t="s">
        <v>13</v>
      </c>
      <c r="B442" t="s">
        <v>23</v>
      </c>
      <c r="C442" t="s">
        <v>10</v>
      </c>
      <c r="D442" t="s">
        <v>11</v>
      </c>
      <c r="E442" t="s">
        <v>12</v>
      </c>
      <c r="F442">
        <v>53</v>
      </c>
      <c r="G442">
        <v>64</v>
      </c>
      <c r="H442">
        <v>62</v>
      </c>
      <c r="I442">
        <f t="shared" si="6"/>
        <v>179</v>
      </c>
    </row>
    <row r="443" spans="1:9" x14ac:dyDescent="0.25">
      <c r="A443" t="s">
        <v>13</v>
      </c>
      <c r="B443" t="s">
        <v>23</v>
      </c>
      <c r="C443" t="s">
        <v>24</v>
      </c>
      <c r="D443" t="s">
        <v>11</v>
      </c>
      <c r="E443" t="s">
        <v>12</v>
      </c>
      <c r="F443">
        <v>86</v>
      </c>
      <c r="G443">
        <v>100</v>
      </c>
      <c r="H443">
        <v>100</v>
      </c>
      <c r="I443">
        <f t="shared" si="6"/>
        <v>286</v>
      </c>
    </row>
    <row r="444" spans="1:9" x14ac:dyDescent="0.25">
      <c r="A444" t="s">
        <v>8</v>
      </c>
      <c r="B444" t="s">
        <v>18</v>
      </c>
      <c r="C444" t="s">
        <v>15</v>
      </c>
      <c r="D444" t="s">
        <v>16</v>
      </c>
      <c r="E444" t="s">
        <v>12</v>
      </c>
      <c r="F444">
        <v>75</v>
      </c>
      <c r="G444">
        <v>70</v>
      </c>
      <c r="H444">
        <v>61</v>
      </c>
      <c r="I444">
        <f t="shared" si="6"/>
        <v>206</v>
      </c>
    </row>
    <row r="445" spans="1:9" x14ac:dyDescent="0.25">
      <c r="A445" t="s">
        <v>8</v>
      </c>
      <c r="B445" t="s">
        <v>23</v>
      </c>
      <c r="C445" t="s">
        <v>19</v>
      </c>
      <c r="D445" t="s">
        <v>11</v>
      </c>
      <c r="E445" t="s">
        <v>17</v>
      </c>
      <c r="F445">
        <v>55</v>
      </c>
      <c r="G445">
        <v>38</v>
      </c>
      <c r="H445">
        <v>35</v>
      </c>
      <c r="I445">
        <f t="shared" si="6"/>
        <v>128</v>
      </c>
    </row>
    <row r="446" spans="1:9" x14ac:dyDescent="0.25">
      <c r="A446" t="s">
        <v>8</v>
      </c>
      <c r="B446" t="s">
        <v>14</v>
      </c>
      <c r="C446" t="s">
        <v>22</v>
      </c>
      <c r="D446" t="s">
        <v>11</v>
      </c>
      <c r="E446" t="s">
        <v>12</v>
      </c>
      <c r="F446">
        <v>93</v>
      </c>
      <c r="G446">
        <v>86</v>
      </c>
      <c r="H446">
        <v>95</v>
      </c>
      <c r="I446">
        <f t="shared" si="6"/>
        <v>274</v>
      </c>
    </row>
    <row r="447" spans="1:9" x14ac:dyDescent="0.25">
      <c r="A447" t="s">
        <v>13</v>
      </c>
      <c r="B447" t="s">
        <v>18</v>
      </c>
      <c r="C447" t="s">
        <v>10</v>
      </c>
      <c r="D447" t="s">
        <v>11</v>
      </c>
      <c r="E447" t="s">
        <v>17</v>
      </c>
      <c r="F447">
        <v>62</v>
      </c>
      <c r="G447">
        <v>71</v>
      </c>
      <c r="H447">
        <v>66</v>
      </c>
      <c r="I447">
        <f t="shared" si="6"/>
        <v>199</v>
      </c>
    </row>
    <row r="448" spans="1:9" x14ac:dyDescent="0.25">
      <c r="A448" t="s">
        <v>8</v>
      </c>
      <c r="B448" t="s">
        <v>23</v>
      </c>
      <c r="C448" t="s">
        <v>19</v>
      </c>
      <c r="D448" t="s">
        <v>16</v>
      </c>
      <c r="E448" t="s">
        <v>17</v>
      </c>
      <c r="F448">
        <v>83</v>
      </c>
      <c r="G448">
        <v>76</v>
      </c>
      <c r="H448">
        <v>71</v>
      </c>
      <c r="I448">
        <f t="shared" si="6"/>
        <v>230</v>
      </c>
    </row>
    <row r="449" spans="1:9" x14ac:dyDescent="0.25">
      <c r="A449" t="s">
        <v>8</v>
      </c>
      <c r="B449" t="s">
        <v>14</v>
      </c>
      <c r="C449" t="s">
        <v>15</v>
      </c>
      <c r="D449" t="s">
        <v>11</v>
      </c>
      <c r="E449" t="s">
        <v>17</v>
      </c>
      <c r="F449">
        <v>73</v>
      </c>
      <c r="G449">
        <v>72</v>
      </c>
      <c r="H449">
        <v>64</v>
      </c>
      <c r="I449">
        <f t="shared" si="6"/>
        <v>209</v>
      </c>
    </row>
    <row r="450" spans="1:9" x14ac:dyDescent="0.25">
      <c r="A450" t="s">
        <v>13</v>
      </c>
      <c r="B450" t="s">
        <v>23</v>
      </c>
      <c r="C450" t="s">
        <v>10</v>
      </c>
      <c r="D450" t="s">
        <v>16</v>
      </c>
      <c r="E450" t="s">
        <v>17</v>
      </c>
      <c r="F450">
        <v>57</v>
      </c>
      <c r="G450">
        <v>52</v>
      </c>
      <c r="H450">
        <v>53</v>
      </c>
      <c r="I450">
        <f t="shared" si="6"/>
        <v>162</v>
      </c>
    </row>
    <row r="451" spans="1:9" x14ac:dyDescent="0.25">
      <c r="A451" t="s">
        <v>13</v>
      </c>
      <c r="B451" t="s">
        <v>23</v>
      </c>
      <c r="C451" t="s">
        <v>19</v>
      </c>
      <c r="D451" t="s">
        <v>11</v>
      </c>
      <c r="E451" t="s">
        <v>17</v>
      </c>
      <c r="F451">
        <v>70</v>
      </c>
      <c r="G451">
        <v>75</v>
      </c>
      <c r="H451">
        <v>75</v>
      </c>
      <c r="I451">
        <f t="shared" ref="I451:I514" si="7">SUM(F451:H451)</f>
        <v>220</v>
      </c>
    </row>
    <row r="452" spans="1:9" x14ac:dyDescent="0.25">
      <c r="A452" t="s">
        <v>13</v>
      </c>
      <c r="B452" t="s">
        <v>20</v>
      </c>
      <c r="C452" t="s">
        <v>10</v>
      </c>
      <c r="D452" t="s">
        <v>11</v>
      </c>
      <c r="E452" t="s">
        <v>12</v>
      </c>
      <c r="F452">
        <v>55</v>
      </c>
      <c r="G452">
        <v>62</v>
      </c>
      <c r="H452">
        <v>64</v>
      </c>
      <c r="I452">
        <f t="shared" si="7"/>
        <v>181</v>
      </c>
    </row>
    <row r="453" spans="1:9" x14ac:dyDescent="0.25">
      <c r="A453" t="s">
        <v>8</v>
      </c>
      <c r="B453" t="s">
        <v>23</v>
      </c>
      <c r="C453" t="s">
        <v>10</v>
      </c>
      <c r="D453" t="s">
        <v>11</v>
      </c>
      <c r="E453" t="s">
        <v>17</v>
      </c>
      <c r="F453">
        <v>65</v>
      </c>
      <c r="G453">
        <v>56</v>
      </c>
      <c r="H453">
        <v>51</v>
      </c>
      <c r="I453">
        <f t="shared" si="7"/>
        <v>172</v>
      </c>
    </row>
    <row r="454" spans="1:9" x14ac:dyDescent="0.25">
      <c r="A454" t="s">
        <v>13</v>
      </c>
      <c r="B454" t="s">
        <v>23</v>
      </c>
      <c r="C454" t="s">
        <v>15</v>
      </c>
      <c r="D454" t="s">
        <v>11</v>
      </c>
      <c r="E454" t="s">
        <v>12</v>
      </c>
      <c r="F454">
        <v>76</v>
      </c>
      <c r="G454">
        <v>85</v>
      </c>
      <c r="H454">
        <v>88</v>
      </c>
      <c r="I454">
        <f t="shared" si="7"/>
        <v>249</v>
      </c>
    </row>
    <row r="455" spans="1:9" x14ac:dyDescent="0.25">
      <c r="A455" t="s">
        <v>8</v>
      </c>
      <c r="B455" t="s">
        <v>23</v>
      </c>
      <c r="C455" t="s">
        <v>24</v>
      </c>
      <c r="D455" t="s">
        <v>16</v>
      </c>
      <c r="E455" t="s">
        <v>17</v>
      </c>
      <c r="F455">
        <v>59</v>
      </c>
      <c r="G455">
        <v>47</v>
      </c>
      <c r="H455">
        <v>46</v>
      </c>
      <c r="I455">
        <f t="shared" si="7"/>
        <v>152</v>
      </c>
    </row>
    <row r="456" spans="1:9" x14ac:dyDescent="0.25">
      <c r="A456" t="s">
        <v>8</v>
      </c>
      <c r="B456" t="s">
        <v>23</v>
      </c>
      <c r="C456" t="s">
        <v>21</v>
      </c>
      <c r="D456" t="s">
        <v>11</v>
      </c>
      <c r="E456" t="s">
        <v>12</v>
      </c>
      <c r="F456">
        <v>74</v>
      </c>
      <c r="G456">
        <v>73</v>
      </c>
      <c r="H456">
        <v>77</v>
      </c>
      <c r="I456">
        <f t="shared" si="7"/>
        <v>224</v>
      </c>
    </row>
    <row r="457" spans="1:9" x14ac:dyDescent="0.25">
      <c r="A457" t="s">
        <v>8</v>
      </c>
      <c r="B457" t="s">
        <v>20</v>
      </c>
      <c r="C457" t="s">
        <v>15</v>
      </c>
      <c r="D457" t="s">
        <v>11</v>
      </c>
      <c r="E457" t="s">
        <v>17</v>
      </c>
      <c r="F457">
        <v>65</v>
      </c>
      <c r="G457">
        <v>59</v>
      </c>
      <c r="H457">
        <v>60</v>
      </c>
      <c r="I457">
        <f t="shared" si="7"/>
        <v>184</v>
      </c>
    </row>
    <row r="458" spans="1:9" x14ac:dyDescent="0.25">
      <c r="A458" t="s">
        <v>8</v>
      </c>
      <c r="B458" t="s">
        <v>20</v>
      </c>
      <c r="C458" t="s">
        <v>19</v>
      </c>
      <c r="D458" t="s">
        <v>11</v>
      </c>
      <c r="E458" t="s">
        <v>12</v>
      </c>
      <c r="F458">
        <v>89</v>
      </c>
      <c r="G458">
        <v>87</v>
      </c>
      <c r="H458">
        <v>89</v>
      </c>
      <c r="I458">
        <f t="shared" si="7"/>
        <v>265</v>
      </c>
    </row>
    <row r="459" spans="1:9" x14ac:dyDescent="0.25">
      <c r="A459" t="s">
        <v>13</v>
      </c>
      <c r="B459" t="s">
        <v>20</v>
      </c>
      <c r="C459" t="s">
        <v>24</v>
      </c>
      <c r="D459" t="s">
        <v>11</v>
      </c>
      <c r="E459" t="s">
        <v>17</v>
      </c>
      <c r="F459">
        <v>71</v>
      </c>
      <c r="G459">
        <v>82</v>
      </c>
      <c r="H459">
        <v>82</v>
      </c>
      <c r="I459">
        <f t="shared" si="7"/>
        <v>235</v>
      </c>
    </row>
    <row r="460" spans="1:9" x14ac:dyDescent="0.25">
      <c r="A460" t="s">
        <v>8</v>
      </c>
      <c r="B460" t="s">
        <v>23</v>
      </c>
      <c r="C460" t="s">
        <v>19</v>
      </c>
      <c r="D460" t="s">
        <v>16</v>
      </c>
      <c r="E460" t="s">
        <v>12</v>
      </c>
      <c r="F460">
        <v>63</v>
      </c>
      <c r="G460">
        <v>69</v>
      </c>
      <c r="H460">
        <v>59</v>
      </c>
      <c r="I460">
        <f t="shared" si="7"/>
        <v>191</v>
      </c>
    </row>
    <row r="461" spans="1:9" x14ac:dyDescent="0.25">
      <c r="A461" t="s">
        <v>8</v>
      </c>
      <c r="B461" t="s">
        <v>23</v>
      </c>
      <c r="C461" t="s">
        <v>15</v>
      </c>
      <c r="D461" t="s">
        <v>11</v>
      </c>
      <c r="E461" t="s">
        <v>12</v>
      </c>
      <c r="F461">
        <v>57</v>
      </c>
      <c r="G461">
        <v>55</v>
      </c>
      <c r="H461">
        <v>60</v>
      </c>
      <c r="I461">
        <f t="shared" si="7"/>
        <v>172</v>
      </c>
    </row>
    <row r="462" spans="1:9" x14ac:dyDescent="0.25">
      <c r="A462" t="s">
        <v>8</v>
      </c>
      <c r="B462" t="s">
        <v>20</v>
      </c>
      <c r="C462" t="s">
        <v>19</v>
      </c>
      <c r="D462" t="s">
        <v>16</v>
      </c>
      <c r="E462" t="s">
        <v>12</v>
      </c>
      <c r="F462">
        <v>56</v>
      </c>
      <c r="G462">
        <v>67</v>
      </c>
      <c r="H462">
        <v>56</v>
      </c>
      <c r="I462">
        <f t="shared" si="7"/>
        <v>179</v>
      </c>
    </row>
    <row r="463" spans="1:9" x14ac:dyDescent="0.25">
      <c r="A463" t="s">
        <v>8</v>
      </c>
      <c r="B463" t="s">
        <v>9</v>
      </c>
      <c r="C463" t="s">
        <v>15</v>
      </c>
      <c r="D463" t="s">
        <v>16</v>
      </c>
      <c r="E463" t="s">
        <v>12</v>
      </c>
      <c r="F463">
        <v>49</v>
      </c>
      <c r="G463">
        <v>44</v>
      </c>
      <c r="H463">
        <v>41</v>
      </c>
      <c r="I463">
        <f t="shared" si="7"/>
        <v>134</v>
      </c>
    </row>
    <row r="464" spans="1:9" x14ac:dyDescent="0.25">
      <c r="A464" t="s">
        <v>13</v>
      </c>
      <c r="B464" t="s">
        <v>23</v>
      </c>
      <c r="C464" t="s">
        <v>19</v>
      </c>
      <c r="D464" t="s">
        <v>16</v>
      </c>
      <c r="E464" t="s">
        <v>12</v>
      </c>
      <c r="F464">
        <v>28</v>
      </c>
      <c r="G464">
        <v>44</v>
      </c>
      <c r="H464">
        <v>50</v>
      </c>
      <c r="I464">
        <f t="shared" si="7"/>
        <v>122</v>
      </c>
    </row>
    <row r="465" spans="1:9" x14ac:dyDescent="0.25">
      <c r="A465" t="s">
        <v>13</v>
      </c>
      <c r="B465" t="s">
        <v>23</v>
      </c>
      <c r="C465" t="s">
        <v>22</v>
      </c>
      <c r="D465" t="s">
        <v>16</v>
      </c>
      <c r="E465" t="s">
        <v>17</v>
      </c>
      <c r="F465">
        <v>69</v>
      </c>
      <c r="G465">
        <v>73</v>
      </c>
      <c r="H465">
        <v>71</v>
      </c>
      <c r="I465">
        <f t="shared" si="7"/>
        <v>213</v>
      </c>
    </row>
    <row r="466" spans="1:9" x14ac:dyDescent="0.25">
      <c r="A466" t="s">
        <v>13</v>
      </c>
      <c r="B466" t="s">
        <v>14</v>
      </c>
      <c r="C466" t="s">
        <v>15</v>
      </c>
      <c r="D466" t="s">
        <v>16</v>
      </c>
      <c r="E466" t="s">
        <v>17</v>
      </c>
      <c r="F466">
        <v>49</v>
      </c>
      <c r="G466">
        <v>62</v>
      </c>
      <c r="H466">
        <v>60</v>
      </c>
      <c r="I466">
        <f t="shared" si="7"/>
        <v>171</v>
      </c>
    </row>
    <row r="467" spans="1:9" x14ac:dyDescent="0.25">
      <c r="A467" t="s">
        <v>8</v>
      </c>
      <c r="B467" t="s">
        <v>20</v>
      </c>
      <c r="C467" t="s">
        <v>15</v>
      </c>
      <c r="D467" t="s">
        <v>11</v>
      </c>
      <c r="E467" t="s">
        <v>12</v>
      </c>
      <c r="F467">
        <v>67</v>
      </c>
      <c r="G467">
        <v>62</v>
      </c>
      <c r="H467">
        <v>58</v>
      </c>
      <c r="I467">
        <f t="shared" si="7"/>
        <v>187</v>
      </c>
    </row>
    <row r="468" spans="1:9" x14ac:dyDescent="0.25">
      <c r="A468" t="s">
        <v>13</v>
      </c>
      <c r="B468" t="s">
        <v>20</v>
      </c>
      <c r="C468" t="s">
        <v>19</v>
      </c>
      <c r="D468" t="s">
        <v>16</v>
      </c>
      <c r="E468" t="s">
        <v>12</v>
      </c>
      <c r="F468">
        <v>74</v>
      </c>
      <c r="G468">
        <v>85</v>
      </c>
      <c r="H468">
        <v>82</v>
      </c>
      <c r="I468">
        <f t="shared" si="7"/>
        <v>241</v>
      </c>
    </row>
    <row r="469" spans="1:9" x14ac:dyDescent="0.25">
      <c r="A469" t="s">
        <v>13</v>
      </c>
      <c r="B469" t="s">
        <v>23</v>
      </c>
      <c r="C469" t="s">
        <v>22</v>
      </c>
      <c r="D469" t="s">
        <v>11</v>
      </c>
      <c r="E469" t="s">
        <v>12</v>
      </c>
      <c r="F469">
        <v>47</v>
      </c>
      <c r="G469">
        <v>67</v>
      </c>
      <c r="H469">
        <v>63</v>
      </c>
      <c r="I469">
        <f t="shared" si="7"/>
        <v>177</v>
      </c>
    </row>
    <row r="470" spans="1:9" x14ac:dyDescent="0.25">
      <c r="A470" t="s">
        <v>13</v>
      </c>
      <c r="B470" t="s">
        <v>23</v>
      </c>
      <c r="C470" t="s">
        <v>19</v>
      </c>
      <c r="D470" t="s">
        <v>11</v>
      </c>
      <c r="E470" t="s">
        <v>17</v>
      </c>
      <c r="F470">
        <v>63</v>
      </c>
      <c r="G470">
        <v>63</v>
      </c>
      <c r="H470">
        <v>69</v>
      </c>
      <c r="I470">
        <f t="shared" si="7"/>
        <v>195</v>
      </c>
    </row>
    <row r="471" spans="1:9" x14ac:dyDescent="0.25">
      <c r="A471" t="s">
        <v>8</v>
      </c>
      <c r="B471" t="s">
        <v>23</v>
      </c>
      <c r="C471" t="s">
        <v>19</v>
      </c>
      <c r="D471" t="s">
        <v>11</v>
      </c>
      <c r="E471" t="s">
        <v>17</v>
      </c>
      <c r="F471">
        <v>73</v>
      </c>
      <c r="G471">
        <v>51</v>
      </c>
      <c r="H471">
        <v>53</v>
      </c>
      <c r="I471">
        <f t="shared" si="7"/>
        <v>177</v>
      </c>
    </row>
    <row r="472" spans="1:9" x14ac:dyDescent="0.25">
      <c r="A472" t="s">
        <v>13</v>
      </c>
      <c r="B472" t="s">
        <v>14</v>
      </c>
      <c r="C472" t="s">
        <v>19</v>
      </c>
      <c r="D472" t="s">
        <v>11</v>
      </c>
      <c r="E472" t="s">
        <v>17</v>
      </c>
      <c r="F472">
        <v>91</v>
      </c>
      <c r="G472">
        <v>94</v>
      </c>
      <c r="H472">
        <v>96</v>
      </c>
      <c r="I472">
        <f t="shared" si="7"/>
        <v>281</v>
      </c>
    </row>
    <row r="473" spans="1:9" x14ac:dyDescent="0.25">
      <c r="A473" t="s">
        <v>8</v>
      </c>
      <c r="B473" t="s">
        <v>20</v>
      </c>
      <c r="C473" t="s">
        <v>19</v>
      </c>
      <c r="D473" t="s">
        <v>11</v>
      </c>
      <c r="E473" t="s">
        <v>17</v>
      </c>
      <c r="F473">
        <v>80</v>
      </c>
      <c r="G473">
        <v>87</v>
      </c>
      <c r="H473">
        <v>79</v>
      </c>
      <c r="I473">
        <f t="shared" si="7"/>
        <v>246</v>
      </c>
    </row>
    <row r="474" spans="1:9" x14ac:dyDescent="0.25">
      <c r="A474" t="s">
        <v>13</v>
      </c>
      <c r="B474" t="s">
        <v>23</v>
      </c>
      <c r="C474" t="s">
        <v>21</v>
      </c>
      <c r="D474" t="s">
        <v>11</v>
      </c>
      <c r="E474" t="s">
        <v>17</v>
      </c>
      <c r="F474">
        <v>66</v>
      </c>
      <c r="G474">
        <v>73</v>
      </c>
      <c r="H474">
        <v>68</v>
      </c>
      <c r="I474">
        <f t="shared" si="7"/>
        <v>207</v>
      </c>
    </row>
    <row r="475" spans="1:9" x14ac:dyDescent="0.25">
      <c r="A475" t="s">
        <v>8</v>
      </c>
      <c r="B475" t="s">
        <v>20</v>
      </c>
      <c r="C475" t="s">
        <v>19</v>
      </c>
      <c r="D475" t="s">
        <v>11</v>
      </c>
      <c r="E475" t="s">
        <v>17</v>
      </c>
      <c r="F475">
        <v>52</v>
      </c>
      <c r="G475">
        <v>48</v>
      </c>
      <c r="H475">
        <v>43</v>
      </c>
      <c r="I475">
        <f t="shared" si="7"/>
        <v>143</v>
      </c>
    </row>
    <row r="476" spans="1:9" x14ac:dyDescent="0.25">
      <c r="A476" t="s">
        <v>13</v>
      </c>
      <c r="B476" t="s">
        <v>20</v>
      </c>
      <c r="C476" t="s">
        <v>19</v>
      </c>
      <c r="D476" t="s">
        <v>11</v>
      </c>
      <c r="E476" t="s">
        <v>17</v>
      </c>
      <c r="F476">
        <v>65</v>
      </c>
      <c r="G476">
        <v>71</v>
      </c>
      <c r="H476">
        <v>65</v>
      </c>
      <c r="I476">
        <f t="shared" si="7"/>
        <v>201</v>
      </c>
    </row>
    <row r="477" spans="1:9" x14ac:dyDescent="0.25">
      <c r="A477" t="s">
        <v>8</v>
      </c>
      <c r="B477" t="s">
        <v>14</v>
      </c>
      <c r="C477" t="s">
        <v>19</v>
      </c>
      <c r="D477" t="s">
        <v>11</v>
      </c>
      <c r="E477" t="s">
        <v>12</v>
      </c>
      <c r="F477">
        <v>83</v>
      </c>
      <c r="G477">
        <v>75</v>
      </c>
      <c r="H477">
        <v>71</v>
      </c>
      <c r="I477">
        <f t="shared" si="7"/>
        <v>229</v>
      </c>
    </row>
    <row r="478" spans="1:9" x14ac:dyDescent="0.25">
      <c r="A478" t="s">
        <v>13</v>
      </c>
      <c r="B478" t="s">
        <v>23</v>
      </c>
      <c r="C478" t="s">
        <v>15</v>
      </c>
      <c r="D478" t="s">
        <v>16</v>
      </c>
      <c r="E478" t="s">
        <v>17</v>
      </c>
      <c r="F478">
        <v>80</v>
      </c>
      <c r="G478">
        <v>85</v>
      </c>
      <c r="H478">
        <v>78</v>
      </c>
      <c r="I478">
        <f t="shared" si="7"/>
        <v>243</v>
      </c>
    </row>
    <row r="479" spans="1:9" x14ac:dyDescent="0.25">
      <c r="A479" t="s">
        <v>8</v>
      </c>
      <c r="B479" t="s">
        <v>18</v>
      </c>
      <c r="C479" t="s">
        <v>22</v>
      </c>
      <c r="D479" t="s">
        <v>16</v>
      </c>
      <c r="E479" t="s">
        <v>17</v>
      </c>
      <c r="F479">
        <v>68</v>
      </c>
      <c r="G479">
        <v>68</v>
      </c>
      <c r="H479">
        <v>59</v>
      </c>
      <c r="I479">
        <f t="shared" si="7"/>
        <v>195</v>
      </c>
    </row>
    <row r="480" spans="1:9" x14ac:dyDescent="0.25">
      <c r="A480" t="s">
        <v>8</v>
      </c>
      <c r="B480" t="s">
        <v>23</v>
      </c>
      <c r="C480" t="s">
        <v>19</v>
      </c>
      <c r="D480" t="s">
        <v>16</v>
      </c>
      <c r="E480" t="s">
        <v>12</v>
      </c>
      <c r="F480">
        <v>68</v>
      </c>
      <c r="G480">
        <v>73</v>
      </c>
      <c r="H480">
        <v>68</v>
      </c>
      <c r="I480">
        <f t="shared" si="7"/>
        <v>209</v>
      </c>
    </row>
    <row r="481" spans="1:9" x14ac:dyDescent="0.25">
      <c r="A481" t="s">
        <v>8</v>
      </c>
      <c r="B481" t="s">
        <v>23</v>
      </c>
      <c r="C481" t="s">
        <v>21</v>
      </c>
      <c r="D481" t="s">
        <v>16</v>
      </c>
      <c r="E481" t="s">
        <v>17</v>
      </c>
      <c r="F481">
        <v>62</v>
      </c>
      <c r="G481">
        <v>43</v>
      </c>
      <c r="H481">
        <v>45</v>
      </c>
      <c r="I481">
        <f t="shared" si="7"/>
        <v>150</v>
      </c>
    </row>
    <row r="482" spans="1:9" x14ac:dyDescent="0.25">
      <c r="A482" t="s">
        <v>13</v>
      </c>
      <c r="B482" t="s">
        <v>20</v>
      </c>
      <c r="C482" t="s">
        <v>15</v>
      </c>
      <c r="D482" t="s">
        <v>11</v>
      </c>
      <c r="E482" t="s">
        <v>17</v>
      </c>
      <c r="F482">
        <v>76</v>
      </c>
      <c r="G482">
        <v>88</v>
      </c>
      <c r="H482">
        <v>84</v>
      </c>
      <c r="I482">
        <f t="shared" si="7"/>
        <v>248</v>
      </c>
    </row>
    <row r="483" spans="1:9" x14ac:dyDescent="0.25">
      <c r="A483" t="s">
        <v>13</v>
      </c>
      <c r="B483" t="s">
        <v>23</v>
      </c>
      <c r="C483" t="s">
        <v>22</v>
      </c>
      <c r="D483" t="s">
        <v>16</v>
      </c>
      <c r="E483" t="s">
        <v>17</v>
      </c>
      <c r="F483">
        <v>77</v>
      </c>
      <c r="G483">
        <v>79</v>
      </c>
      <c r="H483">
        <v>83</v>
      </c>
      <c r="I483">
        <f t="shared" si="7"/>
        <v>239</v>
      </c>
    </row>
    <row r="484" spans="1:9" x14ac:dyDescent="0.25">
      <c r="A484" t="s">
        <v>13</v>
      </c>
      <c r="B484" t="s">
        <v>18</v>
      </c>
      <c r="C484" t="s">
        <v>24</v>
      </c>
      <c r="D484" t="s">
        <v>16</v>
      </c>
      <c r="E484" t="s">
        <v>17</v>
      </c>
      <c r="F484">
        <v>83</v>
      </c>
      <c r="G484">
        <v>81</v>
      </c>
      <c r="H484">
        <v>83</v>
      </c>
      <c r="I484">
        <f t="shared" si="7"/>
        <v>247</v>
      </c>
    </row>
    <row r="485" spans="1:9" x14ac:dyDescent="0.25">
      <c r="A485" t="s">
        <v>13</v>
      </c>
      <c r="B485" t="s">
        <v>23</v>
      </c>
      <c r="C485" t="s">
        <v>19</v>
      </c>
      <c r="D485" t="s">
        <v>16</v>
      </c>
      <c r="E485" t="s">
        <v>17</v>
      </c>
      <c r="F485">
        <v>71</v>
      </c>
      <c r="G485">
        <v>78</v>
      </c>
      <c r="H485">
        <v>82</v>
      </c>
      <c r="I485">
        <f t="shared" si="7"/>
        <v>231</v>
      </c>
    </row>
    <row r="486" spans="1:9" x14ac:dyDescent="0.25">
      <c r="A486" t="s">
        <v>8</v>
      </c>
      <c r="B486" t="s">
        <v>14</v>
      </c>
      <c r="C486" t="s">
        <v>19</v>
      </c>
      <c r="D486" t="s">
        <v>16</v>
      </c>
      <c r="E486" t="s">
        <v>12</v>
      </c>
      <c r="F486">
        <v>86</v>
      </c>
      <c r="G486">
        <v>91</v>
      </c>
      <c r="H486">
        <v>89</v>
      </c>
      <c r="I486">
        <f t="shared" si="7"/>
        <v>266</v>
      </c>
    </row>
    <row r="487" spans="1:9" x14ac:dyDescent="0.25">
      <c r="A487" t="s">
        <v>8</v>
      </c>
      <c r="B487" t="s">
        <v>20</v>
      </c>
      <c r="C487" t="s">
        <v>24</v>
      </c>
      <c r="D487" t="s">
        <v>11</v>
      </c>
      <c r="E487" t="s">
        <v>17</v>
      </c>
      <c r="F487">
        <v>93</v>
      </c>
      <c r="G487">
        <v>96</v>
      </c>
      <c r="H487">
        <v>96</v>
      </c>
      <c r="I487">
        <f t="shared" si="7"/>
        <v>285</v>
      </c>
    </row>
    <row r="488" spans="1:9" x14ac:dyDescent="0.25">
      <c r="A488" t="s">
        <v>13</v>
      </c>
      <c r="B488" t="s">
        <v>20</v>
      </c>
      <c r="C488" t="s">
        <v>21</v>
      </c>
      <c r="D488" t="s">
        <v>16</v>
      </c>
      <c r="E488" t="s">
        <v>17</v>
      </c>
      <c r="F488">
        <v>60</v>
      </c>
      <c r="G488">
        <v>64</v>
      </c>
      <c r="H488">
        <v>60</v>
      </c>
      <c r="I488">
        <f t="shared" si="7"/>
        <v>184</v>
      </c>
    </row>
    <row r="489" spans="1:9" x14ac:dyDescent="0.25">
      <c r="A489" t="s">
        <v>13</v>
      </c>
      <c r="B489" t="s">
        <v>14</v>
      </c>
      <c r="C489" t="s">
        <v>15</v>
      </c>
      <c r="D489" t="s">
        <v>11</v>
      </c>
      <c r="E489" t="s">
        <v>17</v>
      </c>
      <c r="F489">
        <v>57</v>
      </c>
      <c r="G489">
        <v>56</v>
      </c>
      <c r="H489">
        <v>58</v>
      </c>
      <c r="I489">
        <f t="shared" si="7"/>
        <v>171</v>
      </c>
    </row>
    <row r="490" spans="1:9" x14ac:dyDescent="0.25">
      <c r="A490" t="s">
        <v>8</v>
      </c>
      <c r="B490" t="s">
        <v>23</v>
      </c>
      <c r="C490" t="s">
        <v>22</v>
      </c>
      <c r="D490" t="s">
        <v>11</v>
      </c>
      <c r="E490" t="s">
        <v>17</v>
      </c>
      <c r="F490">
        <v>84</v>
      </c>
      <c r="G490">
        <v>79</v>
      </c>
      <c r="H490">
        <v>74</v>
      </c>
      <c r="I490">
        <f t="shared" si="7"/>
        <v>237</v>
      </c>
    </row>
    <row r="491" spans="1:9" x14ac:dyDescent="0.25">
      <c r="A491" t="s">
        <v>13</v>
      </c>
      <c r="B491" t="s">
        <v>14</v>
      </c>
      <c r="C491" t="s">
        <v>22</v>
      </c>
      <c r="D491" t="s">
        <v>11</v>
      </c>
      <c r="E491" t="s">
        <v>17</v>
      </c>
      <c r="F491">
        <v>66</v>
      </c>
      <c r="G491">
        <v>71</v>
      </c>
      <c r="H491">
        <v>75</v>
      </c>
      <c r="I491">
        <f t="shared" si="7"/>
        <v>212</v>
      </c>
    </row>
    <row r="492" spans="1:9" x14ac:dyDescent="0.25">
      <c r="A492" t="s">
        <v>8</v>
      </c>
      <c r="B492" t="s">
        <v>14</v>
      </c>
      <c r="C492" t="s">
        <v>24</v>
      </c>
      <c r="D492" t="s">
        <v>11</v>
      </c>
      <c r="E492" t="s">
        <v>17</v>
      </c>
      <c r="F492">
        <v>85</v>
      </c>
      <c r="G492">
        <v>69</v>
      </c>
      <c r="H492">
        <v>74</v>
      </c>
      <c r="I492">
        <f t="shared" si="7"/>
        <v>228</v>
      </c>
    </row>
    <row r="493" spans="1:9" x14ac:dyDescent="0.25">
      <c r="A493" t="s">
        <v>13</v>
      </c>
      <c r="B493" t="s">
        <v>14</v>
      </c>
      <c r="C493" t="s">
        <v>24</v>
      </c>
      <c r="D493" t="s">
        <v>11</v>
      </c>
      <c r="E493" t="s">
        <v>12</v>
      </c>
      <c r="F493">
        <v>57</v>
      </c>
      <c r="G493">
        <v>68</v>
      </c>
      <c r="H493">
        <v>76</v>
      </c>
      <c r="I493">
        <f t="shared" si="7"/>
        <v>201</v>
      </c>
    </row>
    <row r="494" spans="1:9" x14ac:dyDescent="0.25">
      <c r="A494" t="s">
        <v>13</v>
      </c>
      <c r="B494" t="s">
        <v>23</v>
      </c>
      <c r="C494" t="s">
        <v>15</v>
      </c>
      <c r="D494" t="s">
        <v>11</v>
      </c>
      <c r="E494" t="s">
        <v>17</v>
      </c>
      <c r="F494">
        <v>41</v>
      </c>
      <c r="G494">
        <v>49</v>
      </c>
      <c r="H494">
        <v>49</v>
      </c>
      <c r="I494">
        <f t="shared" si="7"/>
        <v>139</v>
      </c>
    </row>
    <row r="495" spans="1:9" x14ac:dyDescent="0.25">
      <c r="A495" t="s">
        <v>13</v>
      </c>
      <c r="B495" t="s">
        <v>23</v>
      </c>
      <c r="C495" t="s">
        <v>15</v>
      </c>
      <c r="D495" t="s">
        <v>11</v>
      </c>
      <c r="E495" t="s">
        <v>17</v>
      </c>
      <c r="F495">
        <v>75</v>
      </c>
      <c r="G495">
        <v>76</v>
      </c>
      <c r="H495">
        <v>76</v>
      </c>
      <c r="I495">
        <f t="shared" si="7"/>
        <v>227</v>
      </c>
    </row>
    <row r="496" spans="1:9" x14ac:dyDescent="0.25">
      <c r="A496" t="s">
        <v>8</v>
      </c>
      <c r="B496" t="s">
        <v>14</v>
      </c>
      <c r="C496" t="s">
        <v>10</v>
      </c>
      <c r="D496" t="s">
        <v>16</v>
      </c>
      <c r="E496" t="s">
        <v>17</v>
      </c>
      <c r="F496">
        <v>65</v>
      </c>
      <c r="G496">
        <v>63</v>
      </c>
      <c r="H496">
        <v>60</v>
      </c>
      <c r="I496">
        <f t="shared" si="7"/>
        <v>188</v>
      </c>
    </row>
    <row r="497" spans="1:9" x14ac:dyDescent="0.25">
      <c r="A497" t="s">
        <v>8</v>
      </c>
      <c r="B497" t="s">
        <v>18</v>
      </c>
      <c r="C497" t="s">
        <v>19</v>
      </c>
      <c r="D497" t="s">
        <v>11</v>
      </c>
      <c r="E497" t="s">
        <v>17</v>
      </c>
      <c r="F497">
        <v>78</v>
      </c>
      <c r="G497">
        <v>65</v>
      </c>
      <c r="H497">
        <v>60</v>
      </c>
      <c r="I497">
        <f t="shared" si="7"/>
        <v>203</v>
      </c>
    </row>
    <row r="498" spans="1:9" x14ac:dyDescent="0.25">
      <c r="A498" t="s">
        <v>13</v>
      </c>
      <c r="B498" t="s">
        <v>20</v>
      </c>
      <c r="C498" t="s">
        <v>15</v>
      </c>
      <c r="D498" t="s">
        <v>16</v>
      </c>
      <c r="E498" t="s">
        <v>17</v>
      </c>
      <c r="F498">
        <v>26</v>
      </c>
      <c r="G498">
        <v>34</v>
      </c>
      <c r="H498">
        <v>28</v>
      </c>
      <c r="I498">
        <f t="shared" si="7"/>
        <v>88</v>
      </c>
    </row>
    <row r="499" spans="1:9" x14ac:dyDescent="0.25">
      <c r="A499" t="s">
        <v>8</v>
      </c>
      <c r="B499" t="s">
        <v>18</v>
      </c>
      <c r="C499" t="s">
        <v>19</v>
      </c>
      <c r="D499" t="s">
        <v>16</v>
      </c>
      <c r="E499" t="s">
        <v>17</v>
      </c>
      <c r="F499">
        <v>71</v>
      </c>
      <c r="G499">
        <v>64</v>
      </c>
      <c r="H499">
        <v>66</v>
      </c>
      <c r="I499">
        <f t="shared" si="7"/>
        <v>201</v>
      </c>
    </row>
    <row r="500" spans="1:9" x14ac:dyDescent="0.25">
      <c r="A500" t="s">
        <v>8</v>
      </c>
      <c r="B500" t="s">
        <v>20</v>
      </c>
      <c r="C500" t="s">
        <v>22</v>
      </c>
      <c r="D500" t="s">
        <v>11</v>
      </c>
      <c r="E500" t="s">
        <v>12</v>
      </c>
      <c r="F500">
        <v>86</v>
      </c>
      <c r="G500">
        <v>92</v>
      </c>
      <c r="H500">
        <v>93</v>
      </c>
      <c r="I500">
        <f t="shared" si="7"/>
        <v>271</v>
      </c>
    </row>
    <row r="501" spans="1:9" x14ac:dyDescent="0.25">
      <c r="A501" t="s">
        <v>8</v>
      </c>
      <c r="B501" t="s">
        <v>20</v>
      </c>
      <c r="C501" t="s">
        <v>21</v>
      </c>
      <c r="D501" t="s">
        <v>11</v>
      </c>
      <c r="E501" t="s">
        <v>12</v>
      </c>
      <c r="F501">
        <v>89</v>
      </c>
      <c r="G501">
        <v>84</v>
      </c>
      <c r="H501">
        <v>81</v>
      </c>
      <c r="I501">
        <f t="shared" si="7"/>
        <v>254</v>
      </c>
    </row>
    <row r="502" spans="1:9" x14ac:dyDescent="0.25">
      <c r="A502" t="s">
        <v>13</v>
      </c>
      <c r="B502" t="s">
        <v>20</v>
      </c>
      <c r="C502" t="s">
        <v>10</v>
      </c>
      <c r="D502" t="s">
        <v>16</v>
      </c>
      <c r="E502" t="s">
        <v>17</v>
      </c>
      <c r="F502">
        <v>53</v>
      </c>
      <c r="G502">
        <v>64</v>
      </c>
      <c r="H502">
        <v>63</v>
      </c>
      <c r="I502">
        <f t="shared" si="7"/>
        <v>180</v>
      </c>
    </row>
    <row r="503" spans="1:9" x14ac:dyDescent="0.25">
      <c r="A503" t="s">
        <v>13</v>
      </c>
      <c r="B503" t="s">
        <v>23</v>
      </c>
      <c r="C503" t="s">
        <v>21</v>
      </c>
      <c r="D503" t="s">
        <v>11</v>
      </c>
      <c r="E503" t="s">
        <v>17</v>
      </c>
      <c r="F503">
        <v>87</v>
      </c>
      <c r="G503">
        <v>87</v>
      </c>
      <c r="H503">
        <v>92</v>
      </c>
      <c r="I503">
        <f t="shared" si="7"/>
        <v>266</v>
      </c>
    </row>
    <row r="504" spans="1:9" x14ac:dyDescent="0.25">
      <c r="A504" t="s">
        <v>8</v>
      </c>
      <c r="B504" t="s">
        <v>14</v>
      </c>
      <c r="C504" t="s">
        <v>21</v>
      </c>
      <c r="D504" t="s">
        <v>11</v>
      </c>
      <c r="E504" t="s">
        <v>17</v>
      </c>
      <c r="F504">
        <v>71</v>
      </c>
      <c r="G504">
        <v>57</v>
      </c>
      <c r="H504">
        <v>59</v>
      </c>
      <c r="I504">
        <f t="shared" si="7"/>
        <v>187</v>
      </c>
    </row>
    <row r="505" spans="1:9" x14ac:dyDescent="0.25">
      <c r="A505" t="s">
        <v>8</v>
      </c>
      <c r="B505" t="s">
        <v>14</v>
      </c>
      <c r="C505" t="s">
        <v>10</v>
      </c>
      <c r="D505" t="s">
        <v>11</v>
      </c>
      <c r="E505" t="s">
        <v>17</v>
      </c>
      <c r="F505">
        <v>77</v>
      </c>
      <c r="G505">
        <v>80</v>
      </c>
      <c r="H505">
        <v>72</v>
      </c>
      <c r="I505">
        <f t="shared" si="7"/>
        <v>229</v>
      </c>
    </row>
    <row r="506" spans="1:9" x14ac:dyDescent="0.25">
      <c r="A506" t="s">
        <v>13</v>
      </c>
      <c r="B506" t="s">
        <v>23</v>
      </c>
      <c r="C506" t="s">
        <v>10</v>
      </c>
      <c r="D506" t="s">
        <v>16</v>
      </c>
      <c r="E506" t="s">
        <v>12</v>
      </c>
      <c r="F506">
        <v>43</v>
      </c>
      <c r="G506">
        <v>48</v>
      </c>
      <c r="H506">
        <v>53</v>
      </c>
      <c r="I506">
        <f t="shared" si="7"/>
        <v>144</v>
      </c>
    </row>
    <row r="507" spans="1:9" x14ac:dyDescent="0.25">
      <c r="A507" t="s">
        <v>13</v>
      </c>
      <c r="B507" t="s">
        <v>23</v>
      </c>
      <c r="C507" t="s">
        <v>21</v>
      </c>
      <c r="D507" t="s">
        <v>11</v>
      </c>
      <c r="E507" t="s">
        <v>17</v>
      </c>
      <c r="F507">
        <v>88</v>
      </c>
      <c r="G507">
        <v>91</v>
      </c>
      <c r="H507">
        <v>86</v>
      </c>
      <c r="I507">
        <f t="shared" si="7"/>
        <v>265</v>
      </c>
    </row>
    <row r="508" spans="1:9" x14ac:dyDescent="0.25">
      <c r="A508" t="s">
        <v>8</v>
      </c>
      <c r="B508" t="s">
        <v>18</v>
      </c>
      <c r="C508" t="s">
        <v>15</v>
      </c>
      <c r="D508" t="s">
        <v>11</v>
      </c>
      <c r="E508" t="s">
        <v>17</v>
      </c>
      <c r="F508">
        <v>86</v>
      </c>
      <c r="G508">
        <v>76</v>
      </c>
      <c r="H508">
        <v>63</v>
      </c>
      <c r="I508">
        <f t="shared" si="7"/>
        <v>225</v>
      </c>
    </row>
    <row r="509" spans="1:9" x14ac:dyDescent="0.25">
      <c r="A509" t="s">
        <v>13</v>
      </c>
      <c r="B509" t="s">
        <v>18</v>
      </c>
      <c r="C509" t="s">
        <v>15</v>
      </c>
      <c r="D509" t="s">
        <v>16</v>
      </c>
      <c r="E509" t="s">
        <v>12</v>
      </c>
      <c r="F509">
        <v>45</v>
      </c>
      <c r="G509">
        <v>56</v>
      </c>
      <c r="H509">
        <v>55</v>
      </c>
      <c r="I509">
        <f t="shared" si="7"/>
        <v>156</v>
      </c>
    </row>
    <row r="510" spans="1:9" x14ac:dyDescent="0.25">
      <c r="A510" t="s">
        <v>8</v>
      </c>
      <c r="B510" t="s">
        <v>23</v>
      </c>
      <c r="C510" t="s">
        <v>19</v>
      </c>
      <c r="D510" t="s">
        <v>11</v>
      </c>
      <c r="E510" t="s">
        <v>17</v>
      </c>
      <c r="F510">
        <v>69</v>
      </c>
      <c r="G510">
        <v>56</v>
      </c>
      <c r="H510">
        <v>57</v>
      </c>
      <c r="I510">
        <f t="shared" si="7"/>
        <v>182</v>
      </c>
    </row>
    <row r="511" spans="1:9" x14ac:dyDescent="0.25">
      <c r="A511" t="s">
        <v>13</v>
      </c>
      <c r="B511" t="s">
        <v>14</v>
      </c>
      <c r="C511" t="s">
        <v>10</v>
      </c>
      <c r="D511" t="s">
        <v>11</v>
      </c>
      <c r="E511" t="s">
        <v>17</v>
      </c>
      <c r="F511">
        <v>65</v>
      </c>
      <c r="G511">
        <v>70</v>
      </c>
      <c r="H511">
        <v>72</v>
      </c>
      <c r="I511">
        <f t="shared" si="7"/>
        <v>207</v>
      </c>
    </row>
    <row r="512" spans="1:9" x14ac:dyDescent="0.25">
      <c r="A512" t="s">
        <v>8</v>
      </c>
      <c r="B512" t="s">
        <v>18</v>
      </c>
      <c r="C512" t="s">
        <v>19</v>
      </c>
      <c r="D512" t="s">
        <v>16</v>
      </c>
      <c r="E512" t="s">
        <v>17</v>
      </c>
      <c r="F512">
        <v>81</v>
      </c>
      <c r="G512">
        <v>79</v>
      </c>
      <c r="H512">
        <v>71</v>
      </c>
      <c r="I512">
        <f t="shared" si="7"/>
        <v>231</v>
      </c>
    </row>
    <row r="513" spans="1:9" x14ac:dyDescent="0.25">
      <c r="A513" t="s">
        <v>13</v>
      </c>
      <c r="B513" t="s">
        <v>9</v>
      </c>
      <c r="C513" t="s">
        <v>15</v>
      </c>
      <c r="D513" t="s">
        <v>11</v>
      </c>
      <c r="E513" t="s">
        <v>17</v>
      </c>
      <c r="F513">
        <v>90</v>
      </c>
      <c r="G513">
        <v>88</v>
      </c>
      <c r="H513">
        <v>86</v>
      </c>
      <c r="I513">
        <f t="shared" si="7"/>
        <v>264</v>
      </c>
    </row>
    <row r="514" spans="1:9" x14ac:dyDescent="0.25">
      <c r="A514" t="s">
        <v>13</v>
      </c>
      <c r="B514" t="s">
        <v>18</v>
      </c>
      <c r="C514" t="s">
        <v>21</v>
      </c>
      <c r="D514" t="s">
        <v>11</v>
      </c>
      <c r="E514" t="s">
        <v>17</v>
      </c>
      <c r="F514">
        <v>78</v>
      </c>
      <c r="G514">
        <v>72</v>
      </c>
      <c r="H514">
        <v>71</v>
      </c>
      <c r="I514">
        <f t="shared" si="7"/>
        <v>221</v>
      </c>
    </row>
    <row r="515" spans="1:9" x14ac:dyDescent="0.25">
      <c r="A515" t="s">
        <v>13</v>
      </c>
      <c r="B515" t="s">
        <v>23</v>
      </c>
      <c r="C515" t="s">
        <v>24</v>
      </c>
      <c r="D515" t="s">
        <v>11</v>
      </c>
      <c r="E515" t="s">
        <v>12</v>
      </c>
      <c r="F515">
        <v>71</v>
      </c>
      <c r="G515">
        <v>79</v>
      </c>
      <c r="H515">
        <v>89</v>
      </c>
      <c r="I515">
        <f t="shared" ref="I515:I578" si="8">SUM(F515:H515)</f>
        <v>239</v>
      </c>
    </row>
    <row r="516" spans="1:9" x14ac:dyDescent="0.25">
      <c r="A516" t="s">
        <v>13</v>
      </c>
      <c r="B516" t="s">
        <v>23</v>
      </c>
      <c r="C516" t="s">
        <v>15</v>
      </c>
      <c r="D516" t="s">
        <v>11</v>
      </c>
      <c r="E516" t="s">
        <v>17</v>
      </c>
      <c r="F516">
        <v>75</v>
      </c>
      <c r="G516">
        <v>80</v>
      </c>
      <c r="H516">
        <v>72</v>
      </c>
      <c r="I516">
        <f t="shared" si="8"/>
        <v>227</v>
      </c>
    </row>
    <row r="517" spans="1:9" x14ac:dyDescent="0.25">
      <c r="A517" t="s">
        <v>8</v>
      </c>
      <c r="B517" t="s">
        <v>23</v>
      </c>
      <c r="C517" t="s">
        <v>22</v>
      </c>
      <c r="D517" t="s">
        <v>16</v>
      </c>
      <c r="E517" t="s">
        <v>17</v>
      </c>
      <c r="F517">
        <v>70</v>
      </c>
      <c r="G517">
        <v>60</v>
      </c>
      <c r="H517">
        <v>56</v>
      </c>
      <c r="I517">
        <f t="shared" si="8"/>
        <v>186</v>
      </c>
    </row>
    <row r="518" spans="1:9" x14ac:dyDescent="0.25">
      <c r="A518" t="s">
        <v>8</v>
      </c>
      <c r="B518" t="s">
        <v>20</v>
      </c>
      <c r="C518" t="s">
        <v>21</v>
      </c>
      <c r="D518" t="s">
        <v>11</v>
      </c>
      <c r="E518" t="s">
        <v>17</v>
      </c>
      <c r="F518">
        <v>54</v>
      </c>
      <c r="G518">
        <v>52</v>
      </c>
      <c r="H518">
        <v>48</v>
      </c>
      <c r="I518">
        <f t="shared" si="8"/>
        <v>154</v>
      </c>
    </row>
    <row r="519" spans="1:9" x14ac:dyDescent="0.25">
      <c r="A519" t="s">
        <v>8</v>
      </c>
      <c r="B519" t="s">
        <v>20</v>
      </c>
      <c r="C519" t="s">
        <v>10</v>
      </c>
      <c r="D519" t="s">
        <v>11</v>
      </c>
      <c r="E519" t="s">
        <v>17</v>
      </c>
      <c r="F519">
        <v>49</v>
      </c>
      <c r="G519">
        <v>36</v>
      </c>
      <c r="H519">
        <v>32</v>
      </c>
      <c r="I519">
        <f t="shared" si="8"/>
        <v>117</v>
      </c>
    </row>
    <row r="520" spans="1:9" x14ac:dyDescent="0.25">
      <c r="A520" t="s">
        <v>8</v>
      </c>
      <c r="B520" t="s">
        <v>20</v>
      </c>
      <c r="C520" t="s">
        <v>21</v>
      </c>
      <c r="D520" t="s">
        <v>16</v>
      </c>
      <c r="E520" t="s">
        <v>12</v>
      </c>
      <c r="F520">
        <v>80</v>
      </c>
      <c r="G520">
        <v>82</v>
      </c>
      <c r="H520">
        <v>82</v>
      </c>
      <c r="I520">
        <f t="shared" si="8"/>
        <v>244</v>
      </c>
    </row>
    <row r="521" spans="1:9" x14ac:dyDescent="0.25">
      <c r="A521" t="s">
        <v>13</v>
      </c>
      <c r="B521" t="s">
        <v>18</v>
      </c>
      <c r="C521" t="s">
        <v>22</v>
      </c>
      <c r="D521" t="s">
        <v>11</v>
      </c>
      <c r="E521" t="s">
        <v>17</v>
      </c>
      <c r="F521">
        <v>78</v>
      </c>
      <c r="G521">
        <v>89</v>
      </c>
      <c r="H521">
        <v>93</v>
      </c>
      <c r="I521">
        <f t="shared" si="8"/>
        <v>260</v>
      </c>
    </row>
    <row r="522" spans="1:9" x14ac:dyDescent="0.25">
      <c r="A522" t="s">
        <v>8</v>
      </c>
      <c r="B522" t="s">
        <v>23</v>
      </c>
      <c r="C522" t="s">
        <v>22</v>
      </c>
      <c r="D522" t="s">
        <v>11</v>
      </c>
      <c r="E522" t="s">
        <v>17</v>
      </c>
      <c r="F522">
        <v>89</v>
      </c>
      <c r="G522">
        <v>77</v>
      </c>
      <c r="H522">
        <v>82</v>
      </c>
      <c r="I522">
        <f t="shared" si="8"/>
        <v>248</v>
      </c>
    </row>
    <row r="523" spans="1:9" x14ac:dyDescent="0.25">
      <c r="A523" t="s">
        <v>13</v>
      </c>
      <c r="B523" t="s">
        <v>23</v>
      </c>
      <c r="C523" t="s">
        <v>22</v>
      </c>
      <c r="D523" t="s">
        <v>11</v>
      </c>
      <c r="E523" t="s">
        <v>12</v>
      </c>
      <c r="F523">
        <v>65</v>
      </c>
      <c r="G523">
        <v>83</v>
      </c>
      <c r="H523">
        <v>82</v>
      </c>
      <c r="I523">
        <f t="shared" si="8"/>
        <v>230</v>
      </c>
    </row>
    <row r="524" spans="1:9" x14ac:dyDescent="0.25">
      <c r="A524" t="s">
        <v>8</v>
      </c>
      <c r="B524" t="s">
        <v>14</v>
      </c>
      <c r="C524" t="s">
        <v>21</v>
      </c>
      <c r="D524" t="s">
        <v>11</v>
      </c>
      <c r="E524" t="s">
        <v>17</v>
      </c>
      <c r="F524">
        <v>78</v>
      </c>
      <c r="G524">
        <v>74</v>
      </c>
      <c r="H524">
        <v>71</v>
      </c>
      <c r="I524">
        <f t="shared" si="8"/>
        <v>223</v>
      </c>
    </row>
    <row r="525" spans="1:9" x14ac:dyDescent="0.25">
      <c r="A525" t="s">
        <v>13</v>
      </c>
      <c r="B525" t="s">
        <v>14</v>
      </c>
      <c r="C525" t="s">
        <v>10</v>
      </c>
      <c r="D525" t="s">
        <v>11</v>
      </c>
      <c r="E525" t="s">
        <v>17</v>
      </c>
      <c r="F525">
        <v>69</v>
      </c>
      <c r="G525">
        <v>85</v>
      </c>
      <c r="H525">
        <v>78</v>
      </c>
      <c r="I525">
        <f t="shared" si="8"/>
        <v>232</v>
      </c>
    </row>
    <row r="526" spans="1:9" x14ac:dyDescent="0.25">
      <c r="A526" t="s">
        <v>8</v>
      </c>
      <c r="B526" t="s">
        <v>14</v>
      </c>
      <c r="C526" t="s">
        <v>19</v>
      </c>
      <c r="D526" t="s">
        <v>16</v>
      </c>
      <c r="E526" t="s">
        <v>17</v>
      </c>
      <c r="F526">
        <v>49</v>
      </c>
      <c r="G526">
        <v>47</v>
      </c>
      <c r="H526">
        <v>48</v>
      </c>
      <c r="I526">
        <f t="shared" si="8"/>
        <v>144</v>
      </c>
    </row>
    <row r="527" spans="1:9" x14ac:dyDescent="0.25">
      <c r="A527" t="s">
        <v>13</v>
      </c>
      <c r="B527" t="s">
        <v>14</v>
      </c>
      <c r="C527" t="s">
        <v>24</v>
      </c>
      <c r="D527" t="s">
        <v>16</v>
      </c>
      <c r="E527" t="s">
        <v>17</v>
      </c>
      <c r="F527">
        <v>50</v>
      </c>
      <c r="G527">
        <v>64</v>
      </c>
      <c r="H527">
        <v>66</v>
      </c>
      <c r="I527">
        <f t="shared" si="8"/>
        <v>180</v>
      </c>
    </row>
    <row r="528" spans="1:9" x14ac:dyDescent="0.25">
      <c r="A528" t="s">
        <v>13</v>
      </c>
      <c r="B528" t="s">
        <v>18</v>
      </c>
      <c r="C528" t="s">
        <v>19</v>
      </c>
      <c r="D528" t="s">
        <v>11</v>
      </c>
      <c r="E528" t="s">
        <v>17</v>
      </c>
      <c r="F528">
        <v>79</v>
      </c>
      <c r="G528">
        <v>76</v>
      </c>
      <c r="H528">
        <v>71</v>
      </c>
      <c r="I528">
        <f t="shared" si="8"/>
        <v>226</v>
      </c>
    </row>
    <row r="529" spans="1:9" x14ac:dyDescent="0.25">
      <c r="A529" t="s">
        <v>13</v>
      </c>
      <c r="B529" t="s">
        <v>14</v>
      </c>
      <c r="C529" t="s">
        <v>19</v>
      </c>
      <c r="D529" t="s">
        <v>11</v>
      </c>
      <c r="E529" t="s">
        <v>12</v>
      </c>
      <c r="F529">
        <v>89</v>
      </c>
      <c r="G529">
        <v>92</v>
      </c>
      <c r="H529">
        <v>97</v>
      </c>
      <c r="I529">
        <f t="shared" si="8"/>
        <v>278</v>
      </c>
    </row>
    <row r="530" spans="1:9" x14ac:dyDescent="0.25">
      <c r="A530" t="s">
        <v>8</v>
      </c>
      <c r="B530" t="s">
        <v>9</v>
      </c>
      <c r="C530" t="s">
        <v>21</v>
      </c>
      <c r="D530" t="s">
        <v>16</v>
      </c>
      <c r="E530" t="s">
        <v>12</v>
      </c>
      <c r="F530">
        <v>48</v>
      </c>
      <c r="G530">
        <v>61</v>
      </c>
      <c r="H530">
        <v>59</v>
      </c>
      <c r="I530">
        <f t="shared" si="8"/>
        <v>168</v>
      </c>
    </row>
    <row r="531" spans="1:9" x14ac:dyDescent="0.25">
      <c r="A531" t="s">
        <v>13</v>
      </c>
      <c r="B531" t="s">
        <v>9</v>
      </c>
      <c r="C531" t="s">
        <v>22</v>
      </c>
      <c r="D531" t="s">
        <v>11</v>
      </c>
      <c r="E531" t="s">
        <v>17</v>
      </c>
      <c r="F531">
        <v>63</v>
      </c>
      <c r="G531">
        <v>67</v>
      </c>
      <c r="H531">
        <v>71</v>
      </c>
      <c r="I531">
        <f t="shared" si="8"/>
        <v>201</v>
      </c>
    </row>
    <row r="532" spans="1:9" x14ac:dyDescent="0.25">
      <c r="A532" t="s">
        <v>13</v>
      </c>
      <c r="B532" t="s">
        <v>23</v>
      </c>
      <c r="C532" t="s">
        <v>19</v>
      </c>
      <c r="D532" t="s">
        <v>11</v>
      </c>
      <c r="E532" t="s">
        <v>17</v>
      </c>
      <c r="F532">
        <v>88</v>
      </c>
      <c r="G532">
        <v>100</v>
      </c>
      <c r="H532">
        <v>88</v>
      </c>
      <c r="I532">
        <f t="shared" si="8"/>
        <v>276</v>
      </c>
    </row>
    <row r="533" spans="1:9" x14ac:dyDescent="0.25">
      <c r="A533" t="s">
        <v>13</v>
      </c>
      <c r="B533" t="s">
        <v>14</v>
      </c>
      <c r="C533" t="s">
        <v>21</v>
      </c>
      <c r="D533" t="s">
        <v>11</v>
      </c>
      <c r="E533" t="s">
        <v>17</v>
      </c>
      <c r="F533">
        <v>66</v>
      </c>
      <c r="G533">
        <v>73</v>
      </c>
      <c r="H533">
        <v>73</v>
      </c>
      <c r="I533">
        <f t="shared" si="8"/>
        <v>212</v>
      </c>
    </row>
    <row r="534" spans="1:9" x14ac:dyDescent="0.25">
      <c r="A534" t="s">
        <v>13</v>
      </c>
      <c r="B534" t="s">
        <v>20</v>
      </c>
      <c r="C534" t="s">
        <v>19</v>
      </c>
      <c r="D534" t="s">
        <v>16</v>
      </c>
      <c r="E534" t="s">
        <v>17</v>
      </c>
      <c r="F534">
        <v>45</v>
      </c>
      <c r="G534">
        <v>59</v>
      </c>
      <c r="H534">
        <v>56</v>
      </c>
      <c r="I534">
        <f t="shared" si="8"/>
        <v>160</v>
      </c>
    </row>
    <row r="535" spans="1:9" x14ac:dyDescent="0.25">
      <c r="A535" t="s">
        <v>13</v>
      </c>
      <c r="B535" t="s">
        <v>18</v>
      </c>
      <c r="C535" t="s">
        <v>15</v>
      </c>
      <c r="D535" t="s">
        <v>11</v>
      </c>
      <c r="E535" t="s">
        <v>12</v>
      </c>
      <c r="F535">
        <v>62</v>
      </c>
      <c r="G535">
        <v>78</v>
      </c>
      <c r="H535">
        <v>73</v>
      </c>
      <c r="I535">
        <f t="shared" si="8"/>
        <v>213</v>
      </c>
    </row>
    <row r="536" spans="1:9" x14ac:dyDescent="0.25">
      <c r="A536" t="s">
        <v>8</v>
      </c>
      <c r="B536" t="s">
        <v>14</v>
      </c>
      <c r="C536" t="s">
        <v>19</v>
      </c>
      <c r="D536" t="s">
        <v>16</v>
      </c>
      <c r="E536" t="s">
        <v>12</v>
      </c>
      <c r="F536">
        <v>74</v>
      </c>
      <c r="G536">
        <v>80</v>
      </c>
      <c r="H536">
        <v>86</v>
      </c>
      <c r="I536">
        <f t="shared" si="8"/>
        <v>240</v>
      </c>
    </row>
    <row r="537" spans="1:9" x14ac:dyDescent="0.25">
      <c r="A537" t="s">
        <v>13</v>
      </c>
      <c r="B537" t="s">
        <v>14</v>
      </c>
      <c r="C537" t="s">
        <v>22</v>
      </c>
      <c r="D537" t="s">
        <v>16</v>
      </c>
      <c r="E537" t="s">
        <v>17</v>
      </c>
      <c r="F537">
        <v>82</v>
      </c>
      <c r="G537">
        <v>87</v>
      </c>
      <c r="H537">
        <v>90</v>
      </c>
      <c r="I537">
        <f t="shared" si="8"/>
        <v>259</v>
      </c>
    </row>
    <row r="538" spans="1:9" x14ac:dyDescent="0.25">
      <c r="A538" t="s">
        <v>8</v>
      </c>
      <c r="B538" t="s">
        <v>18</v>
      </c>
      <c r="C538" t="s">
        <v>19</v>
      </c>
      <c r="D538" t="s">
        <v>16</v>
      </c>
      <c r="E538" t="s">
        <v>12</v>
      </c>
      <c r="F538">
        <v>83</v>
      </c>
      <c r="G538">
        <v>63</v>
      </c>
      <c r="H538">
        <v>63</v>
      </c>
      <c r="I538">
        <f t="shared" si="8"/>
        <v>209</v>
      </c>
    </row>
    <row r="539" spans="1:9" x14ac:dyDescent="0.25">
      <c r="A539" t="s">
        <v>13</v>
      </c>
      <c r="B539" t="s">
        <v>14</v>
      </c>
      <c r="C539" t="s">
        <v>15</v>
      </c>
      <c r="D539" t="s">
        <v>16</v>
      </c>
      <c r="E539" t="s">
        <v>12</v>
      </c>
      <c r="F539">
        <v>60</v>
      </c>
      <c r="G539">
        <v>72</v>
      </c>
      <c r="H539">
        <v>76</v>
      </c>
      <c r="I539">
        <f t="shared" si="8"/>
        <v>208</v>
      </c>
    </row>
    <row r="540" spans="1:9" x14ac:dyDescent="0.25">
      <c r="A540" t="s">
        <v>13</v>
      </c>
      <c r="B540" t="s">
        <v>14</v>
      </c>
      <c r="C540" t="s">
        <v>10</v>
      </c>
      <c r="D540" t="s">
        <v>11</v>
      </c>
      <c r="E540" t="s">
        <v>17</v>
      </c>
      <c r="F540">
        <v>66</v>
      </c>
      <c r="G540">
        <v>73</v>
      </c>
      <c r="H540">
        <v>72</v>
      </c>
      <c r="I540">
        <f t="shared" si="8"/>
        <v>211</v>
      </c>
    </row>
    <row r="541" spans="1:9" x14ac:dyDescent="0.25">
      <c r="A541" t="s">
        <v>8</v>
      </c>
      <c r="B541" t="s">
        <v>23</v>
      </c>
      <c r="C541" t="s">
        <v>22</v>
      </c>
      <c r="D541" t="s">
        <v>16</v>
      </c>
      <c r="E541" t="s">
        <v>17</v>
      </c>
      <c r="F541">
        <v>76</v>
      </c>
      <c r="G541">
        <v>66</v>
      </c>
      <c r="H541">
        <v>68</v>
      </c>
      <c r="I541">
        <f t="shared" si="8"/>
        <v>210</v>
      </c>
    </row>
    <row r="542" spans="1:9" x14ac:dyDescent="0.25">
      <c r="A542" t="s">
        <v>8</v>
      </c>
      <c r="B542" t="s">
        <v>20</v>
      </c>
      <c r="C542" t="s">
        <v>21</v>
      </c>
      <c r="D542" t="s">
        <v>11</v>
      </c>
      <c r="E542" t="s">
        <v>12</v>
      </c>
      <c r="F542">
        <v>75</v>
      </c>
      <c r="G542">
        <v>74</v>
      </c>
      <c r="H542">
        <v>76</v>
      </c>
      <c r="I542">
        <f t="shared" si="8"/>
        <v>225</v>
      </c>
    </row>
    <row r="543" spans="1:9" x14ac:dyDescent="0.25">
      <c r="A543" t="s">
        <v>8</v>
      </c>
      <c r="B543" t="s">
        <v>20</v>
      </c>
      <c r="C543" t="s">
        <v>19</v>
      </c>
      <c r="D543" t="s">
        <v>11</v>
      </c>
      <c r="E543" t="s">
        <v>12</v>
      </c>
      <c r="F543">
        <v>77</v>
      </c>
      <c r="G543">
        <v>72</v>
      </c>
      <c r="H543">
        <v>79</v>
      </c>
      <c r="I543">
        <f t="shared" si="8"/>
        <v>228</v>
      </c>
    </row>
    <row r="544" spans="1:9" x14ac:dyDescent="0.25">
      <c r="A544" t="s">
        <v>13</v>
      </c>
      <c r="B544" t="s">
        <v>18</v>
      </c>
      <c r="C544" t="s">
        <v>19</v>
      </c>
      <c r="D544" t="s">
        <v>16</v>
      </c>
      <c r="E544" t="s">
        <v>17</v>
      </c>
      <c r="F544">
        <v>82</v>
      </c>
      <c r="G544">
        <v>88</v>
      </c>
      <c r="H544">
        <v>86</v>
      </c>
      <c r="I544">
        <f t="shared" si="8"/>
        <v>256</v>
      </c>
    </row>
    <row r="545" spans="1:9" x14ac:dyDescent="0.25">
      <c r="A545" t="s">
        <v>8</v>
      </c>
      <c r="B545" t="s">
        <v>23</v>
      </c>
      <c r="C545" t="s">
        <v>21</v>
      </c>
      <c r="D545" t="s">
        <v>11</v>
      </c>
      <c r="E545" t="s">
        <v>12</v>
      </c>
      <c r="F545">
        <v>63</v>
      </c>
      <c r="G545">
        <v>59</v>
      </c>
      <c r="H545">
        <v>60</v>
      </c>
      <c r="I545">
        <f t="shared" si="8"/>
        <v>182</v>
      </c>
    </row>
    <row r="546" spans="1:9" x14ac:dyDescent="0.25">
      <c r="A546" t="s">
        <v>13</v>
      </c>
      <c r="B546" t="s">
        <v>14</v>
      </c>
      <c r="C546" t="s">
        <v>10</v>
      </c>
      <c r="D546" t="s">
        <v>11</v>
      </c>
      <c r="E546" t="s">
        <v>17</v>
      </c>
      <c r="F546">
        <v>70</v>
      </c>
      <c r="G546">
        <v>85</v>
      </c>
      <c r="H546">
        <v>85</v>
      </c>
      <c r="I546">
        <f t="shared" si="8"/>
        <v>240</v>
      </c>
    </row>
    <row r="547" spans="1:9" x14ac:dyDescent="0.25">
      <c r="A547" t="s">
        <v>8</v>
      </c>
      <c r="B547" t="s">
        <v>14</v>
      </c>
      <c r="C547" t="s">
        <v>21</v>
      </c>
      <c r="D547" t="s">
        <v>11</v>
      </c>
      <c r="E547" t="s">
        <v>12</v>
      </c>
      <c r="F547">
        <v>84</v>
      </c>
      <c r="G547">
        <v>71</v>
      </c>
      <c r="H547">
        <v>76</v>
      </c>
      <c r="I547">
        <f t="shared" si="8"/>
        <v>231</v>
      </c>
    </row>
    <row r="548" spans="1:9" x14ac:dyDescent="0.25">
      <c r="A548" t="s">
        <v>8</v>
      </c>
      <c r="B548" t="s">
        <v>23</v>
      </c>
      <c r="C548" t="s">
        <v>10</v>
      </c>
      <c r="D548" t="s">
        <v>11</v>
      </c>
      <c r="E548" t="s">
        <v>12</v>
      </c>
      <c r="F548">
        <v>68</v>
      </c>
      <c r="G548">
        <v>60</v>
      </c>
      <c r="H548">
        <v>63</v>
      </c>
      <c r="I548">
        <f t="shared" si="8"/>
        <v>191</v>
      </c>
    </row>
    <row r="549" spans="1:9" x14ac:dyDescent="0.25">
      <c r="A549" t="s">
        <v>8</v>
      </c>
      <c r="B549" t="s">
        <v>23</v>
      </c>
      <c r="C549" t="s">
        <v>19</v>
      </c>
      <c r="D549" t="s">
        <v>16</v>
      </c>
      <c r="E549" t="s">
        <v>17</v>
      </c>
      <c r="F549">
        <v>56</v>
      </c>
      <c r="G549">
        <v>58</v>
      </c>
      <c r="H549">
        <v>50</v>
      </c>
      <c r="I549">
        <f t="shared" si="8"/>
        <v>164</v>
      </c>
    </row>
    <row r="550" spans="1:9" x14ac:dyDescent="0.25">
      <c r="A550" t="s">
        <v>13</v>
      </c>
      <c r="B550" t="s">
        <v>23</v>
      </c>
      <c r="C550" t="s">
        <v>21</v>
      </c>
      <c r="D550" t="s">
        <v>16</v>
      </c>
      <c r="E550" t="s">
        <v>17</v>
      </c>
      <c r="F550">
        <v>37</v>
      </c>
      <c r="G550">
        <v>46</v>
      </c>
      <c r="H550">
        <v>43</v>
      </c>
      <c r="I550">
        <f t="shared" si="8"/>
        <v>126</v>
      </c>
    </row>
    <row r="551" spans="1:9" x14ac:dyDescent="0.25">
      <c r="A551" t="s">
        <v>13</v>
      </c>
      <c r="B551" t="s">
        <v>14</v>
      </c>
      <c r="C551" t="s">
        <v>15</v>
      </c>
      <c r="D551" t="s">
        <v>11</v>
      </c>
      <c r="E551" t="s">
        <v>17</v>
      </c>
      <c r="F551">
        <v>49</v>
      </c>
      <c r="G551">
        <v>56</v>
      </c>
      <c r="H551">
        <v>53</v>
      </c>
      <c r="I551">
        <f t="shared" si="8"/>
        <v>158</v>
      </c>
    </row>
    <row r="552" spans="1:9" x14ac:dyDescent="0.25">
      <c r="A552" t="s">
        <v>13</v>
      </c>
      <c r="B552" t="s">
        <v>18</v>
      </c>
      <c r="C552" t="s">
        <v>19</v>
      </c>
      <c r="D552" t="s">
        <v>11</v>
      </c>
      <c r="E552" t="s">
        <v>12</v>
      </c>
      <c r="F552">
        <v>100</v>
      </c>
      <c r="G552">
        <v>100</v>
      </c>
      <c r="H552">
        <v>100</v>
      </c>
      <c r="I552">
        <f t="shared" si="8"/>
        <v>300</v>
      </c>
    </row>
    <row r="553" spans="1:9" x14ac:dyDescent="0.25">
      <c r="A553" t="s">
        <v>8</v>
      </c>
      <c r="B553" t="s">
        <v>14</v>
      </c>
      <c r="C553" t="s">
        <v>19</v>
      </c>
      <c r="D553" t="s">
        <v>11</v>
      </c>
      <c r="E553" t="s">
        <v>17</v>
      </c>
      <c r="F553">
        <v>83</v>
      </c>
      <c r="G553">
        <v>68</v>
      </c>
      <c r="H553">
        <v>65</v>
      </c>
      <c r="I553">
        <f t="shared" si="8"/>
        <v>216</v>
      </c>
    </row>
    <row r="554" spans="1:9" x14ac:dyDescent="0.25">
      <c r="A554" t="s">
        <v>13</v>
      </c>
      <c r="B554" t="s">
        <v>18</v>
      </c>
      <c r="C554" t="s">
        <v>24</v>
      </c>
      <c r="D554" t="s">
        <v>16</v>
      </c>
      <c r="E554" t="s">
        <v>12</v>
      </c>
      <c r="F554">
        <v>92</v>
      </c>
      <c r="G554">
        <v>100</v>
      </c>
      <c r="H554">
        <v>98</v>
      </c>
      <c r="I554">
        <f t="shared" si="8"/>
        <v>290</v>
      </c>
    </row>
    <row r="555" spans="1:9" x14ac:dyDescent="0.25">
      <c r="A555" t="s">
        <v>8</v>
      </c>
      <c r="B555" t="s">
        <v>18</v>
      </c>
      <c r="C555" t="s">
        <v>24</v>
      </c>
      <c r="D555" t="s">
        <v>16</v>
      </c>
      <c r="E555" t="s">
        <v>17</v>
      </c>
      <c r="F555">
        <v>71</v>
      </c>
      <c r="G555">
        <v>62</v>
      </c>
      <c r="H555">
        <v>66</v>
      </c>
      <c r="I555">
        <f t="shared" si="8"/>
        <v>199</v>
      </c>
    </row>
    <row r="556" spans="1:9" x14ac:dyDescent="0.25">
      <c r="A556" t="s">
        <v>8</v>
      </c>
      <c r="B556" t="s">
        <v>14</v>
      </c>
      <c r="C556" t="s">
        <v>21</v>
      </c>
      <c r="D556" t="s">
        <v>16</v>
      </c>
      <c r="E556" t="s">
        <v>12</v>
      </c>
      <c r="F556">
        <v>72</v>
      </c>
      <c r="G556">
        <v>76</v>
      </c>
      <c r="H556">
        <v>73</v>
      </c>
      <c r="I556">
        <f t="shared" si="8"/>
        <v>221</v>
      </c>
    </row>
    <row r="557" spans="1:9" x14ac:dyDescent="0.25">
      <c r="A557" t="s">
        <v>13</v>
      </c>
      <c r="B557" t="s">
        <v>14</v>
      </c>
      <c r="C557" t="s">
        <v>22</v>
      </c>
      <c r="D557" t="s">
        <v>16</v>
      </c>
      <c r="E557" t="s">
        <v>17</v>
      </c>
      <c r="F557">
        <v>37</v>
      </c>
      <c r="G557">
        <v>53</v>
      </c>
      <c r="H557">
        <v>48</v>
      </c>
      <c r="I557">
        <f t="shared" si="8"/>
        <v>138</v>
      </c>
    </row>
    <row r="558" spans="1:9" x14ac:dyDescent="0.25">
      <c r="A558" t="s">
        <v>8</v>
      </c>
      <c r="B558" t="s">
        <v>23</v>
      </c>
      <c r="C558" t="s">
        <v>22</v>
      </c>
      <c r="D558" t="s">
        <v>16</v>
      </c>
      <c r="E558" t="s">
        <v>17</v>
      </c>
      <c r="F558">
        <v>35</v>
      </c>
      <c r="G558">
        <v>43</v>
      </c>
      <c r="H558">
        <v>35</v>
      </c>
      <c r="I558">
        <f t="shared" si="8"/>
        <v>113</v>
      </c>
    </row>
    <row r="559" spans="1:9" x14ac:dyDescent="0.25">
      <c r="A559" t="s">
        <v>8</v>
      </c>
      <c r="B559" t="s">
        <v>23</v>
      </c>
      <c r="C559" t="s">
        <v>19</v>
      </c>
      <c r="D559" t="s">
        <v>16</v>
      </c>
      <c r="E559" t="s">
        <v>17</v>
      </c>
      <c r="F559">
        <v>69</v>
      </c>
      <c r="G559">
        <v>68</v>
      </c>
      <c r="H559">
        <v>62</v>
      </c>
      <c r="I559">
        <f t="shared" si="8"/>
        <v>199</v>
      </c>
    </row>
    <row r="560" spans="1:9" x14ac:dyDescent="0.25">
      <c r="A560" t="s">
        <v>13</v>
      </c>
      <c r="B560" t="s">
        <v>23</v>
      </c>
      <c r="C560" t="s">
        <v>22</v>
      </c>
      <c r="D560" t="s">
        <v>11</v>
      </c>
      <c r="E560" t="s">
        <v>17</v>
      </c>
      <c r="F560">
        <v>65</v>
      </c>
      <c r="G560">
        <v>73</v>
      </c>
      <c r="H560">
        <v>81</v>
      </c>
      <c r="I560">
        <f t="shared" si="8"/>
        <v>219</v>
      </c>
    </row>
    <row r="561" spans="1:9" x14ac:dyDescent="0.25">
      <c r="A561" t="s">
        <v>8</v>
      </c>
      <c r="B561" t="s">
        <v>18</v>
      </c>
      <c r="C561" t="s">
        <v>10</v>
      </c>
      <c r="D561" t="s">
        <v>16</v>
      </c>
      <c r="E561" t="s">
        <v>17</v>
      </c>
      <c r="F561">
        <v>56</v>
      </c>
      <c r="G561">
        <v>48</v>
      </c>
      <c r="H561">
        <v>36</v>
      </c>
      <c r="I561">
        <f t="shared" si="8"/>
        <v>140</v>
      </c>
    </row>
    <row r="562" spans="1:9" x14ac:dyDescent="0.25">
      <c r="A562" t="s">
        <v>13</v>
      </c>
      <c r="B562" t="s">
        <v>14</v>
      </c>
      <c r="C562" t="s">
        <v>10</v>
      </c>
      <c r="D562" t="s">
        <v>11</v>
      </c>
      <c r="E562" t="s">
        <v>17</v>
      </c>
      <c r="F562">
        <v>40</v>
      </c>
      <c r="G562">
        <v>46</v>
      </c>
      <c r="H562">
        <v>57</v>
      </c>
      <c r="I562">
        <f t="shared" si="8"/>
        <v>143</v>
      </c>
    </row>
    <row r="563" spans="1:9" x14ac:dyDescent="0.25">
      <c r="A563" t="s">
        <v>13</v>
      </c>
      <c r="B563" t="s">
        <v>18</v>
      </c>
      <c r="C563" t="s">
        <v>10</v>
      </c>
      <c r="D563" t="s">
        <v>11</v>
      </c>
      <c r="E563" t="s">
        <v>17</v>
      </c>
      <c r="F563">
        <v>60</v>
      </c>
      <c r="G563">
        <v>62</v>
      </c>
      <c r="H563">
        <v>60</v>
      </c>
      <c r="I563">
        <f t="shared" si="8"/>
        <v>182</v>
      </c>
    </row>
    <row r="564" spans="1:9" x14ac:dyDescent="0.25">
      <c r="A564" t="s">
        <v>13</v>
      </c>
      <c r="B564" t="s">
        <v>23</v>
      </c>
      <c r="C564" t="s">
        <v>15</v>
      </c>
      <c r="D564" t="s">
        <v>11</v>
      </c>
      <c r="E564" t="s">
        <v>17</v>
      </c>
      <c r="F564">
        <v>57</v>
      </c>
      <c r="G564">
        <v>66</v>
      </c>
      <c r="H564">
        <v>73</v>
      </c>
      <c r="I564">
        <f t="shared" si="8"/>
        <v>196</v>
      </c>
    </row>
    <row r="565" spans="1:9" x14ac:dyDescent="0.25">
      <c r="A565" t="s">
        <v>13</v>
      </c>
      <c r="B565" t="s">
        <v>23</v>
      </c>
      <c r="C565" t="s">
        <v>15</v>
      </c>
      <c r="D565" t="s">
        <v>16</v>
      </c>
      <c r="E565" t="s">
        <v>12</v>
      </c>
      <c r="F565">
        <v>58</v>
      </c>
      <c r="G565">
        <v>62</v>
      </c>
      <c r="H565">
        <v>66</v>
      </c>
      <c r="I565">
        <f t="shared" si="8"/>
        <v>186</v>
      </c>
    </row>
    <row r="566" spans="1:9" x14ac:dyDescent="0.25">
      <c r="A566" t="s">
        <v>13</v>
      </c>
      <c r="B566" t="s">
        <v>14</v>
      </c>
      <c r="C566" t="s">
        <v>19</v>
      </c>
      <c r="D566" t="s">
        <v>11</v>
      </c>
      <c r="E566" t="s">
        <v>12</v>
      </c>
      <c r="F566">
        <v>74</v>
      </c>
      <c r="G566">
        <v>95</v>
      </c>
      <c r="H566">
        <v>94</v>
      </c>
      <c r="I566">
        <f t="shared" si="8"/>
        <v>263</v>
      </c>
    </row>
    <row r="567" spans="1:9" x14ac:dyDescent="0.25">
      <c r="A567" t="s">
        <v>13</v>
      </c>
      <c r="B567" t="s">
        <v>20</v>
      </c>
      <c r="C567" t="s">
        <v>19</v>
      </c>
      <c r="D567" t="s">
        <v>11</v>
      </c>
      <c r="E567" t="s">
        <v>17</v>
      </c>
      <c r="F567">
        <v>77</v>
      </c>
      <c r="G567">
        <v>77</v>
      </c>
      <c r="H567">
        <v>83</v>
      </c>
      <c r="I567">
        <f t="shared" si="8"/>
        <v>237</v>
      </c>
    </row>
    <row r="568" spans="1:9" x14ac:dyDescent="0.25">
      <c r="A568" t="s">
        <v>8</v>
      </c>
      <c r="B568" t="s">
        <v>18</v>
      </c>
      <c r="C568" t="s">
        <v>19</v>
      </c>
      <c r="D568" t="s">
        <v>16</v>
      </c>
      <c r="E568" t="s">
        <v>17</v>
      </c>
      <c r="F568">
        <v>66</v>
      </c>
      <c r="G568">
        <v>57</v>
      </c>
      <c r="H568">
        <v>53</v>
      </c>
      <c r="I568">
        <f t="shared" si="8"/>
        <v>176</v>
      </c>
    </row>
    <row r="569" spans="1:9" x14ac:dyDescent="0.25">
      <c r="A569" t="s">
        <v>13</v>
      </c>
      <c r="B569" t="s">
        <v>14</v>
      </c>
      <c r="C569" t="s">
        <v>19</v>
      </c>
      <c r="D569" t="s">
        <v>11</v>
      </c>
      <c r="E569" t="s">
        <v>12</v>
      </c>
      <c r="F569">
        <v>62</v>
      </c>
      <c r="G569">
        <v>79</v>
      </c>
      <c r="H569">
        <v>87</v>
      </c>
      <c r="I569">
        <f t="shared" si="8"/>
        <v>228</v>
      </c>
    </row>
    <row r="570" spans="1:9" x14ac:dyDescent="0.25">
      <c r="A570" t="s">
        <v>8</v>
      </c>
      <c r="B570" t="s">
        <v>23</v>
      </c>
      <c r="C570" t="s">
        <v>10</v>
      </c>
      <c r="D570" t="s">
        <v>16</v>
      </c>
      <c r="E570" t="s">
        <v>17</v>
      </c>
      <c r="F570">
        <v>29</v>
      </c>
      <c r="G570">
        <v>38</v>
      </c>
      <c r="H570">
        <v>27</v>
      </c>
      <c r="I570">
        <f t="shared" si="8"/>
        <v>94</v>
      </c>
    </row>
    <row r="571" spans="1:9" x14ac:dyDescent="0.25">
      <c r="A571" t="s">
        <v>13</v>
      </c>
      <c r="B571" t="s">
        <v>20</v>
      </c>
      <c r="C571" t="s">
        <v>19</v>
      </c>
      <c r="D571" t="s">
        <v>11</v>
      </c>
      <c r="E571" t="s">
        <v>17</v>
      </c>
      <c r="F571">
        <v>70</v>
      </c>
      <c r="G571">
        <v>73</v>
      </c>
      <c r="H571">
        <v>66</v>
      </c>
      <c r="I571">
        <f t="shared" si="8"/>
        <v>209</v>
      </c>
    </row>
    <row r="572" spans="1:9" x14ac:dyDescent="0.25">
      <c r="A572" t="s">
        <v>8</v>
      </c>
      <c r="B572" t="s">
        <v>9</v>
      </c>
      <c r="C572" t="s">
        <v>21</v>
      </c>
      <c r="D572" t="s">
        <v>16</v>
      </c>
      <c r="E572" t="s">
        <v>17</v>
      </c>
      <c r="F572">
        <v>67</v>
      </c>
      <c r="G572">
        <v>64</v>
      </c>
      <c r="H572">
        <v>60</v>
      </c>
      <c r="I572">
        <f t="shared" si="8"/>
        <v>191</v>
      </c>
    </row>
    <row r="573" spans="1:9" x14ac:dyDescent="0.25">
      <c r="A573" t="s">
        <v>13</v>
      </c>
      <c r="B573" t="s">
        <v>23</v>
      </c>
      <c r="C573" t="s">
        <v>10</v>
      </c>
      <c r="D573" t="s">
        <v>11</v>
      </c>
      <c r="E573" t="s">
        <v>12</v>
      </c>
      <c r="F573">
        <v>81</v>
      </c>
      <c r="G573">
        <v>91</v>
      </c>
      <c r="H573">
        <v>94</v>
      </c>
      <c r="I573">
        <f t="shared" si="8"/>
        <v>266</v>
      </c>
    </row>
    <row r="574" spans="1:9" x14ac:dyDescent="0.25">
      <c r="A574" t="s">
        <v>8</v>
      </c>
      <c r="B574" t="s">
        <v>23</v>
      </c>
      <c r="C574" t="s">
        <v>21</v>
      </c>
      <c r="D574" t="s">
        <v>16</v>
      </c>
      <c r="E574" t="s">
        <v>17</v>
      </c>
      <c r="F574">
        <v>56</v>
      </c>
      <c r="G574">
        <v>50</v>
      </c>
      <c r="H574">
        <v>43</v>
      </c>
      <c r="I574">
        <f t="shared" si="8"/>
        <v>149</v>
      </c>
    </row>
    <row r="575" spans="1:9" x14ac:dyDescent="0.25">
      <c r="A575" t="s">
        <v>13</v>
      </c>
      <c r="B575" t="s">
        <v>14</v>
      </c>
      <c r="C575" t="s">
        <v>19</v>
      </c>
      <c r="D575" t="s">
        <v>16</v>
      </c>
      <c r="E575" t="s">
        <v>17</v>
      </c>
      <c r="F575">
        <v>61</v>
      </c>
      <c r="G575">
        <v>79</v>
      </c>
      <c r="H575">
        <v>76</v>
      </c>
      <c r="I575">
        <f t="shared" si="8"/>
        <v>216</v>
      </c>
    </row>
    <row r="576" spans="1:9" x14ac:dyDescent="0.25">
      <c r="A576" t="s">
        <v>13</v>
      </c>
      <c r="B576" t="s">
        <v>14</v>
      </c>
      <c r="C576" t="s">
        <v>10</v>
      </c>
      <c r="D576" t="s">
        <v>16</v>
      </c>
      <c r="E576" t="s">
        <v>12</v>
      </c>
      <c r="F576">
        <v>47</v>
      </c>
      <c r="G576">
        <v>54</v>
      </c>
      <c r="H576">
        <v>56</v>
      </c>
      <c r="I576">
        <f t="shared" si="8"/>
        <v>157</v>
      </c>
    </row>
    <row r="577" spans="1:9" x14ac:dyDescent="0.25">
      <c r="A577" t="s">
        <v>8</v>
      </c>
      <c r="B577" t="s">
        <v>9</v>
      </c>
      <c r="C577" t="s">
        <v>22</v>
      </c>
      <c r="D577" t="s">
        <v>11</v>
      </c>
      <c r="E577" t="s">
        <v>12</v>
      </c>
      <c r="F577">
        <v>88</v>
      </c>
      <c r="G577">
        <v>87</v>
      </c>
      <c r="H577">
        <v>94</v>
      </c>
      <c r="I577">
        <f t="shared" si="8"/>
        <v>269</v>
      </c>
    </row>
    <row r="578" spans="1:9" x14ac:dyDescent="0.25">
      <c r="A578" t="s">
        <v>8</v>
      </c>
      <c r="B578" t="s">
        <v>23</v>
      </c>
      <c r="C578" t="s">
        <v>19</v>
      </c>
      <c r="D578" t="s">
        <v>11</v>
      </c>
      <c r="E578" t="s">
        <v>12</v>
      </c>
      <c r="F578">
        <v>51</v>
      </c>
      <c r="G578">
        <v>52</v>
      </c>
      <c r="H578">
        <v>52</v>
      </c>
      <c r="I578">
        <f t="shared" si="8"/>
        <v>155</v>
      </c>
    </row>
    <row r="579" spans="1:9" x14ac:dyDescent="0.25">
      <c r="A579" t="s">
        <v>8</v>
      </c>
      <c r="B579" t="s">
        <v>23</v>
      </c>
      <c r="C579" t="s">
        <v>24</v>
      </c>
      <c r="D579" t="s">
        <v>11</v>
      </c>
      <c r="E579" t="s">
        <v>17</v>
      </c>
      <c r="F579">
        <v>68</v>
      </c>
      <c r="G579">
        <v>60</v>
      </c>
      <c r="H579">
        <v>62</v>
      </c>
      <c r="I579">
        <f t="shared" ref="I579:I642" si="9">SUM(F579:H579)</f>
        <v>190</v>
      </c>
    </row>
    <row r="580" spans="1:9" x14ac:dyDescent="0.25">
      <c r="A580" t="s">
        <v>13</v>
      </c>
      <c r="B580" t="s">
        <v>20</v>
      </c>
      <c r="C580" t="s">
        <v>21</v>
      </c>
      <c r="D580" t="s">
        <v>11</v>
      </c>
      <c r="E580" t="s">
        <v>17</v>
      </c>
      <c r="F580">
        <v>68</v>
      </c>
      <c r="G580">
        <v>71</v>
      </c>
      <c r="H580">
        <v>71</v>
      </c>
      <c r="I580">
        <f t="shared" si="9"/>
        <v>210</v>
      </c>
    </row>
    <row r="581" spans="1:9" x14ac:dyDescent="0.25">
      <c r="A581" t="s">
        <v>13</v>
      </c>
      <c r="B581" t="s">
        <v>20</v>
      </c>
      <c r="C581" t="s">
        <v>10</v>
      </c>
      <c r="D581" t="s">
        <v>16</v>
      </c>
      <c r="E581" t="s">
        <v>17</v>
      </c>
      <c r="F581">
        <v>47</v>
      </c>
      <c r="G581">
        <v>49</v>
      </c>
      <c r="H581">
        <v>50</v>
      </c>
      <c r="I581">
        <f t="shared" si="9"/>
        <v>146</v>
      </c>
    </row>
    <row r="582" spans="1:9" x14ac:dyDescent="0.25">
      <c r="A582" t="s">
        <v>8</v>
      </c>
      <c r="B582" t="s">
        <v>18</v>
      </c>
      <c r="C582" t="s">
        <v>24</v>
      </c>
      <c r="D582" t="s">
        <v>16</v>
      </c>
      <c r="E582" t="s">
        <v>12</v>
      </c>
      <c r="F582">
        <v>84</v>
      </c>
      <c r="G582">
        <v>77</v>
      </c>
      <c r="H582">
        <v>82</v>
      </c>
      <c r="I582">
        <f t="shared" si="9"/>
        <v>243</v>
      </c>
    </row>
    <row r="583" spans="1:9" x14ac:dyDescent="0.25">
      <c r="A583" t="s">
        <v>8</v>
      </c>
      <c r="B583" t="s">
        <v>20</v>
      </c>
      <c r="C583" t="s">
        <v>19</v>
      </c>
      <c r="D583" t="s">
        <v>16</v>
      </c>
      <c r="E583" t="s">
        <v>17</v>
      </c>
      <c r="F583">
        <v>69</v>
      </c>
      <c r="G583">
        <v>72</v>
      </c>
      <c r="H583">
        <v>68</v>
      </c>
      <c r="I583">
        <f t="shared" si="9"/>
        <v>209</v>
      </c>
    </row>
    <row r="584" spans="1:9" x14ac:dyDescent="0.25">
      <c r="A584" t="s">
        <v>13</v>
      </c>
      <c r="B584" t="s">
        <v>14</v>
      </c>
      <c r="C584" t="s">
        <v>22</v>
      </c>
      <c r="D584" t="s">
        <v>11</v>
      </c>
      <c r="E584" t="s">
        <v>12</v>
      </c>
      <c r="F584">
        <v>52</v>
      </c>
      <c r="G584">
        <v>69</v>
      </c>
      <c r="H584">
        <v>75</v>
      </c>
      <c r="I584">
        <f t="shared" si="9"/>
        <v>196</v>
      </c>
    </row>
    <row r="585" spans="1:9" x14ac:dyDescent="0.25">
      <c r="A585" t="s">
        <v>8</v>
      </c>
      <c r="B585" t="s">
        <v>20</v>
      </c>
      <c r="C585" t="s">
        <v>21</v>
      </c>
      <c r="D585" t="s">
        <v>11</v>
      </c>
      <c r="E585" t="s">
        <v>17</v>
      </c>
      <c r="F585">
        <v>80</v>
      </c>
      <c r="G585">
        <v>79</v>
      </c>
      <c r="H585">
        <v>79</v>
      </c>
      <c r="I585">
        <f t="shared" si="9"/>
        <v>238</v>
      </c>
    </row>
    <row r="586" spans="1:9" x14ac:dyDescent="0.25">
      <c r="A586" t="s">
        <v>8</v>
      </c>
      <c r="B586" t="s">
        <v>23</v>
      </c>
      <c r="C586" t="s">
        <v>22</v>
      </c>
      <c r="D586" t="s">
        <v>11</v>
      </c>
      <c r="E586" t="s">
        <v>17</v>
      </c>
      <c r="F586">
        <v>100</v>
      </c>
      <c r="G586">
        <v>84</v>
      </c>
      <c r="H586">
        <v>88</v>
      </c>
      <c r="I586">
        <f t="shared" si="9"/>
        <v>272</v>
      </c>
    </row>
    <row r="587" spans="1:9" x14ac:dyDescent="0.25">
      <c r="A587" t="s">
        <v>8</v>
      </c>
      <c r="B587" t="s">
        <v>23</v>
      </c>
      <c r="C587" t="s">
        <v>10</v>
      </c>
      <c r="D587" t="s">
        <v>11</v>
      </c>
      <c r="E587" t="s">
        <v>12</v>
      </c>
      <c r="F587">
        <v>53</v>
      </c>
      <c r="G587">
        <v>59</v>
      </c>
      <c r="H587">
        <v>64</v>
      </c>
      <c r="I587">
        <f t="shared" si="9"/>
        <v>176</v>
      </c>
    </row>
    <row r="588" spans="1:9" x14ac:dyDescent="0.25">
      <c r="A588" t="s">
        <v>13</v>
      </c>
      <c r="B588" t="s">
        <v>20</v>
      </c>
      <c r="C588" t="s">
        <v>24</v>
      </c>
      <c r="D588" t="s">
        <v>11</v>
      </c>
      <c r="E588" t="s">
        <v>12</v>
      </c>
      <c r="F588">
        <v>59</v>
      </c>
      <c r="G588">
        <v>73</v>
      </c>
      <c r="H588">
        <v>74</v>
      </c>
      <c r="I588">
        <f t="shared" si="9"/>
        <v>206</v>
      </c>
    </row>
    <row r="589" spans="1:9" x14ac:dyDescent="0.25">
      <c r="A589" t="s">
        <v>13</v>
      </c>
      <c r="B589" t="s">
        <v>20</v>
      </c>
      <c r="C589" t="s">
        <v>19</v>
      </c>
      <c r="D589" t="s">
        <v>11</v>
      </c>
      <c r="E589" t="s">
        <v>17</v>
      </c>
      <c r="F589">
        <v>78</v>
      </c>
      <c r="G589">
        <v>96</v>
      </c>
      <c r="H589">
        <v>89</v>
      </c>
      <c r="I589">
        <f t="shared" si="9"/>
        <v>263</v>
      </c>
    </row>
    <row r="590" spans="1:9" x14ac:dyDescent="0.25">
      <c r="A590" t="s">
        <v>13</v>
      </c>
      <c r="B590" t="s">
        <v>20</v>
      </c>
      <c r="C590" t="s">
        <v>21</v>
      </c>
      <c r="D590" t="s">
        <v>11</v>
      </c>
      <c r="E590" t="s">
        <v>17</v>
      </c>
      <c r="F590">
        <v>84</v>
      </c>
      <c r="G590">
        <v>87</v>
      </c>
      <c r="H590">
        <v>89</v>
      </c>
      <c r="I590">
        <f t="shared" si="9"/>
        <v>260</v>
      </c>
    </row>
    <row r="591" spans="1:9" x14ac:dyDescent="0.25">
      <c r="A591" t="s">
        <v>13</v>
      </c>
      <c r="B591" t="s">
        <v>23</v>
      </c>
      <c r="C591" t="s">
        <v>10</v>
      </c>
      <c r="D591" t="s">
        <v>16</v>
      </c>
      <c r="E591" t="s">
        <v>17</v>
      </c>
      <c r="F591">
        <v>52</v>
      </c>
      <c r="G591">
        <v>72</v>
      </c>
      <c r="H591">
        <v>71</v>
      </c>
      <c r="I591">
        <f t="shared" si="9"/>
        <v>195</v>
      </c>
    </row>
    <row r="592" spans="1:9" x14ac:dyDescent="0.25">
      <c r="A592" t="s">
        <v>8</v>
      </c>
      <c r="B592" t="s">
        <v>23</v>
      </c>
      <c r="C592" t="s">
        <v>21</v>
      </c>
      <c r="D592" t="s">
        <v>16</v>
      </c>
      <c r="E592" t="s">
        <v>17</v>
      </c>
      <c r="F592">
        <v>81</v>
      </c>
      <c r="G592">
        <v>78</v>
      </c>
      <c r="H592">
        <v>75</v>
      </c>
      <c r="I592">
        <f t="shared" si="9"/>
        <v>234</v>
      </c>
    </row>
    <row r="593" spans="1:9" x14ac:dyDescent="0.25">
      <c r="A593" t="s">
        <v>13</v>
      </c>
      <c r="B593" t="s">
        <v>23</v>
      </c>
      <c r="C593" t="s">
        <v>21</v>
      </c>
      <c r="D593" t="s">
        <v>11</v>
      </c>
      <c r="E593" t="s">
        <v>12</v>
      </c>
      <c r="F593">
        <v>90</v>
      </c>
      <c r="G593">
        <v>95</v>
      </c>
      <c r="H593">
        <v>100</v>
      </c>
      <c r="I593">
        <f t="shared" si="9"/>
        <v>285</v>
      </c>
    </row>
    <row r="594" spans="1:9" x14ac:dyDescent="0.25">
      <c r="A594" t="s">
        <v>13</v>
      </c>
      <c r="B594" t="s">
        <v>9</v>
      </c>
      <c r="C594" t="s">
        <v>10</v>
      </c>
      <c r="D594" t="s">
        <v>11</v>
      </c>
      <c r="E594" t="s">
        <v>17</v>
      </c>
      <c r="F594">
        <v>63</v>
      </c>
      <c r="G594">
        <v>73</v>
      </c>
      <c r="H594">
        <v>66</v>
      </c>
      <c r="I594">
        <f t="shared" si="9"/>
        <v>202</v>
      </c>
    </row>
    <row r="595" spans="1:9" x14ac:dyDescent="0.25">
      <c r="A595" t="s">
        <v>8</v>
      </c>
      <c r="B595" t="s">
        <v>14</v>
      </c>
      <c r="C595" t="s">
        <v>22</v>
      </c>
      <c r="D595" t="s">
        <v>11</v>
      </c>
      <c r="E595" t="s">
        <v>12</v>
      </c>
      <c r="F595">
        <v>100</v>
      </c>
      <c r="G595">
        <v>97</v>
      </c>
      <c r="H595">
        <v>100</v>
      </c>
      <c r="I595">
        <f t="shared" si="9"/>
        <v>297</v>
      </c>
    </row>
    <row r="596" spans="1:9" x14ac:dyDescent="0.25">
      <c r="A596" t="s">
        <v>13</v>
      </c>
      <c r="B596" t="s">
        <v>20</v>
      </c>
      <c r="C596" t="s">
        <v>19</v>
      </c>
      <c r="D596" t="s">
        <v>11</v>
      </c>
      <c r="E596" t="s">
        <v>17</v>
      </c>
      <c r="F596">
        <v>56</v>
      </c>
      <c r="G596">
        <v>63</v>
      </c>
      <c r="H596">
        <v>62</v>
      </c>
      <c r="I596">
        <f t="shared" si="9"/>
        <v>181</v>
      </c>
    </row>
    <row r="597" spans="1:9" x14ac:dyDescent="0.25">
      <c r="A597" t="s">
        <v>13</v>
      </c>
      <c r="B597" t="s">
        <v>20</v>
      </c>
      <c r="C597" t="s">
        <v>19</v>
      </c>
      <c r="D597" t="s">
        <v>11</v>
      </c>
      <c r="E597" t="s">
        <v>17</v>
      </c>
      <c r="F597">
        <v>46</v>
      </c>
      <c r="G597">
        <v>54</v>
      </c>
      <c r="H597">
        <v>54</v>
      </c>
      <c r="I597">
        <f t="shared" si="9"/>
        <v>154</v>
      </c>
    </row>
    <row r="598" spans="1:9" x14ac:dyDescent="0.25">
      <c r="A598" t="s">
        <v>13</v>
      </c>
      <c r="B598" t="s">
        <v>20</v>
      </c>
      <c r="C598" t="s">
        <v>10</v>
      </c>
      <c r="D598" t="s">
        <v>16</v>
      </c>
      <c r="E598" t="s">
        <v>12</v>
      </c>
      <c r="F598">
        <v>75</v>
      </c>
      <c r="G598">
        <v>85</v>
      </c>
      <c r="H598">
        <v>90</v>
      </c>
      <c r="I598">
        <f t="shared" si="9"/>
        <v>250</v>
      </c>
    </row>
    <row r="599" spans="1:9" x14ac:dyDescent="0.25">
      <c r="A599" t="s">
        <v>13</v>
      </c>
      <c r="B599" t="s">
        <v>9</v>
      </c>
      <c r="C599" t="s">
        <v>19</v>
      </c>
      <c r="D599" t="s">
        <v>11</v>
      </c>
      <c r="E599" t="s">
        <v>17</v>
      </c>
      <c r="F599">
        <v>46</v>
      </c>
      <c r="G599">
        <v>51</v>
      </c>
      <c r="H599">
        <v>54</v>
      </c>
      <c r="I599">
        <f t="shared" si="9"/>
        <v>151</v>
      </c>
    </row>
    <row r="600" spans="1:9" x14ac:dyDescent="0.25">
      <c r="A600" t="s">
        <v>8</v>
      </c>
      <c r="B600" t="s">
        <v>9</v>
      </c>
      <c r="C600" t="s">
        <v>15</v>
      </c>
      <c r="D600" t="s">
        <v>16</v>
      </c>
      <c r="E600" t="s">
        <v>17</v>
      </c>
      <c r="F600">
        <v>42</v>
      </c>
      <c r="G600">
        <v>40</v>
      </c>
      <c r="H600">
        <v>40</v>
      </c>
      <c r="I600">
        <f t="shared" si="9"/>
        <v>122</v>
      </c>
    </row>
    <row r="601" spans="1:9" x14ac:dyDescent="0.25">
      <c r="A601" t="s">
        <v>13</v>
      </c>
      <c r="B601" t="s">
        <v>23</v>
      </c>
      <c r="C601" t="s">
        <v>15</v>
      </c>
      <c r="D601" t="s">
        <v>11</v>
      </c>
      <c r="E601" t="s">
        <v>12</v>
      </c>
      <c r="F601">
        <v>77</v>
      </c>
      <c r="G601">
        <v>86</v>
      </c>
      <c r="H601">
        <v>90</v>
      </c>
      <c r="I601">
        <f t="shared" si="9"/>
        <v>253</v>
      </c>
    </row>
    <row r="602" spans="1:9" x14ac:dyDescent="0.25">
      <c r="A602" t="s">
        <v>13</v>
      </c>
      <c r="B602" t="s">
        <v>23</v>
      </c>
      <c r="C602" t="s">
        <v>19</v>
      </c>
      <c r="D602" t="s">
        <v>16</v>
      </c>
      <c r="E602" t="s">
        <v>17</v>
      </c>
      <c r="F602">
        <v>40</v>
      </c>
      <c r="G602">
        <v>63</v>
      </c>
      <c r="H602">
        <v>56</v>
      </c>
      <c r="I602">
        <f t="shared" si="9"/>
        <v>159</v>
      </c>
    </row>
    <row r="603" spans="1:9" x14ac:dyDescent="0.25">
      <c r="A603" t="s">
        <v>13</v>
      </c>
      <c r="B603" t="s">
        <v>14</v>
      </c>
      <c r="C603" t="s">
        <v>10</v>
      </c>
      <c r="D603" t="s">
        <v>11</v>
      </c>
      <c r="E603" t="s">
        <v>17</v>
      </c>
      <c r="F603">
        <v>69</v>
      </c>
      <c r="G603">
        <v>71</v>
      </c>
      <c r="H603">
        <v>76</v>
      </c>
      <c r="I603">
        <f t="shared" si="9"/>
        <v>216</v>
      </c>
    </row>
    <row r="604" spans="1:9" x14ac:dyDescent="0.25">
      <c r="A604" t="s">
        <v>8</v>
      </c>
      <c r="B604" t="s">
        <v>23</v>
      </c>
      <c r="C604" t="s">
        <v>10</v>
      </c>
      <c r="D604" t="s">
        <v>11</v>
      </c>
      <c r="E604" t="s">
        <v>17</v>
      </c>
      <c r="F604">
        <v>43</v>
      </c>
      <c r="G604">
        <v>50</v>
      </c>
      <c r="H604">
        <v>45</v>
      </c>
      <c r="I604">
        <f t="shared" si="9"/>
        <v>138</v>
      </c>
    </row>
    <row r="605" spans="1:9" x14ac:dyDescent="0.25">
      <c r="A605" t="s">
        <v>13</v>
      </c>
      <c r="B605" t="s">
        <v>23</v>
      </c>
      <c r="C605" t="s">
        <v>21</v>
      </c>
      <c r="D605" t="s">
        <v>11</v>
      </c>
      <c r="E605" t="s">
        <v>12</v>
      </c>
      <c r="F605">
        <v>69</v>
      </c>
      <c r="G605">
        <v>75</v>
      </c>
      <c r="H605">
        <v>71</v>
      </c>
      <c r="I605">
        <f t="shared" si="9"/>
        <v>215</v>
      </c>
    </row>
    <row r="606" spans="1:9" x14ac:dyDescent="0.25">
      <c r="A606" t="s">
        <v>13</v>
      </c>
      <c r="B606" t="s">
        <v>14</v>
      </c>
      <c r="C606" t="s">
        <v>22</v>
      </c>
      <c r="D606" t="s">
        <v>11</v>
      </c>
      <c r="E606" t="s">
        <v>12</v>
      </c>
      <c r="F606">
        <v>89</v>
      </c>
      <c r="G606">
        <v>93</v>
      </c>
      <c r="H606">
        <v>100</v>
      </c>
      <c r="I606">
        <f t="shared" si="9"/>
        <v>282</v>
      </c>
    </row>
    <row r="607" spans="1:9" x14ac:dyDescent="0.25">
      <c r="A607" t="s">
        <v>8</v>
      </c>
      <c r="B607" t="s">
        <v>20</v>
      </c>
      <c r="C607" t="s">
        <v>21</v>
      </c>
      <c r="D607" t="s">
        <v>11</v>
      </c>
      <c r="E607" t="s">
        <v>17</v>
      </c>
      <c r="F607">
        <v>44</v>
      </c>
      <c r="G607">
        <v>34</v>
      </c>
      <c r="H607">
        <v>36</v>
      </c>
      <c r="I607">
        <f t="shared" si="9"/>
        <v>114</v>
      </c>
    </row>
    <row r="608" spans="1:9" x14ac:dyDescent="0.25">
      <c r="A608" t="s">
        <v>8</v>
      </c>
      <c r="B608" t="s">
        <v>14</v>
      </c>
      <c r="C608" t="s">
        <v>10</v>
      </c>
      <c r="D608" t="s">
        <v>16</v>
      </c>
      <c r="E608" t="s">
        <v>12</v>
      </c>
      <c r="F608">
        <v>82</v>
      </c>
      <c r="G608">
        <v>83</v>
      </c>
      <c r="H608">
        <v>77</v>
      </c>
      <c r="I608">
        <f t="shared" si="9"/>
        <v>242</v>
      </c>
    </row>
    <row r="609" spans="1:9" x14ac:dyDescent="0.25">
      <c r="A609" t="s">
        <v>8</v>
      </c>
      <c r="B609" t="s">
        <v>14</v>
      </c>
      <c r="C609" t="s">
        <v>21</v>
      </c>
      <c r="D609" t="s">
        <v>16</v>
      </c>
      <c r="E609" t="s">
        <v>17</v>
      </c>
      <c r="F609">
        <v>72</v>
      </c>
      <c r="G609">
        <v>72</v>
      </c>
      <c r="H609">
        <v>65</v>
      </c>
      <c r="I609">
        <f t="shared" si="9"/>
        <v>209</v>
      </c>
    </row>
    <row r="610" spans="1:9" x14ac:dyDescent="0.25">
      <c r="A610" t="s">
        <v>8</v>
      </c>
      <c r="B610" t="s">
        <v>23</v>
      </c>
      <c r="C610" t="s">
        <v>22</v>
      </c>
      <c r="D610" t="s">
        <v>11</v>
      </c>
      <c r="E610" t="s">
        <v>17</v>
      </c>
      <c r="F610">
        <v>64</v>
      </c>
      <c r="G610">
        <v>53</v>
      </c>
      <c r="H610">
        <v>50</v>
      </c>
      <c r="I610">
        <f t="shared" si="9"/>
        <v>167</v>
      </c>
    </row>
    <row r="611" spans="1:9" x14ac:dyDescent="0.25">
      <c r="A611" t="s">
        <v>8</v>
      </c>
      <c r="B611" t="s">
        <v>14</v>
      </c>
      <c r="C611" t="s">
        <v>15</v>
      </c>
      <c r="D611" t="s">
        <v>11</v>
      </c>
      <c r="E611" t="s">
        <v>17</v>
      </c>
      <c r="F611">
        <v>89</v>
      </c>
      <c r="G611">
        <v>73</v>
      </c>
      <c r="H611">
        <v>70</v>
      </c>
      <c r="I611">
        <f t="shared" si="9"/>
        <v>232</v>
      </c>
    </row>
    <row r="612" spans="1:9" x14ac:dyDescent="0.25">
      <c r="A612" t="s">
        <v>8</v>
      </c>
      <c r="B612" t="s">
        <v>18</v>
      </c>
      <c r="C612" t="s">
        <v>21</v>
      </c>
      <c r="D612" t="s">
        <v>16</v>
      </c>
      <c r="E612" t="s">
        <v>17</v>
      </c>
      <c r="F612">
        <v>58</v>
      </c>
      <c r="G612">
        <v>53</v>
      </c>
      <c r="H612">
        <v>54</v>
      </c>
      <c r="I612">
        <f t="shared" si="9"/>
        <v>165</v>
      </c>
    </row>
    <row r="613" spans="1:9" x14ac:dyDescent="0.25">
      <c r="A613" t="s">
        <v>13</v>
      </c>
      <c r="B613" t="s">
        <v>9</v>
      </c>
      <c r="C613" t="s">
        <v>10</v>
      </c>
      <c r="D613" t="s">
        <v>11</v>
      </c>
      <c r="E613" t="s">
        <v>12</v>
      </c>
      <c r="F613">
        <v>63</v>
      </c>
      <c r="G613">
        <v>81</v>
      </c>
      <c r="H613">
        <v>78</v>
      </c>
      <c r="I613">
        <f t="shared" si="9"/>
        <v>222</v>
      </c>
    </row>
    <row r="614" spans="1:9" x14ac:dyDescent="0.25">
      <c r="A614" t="s">
        <v>13</v>
      </c>
      <c r="B614" t="s">
        <v>9</v>
      </c>
      <c r="C614" t="s">
        <v>22</v>
      </c>
      <c r="D614" t="s">
        <v>11</v>
      </c>
      <c r="E614" t="s">
        <v>17</v>
      </c>
      <c r="F614">
        <v>54</v>
      </c>
      <c r="G614">
        <v>66</v>
      </c>
      <c r="H614">
        <v>69</v>
      </c>
      <c r="I614">
        <f t="shared" si="9"/>
        <v>189</v>
      </c>
    </row>
    <row r="615" spans="1:9" x14ac:dyDescent="0.25">
      <c r="A615" t="s">
        <v>8</v>
      </c>
      <c r="B615" t="s">
        <v>23</v>
      </c>
      <c r="C615" t="s">
        <v>10</v>
      </c>
      <c r="D615" t="s">
        <v>16</v>
      </c>
      <c r="E615" t="s">
        <v>12</v>
      </c>
      <c r="F615">
        <v>83</v>
      </c>
      <c r="G615">
        <v>78</v>
      </c>
      <c r="H615">
        <v>82</v>
      </c>
      <c r="I615">
        <f t="shared" si="9"/>
        <v>243</v>
      </c>
    </row>
    <row r="616" spans="1:9" x14ac:dyDescent="0.25">
      <c r="A616" t="s">
        <v>13</v>
      </c>
      <c r="B616" t="s">
        <v>23</v>
      </c>
      <c r="C616" t="s">
        <v>10</v>
      </c>
      <c r="D616" t="s">
        <v>11</v>
      </c>
      <c r="E616" t="s">
        <v>17</v>
      </c>
      <c r="F616">
        <v>57</v>
      </c>
      <c r="G616">
        <v>74</v>
      </c>
      <c r="H616">
        <v>64</v>
      </c>
      <c r="I616">
        <f t="shared" si="9"/>
        <v>195</v>
      </c>
    </row>
    <row r="617" spans="1:9" x14ac:dyDescent="0.25">
      <c r="A617" t="s">
        <v>13</v>
      </c>
      <c r="B617" t="s">
        <v>23</v>
      </c>
      <c r="C617" t="s">
        <v>10</v>
      </c>
      <c r="D617" t="s">
        <v>11</v>
      </c>
      <c r="E617" t="s">
        <v>17</v>
      </c>
      <c r="F617">
        <v>52</v>
      </c>
      <c r="G617">
        <v>47</v>
      </c>
      <c r="H617">
        <v>48</v>
      </c>
      <c r="I617">
        <f t="shared" si="9"/>
        <v>147</v>
      </c>
    </row>
    <row r="618" spans="1:9" x14ac:dyDescent="0.25">
      <c r="A618" t="s">
        <v>13</v>
      </c>
      <c r="B618" t="s">
        <v>14</v>
      </c>
      <c r="C618" t="s">
        <v>10</v>
      </c>
      <c r="D618" t="s">
        <v>11</v>
      </c>
      <c r="E618" t="s">
        <v>12</v>
      </c>
      <c r="F618">
        <v>75</v>
      </c>
      <c r="G618">
        <v>93</v>
      </c>
      <c r="H618">
        <v>97</v>
      </c>
      <c r="I618">
        <f t="shared" si="9"/>
        <v>265</v>
      </c>
    </row>
    <row r="619" spans="1:9" x14ac:dyDescent="0.25">
      <c r="A619" t="s">
        <v>8</v>
      </c>
      <c r="B619" t="s">
        <v>18</v>
      </c>
      <c r="C619" t="s">
        <v>10</v>
      </c>
      <c r="D619" t="s">
        <v>16</v>
      </c>
      <c r="E619" t="s">
        <v>12</v>
      </c>
      <c r="F619">
        <v>67</v>
      </c>
      <c r="G619">
        <v>66</v>
      </c>
      <c r="H619">
        <v>64</v>
      </c>
      <c r="I619">
        <f t="shared" si="9"/>
        <v>197</v>
      </c>
    </row>
    <row r="620" spans="1:9" x14ac:dyDescent="0.25">
      <c r="A620" t="s">
        <v>8</v>
      </c>
      <c r="B620" t="s">
        <v>20</v>
      </c>
      <c r="C620" t="s">
        <v>15</v>
      </c>
      <c r="D620" t="s">
        <v>11</v>
      </c>
      <c r="E620" t="s">
        <v>17</v>
      </c>
      <c r="F620">
        <v>58</v>
      </c>
      <c r="G620">
        <v>60</v>
      </c>
      <c r="H620">
        <v>53</v>
      </c>
      <c r="I620">
        <f t="shared" si="9"/>
        <v>171</v>
      </c>
    </row>
    <row r="621" spans="1:9" x14ac:dyDescent="0.25">
      <c r="A621" t="s">
        <v>13</v>
      </c>
      <c r="B621" t="s">
        <v>20</v>
      </c>
      <c r="C621" t="s">
        <v>22</v>
      </c>
      <c r="D621" t="s">
        <v>16</v>
      </c>
      <c r="E621" t="s">
        <v>17</v>
      </c>
      <c r="F621">
        <v>63</v>
      </c>
      <c r="G621">
        <v>66</v>
      </c>
      <c r="H621">
        <v>68</v>
      </c>
      <c r="I621">
        <f t="shared" si="9"/>
        <v>197</v>
      </c>
    </row>
    <row r="622" spans="1:9" x14ac:dyDescent="0.25">
      <c r="A622" t="s">
        <v>13</v>
      </c>
      <c r="B622" t="s">
        <v>14</v>
      </c>
      <c r="C622" t="s">
        <v>15</v>
      </c>
      <c r="D622" t="s">
        <v>16</v>
      </c>
      <c r="E622" t="s">
        <v>17</v>
      </c>
      <c r="F622">
        <v>49</v>
      </c>
      <c r="G622">
        <v>64</v>
      </c>
      <c r="H622">
        <v>57</v>
      </c>
      <c r="I622">
        <f t="shared" si="9"/>
        <v>170</v>
      </c>
    </row>
    <row r="623" spans="1:9" x14ac:dyDescent="0.25">
      <c r="A623" t="s">
        <v>13</v>
      </c>
      <c r="B623" t="s">
        <v>14</v>
      </c>
      <c r="C623" t="s">
        <v>19</v>
      </c>
      <c r="D623" t="s">
        <v>16</v>
      </c>
      <c r="E623" t="s">
        <v>17</v>
      </c>
      <c r="F623">
        <v>38</v>
      </c>
      <c r="G623">
        <v>47</v>
      </c>
      <c r="H623">
        <v>52</v>
      </c>
      <c r="I623">
        <f t="shared" si="9"/>
        <v>137</v>
      </c>
    </row>
    <row r="624" spans="1:9" x14ac:dyDescent="0.25">
      <c r="A624" t="s">
        <v>13</v>
      </c>
      <c r="B624" t="s">
        <v>20</v>
      </c>
      <c r="C624" t="s">
        <v>19</v>
      </c>
      <c r="D624" t="s">
        <v>11</v>
      </c>
      <c r="E624" t="s">
        <v>12</v>
      </c>
      <c r="F624">
        <v>74</v>
      </c>
      <c r="G624">
        <v>85</v>
      </c>
      <c r="H624">
        <v>84</v>
      </c>
      <c r="I624">
        <f t="shared" si="9"/>
        <v>243</v>
      </c>
    </row>
    <row r="625" spans="1:9" x14ac:dyDescent="0.25">
      <c r="A625" t="s">
        <v>8</v>
      </c>
      <c r="B625" t="s">
        <v>23</v>
      </c>
      <c r="C625" t="s">
        <v>21</v>
      </c>
      <c r="D625" t="s">
        <v>16</v>
      </c>
      <c r="E625" t="s">
        <v>12</v>
      </c>
      <c r="F625">
        <v>69</v>
      </c>
      <c r="G625">
        <v>84</v>
      </c>
      <c r="H625">
        <v>82</v>
      </c>
      <c r="I625">
        <f t="shared" si="9"/>
        <v>235</v>
      </c>
    </row>
    <row r="626" spans="1:9" x14ac:dyDescent="0.25">
      <c r="A626" t="s">
        <v>13</v>
      </c>
      <c r="B626" t="s">
        <v>14</v>
      </c>
      <c r="C626" t="s">
        <v>21</v>
      </c>
      <c r="D626" t="s">
        <v>11</v>
      </c>
      <c r="E626" t="s">
        <v>17</v>
      </c>
      <c r="F626">
        <v>77</v>
      </c>
      <c r="G626">
        <v>82</v>
      </c>
      <c r="H626">
        <v>80</v>
      </c>
      <c r="I626">
        <f t="shared" si="9"/>
        <v>239</v>
      </c>
    </row>
    <row r="627" spans="1:9" x14ac:dyDescent="0.25">
      <c r="A627" t="s">
        <v>13</v>
      </c>
      <c r="B627" t="s">
        <v>9</v>
      </c>
      <c r="C627" t="s">
        <v>24</v>
      </c>
      <c r="D627" t="s">
        <v>16</v>
      </c>
      <c r="E627" t="s">
        <v>17</v>
      </c>
      <c r="F627">
        <v>40</v>
      </c>
      <c r="G627">
        <v>59</v>
      </c>
      <c r="H627">
        <v>59</v>
      </c>
      <c r="I627">
        <f t="shared" si="9"/>
        <v>158</v>
      </c>
    </row>
    <row r="628" spans="1:9" x14ac:dyDescent="0.25">
      <c r="A628" t="s">
        <v>13</v>
      </c>
      <c r="B628" t="s">
        <v>20</v>
      </c>
      <c r="C628" t="s">
        <v>24</v>
      </c>
      <c r="D628" t="s">
        <v>11</v>
      </c>
      <c r="E628" t="s">
        <v>12</v>
      </c>
      <c r="F628">
        <v>96</v>
      </c>
      <c r="G628">
        <v>98</v>
      </c>
      <c r="H628">
        <v>100</v>
      </c>
      <c r="I628">
        <f t="shared" si="9"/>
        <v>294</v>
      </c>
    </row>
    <row r="629" spans="1:9" x14ac:dyDescent="0.25">
      <c r="A629" t="s">
        <v>13</v>
      </c>
      <c r="B629" t="s">
        <v>20</v>
      </c>
      <c r="C629" t="s">
        <v>22</v>
      </c>
      <c r="D629" t="s">
        <v>11</v>
      </c>
      <c r="E629" t="s">
        <v>17</v>
      </c>
      <c r="F629">
        <v>85</v>
      </c>
      <c r="G629">
        <v>86</v>
      </c>
      <c r="H629">
        <v>85</v>
      </c>
      <c r="I629">
        <f t="shared" si="9"/>
        <v>256</v>
      </c>
    </row>
    <row r="630" spans="1:9" x14ac:dyDescent="0.25">
      <c r="A630" t="s">
        <v>8</v>
      </c>
      <c r="B630" t="s">
        <v>14</v>
      </c>
      <c r="C630" t="s">
        <v>21</v>
      </c>
      <c r="D630" t="s">
        <v>11</v>
      </c>
      <c r="E630" t="s">
        <v>17</v>
      </c>
      <c r="F630">
        <v>85</v>
      </c>
      <c r="G630">
        <v>77</v>
      </c>
      <c r="H630">
        <v>76</v>
      </c>
      <c r="I630">
        <f t="shared" si="9"/>
        <v>238</v>
      </c>
    </row>
    <row r="631" spans="1:9" x14ac:dyDescent="0.25">
      <c r="A631" t="s">
        <v>8</v>
      </c>
      <c r="B631" t="s">
        <v>23</v>
      </c>
      <c r="C631" t="s">
        <v>10</v>
      </c>
      <c r="D631" t="s">
        <v>11</v>
      </c>
      <c r="E631" t="s">
        <v>17</v>
      </c>
      <c r="F631">
        <v>72</v>
      </c>
      <c r="G631">
        <v>59</v>
      </c>
      <c r="H631">
        <v>54</v>
      </c>
      <c r="I631">
        <f t="shared" si="9"/>
        <v>185</v>
      </c>
    </row>
    <row r="632" spans="1:9" x14ac:dyDescent="0.25">
      <c r="A632" t="s">
        <v>13</v>
      </c>
      <c r="B632" t="s">
        <v>20</v>
      </c>
      <c r="C632" t="s">
        <v>21</v>
      </c>
      <c r="D632" t="s">
        <v>16</v>
      </c>
      <c r="E632" t="s">
        <v>17</v>
      </c>
      <c r="F632">
        <v>63</v>
      </c>
      <c r="G632">
        <v>78</v>
      </c>
      <c r="H632">
        <v>73</v>
      </c>
      <c r="I632">
        <f t="shared" si="9"/>
        <v>214</v>
      </c>
    </row>
    <row r="633" spans="1:9" x14ac:dyDescent="0.25">
      <c r="A633" t="s">
        <v>8</v>
      </c>
      <c r="B633" t="s">
        <v>20</v>
      </c>
      <c r="C633" t="s">
        <v>15</v>
      </c>
      <c r="D633" t="s">
        <v>11</v>
      </c>
      <c r="E633" t="s">
        <v>17</v>
      </c>
      <c r="F633">
        <v>58</v>
      </c>
      <c r="G633">
        <v>67</v>
      </c>
      <c r="H633">
        <v>58</v>
      </c>
      <c r="I633">
        <f t="shared" si="9"/>
        <v>183</v>
      </c>
    </row>
    <row r="634" spans="1:9" x14ac:dyDescent="0.25">
      <c r="A634" t="s">
        <v>8</v>
      </c>
      <c r="B634" t="s">
        <v>20</v>
      </c>
      <c r="C634" t="s">
        <v>22</v>
      </c>
      <c r="D634" t="s">
        <v>16</v>
      </c>
      <c r="E634" t="s">
        <v>17</v>
      </c>
      <c r="F634">
        <v>58</v>
      </c>
      <c r="G634">
        <v>64</v>
      </c>
      <c r="H634">
        <v>54</v>
      </c>
      <c r="I634">
        <f t="shared" si="9"/>
        <v>176</v>
      </c>
    </row>
    <row r="635" spans="1:9" x14ac:dyDescent="0.25">
      <c r="A635" t="s">
        <v>8</v>
      </c>
      <c r="B635" t="s">
        <v>23</v>
      </c>
      <c r="C635" t="s">
        <v>10</v>
      </c>
      <c r="D635" t="s">
        <v>16</v>
      </c>
      <c r="E635" t="s">
        <v>17</v>
      </c>
      <c r="F635">
        <v>51</v>
      </c>
      <c r="G635">
        <v>57</v>
      </c>
      <c r="H635">
        <v>53</v>
      </c>
      <c r="I635">
        <f t="shared" si="9"/>
        <v>161</v>
      </c>
    </row>
    <row r="636" spans="1:9" x14ac:dyDescent="0.25">
      <c r="A636" t="s">
        <v>13</v>
      </c>
      <c r="B636" t="s">
        <v>14</v>
      </c>
      <c r="C636" t="s">
        <v>24</v>
      </c>
      <c r="D636" t="s">
        <v>11</v>
      </c>
      <c r="E636" t="s">
        <v>12</v>
      </c>
      <c r="F636">
        <v>100</v>
      </c>
      <c r="G636">
        <v>100</v>
      </c>
      <c r="H636">
        <v>100</v>
      </c>
      <c r="I636">
        <f t="shared" si="9"/>
        <v>300</v>
      </c>
    </row>
    <row r="637" spans="1:9" x14ac:dyDescent="0.25">
      <c r="A637" t="s">
        <v>13</v>
      </c>
      <c r="B637" t="s">
        <v>14</v>
      </c>
      <c r="C637" t="s">
        <v>24</v>
      </c>
      <c r="D637" t="s">
        <v>11</v>
      </c>
      <c r="E637" t="s">
        <v>17</v>
      </c>
      <c r="F637">
        <v>77</v>
      </c>
      <c r="G637">
        <v>84</v>
      </c>
      <c r="H637">
        <v>92</v>
      </c>
      <c r="I637">
        <f t="shared" si="9"/>
        <v>253</v>
      </c>
    </row>
    <row r="638" spans="1:9" x14ac:dyDescent="0.25">
      <c r="A638" t="s">
        <v>8</v>
      </c>
      <c r="B638" t="s">
        <v>18</v>
      </c>
      <c r="C638" t="s">
        <v>22</v>
      </c>
      <c r="D638" t="s">
        <v>16</v>
      </c>
      <c r="E638" t="s">
        <v>17</v>
      </c>
      <c r="F638">
        <v>63</v>
      </c>
      <c r="G638">
        <v>56</v>
      </c>
      <c r="H638">
        <v>56</v>
      </c>
      <c r="I638">
        <f t="shared" si="9"/>
        <v>175</v>
      </c>
    </row>
    <row r="639" spans="1:9" x14ac:dyDescent="0.25">
      <c r="A639" t="s">
        <v>13</v>
      </c>
      <c r="B639" t="s">
        <v>23</v>
      </c>
      <c r="C639" t="s">
        <v>19</v>
      </c>
      <c r="D639" t="s">
        <v>11</v>
      </c>
      <c r="E639" t="s">
        <v>17</v>
      </c>
      <c r="F639">
        <v>64</v>
      </c>
      <c r="G639">
        <v>67</v>
      </c>
      <c r="H639">
        <v>68</v>
      </c>
      <c r="I639">
        <f t="shared" si="9"/>
        <v>199</v>
      </c>
    </row>
    <row r="640" spans="1:9" x14ac:dyDescent="0.25">
      <c r="A640" t="s">
        <v>8</v>
      </c>
      <c r="B640" t="s">
        <v>18</v>
      </c>
      <c r="C640" t="s">
        <v>10</v>
      </c>
      <c r="D640" t="s">
        <v>11</v>
      </c>
      <c r="E640" t="s">
        <v>17</v>
      </c>
      <c r="F640">
        <v>100</v>
      </c>
      <c r="G640">
        <v>82</v>
      </c>
      <c r="H640">
        <v>80</v>
      </c>
      <c r="I640">
        <f t="shared" si="9"/>
        <v>262</v>
      </c>
    </row>
    <row r="641" spans="1:9" x14ac:dyDescent="0.25">
      <c r="A641" t="s">
        <v>8</v>
      </c>
      <c r="B641" t="s">
        <v>23</v>
      </c>
      <c r="C641" t="s">
        <v>21</v>
      </c>
      <c r="D641" t="s">
        <v>11</v>
      </c>
      <c r="E641" t="s">
        <v>17</v>
      </c>
      <c r="F641">
        <v>66</v>
      </c>
      <c r="G641">
        <v>65</v>
      </c>
      <c r="H641">
        <v>65</v>
      </c>
      <c r="I641">
        <f t="shared" si="9"/>
        <v>196</v>
      </c>
    </row>
    <row r="642" spans="1:9" x14ac:dyDescent="0.25">
      <c r="A642" t="s">
        <v>8</v>
      </c>
      <c r="B642" t="s">
        <v>18</v>
      </c>
      <c r="C642" t="s">
        <v>22</v>
      </c>
      <c r="D642" t="s">
        <v>11</v>
      </c>
      <c r="E642" t="s">
        <v>17</v>
      </c>
      <c r="F642">
        <v>87</v>
      </c>
      <c r="G642">
        <v>87</v>
      </c>
      <c r="H642">
        <v>84</v>
      </c>
      <c r="I642">
        <f t="shared" si="9"/>
        <v>258</v>
      </c>
    </row>
    <row r="643" spans="1:9" x14ac:dyDescent="0.25">
      <c r="A643" t="s">
        <v>8</v>
      </c>
      <c r="B643" t="s">
        <v>23</v>
      </c>
      <c r="C643" t="s">
        <v>10</v>
      </c>
      <c r="D643" t="s">
        <v>11</v>
      </c>
      <c r="E643" t="s">
        <v>17</v>
      </c>
      <c r="F643">
        <v>73</v>
      </c>
      <c r="G643">
        <v>72</v>
      </c>
      <c r="H643">
        <v>69</v>
      </c>
      <c r="I643">
        <f t="shared" ref="I643:I706" si="10">SUM(F643:H643)</f>
        <v>214</v>
      </c>
    </row>
    <row r="644" spans="1:9" x14ac:dyDescent="0.25">
      <c r="A644" t="s">
        <v>8</v>
      </c>
      <c r="B644" t="s">
        <v>23</v>
      </c>
      <c r="C644" t="s">
        <v>24</v>
      </c>
      <c r="D644" t="s">
        <v>16</v>
      </c>
      <c r="E644" t="s">
        <v>12</v>
      </c>
      <c r="F644">
        <v>69</v>
      </c>
      <c r="G644">
        <v>66</v>
      </c>
      <c r="H644">
        <v>65</v>
      </c>
      <c r="I644">
        <f t="shared" si="10"/>
        <v>200</v>
      </c>
    </row>
    <row r="645" spans="1:9" x14ac:dyDescent="0.25">
      <c r="A645" t="s">
        <v>13</v>
      </c>
      <c r="B645" t="s">
        <v>23</v>
      </c>
      <c r="C645" t="s">
        <v>10</v>
      </c>
      <c r="D645" t="s">
        <v>11</v>
      </c>
      <c r="E645" t="s">
        <v>17</v>
      </c>
      <c r="F645">
        <v>62</v>
      </c>
      <c r="G645">
        <v>64</v>
      </c>
      <c r="H645">
        <v>63</v>
      </c>
      <c r="I645">
        <f t="shared" si="10"/>
        <v>189</v>
      </c>
    </row>
    <row r="646" spans="1:9" x14ac:dyDescent="0.25">
      <c r="A646" t="s">
        <v>13</v>
      </c>
      <c r="B646" t="s">
        <v>23</v>
      </c>
      <c r="C646" t="s">
        <v>15</v>
      </c>
      <c r="D646" t="s">
        <v>11</v>
      </c>
      <c r="E646" t="s">
        <v>17</v>
      </c>
      <c r="F646">
        <v>40</v>
      </c>
      <c r="G646">
        <v>48</v>
      </c>
      <c r="H646">
        <v>49</v>
      </c>
      <c r="I646">
        <f t="shared" si="10"/>
        <v>137</v>
      </c>
    </row>
    <row r="647" spans="1:9" x14ac:dyDescent="0.25">
      <c r="A647" t="s">
        <v>8</v>
      </c>
      <c r="B647" t="s">
        <v>23</v>
      </c>
      <c r="C647" t="s">
        <v>19</v>
      </c>
      <c r="D647" t="s">
        <v>16</v>
      </c>
      <c r="E647" t="s">
        <v>12</v>
      </c>
      <c r="F647">
        <v>55</v>
      </c>
      <c r="G647">
        <v>68</v>
      </c>
      <c r="H647">
        <v>60</v>
      </c>
      <c r="I647">
        <f t="shared" si="10"/>
        <v>183</v>
      </c>
    </row>
    <row r="648" spans="1:9" x14ac:dyDescent="0.25">
      <c r="A648" t="s">
        <v>8</v>
      </c>
      <c r="B648" t="s">
        <v>14</v>
      </c>
      <c r="C648" t="s">
        <v>10</v>
      </c>
      <c r="D648" t="s">
        <v>11</v>
      </c>
      <c r="E648" t="s">
        <v>12</v>
      </c>
      <c r="F648">
        <v>77</v>
      </c>
      <c r="G648">
        <v>77</v>
      </c>
      <c r="H648">
        <v>78</v>
      </c>
      <c r="I648">
        <f t="shared" si="10"/>
        <v>232</v>
      </c>
    </row>
    <row r="649" spans="1:9" x14ac:dyDescent="0.25">
      <c r="A649" t="s">
        <v>8</v>
      </c>
      <c r="B649" t="s">
        <v>14</v>
      </c>
      <c r="C649" t="s">
        <v>19</v>
      </c>
      <c r="D649" t="s">
        <v>11</v>
      </c>
      <c r="E649" t="s">
        <v>12</v>
      </c>
      <c r="F649">
        <v>63</v>
      </c>
      <c r="G649">
        <v>70</v>
      </c>
      <c r="H649">
        <v>71</v>
      </c>
      <c r="I649">
        <f t="shared" si="10"/>
        <v>204</v>
      </c>
    </row>
    <row r="650" spans="1:9" x14ac:dyDescent="0.25">
      <c r="A650" t="s">
        <v>8</v>
      </c>
      <c r="B650" t="s">
        <v>14</v>
      </c>
      <c r="C650" t="s">
        <v>21</v>
      </c>
      <c r="D650" t="s">
        <v>11</v>
      </c>
      <c r="E650" t="s">
        <v>12</v>
      </c>
      <c r="F650">
        <v>85</v>
      </c>
      <c r="G650">
        <v>85</v>
      </c>
      <c r="H650">
        <v>91</v>
      </c>
      <c r="I650">
        <f t="shared" si="10"/>
        <v>261</v>
      </c>
    </row>
    <row r="651" spans="1:9" x14ac:dyDescent="0.25">
      <c r="A651" t="s">
        <v>13</v>
      </c>
      <c r="B651" t="s">
        <v>20</v>
      </c>
      <c r="C651" t="s">
        <v>10</v>
      </c>
      <c r="D651" t="s">
        <v>16</v>
      </c>
      <c r="E651" t="s">
        <v>17</v>
      </c>
      <c r="F651">
        <v>30</v>
      </c>
      <c r="G651">
        <v>43</v>
      </c>
      <c r="H651">
        <v>40</v>
      </c>
      <c r="I651">
        <f t="shared" si="10"/>
        <v>113</v>
      </c>
    </row>
    <row r="652" spans="1:9" x14ac:dyDescent="0.25">
      <c r="A652" t="s">
        <v>8</v>
      </c>
      <c r="B652" t="s">
        <v>20</v>
      </c>
      <c r="C652" t="s">
        <v>10</v>
      </c>
      <c r="D652" t="s">
        <v>11</v>
      </c>
      <c r="E652" t="s">
        <v>17</v>
      </c>
      <c r="F652">
        <v>82</v>
      </c>
      <c r="G652">
        <v>77</v>
      </c>
      <c r="H652">
        <v>71</v>
      </c>
      <c r="I652">
        <f t="shared" si="10"/>
        <v>230</v>
      </c>
    </row>
    <row r="653" spans="1:9" x14ac:dyDescent="0.25">
      <c r="A653" t="s">
        <v>8</v>
      </c>
      <c r="B653" t="s">
        <v>14</v>
      </c>
      <c r="C653" t="s">
        <v>21</v>
      </c>
      <c r="D653" t="s">
        <v>16</v>
      </c>
      <c r="E653" t="s">
        <v>12</v>
      </c>
      <c r="F653">
        <v>81</v>
      </c>
      <c r="G653">
        <v>71</v>
      </c>
      <c r="H653">
        <v>70</v>
      </c>
      <c r="I653">
        <f t="shared" si="10"/>
        <v>222</v>
      </c>
    </row>
    <row r="654" spans="1:9" x14ac:dyDescent="0.25">
      <c r="A654" t="s">
        <v>13</v>
      </c>
      <c r="B654" t="s">
        <v>23</v>
      </c>
      <c r="C654" t="s">
        <v>15</v>
      </c>
      <c r="D654" t="s">
        <v>11</v>
      </c>
      <c r="E654" t="s">
        <v>12</v>
      </c>
      <c r="F654">
        <v>92</v>
      </c>
      <c r="G654">
        <v>100</v>
      </c>
      <c r="H654">
        <v>97</v>
      </c>
      <c r="I654">
        <f t="shared" si="10"/>
        <v>289</v>
      </c>
    </row>
    <row r="655" spans="1:9" x14ac:dyDescent="0.25">
      <c r="A655" t="s">
        <v>8</v>
      </c>
      <c r="B655" t="s">
        <v>20</v>
      </c>
      <c r="C655" t="s">
        <v>19</v>
      </c>
      <c r="D655" t="s">
        <v>16</v>
      </c>
      <c r="E655" t="s">
        <v>17</v>
      </c>
      <c r="F655">
        <v>50</v>
      </c>
      <c r="G655">
        <v>48</v>
      </c>
      <c r="H655">
        <v>36</v>
      </c>
      <c r="I655">
        <f t="shared" si="10"/>
        <v>134</v>
      </c>
    </row>
    <row r="656" spans="1:9" x14ac:dyDescent="0.25">
      <c r="A656" t="s">
        <v>13</v>
      </c>
      <c r="B656" t="s">
        <v>20</v>
      </c>
      <c r="C656" t="s">
        <v>21</v>
      </c>
      <c r="D656" t="s">
        <v>11</v>
      </c>
      <c r="E656" t="s">
        <v>17</v>
      </c>
      <c r="F656">
        <v>54</v>
      </c>
      <c r="G656">
        <v>60</v>
      </c>
      <c r="H656">
        <v>56</v>
      </c>
      <c r="I656">
        <f t="shared" si="10"/>
        <v>170</v>
      </c>
    </row>
    <row r="657" spans="1:9" x14ac:dyDescent="0.25">
      <c r="A657" t="s">
        <v>8</v>
      </c>
      <c r="B657" t="s">
        <v>23</v>
      </c>
      <c r="C657" t="s">
        <v>21</v>
      </c>
      <c r="D657" t="s">
        <v>11</v>
      </c>
      <c r="E657" t="s">
        <v>12</v>
      </c>
      <c r="F657">
        <v>76</v>
      </c>
      <c r="G657">
        <v>83</v>
      </c>
      <c r="H657">
        <v>78</v>
      </c>
      <c r="I657">
        <f t="shared" si="10"/>
        <v>237</v>
      </c>
    </row>
    <row r="658" spans="1:9" x14ac:dyDescent="0.25">
      <c r="A658" t="s">
        <v>13</v>
      </c>
      <c r="B658" t="s">
        <v>14</v>
      </c>
      <c r="C658" t="s">
        <v>15</v>
      </c>
      <c r="D658" t="s">
        <v>11</v>
      </c>
      <c r="E658" t="s">
        <v>17</v>
      </c>
      <c r="F658">
        <v>60</v>
      </c>
      <c r="G658">
        <v>68</v>
      </c>
      <c r="H658">
        <v>74</v>
      </c>
      <c r="I658">
        <f t="shared" si="10"/>
        <v>202</v>
      </c>
    </row>
    <row r="659" spans="1:9" x14ac:dyDescent="0.25">
      <c r="A659" t="s">
        <v>13</v>
      </c>
      <c r="B659" t="s">
        <v>9</v>
      </c>
      <c r="C659" t="s">
        <v>21</v>
      </c>
      <c r="D659" t="s">
        <v>16</v>
      </c>
      <c r="E659" t="s">
        <v>12</v>
      </c>
      <c r="F659">
        <v>45</v>
      </c>
      <c r="G659">
        <v>72</v>
      </c>
      <c r="H659">
        <v>66</v>
      </c>
      <c r="I659">
        <f t="shared" si="10"/>
        <v>183</v>
      </c>
    </row>
    <row r="660" spans="1:9" x14ac:dyDescent="0.25">
      <c r="A660" t="s">
        <v>8</v>
      </c>
      <c r="B660" t="s">
        <v>14</v>
      </c>
      <c r="C660" t="s">
        <v>10</v>
      </c>
      <c r="D660" t="s">
        <v>11</v>
      </c>
      <c r="E660" t="s">
        <v>17</v>
      </c>
      <c r="F660">
        <v>80</v>
      </c>
      <c r="G660">
        <v>77</v>
      </c>
      <c r="H660">
        <v>72</v>
      </c>
      <c r="I660">
        <f t="shared" si="10"/>
        <v>229</v>
      </c>
    </row>
    <row r="661" spans="1:9" x14ac:dyDescent="0.25">
      <c r="A661" t="s">
        <v>8</v>
      </c>
      <c r="B661" t="s">
        <v>14</v>
      </c>
      <c r="C661" t="s">
        <v>15</v>
      </c>
      <c r="D661" t="s">
        <v>16</v>
      </c>
      <c r="E661" t="s">
        <v>17</v>
      </c>
      <c r="F661">
        <v>52</v>
      </c>
      <c r="G661">
        <v>45</v>
      </c>
      <c r="H661">
        <v>48</v>
      </c>
      <c r="I661">
        <f t="shared" si="10"/>
        <v>145</v>
      </c>
    </row>
    <row r="662" spans="1:9" x14ac:dyDescent="0.25">
      <c r="A662" t="s">
        <v>13</v>
      </c>
      <c r="B662" t="s">
        <v>23</v>
      </c>
      <c r="C662" t="s">
        <v>10</v>
      </c>
      <c r="D662" t="s">
        <v>11</v>
      </c>
      <c r="E662" t="s">
        <v>12</v>
      </c>
      <c r="F662">
        <v>90</v>
      </c>
      <c r="G662">
        <v>89</v>
      </c>
      <c r="H662">
        <v>97</v>
      </c>
      <c r="I662">
        <f t="shared" si="10"/>
        <v>276</v>
      </c>
    </row>
    <row r="663" spans="1:9" x14ac:dyDescent="0.25">
      <c r="A663" t="s">
        <v>13</v>
      </c>
      <c r="B663" t="s">
        <v>14</v>
      </c>
      <c r="C663" t="s">
        <v>10</v>
      </c>
      <c r="D663" t="s">
        <v>16</v>
      </c>
      <c r="E663" t="s">
        <v>17</v>
      </c>
      <c r="F663">
        <v>53</v>
      </c>
      <c r="G663">
        <v>65</v>
      </c>
      <c r="H663">
        <v>69</v>
      </c>
      <c r="I663">
        <f t="shared" si="10"/>
        <v>187</v>
      </c>
    </row>
    <row r="664" spans="1:9" x14ac:dyDescent="0.25">
      <c r="A664" t="s">
        <v>13</v>
      </c>
      <c r="B664" t="s">
        <v>23</v>
      </c>
      <c r="C664" t="s">
        <v>21</v>
      </c>
      <c r="D664" t="s">
        <v>11</v>
      </c>
      <c r="E664" t="s">
        <v>17</v>
      </c>
      <c r="F664">
        <v>92</v>
      </c>
      <c r="G664">
        <v>95</v>
      </c>
      <c r="H664">
        <v>95</v>
      </c>
      <c r="I664">
        <f t="shared" si="10"/>
        <v>282</v>
      </c>
    </row>
    <row r="665" spans="1:9" x14ac:dyDescent="0.25">
      <c r="A665" t="s">
        <v>13</v>
      </c>
      <c r="B665" t="s">
        <v>23</v>
      </c>
      <c r="C665" t="s">
        <v>19</v>
      </c>
      <c r="D665" t="s">
        <v>11</v>
      </c>
      <c r="E665" t="s">
        <v>12</v>
      </c>
      <c r="F665">
        <v>63</v>
      </c>
      <c r="G665">
        <v>78</v>
      </c>
      <c r="H665">
        <v>75</v>
      </c>
      <c r="I665">
        <f t="shared" si="10"/>
        <v>216</v>
      </c>
    </row>
    <row r="666" spans="1:9" x14ac:dyDescent="0.25">
      <c r="A666" t="s">
        <v>13</v>
      </c>
      <c r="B666" t="s">
        <v>20</v>
      </c>
      <c r="C666" t="s">
        <v>15</v>
      </c>
      <c r="D666" t="s">
        <v>11</v>
      </c>
      <c r="E666" t="s">
        <v>17</v>
      </c>
      <c r="F666">
        <v>71</v>
      </c>
      <c r="G666">
        <v>77</v>
      </c>
      <c r="H666">
        <v>79</v>
      </c>
      <c r="I666">
        <f t="shared" si="10"/>
        <v>227</v>
      </c>
    </row>
    <row r="667" spans="1:9" x14ac:dyDescent="0.25">
      <c r="A667" t="s">
        <v>13</v>
      </c>
      <c r="B667" t="s">
        <v>14</v>
      </c>
      <c r="C667" t="s">
        <v>15</v>
      </c>
      <c r="D667" t="s">
        <v>11</v>
      </c>
      <c r="E667" t="s">
        <v>17</v>
      </c>
      <c r="F667">
        <v>64</v>
      </c>
      <c r="G667">
        <v>70</v>
      </c>
      <c r="H667">
        <v>73</v>
      </c>
      <c r="I667">
        <f t="shared" si="10"/>
        <v>207</v>
      </c>
    </row>
    <row r="668" spans="1:9" x14ac:dyDescent="0.25">
      <c r="A668" t="s">
        <v>13</v>
      </c>
      <c r="B668" t="s">
        <v>23</v>
      </c>
      <c r="C668" t="s">
        <v>19</v>
      </c>
      <c r="D668" t="s">
        <v>11</v>
      </c>
      <c r="E668" t="s">
        <v>12</v>
      </c>
      <c r="F668">
        <v>67</v>
      </c>
      <c r="G668">
        <v>81</v>
      </c>
      <c r="H668">
        <v>89</v>
      </c>
      <c r="I668">
        <f t="shared" si="10"/>
        <v>237</v>
      </c>
    </row>
    <row r="669" spans="1:9" x14ac:dyDescent="0.25">
      <c r="A669" t="s">
        <v>8</v>
      </c>
      <c r="B669" t="s">
        <v>23</v>
      </c>
      <c r="C669" t="s">
        <v>10</v>
      </c>
      <c r="D669" t="s">
        <v>16</v>
      </c>
      <c r="E669" t="s">
        <v>17</v>
      </c>
      <c r="F669">
        <v>63</v>
      </c>
      <c r="G669">
        <v>63</v>
      </c>
      <c r="H669">
        <v>61</v>
      </c>
      <c r="I669">
        <f t="shared" si="10"/>
        <v>187</v>
      </c>
    </row>
    <row r="670" spans="1:9" x14ac:dyDescent="0.25">
      <c r="A670" t="s">
        <v>8</v>
      </c>
      <c r="B670" t="s">
        <v>20</v>
      </c>
      <c r="C670" t="s">
        <v>10</v>
      </c>
      <c r="D670" t="s">
        <v>11</v>
      </c>
      <c r="E670" t="s">
        <v>17</v>
      </c>
      <c r="F670">
        <v>63</v>
      </c>
      <c r="G670">
        <v>53</v>
      </c>
      <c r="H670">
        <v>44</v>
      </c>
      <c r="I670">
        <f t="shared" si="10"/>
        <v>160</v>
      </c>
    </row>
    <row r="671" spans="1:9" x14ac:dyDescent="0.25">
      <c r="A671" t="s">
        <v>8</v>
      </c>
      <c r="B671" t="s">
        <v>23</v>
      </c>
      <c r="C671" t="s">
        <v>15</v>
      </c>
      <c r="D671" t="s">
        <v>11</v>
      </c>
      <c r="E671" t="s">
        <v>17</v>
      </c>
      <c r="F671">
        <v>59</v>
      </c>
      <c r="G671">
        <v>49</v>
      </c>
      <c r="H671">
        <v>46</v>
      </c>
      <c r="I671">
        <f t="shared" si="10"/>
        <v>154</v>
      </c>
    </row>
    <row r="672" spans="1:9" x14ac:dyDescent="0.25">
      <c r="A672" t="s">
        <v>8</v>
      </c>
      <c r="B672" t="s">
        <v>18</v>
      </c>
      <c r="C672" t="s">
        <v>10</v>
      </c>
      <c r="D672" t="s">
        <v>11</v>
      </c>
      <c r="E672" t="s">
        <v>17</v>
      </c>
      <c r="F672">
        <v>49</v>
      </c>
      <c r="G672">
        <v>43</v>
      </c>
      <c r="H672">
        <v>35</v>
      </c>
      <c r="I672">
        <f t="shared" si="10"/>
        <v>127</v>
      </c>
    </row>
    <row r="673" spans="1:9" x14ac:dyDescent="0.25">
      <c r="A673" t="s">
        <v>13</v>
      </c>
      <c r="B673" t="s">
        <v>14</v>
      </c>
      <c r="C673" t="s">
        <v>24</v>
      </c>
      <c r="D673" t="s">
        <v>11</v>
      </c>
      <c r="E673" t="s">
        <v>17</v>
      </c>
      <c r="F673">
        <v>75</v>
      </c>
      <c r="G673">
        <v>84</v>
      </c>
      <c r="H673">
        <v>86</v>
      </c>
      <c r="I673">
        <f t="shared" si="10"/>
        <v>245</v>
      </c>
    </row>
    <row r="674" spans="1:9" x14ac:dyDescent="0.25">
      <c r="A674" t="s">
        <v>13</v>
      </c>
      <c r="B674" t="s">
        <v>23</v>
      </c>
      <c r="C674" t="s">
        <v>15</v>
      </c>
      <c r="D674" t="s">
        <v>16</v>
      </c>
      <c r="E674" t="s">
        <v>17</v>
      </c>
      <c r="F674">
        <v>34</v>
      </c>
      <c r="G674">
        <v>47</v>
      </c>
      <c r="H674">
        <v>45</v>
      </c>
      <c r="I674">
        <f t="shared" si="10"/>
        <v>126</v>
      </c>
    </row>
    <row r="675" spans="1:9" x14ac:dyDescent="0.25">
      <c r="A675" t="s">
        <v>13</v>
      </c>
      <c r="B675" t="s">
        <v>20</v>
      </c>
      <c r="C675" t="s">
        <v>21</v>
      </c>
      <c r="D675" t="s">
        <v>16</v>
      </c>
      <c r="E675" t="s">
        <v>17</v>
      </c>
      <c r="F675">
        <v>53</v>
      </c>
      <c r="G675">
        <v>70</v>
      </c>
      <c r="H675">
        <v>69</v>
      </c>
      <c r="I675">
        <f t="shared" si="10"/>
        <v>192</v>
      </c>
    </row>
    <row r="676" spans="1:9" x14ac:dyDescent="0.25">
      <c r="A676" t="s">
        <v>8</v>
      </c>
      <c r="B676" t="s">
        <v>20</v>
      </c>
      <c r="C676" t="s">
        <v>24</v>
      </c>
      <c r="D676" t="s">
        <v>11</v>
      </c>
      <c r="E676" t="s">
        <v>17</v>
      </c>
      <c r="F676">
        <v>63</v>
      </c>
      <c r="G676">
        <v>56</v>
      </c>
      <c r="H676">
        <v>60</v>
      </c>
      <c r="I676">
        <f t="shared" si="10"/>
        <v>179</v>
      </c>
    </row>
    <row r="677" spans="1:9" x14ac:dyDescent="0.25">
      <c r="A677" t="s">
        <v>8</v>
      </c>
      <c r="B677" t="s">
        <v>23</v>
      </c>
      <c r="C677" t="s">
        <v>21</v>
      </c>
      <c r="D677" t="s">
        <v>11</v>
      </c>
      <c r="E677" t="s">
        <v>17</v>
      </c>
      <c r="F677">
        <v>75</v>
      </c>
      <c r="G677">
        <v>69</v>
      </c>
      <c r="H677">
        <v>65</v>
      </c>
      <c r="I677">
        <f t="shared" si="10"/>
        <v>209</v>
      </c>
    </row>
    <row r="678" spans="1:9" x14ac:dyDescent="0.25">
      <c r="A678" t="s">
        <v>8</v>
      </c>
      <c r="B678" t="s">
        <v>18</v>
      </c>
      <c r="C678" t="s">
        <v>21</v>
      </c>
      <c r="D678" t="s">
        <v>16</v>
      </c>
      <c r="E678" t="s">
        <v>17</v>
      </c>
      <c r="F678">
        <v>63</v>
      </c>
      <c r="G678">
        <v>61</v>
      </c>
      <c r="H678">
        <v>62</v>
      </c>
      <c r="I678">
        <f t="shared" si="10"/>
        <v>186</v>
      </c>
    </row>
    <row r="679" spans="1:9" x14ac:dyDescent="0.25">
      <c r="A679" t="s">
        <v>13</v>
      </c>
      <c r="B679" t="s">
        <v>23</v>
      </c>
      <c r="C679" t="s">
        <v>10</v>
      </c>
      <c r="D679" t="s">
        <v>11</v>
      </c>
      <c r="E679" t="s">
        <v>17</v>
      </c>
      <c r="F679">
        <v>70</v>
      </c>
      <c r="G679">
        <v>72</v>
      </c>
      <c r="H679">
        <v>75</v>
      </c>
      <c r="I679">
        <f t="shared" si="10"/>
        <v>217</v>
      </c>
    </row>
    <row r="680" spans="1:9" x14ac:dyDescent="0.25">
      <c r="A680" t="s">
        <v>13</v>
      </c>
      <c r="B680" t="s">
        <v>23</v>
      </c>
      <c r="C680" t="s">
        <v>19</v>
      </c>
      <c r="D680" t="s">
        <v>11</v>
      </c>
      <c r="E680" t="s">
        <v>17</v>
      </c>
      <c r="F680">
        <v>61</v>
      </c>
      <c r="G680">
        <v>73</v>
      </c>
      <c r="H680">
        <v>70</v>
      </c>
      <c r="I680">
        <f t="shared" si="10"/>
        <v>204</v>
      </c>
    </row>
    <row r="681" spans="1:9" x14ac:dyDescent="0.25">
      <c r="A681" t="s">
        <v>8</v>
      </c>
      <c r="B681" t="s">
        <v>23</v>
      </c>
      <c r="C681" t="s">
        <v>21</v>
      </c>
      <c r="D681" t="s">
        <v>11</v>
      </c>
      <c r="E681" t="s">
        <v>17</v>
      </c>
      <c r="F681">
        <v>74</v>
      </c>
      <c r="G681">
        <v>61</v>
      </c>
      <c r="H681">
        <v>59</v>
      </c>
      <c r="I681">
        <f t="shared" si="10"/>
        <v>194</v>
      </c>
    </row>
    <row r="682" spans="1:9" x14ac:dyDescent="0.25">
      <c r="A682" t="s">
        <v>8</v>
      </c>
      <c r="B682" t="s">
        <v>14</v>
      </c>
      <c r="C682" t="s">
        <v>21</v>
      </c>
      <c r="D682" t="s">
        <v>16</v>
      </c>
      <c r="E682" t="s">
        <v>17</v>
      </c>
      <c r="F682">
        <v>57</v>
      </c>
      <c r="G682">
        <v>49</v>
      </c>
      <c r="H682">
        <v>48</v>
      </c>
      <c r="I682">
        <f t="shared" si="10"/>
        <v>154</v>
      </c>
    </row>
    <row r="683" spans="1:9" x14ac:dyDescent="0.25">
      <c r="A683" t="s">
        <v>8</v>
      </c>
      <c r="B683" t="s">
        <v>23</v>
      </c>
      <c r="C683" t="s">
        <v>15</v>
      </c>
      <c r="D683" t="s">
        <v>16</v>
      </c>
      <c r="E683" t="s">
        <v>12</v>
      </c>
      <c r="F683">
        <v>41</v>
      </c>
      <c r="G683">
        <v>52</v>
      </c>
      <c r="H683">
        <v>47</v>
      </c>
      <c r="I683">
        <f t="shared" si="10"/>
        <v>140</v>
      </c>
    </row>
    <row r="684" spans="1:9" x14ac:dyDescent="0.25">
      <c r="A684" t="s">
        <v>8</v>
      </c>
      <c r="B684" t="s">
        <v>14</v>
      </c>
      <c r="C684" t="s">
        <v>15</v>
      </c>
      <c r="D684" t="s">
        <v>11</v>
      </c>
      <c r="E684" t="s">
        <v>17</v>
      </c>
      <c r="F684">
        <v>87</v>
      </c>
      <c r="G684">
        <v>80</v>
      </c>
      <c r="H684">
        <v>76</v>
      </c>
      <c r="I684">
        <f t="shared" si="10"/>
        <v>243</v>
      </c>
    </row>
    <row r="685" spans="1:9" x14ac:dyDescent="0.25">
      <c r="A685" t="s">
        <v>8</v>
      </c>
      <c r="B685" t="s">
        <v>23</v>
      </c>
      <c r="C685" t="s">
        <v>10</v>
      </c>
      <c r="D685" t="s">
        <v>16</v>
      </c>
      <c r="E685" t="s">
        <v>17</v>
      </c>
      <c r="F685">
        <v>69</v>
      </c>
      <c r="G685">
        <v>71</v>
      </c>
      <c r="H685">
        <v>62</v>
      </c>
      <c r="I685">
        <f t="shared" si="10"/>
        <v>202</v>
      </c>
    </row>
    <row r="686" spans="1:9" x14ac:dyDescent="0.25">
      <c r="A686" t="s">
        <v>8</v>
      </c>
      <c r="B686" t="s">
        <v>23</v>
      </c>
      <c r="C686" t="s">
        <v>21</v>
      </c>
      <c r="D686" t="s">
        <v>16</v>
      </c>
      <c r="E686" t="s">
        <v>17</v>
      </c>
      <c r="F686">
        <v>69</v>
      </c>
      <c r="G686">
        <v>77</v>
      </c>
      <c r="H686">
        <v>70</v>
      </c>
      <c r="I686">
        <f t="shared" si="10"/>
        <v>216</v>
      </c>
    </row>
    <row r="687" spans="1:9" x14ac:dyDescent="0.25">
      <c r="A687" t="s">
        <v>8</v>
      </c>
      <c r="B687" t="s">
        <v>14</v>
      </c>
      <c r="C687" t="s">
        <v>10</v>
      </c>
      <c r="D687" t="s">
        <v>11</v>
      </c>
      <c r="E687" t="s">
        <v>12</v>
      </c>
      <c r="F687">
        <v>58</v>
      </c>
      <c r="G687">
        <v>56</v>
      </c>
      <c r="H687">
        <v>56</v>
      </c>
      <c r="I687">
        <f t="shared" si="10"/>
        <v>170</v>
      </c>
    </row>
    <row r="688" spans="1:9" x14ac:dyDescent="0.25">
      <c r="A688" t="s">
        <v>13</v>
      </c>
      <c r="B688" t="s">
        <v>20</v>
      </c>
      <c r="C688" t="s">
        <v>19</v>
      </c>
      <c r="D688" t="s">
        <v>16</v>
      </c>
      <c r="E688" t="s">
        <v>12</v>
      </c>
      <c r="F688">
        <v>47</v>
      </c>
      <c r="G688">
        <v>69</v>
      </c>
      <c r="H688">
        <v>62</v>
      </c>
      <c r="I688">
        <f t="shared" si="10"/>
        <v>178</v>
      </c>
    </row>
    <row r="689" spans="1:9" x14ac:dyDescent="0.25">
      <c r="A689" t="s">
        <v>8</v>
      </c>
      <c r="B689" t="s">
        <v>14</v>
      </c>
      <c r="C689" t="s">
        <v>21</v>
      </c>
      <c r="D689" t="s">
        <v>11</v>
      </c>
      <c r="E689" t="s">
        <v>12</v>
      </c>
      <c r="F689">
        <v>78</v>
      </c>
      <c r="G689">
        <v>69</v>
      </c>
      <c r="H689">
        <v>71</v>
      </c>
      <c r="I689">
        <f t="shared" si="10"/>
        <v>218</v>
      </c>
    </row>
    <row r="690" spans="1:9" x14ac:dyDescent="0.25">
      <c r="A690" t="s">
        <v>13</v>
      </c>
      <c r="B690" t="s">
        <v>20</v>
      </c>
      <c r="C690" t="s">
        <v>19</v>
      </c>
      <c r="D690" t="s">
        <v>16</v>
      </c>
      <c r="E690" t="s">
        <v>12</v>
      </c>
      <c r="F690">
        <v>54</v>
      </c>
      <c r="G690">
        <v>61</v>
      </c>
      <c r="H690">
        <v>71</v>
      </c>
      <c r="I690">
        <f t="shared" si="10"/>
        <v>186</v>
      </c>
    </row>
    <row r="691" spans="1:9" x14ac:dyDescent="0.25">
      <c r="A691" t="s">
        <v>8</v>
      </c>
      <c r="B691" t="s">
        <v>23</v>
      </c>
      <c r="C691" t="s">
        <v>19</v>
      </c>
      <c r="D691" t="s">
        <v>16</v>
      </c>
      <c r="E691" t="s">
        <v>17</v>
      </c>
      <c r="F691">
        <v>36</v>
      </c>
      <c r="G691">
        <v>27</v>
      </c>
      <c r="H691">
        <v>26</v>
      </c>
      <c r="I691">
        <f t="shared" si="10"/>
        <v>89</v>
      </c>
    </row>
    <row r="692" spans="1:9" x14ac:dyDescent="0.25">
      <c r="A692" t="s">
        <v>8</v>
      </c>
      <c r="B692" t="s">
        <v>20</v>
      </c>
      <c r="C692" t="s">
        <v>22</v>
      </c>
      <c r="D692" t="s">
        <v>11</v>
      </c>
      <c r="E692" t="s">
        <v>12</v>
      </c>
      <c r="F692">
        <v>94</v>
      </c>
      <c r="G692">
        <v>92</v>
      </c>
      <c r="H692">
        <v>92</v>
      </c>
      <c r="I692">
        <f t="shared" si="10"/>
        <v>278</v>
      </c>
    </row>
    <row r="693" spans="1:9" x14ac:dyDescent="0.25">
      <c r="A693" t="s">
        <v>13</v>
      </c>
      <c r="B693" t="s">
        <v>14</v>
      </c>
      <c r="C693" t="s">
        <v>21</v>
      </c>
      <c r="D693" t="s">
        <v>16</v>
      </c>
      <c r="E693" t="s">
        <v>17</v>
      </c>
      <c r="F693">
        <v>68</v>
      </c>
      <c r="G693">
        <v>84</v>
      </c>
      <c r="H693">
        <v>80</v>
      </c>
      <c r="I693">
        <f t="shared" si="10"/>
        <v>232</v>
      </c>
    </row>
    <row r="694" spans="1:9" x14ac:dyDescent="0.25">
      <c r="A694" t="s">
        <v>13</v>
      </c>
      <c r="B694" t="s">
        <v>18</v>
      </c>
      <c r="C694" t="s">
        <v>10</v>
      </c>
      <c r="D694" t="s">
        <v>11</v>
      </c>
      <c r="E694" t="s">
        <v>17</v>
      </c>
      <c r="F694">
        <v>90</v>
      </c>
      <c r="G694">
        <v>88</v>
      </c>
      <c r="H694">
        <v>84</v>
      </c>
      <c r="I694">
        <f t="shared" si="10"/>
        <v>262</v>
      </c>
    </row>
    <row r="695" spans="1:9" x14ac:dyDescent="0.25">
      <c r="A695" t="s">
        <v>8</v>
      </c>
      <c r="B695" t="s">
        <v>9</v>
      </c>
      <c r="C695" t="s">
        <v>19</v>
      </c>
      <c r="D695" t="s">
        <v>11</v>
      </c>
      <c r="E695" t="s">
        <v>17</v>
      </c>
      <c r="F695">
        <v>57</v>
      </c>
      <c r="G695">
        <v>57</v>
      </c>
      <c r="H695">
        <v>53</v>
      </c>
      <c r="I695">
        <f t="shared" si="10"/>
        <v>167</v>
      </c>
    </row>
    <row r="696" spans="1:9" x14ac:dyDescent="0.25">
      <c r="A696" t="s">
        <v>8</v>
      </c>
      <c r="B696" t="s">
        <v>14</v>
      </c>
      <c r="C696" t="s">
        <v>19</v>
      </c>
      <c r="D696" t="s">
        <v>11</v>
      </c>
      <c r="E696" t="s">
        <v>12</v>
      </c>
      <c r="F696">
        <v>96</v>
      </c>
      <c r="G696">
        <v>95</v>
      </c>
      <c r="H696">
        <v>90</v>
      </c>
      <c r="I696">
        <f t="shared" si="10"/>
        <v>281</v>
      </c>
    </row>
    <row r="697" spans="1:9" x14ac:dyDescent="0.25">
      <c r="A697" t="s">
        <v>8</v>
      </c>
      <c r="B697" t="s">
        <v>20</v>
      </c>
      <c r="C697" t="s">
        <v>15</v>
      </c>
      <c r="D697" t="s">
        <v>11</v>
      </c>
      <c r="E697" t="s">
        <v>12</v>
      </c>
      <c r="F697">
        <v>68</v>
      </c>
      <c r="G697">
        <v>63</v>
      </c>
      <c r="H697">
        <v>62</v>
      </c>
      <c r="I697">
        <f t="shared" si="10"/>
        <v>193</v>
      </c>
    </row>
    <row r="698" spans="1:9" x14ac:dyDescent="0.25">
      <c r="A698" t="s">
        <v>13</v>
      </c>
      <c r="B698" t="s">
        <v>23</v>
      </c>
      <c r="C698" t="s">
        <v>15</v>
      </c>
      <c r="D698" t="s">
        <v>11</v>
      </c>
      <c r="E698" t="s">
        <v>12</v>
      </c>
      <c r="F698">
        <v>52</v>
      </c>
      <c r="G698">
        <v>64</v>
      </c>
      <c r="H698">
        <v>63</v>
      </c>
      <c r="I698">
        <f t="shared" si="10"/>
        <v>179</v>
      </c>
    </row>
    <row r="699" spans="1:9" x14ac:dyDescent="0.25">
      <c r="A699" t="s">
        <v>8</v>
      </c>
      <c r="B699" t="s">
        <v>18</v>
      </c>
      <c r="C699" t="s">
        <v>21</v>
      </c>
      <c r="D699" t="s">
        <v>11</v>
      </c>
      <c r="E699" t="s">
        <v>17</v>
      </c>
      <c r="F699">
        <v>90</v>
      </c>
      <c r="G699">
        <v>76</v>
      </c>
      <c r="H699">
        <v>73</v>
      </c>
      <c r="I699">
        <f t="shared" si="10"/>
        <v>239</v>
      </c>
    </row>
    <row r="700" spans="1:9" x14ac:dyDescent="0.25">
      <c r="A700" t="s">
        <v>8</v>
      </c>
      <c r="B700" t="s">
        <v>23</v>
      </c>
      <c r="C700" t="s">
        <v>19</v>
      </c>
      <c r="D700" t="s">
        <v>16</v>
      </c>
      <c r="E700" t="s">
        <v>12</v>
      </c>
      <c r="F700">
        <v>71</v>
      </c>
      <c r="G700">
        <v>82</v>
      </c>
      <c r="H700">
        <v>75</v>
      </c>
      <c r="I700">
        <f t="shared" si="10"/>
        <v>228</v>
      </c>
    </row>
    <row r="701" spans="1:9" x14ac:dyDescent="0.25">
      <c r="A701" t="s">
        <v>13</v>
      </c>
      <c r="B701" t="s">
        <v>23</v>
      </c>
      <c r="C701" t="s">
        <v>19</v>
      </c>
      <c r="D701" t="s">
        <v>16</v>
      </c>
      <c r="E701" t="s">
        <v>12</v>
      </c>
      <c r="F701">
        <v>58</v>
      </c>
      <c r="G701">
        <v>69</v>
      </c>
      <c r="H701">
        <v>74</v>
      </c>
      <c r="I701">
        <f t="shared" si="10"/>
        <v>201</v>
      </c>
    </row>
    <row r="702" spans="1:9" x14ac:dyDescent="0.25">
      <c r="A702" t="s">
        <v>8</v>
      </c>
      <c r="B702" t="s">
        <v>23</v>
      </c>
      <c r="C702" t="s">
        <v>15</v>
      </c>
      <c r="D702" t="s">
        <v>16</v>
      </c>
      <c r="E702" t="s">
        <v>17</v>
      </c>
      <c r="F702">
        <v>41</v>
      </c>
      <c r="G702">
        <v>39</v>
      </c>
      <c r="H702">
        <v>34</v>
      </c>
      <c r="I702">
        <f t="shared" si="10"/>
        <v>114</v>
      </c>
    </row>
    <row r="703" spans="1:9" x14ac:dyDescent="0.25">
      <c r="A703" t="s">
        <v>8</v>
      </c>
      <c r="B703" t="s">
        <v>14</v>
      </c>
      <c r="C703" t="s">
        <v>15</v>
      </c>
      <c r="D703" t="s">
        <v>11</v>
      </c>
      <c r="E703" t="s">
        <v>12</v>
      </c>
      <c r="F703">
        <v>43</v>
      </c>
      <c r="G703">
        <v>37</v>
      </c>
      <c r="H703">
        <v>43</v>
      </c>
      <c r="I703">
        <f t="shared" si="10"/>
        <v>123</v>
      </c>
    </row>
    <row r="704" spans="1:9" x14ac:dyDescent="0.25">
      <c r="A704" t="s">
        <v>8</v>
      </c>
      <c r="B704" t="s">
        <v>14</v>
      </c>
      <c r="C704" t="s">
        <v>10</v>
      </c>
      <c r="D704" t="s">
        <v>11</v>
      </c>
      <c r="E704" t="s">
        <v>17</v>
      </c>
      <c r="F704">
        <v>85</v>
      </c>
      <c r="G704">
        <v>70</v>
      </c>
      <c r="H704">
        <v>71</v>
      </c>
      <c r="I704">
        <f t="shared" si="10"/>
        <v>226</v>
      </c>
    </row>
    <row r="705" spans="1:9" x14ac:dyDescent="0.25">
      <c r="A705" t="s">
        <v>8</v>
      </c>
      <c r="B705" t="s">
        <v>20</v>
      </c>
      <c r="C705" t="s">
        <v>15</v>
      </c>
      <c r="D705" t="s">
        <v>11</v>
      </c>
      <c r="E705" t="s">
        <v>17</v>
      </c>
      <c r="F705">
        <v>71</v>
      </c>
      <c r="G705">
        <v>72</v>
      </c>
      <c r="H705">
        <v>69</v>
      </c>
      <c r="I705">
        <f t="shared" si="10"/>
        <v>212</v>
      </c>
    </row>
    <row r="706" spans="1:9" x14ac:dyDescent="0.25">
      <c r="A706" t="s">
        <v>13</v>
      </c>
      <c r="B706" t="s">
        <v>9</v>
      </c>
      <c r="C706" t="s">
        <v>10</v>
      </c>
      <c r="D706" t="s">
        <v>11</v>
      </c>
      <c r="E706" t="s">
        <v>17</v>
      </c>
      <c r="F706">
        <v>72</v>
      </c>
      <c r="G706">
        <v>70</v>
      </c>
      <c r="H706">
        <v>72</v>
      </c>
      <c r="I706">
        <f t="shared" si="10"/>
        <v>214</v>
      </c>
    </row>
    <row r="707" spans="1:9" x14ac:dyDescent="0.25">
      <c r="A707" t="s">
        <v>8</v>
      </c>
      <c r="B707" t="s">
        <v>14</v>
      </c>
      <c r="C707" t="s">
        <v>21</v>
      </c>
      <c r="D707" t="s">
        <v>16</v>
      </c>
      <c r="E707" t="s">
        <v>17</v>
      </c>
      <c r="F707">
        <v>70</v>
      </c>
      <c r="G707">
        <v>62</v>
      </c>
      <c r="H707">
        <v>66</v>
      </c>
      <c r="I707">
        <f t="shared" ref="I707:I770" si="11">SUM(F707:H707)</f>
        <v>198</v>
      </c>
    </row>
    <row r="708" spans="1:9" x14ac:dyDescent="0.25">
      <c r="A708" t="s">
        <v>13</v>
      </c>
      <c r="B708" t="s">
        <v>14</v>
      </c>
      <c r="C708" t="s">
        <v>22</v>
      </c>
      <c r="D708" t="s">
        <v>11</v>
      </c>
      <c r="E708" t="s">
        <v>17</v>
      </c>
      <c r="F708">
        <v>89</v>
      </c>
      <c r="G708">
        <v>100</v>
      </c>
      <c r="H708">
        <v>100</v>
      </c>
      <c r="I708">
        <f t="shared" si="11"/>
        <v>289</v>
      </c>
    </row>
    <row r="709" spans="1:9" x14ac:dyDescent="0.25">
      <c r="A709" t="s">
        <v>13</v>
      </c>
      <c r="B709" t="s">
        <v>18</v>
      </c>
      <c r="C709" t="s">
        <v>10</v>
      </c>
      <c r="D709" t="s">
        <v>11</v>
      </c>
      <c r="E709" t="s">
        <v>17</v>
      </c>
      <c r="F709">
        <v>92</v>
      </c>
      <c r="G709">
        <v>86</v>
      </c>
      <c r="H709">
        <v>82</v>
      </c>
      <c r="I709">
        <f t="shared" si="11"/>
        <v>260</v>
      </c>
    </row>
    <row r="710" spans="1:9" x14ac:dyDescent="0.25">
      <c r="A710" t="s">
        <v>8</v>
      </c>
      <c r="B710" t="s">
        <v>18</v>
      </c>
      <c r="C710" t="s">
        <v>19</v>
      </c>
      <c r="D710" t="s">
        <v>16</v>
      </c>
      <c r="E710" t="s">
        <v>12</v>
      </c>
      <c r="F710">
        <v>80</v>
      </c>
      <c r="G710">
        <v>79</v>
      </c>
      <c r="H710">
        <v>81</v>
      </c>
      <c r="I710">
        <f t="shared" si="11"/>
        <v>240</v>
      </c>
    </row>
    <row r="711" spans="1:9" x14ac:dyDescent="0.25">
      <c r="A711" t="s">
        <v>8</v>
      </c>
      <c r="B711" t="s">
        <v>23</v>
      </c>
      <c r="C711" t="s">
        <v>15</v>
      </c>
      <c r="D711" t="s">
        <v>11</v>
      </c>
      <c r="E711" t="s">
        <v>17</v>
      </c>
      <c r="F711">
        <v>80</v>
      </c>
      <c r="G711">
        <v>70</v>
      </c>
      <c r="H711">
        <v>60</v>
      </c>
      <c r="I711">
        <f t="shared" si="11"/>
        <v>210</v>
      </c>
    </row>
    <row r="712" spans="1:9" x14ac:dyDescent="0.25">
      <c r="A712" t="s">
        <v>13</v>
      </c>
      <c r="B712" t="s">
        <v>20</v>
      </c>
      <c r="C712" t="s">
        <v>10</v>
      </c>
      <c r="D712" t="s">
        <v>11</v>
      </c>
      <c r="E712" t="s">
        <v>17</v>
      </c>
      <c r="F712">
        <v>56</v>
      </c>
      <c r="G712">
        <v>64</v>
      </c>
      <c r="H712">
        <v>59</v>
      </c>
      <c r="I712">
        <f t="shared" si="11"/>
        <v>179</v>
      </c>
    </row>
    <row r="713" spans="1:9" x14ac:dyDescent="0.25">
      <c r="A713" t="s">
        <v>8</v>
      </c>
      <c r="B713" t="s">
        <v>18</v>
      </c>
      <c r="C713" t="s">
        <v>10</v>
      </c>
      <c r="D713" t="s">
        <v>16</v>
      </c>
      <c r="E713" t="s">
        <v>17</v>
      </c>
      <c r="F713">
        <v>93</v>
      </c>
      <c r="G713">
        <v>86</v>
      </c>
      <c r="H713">
        <v>73</v>
      </c>
      <c r="I713">
        <f t="shared" si="11"/>
        <v>252</v>
      </c>
    </row>
    <row r="714" spans="1:9" x14ac:dyDescent="0.25">
      <c r="A714" t="s">
        <v>8</v>
      </c>
      <c r="B714" t="s">
        <v>23</v>
      </c>
      <c r="C714" t="s">
        <v>21</v>
      </c>
      <c r="D714" t="s">
        <v>16</v>
      </c>
      <c r="E714" t="s">
        <v>12</v>
      </c>
      <c r="F714">
        <v>49</v>
      </c>
      <c r="G714">
        <v>37</v>
      </c>
      <c r="H714">
        <v>41</v>
      </c>
      <c r="I714">
        <f t="shared" si="11"/>
        <v>127</v>
      </c>
    </row>
    <row r="715" spans="1:9" x14ac:dyDescent="0.25">
      <c r="A715" t="s">
        <v>13</v>
      </c>
      <c r="B715" t="s">
        <v>18</v>
      </c>
      <c r="C715" t="s">
        <v>24</v>
      </c>
      <c r="D715" t="s">
        <v>11</v>
      </c>
      <c r="E715" t="s">
        <v>17</v>
      </c>
      <c r="F715">
        <v>59</v>
      </c>
      <c r="G715">
        <v>57</v>
      </c>
      <c r="H715">
        <v>58</v>
      </c>
      <c r="I715">
        <f t="shared" si="11"/>
        <v>174</v>
      </c>
    </row>
    <row r="716" spans="1:9" x14ac:dyDescent="0.25">
      <c r="A716" t="s">
        <v>13</v>
      </c>
      <c r="B716" t="s">
        <v>23</v>
      </c>
      <c r="C716" t="s">
        <v>15</v>
      </c>
      <c r="D716" t="s">
        <v>11</v>
      </c>
      <c r="E716" t="s">
        <v>12</v>
      </c>
      <c r="F716">
        <v>64</v>
      </c>
      <c r="G716">
        <v>74</v>
      </c>
      <c r="H716">
        <v>75</v>
      </c>
      <c r="I716">
        <f t="shared" si="11"/>
        <v>213</v>
      </c>
    </row>
    <row r="717" spans="1:9" x14ac:dyDescent="0.25">
      <c r="A717" t="s">
        <v>8</v>
      </c>
      <c r="B717" t="s">
        <v>14</v>
      </c>
      <c r="C717" t="s">
        <v>15</v>
      </c>
      <c r="D717" t="s">
        <v>11</v>
      </c>
      <c r="E717" t="s">
        <v>17</v>
      </c>
      <c r="F717">
        <v>73</v>
      </c>
      <c r="G717">
        <v>66</v>
      </c>
      <c r="H717">
        <v>59</v>
      </c>
      <c r="I717">
        <f t="shared" si="11"/>
        <v>198</v>
      </c>
    </row>
    <row r="718" spans="1:9" x14ac:dyDescent="0.25">
      <c r="A718" t="s">
        <v>13</v>
      </c>
      <c r="B718" t="s">
        <v>20</v>
      </c>
      <c r="C718" t="s">
        <v>19</v>
      </c>
      <c r="D718" t="s">
        <v>11</v>
      </c>
      <c r="E718" t="s">
        <v>12</v>
      </c>
      <c r="F718">
        <v>82</v>
      </c>
      <c r="G718">
        <v>86</v>
      </c>
      <c r="H718">
        <v>90</v>
      </c>
      <c r="I718">
        <f t="shared" si="11"/>
        <v>258</v>
      </c>
    </row>
    <row r="719" spans="1:9" x14ac:dyDescent="0.25">
      <c r="A719" t="s">
        <v>8</v>
      </c>
      <c r="B719" t="s">
        <v>14</v>
      </c>
      <c r="C719" t="s">
        <v>10</v>
      </c>
      <c r="D719" t="s">
        <v>16</v>
      </c>
      <c r="E719" t="s">
        <v>17</v>
      </c>
      <c r="F719">
        <v>48</v>
      </c>
      <c r="G719">
        <v>43</v>
      </c>
      <c r="H719">
        <v>41</v>
      </c>
      <c r="I719">
        <f t="shared" si="11"/>
        <v>132</v>
      </c>
    </row>
    <row r="720" spans="1:9" x14ac:dyDescent="0.25">
      <c r="A720" t="s">
        <v>13</v>
      </c>
      <c r="B720" t="s">
        <v>9</v>
      </c>
      <c r="C720" t="s">
        <v>15</v>
      </c>
      <c r="D720" t="s">
        <v>16</v>
      </c>
      <c r="E720" t="s">
        <v>12</v>
      </c>
      <c r="F720">
        <v>51</v>
      </c>
      <c r="G720">
        <v>64</v>
      </c>
      <c r="H720">
        <v>62</v>
      </c>
      <c r="I720">
        <f t="shared" si="11"/>
        <v>177</v>
      </c>
    </row>
    <row r="721" spans="1:9" x14ac:dyDescent="0.25">
      <c r="A721" t="s">
        <v>13</v>
      </c>
      <c r="B721" t="s">
        <v>18</v>
      </c>
      <c r="C721" t="s">
        <v>15</v>
      </c>
      <c r="D721" t="s">
        <v>16</v>
      </c>
      <c r="E721" t="s">
        <v>12</v>
      </c>
      <c r="F721">
        <v>38</v>
      </c>
      <c r="G721">
        <v>46</v>
      </c>
      <c r="H721">
        <v>43</v>
      </c>
      <c r="I721">
        <f t="shared" si="11"/>
        <v>127</v>
      </c>
    </row>
    <row r="722" spans="1:9" x14ac:dyDescent="0.25">
      <c r="A722" t="s">
        <v>8</v>
      </c>
      <c r="B722" t="s">
        <v>20</v>
      </c>
      <c r="C722" t="s">
        <v>19</v>
      </c>
      <c r="D722" t="s">
        <v>16</v>
      </c>
      <c r="E722" t="s">
        <v>17</v>
      </c>
      <c r="F722">
        <v>45</v>
      </c>
      <c r="G722">
        <v>50</v>
      </c>
      <c r="H722">
        <v>42</v>
      </c>
      <c r="I722">
        <f t="shared" si="11"/>
        <v>137</v>
      </c>
    </row>
    <row r="723" spans="1:9" x14ac:dyDescent="0.25">
      <c r="A723" t="s">
        <v>13</v>
      </c>
      <c r="B723" t="s">
        <v>9</v>
      </c>
      <c r="C723" t="s">
        <v>19</v>
      </c>
      <c r="D723" t="s">
        <v>11</v>
      </c>
      <c r="E723" t="s">
        <v>12</v>
      </c>
      <c r="F723">
        <v>83</v>
      </c>
      <c r="G723">
        <v>92</v>
      </c>
      <c r="H723">
        <v>95</v>
      </c>
      <c r="I723">
        <f t="shared" si="11"/>
        <v>270</v>
      </c>
    </row>
    <row r="724" spans="1:9" x14ac:dyDescent="0.25">
      <c r="A724" t="s">
        <v>13</v>
      </c>
      <c r="B724" t="s">
        <v>20</v>
      </c>
      <c r="C724" t="s">
        <v>15</v>
      </c>
      <c r="D724" t="s">
        <v>11</v>
      </c>
      <c r="E724" t="s">
        <v>12</v>
      </c>
      <c r="F724">
        <v>45</v>
      </c>
      <c r="G724">
        <v>57</v>
      </c>
      <c r="H724">
        <v>56</v>
      </c>
      <c r="I724">
        <f t="shared" si="11"/>
        <v>158</v>
      </c>
    </row>
    <row r="725" spans="1:9" x14ac:dyDescent="0.25">
      <c r="A725" t="s">
        <v>8</v>
      </c>
      <c r="B725" t="s">
        <v>14</v>
      </c>
      <c r="C725" t="s">
        <v>10</v>
      </c>
      <c r="D725" t="s">
        <v>16</v>
      </c>
      <c r="E725" t="s">
        <v>17</v>
      </c>
      <c r="F725">
        <v>66</v>
      </c>
      <c r="G725">
        <v>64</v>
      </c>
      <c r="H725">
        <v>62</v>
      </c>
      <c r="I725">
        <f t="shared" si="11"/>
        <v>192</v>
      </c>
    </row>
    <row r="726" spans="1:9" x14ac:dyDescent="0.25">
      <c r="A726" t="s">
        <v>8</v>
      </c>
      <c r="B726" t="s">
        <v>14</v>
      </c>
      <c r="C726" t="s">
        <v>10</v>
      </c>
      <c r="D726" t="s">
        <v>16</v>
      </c>
      <c r="E726" t="s">
        <v>12</v>
      </c>
      <c r="F726">
        <v>60</v>
      </c>
      <c r="G726">
        <v>62</v>
      </c>
      <c r="H726">
        <v>57</v>
      </c>
      <c r="I726">
        <f t="shared" si="11"/>
        <v>179</v>
      </c>
    </row>
    <row r="727" spans="1:9" x14ac:dyDescent="0.25">
      <c r="A727" t="s">
        <v>8</v>
      </c>
      <c r="B727" t="s">
        <v>23</v>
      </c>
      <c r="C727" t="s">
        <v>21</v>
      </c>
      <c r="D727" t="s">
        <v>11</v>
      </c>
      <c r="E727" t="s">
        <v>17</v>
      </c>
      <c r="F727">
        <v>49</v>
      </c>
      <c r="G727">
        <v>47</v>
      </c>
      <c r="H727">
        <v>49</v>
      </c>
      <c r="I727">
        <f t="shared" si="11"/>
        <v>145</v>
      </c>
    </row>
    <row r="728" spans="1:9" x14ac:dyDescent="0.25">
      <c r="A728" t="s">
        <v>8</v>
      </c>
      <c r="B728" t="s">
        <v>14</v>
      </c>
      <c r="C728" t="s">
        <v>22</v>
      </c>
      <c r="D728" t="s">
        <v>11</v>
      </c>
      <c r="E728" t="s">
        <v>17</v>
      </c>
      <c r="F728">
        <v>80</v>
      </c>
      <c r="G728">
        <v>84</v>
      </c>
      <c r="H728">
        <v>86</v>
      </c>
      <c r="I728">
        <f t="shared" si="11"/>
        <v>250</v>
      </c>
    </row>
    <row r="729" spans="1:9" x14ac:dyDescent="0.25">
      <c r="A729" t="s">
        <v>8</v>
      </c>
      <c r="B729" t="s">
        <v>18</v>
      </c>
      <c r="C729" t="s">
        <v>10</v>
      </c>
      <c r="D729" t="s">
        <v>11</v>
      </c>
      <c r="E729" t="s">
        <v>17</v>
      </c>
      <c r="F729">
        <v>75</v>
      </c>
      <c r="G729">
        <v>68</v>
      </c>
      <c r="H729">
        <v>66</v>
      </c>
      <c r="I729">
        <f t="shared" si="11"/>
        <v>209</v>
      </c>
    </row>
    <row r="730" spans="1:9" x14ac:dyDescent="0.25">
      <c r="A730" t="s">
        <v>8</v>
      </c>
      <c r="B730" t="s">
        <v>20</v>
      </c>
      <c r="C730" t="s">
        <v>19</v>
      </c>
      <c r="D730" t="s">
        <v>16</v>
      </c>
      <c r="E730" t="s">
        <v>12</v>
      </c>
      <c r="F730">
        <v>57</v>
      </c>
      <c r="G730">
        <v>68</v>
      </c>
      <c r="H730">
        <v>61</v>
      </c>
      <c r="I730">
        <f t="shared" si="11"/>
        <v>186</v>
      </c>
    </row>
    <row r="731" spans="1:9" x14ac:dyDescent="0.25">
      <c r="A731" t="s">
        <v>13</v>
      </c>
      <c r="B731" t="s">
        <v>20</v>
      </c>
      <c r="C731" t="s">
        <v>15</v>
      </c>
      <c r="D731" t="s">
        <v>16</v>
      </c>
      <c r="E731" t="s">
        <v>17</v>
      </c>
      <c r="F731">
        <v>25</v>
      </c>
      <c r="G731">
        <v>36</v>
      </c>
      <c r="H731">
        <v>37</v>
      </c>
      <c r="I731">
        <f t="shared" si="11"/>
        <v>98</v>
      </c>
    </row>
    <row r="732" spans="1:9" x14ac:dyDescent="0.25">
      <c r="A732" t="s">
        <v>8</v>
      </c>
      <c r="B732" t="s">
        <v>18</v>
      </c>
      <c r="C732" t="s">
        <v>19</v>
      </c>
      <c r="D732" t="s">
        <v>16</v>
      </c>
      <c r="E732" t="s">
        <v>17</v>
      </c>
      <c r="F732">
        <v>90</v>
      </c>
      <c r="G732">
        <v>87</v>
      </c>
      <c r="H732">
        <v>81</v>
      </c>
      <c r="I732">
        <f t="shared" si="11"/>
        <v>258</v>
      </c>
    </row>
    <row r="733" spans="1:9" x14ac:dyDescent="0.25">
      <c r="A733" t="s">
        <v>13</v>
      </c>
      <c r="B733" t="s">
        <v>14</v>
      </c>
      <c r="C733" t="s">
        <v>19</v>
      </c>
      <c r="D733" t="s">
        <v>11</v>
      </c>
      <c r="E733" t="s">
        <v>17</v>
      </c>
      <c r="F733">
        <v>63</v>
      </c>
      <c r="G733">
        <v>70</v>
      </c>
      <c r="H733">
        <v>71</v>
      </c>
      <c r="I733">
        <f t="shared" si="11"/>
        <v>204</v>
      </c>
    </row>
    <row r="734" spans="1:9" x14ac:dyDescent="0.25">
      <c r="A734" t="s">
        <v>8</v>
      </c>
      <c r="B734" t="s">
        <v>18</v>
      </c>
      <c r="C734" t="s">
        <v>21</v>
      </c>
      <c r="D734" t="s">
        <v>11</v>
      </c>
      <c r="E734" t="s">
        <v>17</v>
      </c>
      <c r="F734">
        <v>100</v>
      </c>
      <c r="G734">
        <v>91</v>
      </c>
      <c r="H734">
        <v>86</v>
      </c>
      <c r="I734">
        <f t="shared" si="11"/>
        <v>277</v>
      </c>
    </row>
    <row r="735" spans="1:9" x14ac:dyDescent="0.25">
      <c r="A735" t="s">
        <v>8</v>
      </c>
      <c r="B735" t="s">
        <v>23</v>
      </c>
      <c r="C735" t="s">
        <v>21</v>
      </c>
      <c r="D735" t="s">
        <v>16</v>
      </c>
      <c r="E735" t="s">
        <v>17</v>
      </c>
      <c r="F735">
        <v>76</v>
      </c>
      <c r="G735">
        <v>68</v>
      </c>
      <c r="H735">
        <v>66</v>
      </c>
      <c r="I735">
        <f t="shared" si="11"/>
        <v>210</v>
      </c>
    </row>
    <row r="736" spans="1:9" x14ac:dyDescent="0.25">
      <c r="A736" t="s">
        <v>13</v>
      </c>
      <c r="B736" t="s">
        <v>20</v>
      </c>
      <c r="C736" t="s">
        <v>15</v>
      </c>
      <c r="D736" t="s">
        <v>16</v>
      </c>
      <c r="E736" t="s">
        <v>17</v>
      </c>
      <c r="F736">
        <v>52</v>
      </c>
      <c r="G736">
        <v>58</v>
      </c>
      <c r="H736">
        <v>53</v>
      </c>
      <c r="I736">
        <f t="shared" si="11"/>
        <v>163</v>
      </c>
    </row>
    <row r="737" spans="1:9" x14ac:dyDescent="0.25">
      <c r="A737" t="s">
        <v>13</v>
      </c>
      <c r="B737" t="s">
        <v>20</v>
      </c>
      <c r="C737" t="s">
        <v>24</v>
      </c>
      <c r="D737" t="s">
        <v>11</v>
      </c>
      <c r="E737" t="s">
        <v>12</v>
      </c>
      <c r="F737">
        <v>81</v>
      </c>
      <c r="G737">
        <v>86</v>
      </c>
      <c r="H737">
        <v>93</v>
      </c>
      <c r="I737">
        <f t="shared" si="11"/>
        <v>260</v>
      </c>
    </row>
    <row r="738" spans="1:9" x14ac:dyDescent="0.25">
      <c r="A738" t="s">
        <v>8</v>
      </c>
      <c r="B738" t="s">
        <v>23</v>
      </c>
      <c r="C738" t="s">
        <v>21</v>
      </c>
      <c r="D738" t="s">
        <v>11</v>
      </c>
      <c r="E738" t="s">
        <v>12</v>
      </c>
      <c r="F738">
        <v>90</v>
      </c>
      <c r="G738">
        <v>89</v>
      </c>
      <c r="H738">
        <v>87</v>
      </c>
      <c r="I738">
        <f t="shared" si="11"/>
        <v>266</v>
      </c>
    </row>
    <row r="739" spans="1:9" x14ac:dyDescent="0.25">
      <c r="A739" t="s">
        <v>8</v>
      </c>
      <c r="B739" t="s">
        <v>14</v>
      </c>
      <c r="C739" t="s">
        <v>21</v>
      </c>
      <c r="D739" t="s">
        <v>11</v>
      </c>
      <c r="E739" t="s">
        <v>17</v>
      </c>
      <c r="F739">
        <v>83</v>
      </c>
      <c r="G739">
        <v>82</v>
      </c>
      <c r="H739">
        <v>81</v>
      </c>
      <c r="I739">
        <f t="shared" si="11"/>
        <v>246</v>
      </c>
    </row>
    <row r="740" spans="1:9" x14ac:dyDescent="0.25">
      <c r="A740" t="s">
        <v>13</v>
      </c>
      <c r="B740" t="s">
        <v>20</v>
      </c>
      <c r="C740" t="s">
        <v>10</v>
      </c>
      <c r="D740" t="s">
        <v>11</v>
      </c>
      <c r="E740" t="s">
        <v>17</v>
      </c>
      <c r="F740">
        <v>61</v>
      </c>
      <c r="G740">
        <v>73</v>
      </c>
      <c r="H740">
        <v>69</v>
      </c>
      <c r="I740">
        <f t="shared" si="11"/>
        <v>203</v>
      </c>
    </row>
    <row r="741" spans="1:9" x14ac:dyDescent="0.25">
      <c r="A741" t="s">
        <v>13</v>
      </c>
      <c r="B741" t="s">
        <v>18</v>
      </c>
      <c r="C741" t="s">
        <v>21</v>
      </c>
      <c r="D741" t="s">
        <v>11</v>
      </c>
      <c r="E741" t="s">
        <v>12</v>
      </c>
      <c r="F741">
        <v>79</v>
      </c>
      <c r="G741">
        <v>69</v>
      </c>
      <c r="H741">
        <v>75</v>
      </c>
      <c r="I741">
        <f t="shared" si="11"/>
        <v>223</v>
      </c>
    </row>
    <row r="742" spans="1:9" x14ac:dyDescent="0.25">
      <c r="A742" t="s">
        <v>8</v>
      </c>
      <c r="B742" t="s">
        <v>20</v>
      </c>
      <c r="C742" t="s">
        <v>19</v>
      </c>
      <c r="D742" t="s">
        <v>11</v>
      </c>
      <c r="E742" t="s">
        <v>17</v>
      </c>
      <c r="F742">
        <v>52</v>
      </c>
      <c r="G742">
        <v>53</v>
      </c>
      <c r="H742">
        <v>51</v>
      </c>
      <c r="I742">
        <f t="shared" si="11"/>
        <v>156</v>
      </c>
    </row>
    <row r="743" spans="1:9" x14ac:dyDescent="0.25">
      <c r="A743" t="s">
        <v>13</v>
      </c>
      <c r="B743" t="s">
        <v>20</v>
      </c>
      <c r="C743" t="s">
        <v>22</v>
      </c>
      <c r="D743" t="s">
        <v>11</v>
      </c>
      <c r="E743" t="s">
        <v>12</v>
      </c>
      <c r="F743">
        <v>62</v>
      </c>
      <c r="G743">
        <v>65</v>
      </c>
      <c r="H743">
        <v>67</v>
      </c>
      <c r="I743">
        <f t="shared" si="11"/>
        <v>194</v>
      </c>
    </row>
    <row r="744" spans="1:9" x14ac:dyDescent="0.25">
      <c r="A744" t="s">
        <v>13</v>
      </c>
      <c r="B744" t="s">
        <v>14</v>
      </c>
      <c r="C744" t="s">
        <v>19</v>
      </c>
      <c r="D744" t="s">
        <v>11</v>
      </c>
      <c r="E744" t="s">
        <v>17</v>
      </c>
      <c r="F744">
        <v>85</v>
      </c>
      <c r="G744">
        <v>90</v>
      </c>
      <c r="H744">
        <v>84</v>
      </c>
      <c r="I744">
        <f t="shared" si="11"/>
        <v>259</v>
      </c>
    </row>
    <row r="745" spans="1:9" x14ac:dyDescent="0.25">
      <c r="A745" t="s">
        <v>13</v>
      </c>
      <c r="B745" t="s">
        <v>18</v>
      </c>
      <c r="C745" t="s">
        <v>10</v>
      </c>
      <c r="D745" t="s">
        <v>16</v>
      </c>
      <c r="E745" t="s">
        <v>12</v>
      </c>
      <c r="F745">
        <v>74</v>
      </c>
      <c r="G745">
        <v>96</v>
      </c>
      <c r="H745">
        <v>95</v>
      </c>
      <c r="I745">
        <f t="shared" si="11"/>
        <v>265</v>
      </c>
    </row>
    <row r="746" spans="1:9" x14ac:dyDescent="0.25">
      <c r="A746" t="s">
        <v>8</v>
      </c>
      <c r="B746" t="s">
        <v>23</v>
      </c>
      <c r="C746" t="s">
        <v>21</v>
      </c>
      <c r="D746" t="s">
        <v>16</v>
      </c>
      <c r="E746" t="s">
        <v>17</v>
      </c>
      <c r="F746">
        <v>83</v>
      </c>
      <c r="G746">
        <v>85</v>
      </c>
      <c r="H746">
        <v>78</v>
      </c>
      <c r="I746">
        <f t="shared" si="11"/>
        <v>246</v>
      </c>
    </row>
    <row r="747" spans="1:9" x14ac:dyDescent="0.25">
      <c r="A747" t="s">
        <v>8</v>
      </c>
      <c r="B747" t="s">
        <v>23</v>
      </c>
      <c r="C747" t="s">
        <v>19</v>
      </c>
      <c r="D747" t="s">
        <v>11</v>
      </c>
      <c r="E747" t="s">
        <v>17</v>
      </c>
      <c r="F747">
        <v>78</v>
      </c>
      <c r="G747">
        <v>72</v>
      </c>
      <c r="H747">
        <v>72</v>
      </c>
      <c r="I747">
        <f t="shared" si="11"/>
        <v>222</v>
      </c>
    </row>
    <row r="748" spans="1:9" x14ac:dyDescent="0.25">
      <c r="A748" t="s">
        <v>13</v>
      </c>
      <c r="B748" t="s">
        <v>23</v>
      </c>
      <c r="C748" t="s">
        <v>10</v>
      </c>
      <c r="D748" t="s">
        <v>16</v>
      </c>
      <c r="E748" t="s">
        <v>17</v>
      </c>
      <c r="F748">
        <v>41</v>
      </c>
      <c r="G748">
        <v>43</v>
      </c>
      <c r="H748">
        <v>40</v>
      </c>
      <c r="I748">
        <f t="shared" si="11"/>
        <v>124</v>
      </c>
    </row>
    <row r="749" spans="1:9" x14ac:dyDescent="0.25">
      <c r="A749" t="s">
        <v>13</v>
      </c>
      <c r="B749" t="s">
        <v>9</v>
      </c>
      <c r="C749" t="s">
        <v>10</v>
      </c>
      <c r="D749" t="s">
        <v>11</v>
      </c>
      <c r="E749" t="s">
        <v>17</v>
      </c>
      <c r="F749">
        <v>77</v>
      </c>
      <c r="G749">
        <v>91</v>
      </c>
      <c r="H749">
        <v>87</v>
      </c>
      <c r="I749">
        <f t="shared" si="11"/>
        <v>255</v>
      </c>
    </row>
    <row r="750" spans="1:9" x14ac:dyDescent="0.25">
      <c r="A750" t="s">
        <v>8</v>
      </c>
      <c r="B750" t="s">
        <v>23</v>
      </c>
      <c r="C750" t="s">
        <v>22</v>
      </c>
      <c r="D750" t="s">
        <v>11</v>
      </c>
      <c r="E750" t="s">
        <v>17</v>
      </c>
      <c r="F750">
        <v>95</v>
      </c>
      <c r="G750">
        <v>99</v>
      </c>
      <c r="H750">
        <v>91</v>
      </c>
      <c r="I750">
        <f t="shared" si="11"/>
        <v>285</v>
      </c>
    </row>
    <row r="751" spans="1:9" x14ac:dyDescent="0.25">
      <c r="A751" t="s">
        <v>13</v>
      </c>
      <c r="B751" t="s">
        <v>20</v>
      </c>
      <c r="C751" t="s">
        <v>10</v>
      </c>
      <c r="D751" t="s">
        <v>16</v>
      </c>
      <c r="E751" t="s">
        <v>17</v>
      </c>
      <c r="F751">
        <v>50</v>
      </c>
      <c r="G751">
        <v>68</v>
      </c>
      <c r="H751">
        <v>66</v>
      </c>
      <c r="I751">
        <f t="shared" si="11"/>
        <v>184</v>
      </c>
    </row>
    <row r="752" spans="1:9" x14ac:dyDescent="0.25">
      <c r="A752" t="s">
        <v>8</v>
      </c>
      <c r="B752" t="s">
        <v>23</v>
      </c>
      <c r="C752" t="s">
        <v>19</v>
      </c>
      <c r="D752" t="s">
        <v>11</v>
      </c>
      <c r="E752" t="s">
        <v>17</v>
      </c>
      <c r="F752">
        <v>74</v>
      </c>
      <c r="G752">
        <v>76</v>
      </c>
      <c r="H752">
        <v>70</v>
      </c>
      <c r="I752">
        <f t="shared" si="11"/>
        <v>220</v>
      </c>
    </row>
    <row r="753" spans="1:9" x14ac:dyDescent="0.25">
      <c r="A753" t="s">
        <v>13</v>
      </c>
      <c r="B753" t="s">
        <v>14</v>
      </c>
      <c r="C753" t="s">
        <v>22</v>
      </c>
      <c r="D753" t="s">
        <v>11</v>
      </c>
      <c r="E753" t="s">
        <v>12</v>
      </c>
      <c r="F753">
        <v>74</v>
      </c>
      <c r="G753">
        <v>93</v>
      </c>
      <c r="H753">
        <v>93</v>
      </c>
      <c r="I753">
        <f t="shared" si="11"/>
        <v>260</v>
      </c>
    </row>
    <row r="754" spans="1:9" x14ac:dyDescent="0.25">
      <c r="A754" t="s">
        <v>8</v>
      </c>
      <c r="B754" t="s">
        <v>18</v>
      </c>
      <c r="C754" t="s">
        <v>10</v>
      </c>
      <c r="D754" t="s">
        <v>11</v>
      </c>
      <c r="E754" t="s">
        <v>17</v>
      </c>
      <c r="F754">
        <v>70</v>
      </c>
      <c r="G754">
        <v>62</v>
      </c>
      <c r="H754">
        <v>61</v>
      </c>
      <c r="I754">
        <f t="shared" si="11"/>
        <v>193</v>
      </c>
    </row>
    <row r="755" spans="1:9" x14ac:dyDescent="0.25">
      <c r="A755" t="s">
        <v>8</v>
      </c>
      <c r="B755" t="s">
        <v>14</v>
      </c>
      <c r="C755" t="s">
        <v>21</v>
      </c>
      <c r="D755" t="s">
        <v>16</v>
      </c>
      <c r="E755" t="s">
        <v>17</v>
      </c>
      <c r="F755">
        <v>61</v>
      </c>
      <c r="G755">
        <v>59</v>
      </c>
      <c r="H755">
        <v>54</v>
      </c>
      <c r="I755">
        <f t="shared" si="11"/>
        <v>174</v>
      </c>
    </row>
    <row r="756" spans="1:9" x14ac:dyDescent="0.25">
      <c r="A756" t="s">
        <v>13</v>
      </c>
      <c r="B756" t="s">
        <v>9</v>
      </c>
      <c r="C756" t="s">
        <v>24</v>
      </c>
      <c r="D756" t="s">
        <v>11</v>
      </c>
      <c r="E756" t="s">
        <v>12</v>
      </c>
      <c r="F756">
        <v>94</v>
      </c>
      <c r="G756">
        <v>100</v>
      </c>
      <c r="H756">
        <v>100</v>
      </c>
      <c r="I756">
        <f t="shared" si="11"/>
        <v>294</v>
      </c>
    </row>
    <row r="757" spans="1:9" x14ac:dyDescent="0.25">
      <c r="A757" t="s">
        <v>13</v>
      </c>
      <c r="B757" t="s">
        <v>14</v>
      </c>
      <c r="C757" t="s">
        <v>10</v>
      </c>
      <c r="D757" t="s">
        <v>11</v>
      </c>
      <c r="E757" t="s">
        <v>17</v>
      </c>
      <c r="F757">
        <v>66</v>
      </c>
      <c r="G757">
        <v>84</v>
      </c>
      <c r="H757">
        <v>77</v>
      </c>
      <c r="I757">
        <f t="shared" si="11"/>
        <v>227</v>
      </c>
    </row>
    <row r="758" spans="1:9" x14ac:dyDescent="0.25">
      <c r="A758" t="s">
        <v>13</v>
      </c>
      <c r="B758" t="s">
        <v>14</v>
      </c>
      <c r="C758" t="s">
        <v>24</v>
      </c>
      <c r="D758" t="s">
        <v>11</v>
      </c>
      <c r="E758" t="s">
        <v>17</v>
      </c>
      <c r="F758">
        <v>83</v>
      </c>
      <c r="G758">
        <v>88</v>
      </c>
      <c r="H758">
        <v>93</v>
      </c>
      <c r="I758">
        <f t="shared" si="11"/>
        <v>264</v>
      </c>
    </row>
    <row r="759" spans="1:9" x14ac:dyDescent="0.25">
      <c r="A759" t="s">
        <v>8</v>
      </c>
      <c r="B759" t="s">
        <v>14</v>
      </c>
      <c r="C759" t="s">
        <v>10</v>
      </c>
      <c r="D759" t="s">
        <v>11</v>
      </c>
      <c r="E759" t="s">
        <v>17</v>
      </c>
      <c r="F759">
        <v>75</v>
      </c>
      <c r="G759">
        <v>63</v>
      </c>
      <c r="H759">
        <v>60</v>
      </c>
      <c r="I759">
        <f t="shared" si="11"/>
        <v>198</v>
      </c>
    </row>
    <row r="760" spans="1:9" x14ac:dyDescent="0.25">
      <c r="A760" t="s">
        <v>8</v>
      </c>
      <c r="B760" t="s">
        <v>14</v>
      </c>
      <c r="C760" t="s">
        <v>10</v>
      </c>
      <c r="D760" t="s">
        <v>16</v>
      </c>
      <c r="E760" t="s">
        <v>12</v>
      </c>
      <c r="F760">
        <v>56</v>
      </c>
      <c r="G760">
        <v>65</v>
      </c>
      <c r="H760">
        <v>63</v>
      </c>
      <c r="I760">
        <f t="shared" si="11"/>
        <v>184</v>
      </c>
    </row>
    <row r="761" spans="1:9" x14ac:dyDescent="0.25">
      <c r="A761" t="s">
        <v>13</v>
      </c>
      <c r="B761" t="s">
        <v>20</v>
      </c>
      <c r="C761" t="s">
        <v>19</v>
      </c>
      <c r="D761" t="s">
        <v>16</v>
      </c>
      <c r="E761" t="s">
        <v>17</v>
      </c>
      <c r="F761">
        <v>66</v>
      </c>
      <c r="G761">
        <v>88</v>
      </c>
      <c r="H761">
        <v>83</v>
      </c>
      <c r="I761">
        <f t="shared" si="11"/>
        <v>237</v>
      </c>
    </row>
    <row r="762" spans="1:9" x14ac:dyDescent="0.25">
      <c r="A762" t="s">
        <v>13</v>
      </c>
      <c r="B762" t="s">
        <v>20</v>
      </c>
      <c r="C762" t="s">
        <v>10</v>
      </c>
      <c r="D762" t="s">
        <v>16</v>
      </c>
      <c r="E762" t="s">
        <v>17</v>
      </c>
      <c r="F762">
        <v>61</v>
      </c>
      <c r="G762">
        <v>69</v>
      </c>
      <c r="H762">
        <v>66</v>
      </c>
      <c r="I762">
        <f t="shared" si="11"/>
        <v>196</v>
      </c>
    </row>
    <row r="763" spans="1:9" x14ac:dyDescent="0.25">
      <c r="A763" t="s">
        <v>8</v>
      </c>
      <c r="B763" t="s">
        <v>23</v>
      </c>
      <c r="C763" t="s">
        <v>15</v>
      </c>
      <c r="D763" t="s">
        <v>11</v>
      </c>
      <c r="E763" t="s">
        <v>12</v>
      </c>
      <c r="F763">
        <v>70</v>
      </c>
      <c r="G763">
        <v>79</v>
      </c>
      <c r="H763">
        <v>73</v>
      </c>
      <c r="I763">
        <f t="shared" si="11"/>
        <v>222</v>
      </c>
    </row>
    <row r="764" spans="1:9" x14ac:dyDescent="0.25">
      <c r="A764" t="s">
        <v>8</v>
      </c>
      <c r="B764" t="s">
        <v>23</v>
      </c>
      <c r="C764" t="s">
        <v>24</v>
      </c>
      <c r="D764" t="s">
        <v>11</v>
      </c>
      <c r="E764" t="s">
        <v>17</v>
      </c>
      <c r="F764">
        <v>57</v>
      </c>
      <c r="G764">
        <v>59</v>
      </c>
      <c r="H764">
        <v>53</v>
      </c>
      <c r="I764">
        <f t="shared" si="11"/>
        <v>169</v>
      </c>
    </row>
    <row r="765" spans="1:9" x14ac:dyDescent="0.25">
      <c r="A765" t="s">
        <v>13</v>
      </c>
      <c r="B765" t="s">
        <v>23</v>
      </c>
      <c r="C765" t="s">
        <v>21</v>
      </c>
      <c r="D765" t="s">
        <v>16</v>
      </c>
      <c r="E765" t="s">
        <v>12</v>
      </c>
      <c r="F765">
        <v>78</v>
      </c>
      <c r="G765">
        <v>89</v>
      </c>
      <c r="H765">
        <v>90</v>
      </c>
      <c r="I765">
        <f t="shared" si="11"/>
        <v>257</v>
      </c>
    </row>
    <row r="766" spans="1:9" x14ac:dyDescent="0.25">
      <c r="A766" t="s">
        <v>13</v>
      </c>
      <c r="B766" t="s">
        <v>23</v>
      </c>
      <c r="C766" t="s">
        <v>15</v>
      </c>
      <c r="D766" t="s">
        <v>11</v>
      </c>
      <c r="E766" t="s">
        <v>17</v>
      </c>
      <c r="F766">
        <v>62</v>
      </c>
      <c r="G766">
        <v>76</v>
      </c>
      <c r="H766">
        <v>67</v>
      </c>
      <c r="I766">
        <f t="shared" si="11"/>
        <v>205</v>
      </c>
    </row>
    <row r="767" spans="1:9" x14ac:dyDescent="0.25">
      <c r="A767" t="s">
        <v>8</v>
      </c>
      <c r="B767" t="s">
        <v>23</v>
      </c>
      <c r="C767" t="s">
        <v>15</v>
      </c>
      <c r="D767" t="s">
        <v>11</v>
      </c>
      <c r="E767" t="s">
        <v>12</v>
      </c>
      <c r="F767">
        <v>64</v>
      </c>
      <c r="G767">
        <v>53</v>
      </c>
      <c r="H767">
        <v>49</v>
      </c>
      <c r="I767">
        <f t="shared" si="11"/>
        <v>166</v>
      </c>
    </row>
    <row r="768" spans="1:9" x14ac:dyDescent="0.25">
      <c r="A768" t="s">
        <v>13</v>
      </c>
      <c r="B768" t="s">
        <v>20</v>
      </c>
      <c r="C768" t="s">
        <v>10</v>
      </c>
      <c r="D768" t="s">
        <v>16</v>
      </c>
      <c r="E768" t="s">
        <v>17</v>
      </c>
      <c r="F768">
        <v>55</v>
      </c>
      <c r="G768">
        <v>66</v>
      </c>
      <c r="H768">
        <v>65</v>
      </c>
      <c r="I768">
        <f t="shared" si="11"/>
        <v>186</v>
      </c>
    </row>
    <row r="769" spans="1:9" x14ac:dyDescent="0.25">
      <c r="A769" t="s">
        <v>13</v>
      </c>
      <c r="B769" t="s">
        <v>14</v>
      </c>
      <c r="C769" t="s">
        <v>19</v>
      </c>
      <c r="D769" t="s">
        <v>11</v>
      </c>
      <c r="E769" t="s">
        <v>17</v>
      </c>
      <c r="F769">
        <v>72</v>
      </c>
      <c r="G769">
        <v>83</v>
      </c>
      <c r="H769">
        <v>83</v>
      </c>
      <c r="I769">
        <f t="shared" si="11"/>
        <v>238</v>
      </c>
    </row>
    <row r="770" spans="1:9" x14ac:dyDescent="0.25">
      <c r="A770" t="s">
        <v>8</v>
      </c>
      <c r="B770" t="s">
        <v>9</v>
      </c>
      <c r="C770" t="s">
        <v>19</v>
      </c>
      <c r="D770" t="s">
        <v>16</v>
      </c>
      <c r="E770" t="s">
        <v>17</v>
      </c>
      <c r="F770">
        <v>49</v>
      </c>
      <c r="G770">
        <v>48</v>
      </c>
      <c r="H770">
        <v>42</v>
      </c>
      <c r="I770">
        <f t="shared" si="11"/>
        <v>139</v>
      </c>
    </row>
    <row r="771" spans="1:9" x14ac:dyDescent="0.25">
      <c r="A771" t="s">
        <v>13</v>
      </c>
      <c r="B771" t="s">
        <v>14</v>
      </c>
      <c r="C771" t="s">
        <v>19</v>
      </c>
      <c r="D771" t="s">
        <v>11</v>
      </c>
      <c r="E771" t="s">
        <v>17</v>
      </c>
      <c r="F771">
        <v>62</v>
      </c>
      <c r="G771">
        <v>60</v>
      </c>
      <c r="H771">
        <v>63</v>
      </c>
      <c r="I771">
        <f t="shared" ref="I771:I834" si="12">SUM(F771:H771)</f>
        <v>185</v>
      </c>
    </row>
    <row r="772" spans="1:9" x14ac:dyDescent="0.25">
      <c r="A772" t="s">
        <v>8</v>
      </c>
      <c r="B772" t="s">
        <v>20</v>
      </c>
      <c r="C772" t="s">
        <v>15</v>
      </c>
      <c r="D772" t="s">
        <v>16</v>
      </c>
      <c r="E772" t="s">
        <v>17</v>
      </c>
      <c r="F772">
        <v>76</v>
      </c>
      <c r="G772">
        <v>73</v>
      </c>
      <c r="H772">
        <v>68</v>
      </c>
      <c r="I772">
        <f t="shared" si="12"/>
        <v>217</v>
      </c>
    </row>
    <row r="773" spans="1:9" x14ac:dyDescent="0.25">
      <c r="A773" t="s">
        <v>13</v>
      </c>
      <c r="B773" t="s">
        <v>23</v>
      </c>
      <c r="C773" t="s">
        <v>24</v>
      </c>
      <c r="D773" t="s">
        <v>11</v>
      </c>
      <c r="E773" t="s">
        <v>12</v>
      </c>
      <c r="F773">
        <v>73</v>
      </c>
      <c r="G773">
        <v>86</v>
      </c>
      <c r="H773">
        <v>85</v>
      </c>
      <c r="I773">
        <f t="shared" si="12"/>
        <v>244</v>
      </c>
    </row>
    <row r="774" spans="1:9" x14ac:dyDescent="0.25">
      <c r="A774" t="s">
        <v>13</v>
      </c>
      <c r="B774" t="s">
        <v>23</v>
      </c>
      <c r="C774" t="s">
        <v>21</v>
      </c>
      <c r="D774" t="s">
        <v>11</v>
      </c>
      <c r="E774" t="s">
        <v>12</v>
      </c>
      <c r="F774">
        <v>72</v>
      </c>
      <c r="G774">
        <v>76</v>
      </c>
      <c r="H774">
        <v>78</v>
      </c>
      <c r="I774">
        <f t="shared" si="12"/>
        <v>226</v>
      </c>
    </row>
    <row r="775" spans="1:9" x14ac:dyDescent="0.25">
      <c r="A775" t="s">
        <v>8</v>
      </c>
      <c r="B775" t="s">
        <v>23</v>
      </c>
      <c r="C775" t="s">
        <v>10</v>
      </c>
      <c r="D775" t="s">
        <v>11</v>
      </c>
      <c r="E775" t="s">
        <v>17</v>
      </c>
      <c r="F775">
        <v>85</v>
      </c>
      <c r="G775">
        <v>85</v>
      </c>
      <c r="H775">
        <v>76</v>
      </c>
      <c r="I775">
        <f t="shared" si="12"/>
        <v>246</v>
      </c>
    </row>
    <row r="776" spans="1:9" x14ac:dyDescent="0.25">
      <c r="A776" t="s">
        <v>8</v>
      </c>
      <c r="B776" t="s">
        <v>9</v>
      </c>
      <c r="C776" t="s">
        <v>19</v>
      </c>
      <c r="D776" t="s">
        <v>16</v>
      </c>
      <c r="E776" t="s">
        <v>17</v>
      </c>
      <c r="F776">
        <v>71</v>
      </c>
      <c r="G776">
        <v>68</v>
      </c>
      <c r="H776">
        <v>65</v>
      </c>
      <c r="I776">
        <f t="shared" si="12"/>
        <v>204</v>
      </c>
    </row>
    <row r="777" spans="1:9" x14ac:dyDescent="0.25">
      <c r="A777" t="s">
        <v>13</v>
      </c>
      <c r="B777" t="s">
        <v>23</v>
      </c>
      <c r="C777" t="s">
        <v>15</v>
      </c>
      <c r="D777" t="s">
        <v>16</v>
      </c>
      <c r="E777" t="s">
        <v>17</v>
      </c>
      <c r="F777">
        <v>28</v>
      </c>
      <c r="G777">
        <v>38</v>
      </c>
      <c r="H777">
        <v>31</v>
      </c>
      <c r="I777">
        <f t="shared" si="12"/>
        <v>97</v>
      </c>
    </row>
    <row r="778" spans="1:9" x14ac:dyDescent="0.25">
      <c r="A778" t="s">
        <v>8</v>
      </c>
      <c r="B778" t="s">
        <v>23</v>
      </c>
      <c r="C778" t="s">
        <v>10</v>
      </c>
      <c r="D778" t="s">
        <v>16</v>
      </c>
      <c r="E778" t="s">
        <v>17</v>
      </c>
      <c r="F778">
        <v>41</v>
      </c>
      <c r="G778">
        <v>42</v>
      </c>
      <c r="H778">
        <v>38</v>
      </c>
      <c r="I778">
        <f t="shared" si="12"/>
        <v>121</v>
      </c>
    </row>
    <row r="779" spans="1:9" x14ac:dyDescent="0.25">
      <c r="A779" t="s">
        <v>8</v>
      </c>
      <c r="B779" t="s">
        <v>18</v>
      </c>
      <c r="C779" t="s">
        <v>21</v>
      </c>
      <c r="D779" t="s">
        <v>11</v>
      </c>
      <c r="E779" t="s">
        <v>17</v>
      </c>
      <c r="F779">
        <v>78</v>
      </c>
      <c r="G779">
        <v>72</v>
      </c>
      <c r="H779">
        <v>68</v>
      </c>
      <c r="I779">
        <f t="shared" si="12"/>
        <v>218</v>
      </c>
    </row>
    <row r="780" spans="1:9" x14ac:dyDescent="0.25">
      <c r="A780" t="s">
        <v>8</v>
      </c>
      <c r="B780" t="s">
        <v>23</v>
      </c>
      <c r="C780" t="s">
        <v>24</v>
      </c>
      <c r="D780" t="s">
        <v>16</v>
      </c>
      <c r="E780" t="s">
        <v>17</v>
      </c>
      <c r="F780">
        <v>48</v>
      </c>
      <c r="G780">
        <v>52</v>
      </c>
      <c r="H780">
        <v>44</v>
      </c>
      <c r="I780">
        <f t="shared" si="12"/>
        <v>144</v>
      </c>
    </row>
    <row r="781" spans="1:9" x14ac:dyDescent="0.25">
      <c r="A781" t="s">
        <v>8</v>
      </c>
      <c r="B781" t="s">
        <v>23</v>
      </c>
      <c r="C781" t="s">
        <v>21</v>
      </c>
      <c r="D781" t="s">
        <v>16</v>
      </c>
      <c r="E781" t="s">
        <v>17</v>
      </c>
      <c r="F781">
        <v>38</v>
      </c>
      <c r="G781">
        <v>51</v>
      </c>
      <c r="H781">
        <v>47</v>
      </c>
      <c r="I781">
        <f t="shared" si="12"/>
        <v>136</v>
      </c>
    </row>
    <row r="782" spans="1:9" x14ac:dyDescent="0.25">
      <c r="A782" t="s">
        <v>13</v>
      </c>
      <c r="B782" t="s">
        <v>9</v>
      </c>
      <c r="C782" t="s">
        <v>22</v>
      </c>
      <c r="D782" t="s">
        <v>11</v>
      </c>
      <c r="E782" t="s">
        <v>12</v>
      </c>
      <c r="F782">
        <v>91</v>
      </c>
      <c r="G782">
        <v>100</v>
      </c>
      <c r="H782">
        <v>100</v>
      </c>
      <c r="I782">
        <f t="shared" si="12"/>
        <v>291</v>
      </c>
    </row>
    <row r="783" spans="1:9" x14ac:dyDescent="0.25">
      <c r="A783" t="s">
        <v>13</v>
      </c>
      <c r="B783" t="s">
        <v>14</v>
      </c>
      <c r="C783" t="s">
        <v>22</v>
      </c>
      <c r="D783" t="s">
        <v>11</v>
      </c>
      <c r="E783" t="s">
        <v>17</v>
      </c>
      <c r="F783">
        <v>71</v>
      </c>
      <c r="G783">
        <v>81</v>
      </c>
      <c r="H783">
        <v>80</v>
      </c>
      <c r="I783">
        <f t="shared" si="12"/>
        <v>232</v>
      </c>
    </row>
    <row r="784" spans="1:9" x14ac:dyDescent="0.25">
      <c r="A784" t="s">
        <v>13</v>
      </c>
      <c r="B784" t="s">
        <v>14</v>
      </c>
      <c r="C784" t="s">
        <v>22</v>
      </c>
      <c r="D784" t="s">
        <v>11</v>
      </c>
      <c r="E784" t="s">
        <v>17</v>
      </c>
      <c r="F784">
        <v>84</v>
      </c>
      <c r="G784">
        <v>87</v>
      </c>
      <c r="H784">
        <v>92</v>
      </c>
      <c r="I784">
        <f t="shared" si="12"/>
        <v>263</v>
      </c>
    </row>
    <row r="785" spans="1:9" x14ac:dyDescent="0.25">
      <c r="A785" t="s">
        <v>8</v>
      </c>
      <c r="B785" t="s">
        <v>18</v>
      </c>
      <c r="C785" t="s">
        <v>21</v>
      </c>
      <c r="D785" t="s">
        <v>16</v>
      </c>
      <c r="E785" t="s">
        <v>12</v>
      </c>
      <c r="F785">
        <v>63</v>
      </c>
      <c r="G785">
        <v>60</v>
      </c>
      <c r="H785">
        <v>63</v>
      </c>
      <c r="I785">
        <f t="shared" si="12"/>
        <v>186</v>
      </c>
    </row>
    <row r="786" spans="1:9" x14ac:dyDescent="0.25">
      <c r="A786" t="s">
        <v>13</v>
      </c>
      <c r="B786" t="s">
        <v>9</v>
      </c>
      <c r="C786" t="s">
        <v>21</v>
      </c>
      <c r="D786" t="s">
        <v>11</v>
      </c>
      <c r="E786" t="s">
        <v>12</v>
      </c>
      <c r="F786">
        <v>70</v>
      </c>
      <c r="G786">
        <v>78</v>
      </c>
      <c r="H786">
        <v>87</v>
      </c>
      <c r="I786">
        <f t="shared" si="12"/>
        <v>235</v>
      </c>
    </row>
    <row r="787" spans="1:9" x14ac:dyDescent="0.25">
      <c r="A787" t="s">
        <v>8</v>
      </c>
      <c r="B787" t="s">
        <v>20</v>
      </c>
      <c r="C787" t="s">
        <v>22</v>
      </c>
      <c r="D787" t="s">
        <v>16</v>
      </c>
      <c r="E787" t="s">
        <v>12</v>
      </c>
      <c r="F787">
        <v>48</v>
      </c>
      <c r="G787">
        <v>52</v>
      </c>
      <c r="H787">
        <v>57</v>
      </c>
      <c r="I787">
        <f t="shared" si="12"/>
        <v>157</v>
      </c>
    </row>
    <row r="788" spans="1:9" x14ac:dyDescent="0.25">
      <c r="A788" t="s">
        <v>8</v>
      </c>
      <c r="B788" t="s">
        <v>14</v>
      </c>
      <c r="C788" t="s">
        <v>15</v>
      </c>
      <c r="D788" t="s">
        <v>11</v>
      </c>
      <c r="E788" t="s">
        <v>12</v>
      </c>
      <c r="F788">
        <v>68</v>
      </c>
      <c r="G788">
        <v>72</v>
      </c>
      <c r="H788">
        <v>73</v>
      </c>
      <c r="I788">
        <f t="shared" si="12"/>
        <v>213</v>
      </c>
    </row>
    <row r="789" spans="1:9" x14ac:dyDescent="0.25">
      <c r="A789" t="s">
        <v>13</v>
      </c>
      <c r="B789" t="s">
        <v>14</v>
      </c>
      <c r="C789" t="s">
        <v>19</v>
      </c>
      <c r="D789" t="s">
        <v>11</v>
      </c>
      <c r="E789" t="s">
        <v>17</v>
      </c>
      <c r="F789">
        <v>84</v>
      </c>
      <c r="G789">
        <v>84</v>
      </c>
      <c r="H789">
        <v>87</v>
      </c>
      <c r="I789">
        <f t="shared" si="12"/>
        <v>255</v>
      </c>
    </row>
    <row r="790" spans="1:9" x14ac:dyDescent="0.25">
      <c r="A790" t="s">
        <v>8</v>
      </c>
      <c r="B790" t="s">
        <v>14</v>
      </c>
      <c r="C790" t="s">
        <v>10</v>
      </c>
      <c r="D790" t="s">
        <v>11</v>
      </c>
      <c r="E790" t="s">
        <v>17</v>
      </c>
      <c r="F790">
        <v>61</v>
      </c>
      <c r="G790">
        <v>62</v>
      </c>
      <c r="H790">
        <v>60</v>
      </c>
      <c r="I790">
        <f t="shared" si="12"/>
        <v>183</v>
      </c>
    </row>
    <row r="791" spans="1:9" x14ac:dyDescent="0.25">
      <c r="A791" t="s">
        <v>8</v>
      </c>
      <c r="B791" t="s">
        <v>23</v>
      </c>
      <c r="C791" t="s">
        <v>15</v>
      </c>
      <c r="D791" t="s">
        <v>16</v>
      </c>
      <c r="E791" t="s">
        <v>17</v>
      </c>
      <c r="F791">
        <v>62</v>
      </c>
      <c r="G791">
        <v>59</v>
      </c>
      <c r="H791">
        <v>62</v>
      </c>
      <c r="I791">
        <f t="shared" si="12"/>
        <v>183</v>
      </c>
    </row>
    <row r="792" spans="1:9" x14ac:dyDescent="0.25">
      <c r="A792" t="s">
        <v>13</v>
      </c>
      <c r="B792" t="s">
        <v>23</v>
      </c>
      <c r="C792" t="s">
        <v>24</v>
      </c>
      <c r="D792" t="s">
        <v>16</v>
      </c>
      <c r="E792" t="s">
        <v>17</v>
      </c>
      <c r="F792">
        <v>66</v>
      </c>
      <c r="G792">
        <v>78</v>
      </c>
      <c r="H792">
        <v>83</v>
      </c>
      <c r="I792">
        <f t="shared" si="12"/>
        <v>227</v>
      </c>
    </row>
    <row r="793" spans="1:9" x14ac:dyDescent="0.25">
      <c r="A793" t="s">
        <v>13</v>
      </c>
      <c r="B793" t="s">
        <v>23</v>
      </c>
      <c r="C793" t="s">
        <v>10</v>
      </c>
      <c r="D793" t="s">
        <v>11</v>
      </c>
      <c r="E793" t="s">
        <v>12</v>
      </c>
      <c r="F793">
        <v>52</v>
      </c>
      <c r="G793">
        <v>65</v>
      </c>
      <c r="H793">
        <v>71</v>
      </c>
      <c r="I793">
        <f t="shared" si="12"/>
        <v>188</v>
      </c>
    </row>
    <row r="794" spans="1:9" x14ac:dyDescent="0.25">
      <c r="A794" t="s">
        <v>13</v>
      </c>
      <c r="B794" t="s">
        <v>14</v>
      </c>
      <c r="C794" t="s">
        <v>19</v>
      </c>
      <c r="D794" t="s">
        <v>11</v>
      </c>
      <c r="E794" t="s">
        <v>12</v>
      </c>
      <c r="F794">
        <v>68</v>
      </c>
      <c r="G794">
        <v>75</v>
      </c>
      <c r="H794">
        <v>73</v>
      </c>
      <c r="I794">
        <f t="shared" si="12"/>
        <v>216</v>
      </c>
    </row>
    <row r="795" spans="1:9" x14ac:dyDescent="0.25">
      <c r="A795" t="s">
        <v>8</v>
      </c>
      <c r="B795" t="s">
        <v>14</v>
      </c>
      <c r="C795" t="s">
        <v>19</v>
      </c>
      <c r="D795" t="s">
        <v>16</v>
      </c>
      <c r="E795" t="s">
        <v>12</v>
      </c>
      <c r="F795">
        <v>62</v>
      </c>
      <c r="G795">
        <v>68</v>
      </c>
      <c r="H795">
        <v>71</v>
      </c>
      <c r="I795">
        <f t="shared" si="12"/>
        <v>201</v>
      </c>
    </row>
    <row r="796" spans="1:9" x14ac:dyDescent="0.25">
      <c r="A796" t="s">
        <v>8</v>
      </c>
      <c r="B796" t="s">
        <v>18</v>
      </c>
      <c r="C796" t="s">
        <v>22</v>
      </c>
      <c r="D796" t="s">
        <v>11</v>
      </c>
      <c r="E796" t="s">
        <v>12</v>
      </c>
      <c r="F796">
        <v>90</v>
      </c>
      <c r="G796">
        <v>88</v>
      </c>
      <c r="H796">
        <v>84</v>
      </c>
      <c r="I796">
        <f t="shared" si="12"/>
        <v>262</v>
      </c>
    </row>
    <row r="797" spans="1:9" x14ac:dyDescent="0.25">
      <c r="A797" t="s">
        <v>13</v>
      </c>
      <c r="B797" t="s">
        <v>9</v>
      </c>
      <c r="C797" t="s">
        <v>24</v>
      </c>
      <c r="D797" t="s">
        <v>16</v>
      </c>
      <c r="E797" t="s">
        <v>17</v>
      </c>
      <c r="F797">
        <v>42</v>
      </c>
      <c r="G797">
        <v>50</v>
      </c>
      <c r="H797">
        <v>44</v>
      </c>
      <c r="I797">
        <f t="shared" si="12"/>
        <v>136</v>
      </c>
    </row>
    <row r="798" spans="1:9" x14ac:dyDescent="0.25">
      <c r="A798" t="s">
        <v>8</v>
      </c>
      <c r="B798" t="s">
        <v>14</v>
      </c>
      <c r="C798" t="s">
        <v>21</v>
      </c>
      <c r="D798" t="s">
        <v>16</v>
      </c>
      <c r="E798" t="s">
        <v>12</v>
      </c>
      <c r="F798">
        <v>74</v>
      </c>
      <c r="G798">
        <v>90</v>
      </c>
      <c r="H798">
        <v>89</v>
      </c>
      <c r="I798">
        <f t="shared" si="12"/>
        <v>253</v>
      </c>
    </row>
    <row r="799" spans="1:9" x14ac:dyDescent="0.25">
      <c r="A799" t="s">
        <v>8</v>
      </c>
      <c r="B799" t="s">
        <v>20</v>
      </c>
      <c r="C799" t="s">
        <v>21</v>
      </c>
      <c r="D799" t="s">
        <v>11</v>
      </c>
      <c r="E799" t="s">
        <v>12</v>
      </c>
      <c r="F799">
        <v>62</v>
      </c>
      <c r="G799">
        <v>61</v>
      </c>
      <c r="H799">
        <v>61</v>
      </c>
      <c r="I799">
        <f t="shared" si="12"/>
        <v>184</v>
      </c>
    </row>
    <row r="800" spans="1:9" x14ac:dyDescent="0.25">
      <c r="A800" t="s">
        <v>8</v>
      </c>
      <c r="B800" t="s">
        <v>23</v>
      </c>
      <c r="C800" t="s">
        <v>19</v>
      </c>
      <c r="D800" t="s">
        <v>11</v>
      </c>
      <c r="E800" t="s">
        <v>17</v>
      </c>
      <c r="F800">
        <v>56</v>
      </c>
      <c r="G800">
        <v>55</v>
      </c>
      <c r="H800">
        <v>50</v>
      </c>
      <c r="I800">
        <f t="shared" si="12"/>
        <v>161</v>
      </c>
    </row>
    <row r="801" spans="1:9" x14ac:dyDescent="0.25">
      <c r="A801" t="s">
        <v>8</v>
      </c>
      <c r="B801" t="s">
        <v>23</v>
      </c>
      <c r="C801" t="s">
        <v>10</v>
      </c>
      <c r="D801" t="s">
        <v>16</v>
      </c>
      <c r="E801" t="s">
        <v>17</v>
      </c>
      <c r="F801">
        <v>64</v>
      </c>
      <c r="G801">
        <v>52</v>
      </c>
      <c r="H801">
        <v>54</v>
      </c>
      <c r="I801">
        <f t="shared" si="12"/>
        <v>170</v>
      </c>
    </row>
    <row r="802" spans="1:9" x14ac:dyDescent="0.25">
      <c r="A802" t="s">
        <v>8</v>
      </c>
      <c r="B802" t="s">
        <v>14</v>
      </c>
      <c r="C802" t="s">
        <v>10</v>
      </c>
      <c r="D802" t="s">
        <v>11</v>
      </c>
      <c r="E802" t="s">
        <v>12</v>
      </c>
      <c r="F802">
        <v>79</v>
      </c>
      <c r="G802">
        <v>84</v>
      </c>
      <c r="H802">
        <v>80</v>
      </c>
      <c r="I802">
        <f t="shared" si="12"/>
        <v>243</v>
      </c>
    </row>
    <row r="803" spans="1:9" x14ac:dyDescent="0.25">
      <c r="A803" t="s">
        <v>13</v>
      </c>
      <c r="B803" t="s">
        <v>23</v>
      </c>
      <c r="C803" t="s">
        <v>15</v>
      </c>
      <c r="D803" t="s">
        <v>11</v>
      </c>
      <c r="E803" t="s">
        <v>17</v>
      </c>
      <c r="F803">
        <v>44</v>
      </c>
      <c r="G803">
        <v>65</v>
      </c>
      <c r="H803">
        <v>63</v>
      </c>
      <c r="I803">
        <f t="shared" si="12"/>
        <v>172</v>
      </c>
    </row>
    <row r="804" spans="1:9" x14ac:dyDescent="0.25">
      <c r="A804" t="s">
        <v>13</v>
      </c>
      <c r="B804" t="s">
        <v>20</v>
      </c>
      <c r="C804" t="s">
        <v>19</v>
      </c>
      <c r="D804" t="s">
        <v>11</v>
      </c>
      <c r="E804" t="s">
        <v>12</v>
      </c>
      <c r="F804">
        <v>69</v>
      </c>
      <c r="G804">
        <v>94</v>
      </c>
      <c r="H804">
        <v>87</v>
      </c>
      <c r="I804">
        <f t="shared" si="12"/>
        <v>250</v>
      </c>
    </row>
    <row r="805" spans="1:9" x14ac:dyDescent="0.25">
      <c r="A805" t="s">
        <v>8</v>
      </c>
      <c r="B805" t="s">
        <v>9</v>
      </c>
      <c r="C805" t="s">
        <v>19</v>
      </c>
      <c r="D805" t="s">
        <v>11</v>
      </c>
      <c r="E805" t="s">
        <v>17</v>
      </c>
      <c r="F805">
        <v>53</v>
      </c>
      <c r="G805">
        <v>48</v>
      </c>
      <c r="H805">
        <v>48</v>
      </c>
      <c r="I805">
        <f t="shared" si="12"/>
        <v>149</v>
      </c>
    </row>
    <row r="806" spans="1:9" x14ac:dyDescent="0.25">
      <c r="A806" t="s">
        <v>8</v>
      </c>
      <c r="B806" t="s">
        <v>23</v>
      </c>
      <c r="C806" t="s">
        <v>10</v>
      </c>
      <c r="D806" t="s">
        <v>11</v>
      </c>
      <c r="E806" t="s">
        <v>17</v>
      </c>
      <c r="F806">
        <v>74</v>
      </c>
      <c r="G806">
        <v>69</v>
      </c>
      <c r="H806">
        <v>61</v>
      </c>
      <c r="I806">
        <f t="shared" si="12"/>
        <v>204</v>
      </c>
    </row>
    <row r="807" spans="1:9" x14ac:dyDescent="0.25">
      <c r="A807" t="s">
        <v>8</v>
      </c>
      <c r="B807" t="s">
        <v>23</v>
      </c>
      <c r="C807" t="s">
        <v>21</v>
      </c>
      <c r="D807" t="s">
        <v>11</v>
      </c>
      <c r="E807" t="s">
        <v>17</v>
      </c>
      <c r="F807">
        <v>49</v>
      </c>
      <c r="G807">
        <v>55</v>
      </c>
      <c r="H807">
        <v>48</v>
      </c>
      <c r="I807">
        <f t="shared" si="12"/>
        <v>152</v>
      </c>
    </row>
    <row r="808" spans="1:9" x14ac:dyDescent="0.25">
      <c r="A808" t="s">
        <v>13</v>
      </c>
      <c r="B808" t="s">
        <v>14</v>
      </c>
      <c r="C808" t="s">
        <v>21</v>
      </c>
      <c r="D808" t="s">
        <v>16</v>
      </c>
      <c r="E808" t="s">
        <v>17</v>
      </c>
      <c r="F808">
        <v>57</v>
      </c>
      <c r="G808">
        <v>71</v>
      </c>
      <c r="H808">
        <v>71</v>
      </c>
      <c r="I808">
        <f t="shared" si="12"/>
        <v>199</v>
      </c>
    </row>
    <row r="809" spans="1:9" x14ac:dyDescent="0.25">
      <c r="A809" t="s">
        <v>13</v>
      </c>
      <c r="B809" t="s">
        <v>14</v>
      </c>
      <c r="C809" t="s">
        <v>24</v>
      </c>
      <c r="D809" t="s">
        <v>11</v>
      </c>
      <c r="E809" t="s">
        <v>17</v>
      </c>
      <c r="F809">
        <v>61</v>
      </c>
      <c r="G809">
        <v>72</v>
      </c>
      <c r="H809">
        <v>64</v>
      </c>
      <c r="I809">
        <f t="shared" si="12"/>
        <v>197</v>
      </c>
    </row>
    <row r="810" spans="1:9" x14ac:dyDescent="0.25">
      <c r="A810" t="s">
        <v>13</v>
      </c>
      <c r="B810" t="s">
        <v>23</v>
      </c>
      <c r="C810" t="s">
        <v>24</v>
      </c>
      <c r="D810" t="s">
        <v>16</v>
      </c>
      <c r="E810" t="s">
        <v>17</v>
      </c>
      <c r="F810">
        <v>65</v>
      </c>
      <c r="G810">
        <v>88</v>
      </c>
      <c r="H810">
        <v>84</v>
      </c>
      <c r="I810">
        <f t="shared" si="12"/>
        <v>237</v>
      </c>
    </row>
    <row r="811" spans="1:9" x14ac:dyDescent="0.25">
      <c r="A811" t="s">
        <v>13</v>
      </c>
      <c r="B811" t="s">
        <v>23</v>
      </c>
      <c r="C811" t="s">
        <v>19</v>
      </c>
      <c r="D811" t="s">
        <v>11</v>
      </c>
      <c r="E811" t="s">
        <v>17</v>
      </c>
      <c r="F811">
        <v>51</v>
      </c>
      <c r="G811">
        <v>60</v>
      </c>
      <c r="H811">
        <v>52</v>
      </c>
      <c r="I811">
        <f t="shared" si="12"/>
        <v>163</v>
      </c>
    </row>
    <row r="812" spans="1:9" x14ac:dyDescent="0.25">
      <c r="A812" t="s">
        <v>13</v>
      </c>
      <c r="B812" t="s">
        <v>23</v>
      </c>
      <c r="C812" t="s">
        <v>15</v>
      </c>
      <c r="D812" t="s">
        <v>11</v>
      </c>
      <c r="E812" t="s">
        <v>17</v>
      </c>
      <c r="F812">
        <v>49</v>
      </c>
      <c r="G812">
        <v>51</v>
      </c>
      <c r="H812">
        <v>41</v>
      </c>
      <c r="I812">
        <f t="shared" si="12"/>
        <v>141</v>
      </c>
    </row>
    <row r="813" spans="1:9" x14ac:dyDescent="0.25">
      <c r="A813" t="s">
        <v>8</v>
      </c>
      <c r="B813" t="s">
        <v>20</v>
      </c>
      <c r="C813" t="s">
        <v>24</v>
      </c>
      <c r="D813" t="s">
        <v>16</v>
      </c>
      <c r="E813" t="s">
        <v>17</v>
      </c>
      <c r="F813">
        <v>56</v>
      </c>
      <c r="G813">
        <v>65</v>
      </c>
      <c r="H813">
        <v>56</v>
      </c>
      <c r="I813">
        <f t="shared" si="12"/>
        <v>177</v>
      </c>
    </row>
    <row r="814" spans="1:9" x14ac:dyDescent="0.25">
      <c r="A814" t="s">
        <v>8</v>
      </c>
      <c r="B814" t="s">
        <v>14</v>
      </c>
      <c r="C814" t="s">
        <v>21</v>
      </c>
      <c r="D814" t="s">
        <v>11</v>
      </c>
      <c r="E814" t="s">
        <v>17</v>
      </c>
      <c r="F814">
        <v>65</v>
      </c>
      <c r="G814">
        <v>62</v>
      </c>
      <c r="H814">
        <v>63</v>
      </c>
      <c r="I814">
        <f t="shared" si="12"/>
        <v>190</v>
      </c>
    </row>
    <row r="815" spans="1:9" x14ac:dyDescent="0.25">
      <c r="A815" t="s">
        <v>8</v>
      </c>
      <c r="B815" t="s">
        <v>14</v>
      </c>
      <c r="C815" t="s">
        <v>19</v>
      </c>
      <c r="D815" t="s">
        <v>11</v>
      </c>
      <c r="E815" t="s">
        <v>17</v>
      </c>
      <c r="F815">
        <v>70</v>
      </c>
      <c r="G815">
        <v>64</v>
      </c>
      <c r="H815">
        <v>62</v>
      </c>
      <c r="I815">
        <f t="shared" si="12"/>
        <v>196</v>
      </c>
    </row>
    <row r="816" spans="1:9" x14ac:dyDescent="0.25">
      <c r="A816" t="s">
        <v>8</v>
      </c>
      <c r="B816" t="s">
        <v>14</v>
      </c>
      <c r="C816" t="s">
        <v>19</v>
      </c>
      <c r="D816" t="s">
        <v>11</v>
      </c>
      <c r="E816" t="s">
        <v>17</v>
      </c>
      <c r="F816">
        <v>91</v>
      </c>
      <c r="G816">
        <v>95</v>
      </c>
      <c r="H816">
        <v>88</v>
      </c>
      <c r="I816">
        <f t="shared" si="12"/>
        <v>274</v>
      </c>
    </row>
    <row r="817" spans="1:9" x14ac:dyDescent="0.25">
      <c r="A817" t="s">
        <v>13</v>
      </c>
      <c r="B817" t="s">
        <v>14</v>
      </c>
      <c r="C817" t="s">
        <v>10</v>
      </c>
      <c r="D817" t="s">
        <v>11</v>
      </c>
      <c r="E817" t="s">
        <v>12</v>
      </c>
      <c r="F817">
        <v>48</v>
      </c>
      <c r="G817">
        <v>56</v>
      </c>
      <c r="H817">
        <v>64</v>
      </c>
      <c r="I817">
        <f t="shared" si="12"/>
        <v>168</v>
      </c>
    </row>
    <row r="818" spans="1:9" x14ac:dyDescent="0.25">
      <c r="A818" t="s">
        <v>13</v>
      </c>
      <c r="B818" t="s">
        <v>23</v>
      </c>
      <c r="C818" t="s">
        <v>21</v>
      </c>
      <c r="D818" t="s">
        <v>11</v>
      </c>
      <c r="E818" t="s">
        <v>12</v>
      </c>
      <c r="F818">
        <v>94</v>
      </c>
      <c r="G818">
        <v>99</v>
      </c>
      <c r="H818">
        <v>100</v>
      </c>
      <c r="I818">
        <f t="shared" si="12"/>
        <v>293</v>
      </c>
    </row>
    <row r="819" spans="1:9" x14ac:dyDescent="0.25">
      <c r="A819" t="s">
        <v>8</v>
      </c>
      <c r="B819" t="s">
        <v>20</v>
      </c>
      <c r="C819" t="s">
        <v>24</v>
      </c>
      <c r="D819" t="s">
        <v>11</v>
      </c>
      <c r="E819" t="s">
        <v>17</v>
      </c>
      <c r="F819">
        <v>77</v>
      </c>
      <c r="G819">
        <v>76</v>
      </c>
      <c r="H819">
        <v>73</v>
      </c>
      <c r="I819">
        <f t="shared" si="12"/>
        <v>226</v>
      </c>
    </row>
    <row r="820" spans="1:9" x14ac:dyDescent="0.25">
      <c r="A820" t="s">
        <v>13</v>
      </c>
      <c r="B820" t="s">
        <v>14</v>
      </c>
      <c r="C820" t="s">
        <v>15</v>
      </c>
      <c r="D820" t="s">
        <v>11</v>
      </c>
      <c r="E820" t="s">
        <v>17</v>
      </c>
      <c r="F820">
        <v>59</v>
      </c>
      <c r="G820">
        <v>78</v>
      </c>
      <c r="H820">
        <v>75</v>
      </c>
      <c r="I820">
        <f t="shared" si="12"/>
        <v>212</v>
      </c>
    </row>
    <row r="821" spans="1:9" x14ac:dyDescent="0.25">
      <c r="A821" t="s">
        <v>13</v>
      </c>
      <c r="B821" t="s">
        <v>23</v>
      </c>
      <c r="C821" t="s">
        <v>19</v>
      </c>
      <c r="D821" t="s">
        <v>16</v>
      </c>
      <c r="E821" t="s">
        <v>17</v>
      </c>
      <c r="F821">
        <v>57</v>
      </c>
      <c r="G821">
        <v>75</v>
      </c>
      <c r="H821">
        <v>70</v>
      </c>
      <c r="I821">
        <f t="shared" si="12"/>
        <v>202</v>
      </c>
    </row>
    <row r="822" spans="1:9" x14ac:dyDescent="0.25">
      <c r="A822" t="s">
        <v>13</v>
      </c>
      <c r="B822" t="s">
        <v>23</v>
      </c>
      <c r="C822" t="s">
        <v>15</v>
      </c>
      <c r="D822" t="s">
        <v>11</v>
      </c>
      <c r="E822" t="s">
        <v>17</v>
      </c>
      <c r="F822">
        <v>76</v>
      </c>
      <c r="G822">
        <v>82</v>
      </c>
      <c r="H822">
        <v>74</v>
      </c>
      <c r="I822">
        <f t="shared" si="12"/>
        <v>232</v>
      </c>
    </row>
    <row r="823" spans="1:9" x14ac:dyDescent="0.25">
      <c r="A823" t="s">
        <v>8</v>
      </c>
      <c r="B823" t="s">
        <v>14</v>
      </c>
      <c r="C823" t="s">
        <v>10</v>
      </c>
      <c r="D823" t="s">
        <v>11</v>
      </c>
      <c r="E823" t="s">
        <v>17</v>
      </c>
      <c r="F823">
        <v>65</v>
      </c>
      <c r="G823">
        <v>63</v>
      </c>
      <c r="H823">
        <v>64</v>
      </c>
      <c r="I823">
        <f t="shared" si="12"/>
        <v>192</v>
      </c>
    </row>
    <row r="824" spans="1:9" x14ac:dyDescent="0.25">
      <c r="A824" t="s">
        <v>13</v>
      </c>
      <c r="B824" t="s">
        <v>20</v>
      </c>
      <c r="C824" t="s">
        <v>24</v>
      </c>
      <c r="D824" t="s">
        <v>11</v>
      </c>
      <c r="E824" t="s">
        <v>12</v>
      </c>
      <c r="F824">
        <v>75</v>
      </c>
      <c r="G824">
        <v>75</v>
      </c>
      <c r="H824">
        <v>83</v>
      </c>
      <c r="I824">
        <f t="shared" si="12"/>
        <v>233</v>
      </c>
    </row>
    <row r="825" spans="1:9" x14ac:dyDescent="0.25">
      <c r="A825" t="s">
        <v>8</v>
      </c>
      <c r="B825" t="s">
        <v>14</v>
      </c>
      <c r="C825" t="s">
        <v>24</v>
      </c>
      <c r="D825" t="s">
        <v>11</v>
      </c>
      <c r="E825" t="s">
        <v>17</v>
      </c>
      <c r="F825">
        <v>70</v>
      </c>
      <c r="G825">
        <v>66</v>
      </c>
      <c r="H825">
        <v>65</v>
      </c>
      <c r="I825">
        <f t="shared" si="12"/>
        <v>201</v>
      </c>
    </row>
    <row r="826" spans="1:9" x14ac:dyDescent="0.25">
      <c r="A826" t="s">
        <v>8</v>
      </c>
      <c r="B826" t="s">
        <v>23</v>
      </c>
      <c r="C826" t="s">
        <v>10</v>
      </c>
      <c r="D826" t="s">
        <v>11</v>
      </c>
      <c r="E826" t="s">
        <v>12</v>
      </c>
      <c r="F826">
        <v>79</v>
      </c>
      <c r="G826">
        <v>79</v>
      </c>
      <c r="H826">
        <v>70</v>
      </c>
      <c r="I826">
        <f t="shared" si="12"/>
        <v>228</v>
      </c>
    </row>
    <row r="827" spans="1:9" x14ac:dyDescent="0.25">
      <c r="A827" t="s">
        <v>8</v>
      </c>
      <c r="B827" t="s">
        <v>18</v>
      </c>
      <c r="C827" t="s">
        <v>21</v>
      </c>
      <c r="D827" t="s">
        <v>11</v>
      </c>
      <c r="E827" t="s">
        <v>12</v>
      </c>
      <c r="F827">
        <v>100</v>
      </c>
      <c r="G827">
        <v>100</v>
      </c>
      <c r="H827">
        <v>100</v>
      </c>
      <c r="I827">
        <f t="shared" si="12"/>
        <v>300</v>
      </c>
    </row>
    <row r="828" spans="1:9" x14ac:dyDescent="0.25">
      <c r="A828" t="s">
        <v>13</v>
      </c>
      <c r="B828" t="s">
        <v>9</v>
      </c>
      <c r="C828" t="s">
        <v>22</v>
      </c>
      <c r="D828" t="s">
        <v>11</v>
      </c>
      <c r="E828" t="s">
        <v>12</v>
      </c>
      <c r="F828">
        <v>83</v>
      </c>
      <c r="G828">
        <v>96</v>
      </c>
      <c r="H828">
        <v>99</v>
      </c>
      <c r="I828">
        <f t="shared" si="12"/>
        <v>278</v>
      </c>
    </row>
    <row r="829" spans="1:9" x14ac:dyDescent="0.25">
      <c r="A829" t="s">
        <v>13</v>
      </c>
      <c r="B829" t="s">
        <v>23</v>
      </c>
      <c r="C829" t="s">
        <v>21</v>
      </c>
      <c r="D829" t="s">
        <v>16</v>
      </c>
      <c r="E829" t="s">
        <v>17</v>
      </c>
      <c r="F829">
        <v>70</v>
      </c>
      <c r="G829">
        <v>84</v>
      </c>
      <c r="H829">
        <v>78</v>
      </c>
      <c r="I829">
        <f t="shared" si="12"/>
        <v>232</v>
      </c>
    </row>
    <row r="830" spans="1:9" x14ac:dyDescent="0.25">
      <c r="A830" t="s">
        <v>8</v>
      </c>
      <c r="B830" t="s">
        <v>18</v>
      </c>
      <c r="C830" t="s">
        <v>15</v>
      </c>
      <c r="D830" t="s">
        <v>11</v>
      </c>
      <c r="E830" t="s">
        <v>12</v>
      </c>
      <c r="F830">
        <v>97</v>
      </c>
      <c r="G830">
        <v>80</v>
      </c>
      <c r="H830">
        <v>88</v>
      </c>
      <c r="I830">
        <f t="shared" si="12"/>
        <v>265</v>
      </c>
    </row>
    <row r="831" spans="1:9" x14ac:dyDescent="0.25">
      <c r="A831" t="s">
        <v>13</v>
      </c>
      <c r="B831" t="s">
        <v>18</v>
      </c>
      <c r="C831" t="s">
        <v>10</v>
      </c>
      <c r="D831" t="s">
        <v>16</v>
      </c>
      <c r="E831" t="s">
        <v>17</v>
      </c>
      <c r="F831">
        <v>33</v>
      </c>
      <c r="G831">
        <v>32</v>
      </c>
      <c r="H831">
        <v>35</v>
      </c>
      <c r="I831">
        <f t="shared" si="12"/>
        <v>100</v>
      </c>
    </row>
    <row r="832" spans="1:9" x14ac:dyDescent="0.25">
      <c r="A832" t="s">
        <v>8</v>
      </c>
      <c r="B832" t="s">
        <v>20</v>
      </c>
      <c r="C832" t="s">
        <v>24</v>
      </c>
      <c r="D832" t="s">
        <v>16</v>
      </c>
      <c r="E832" t="s">
        <v>17</v>
      </c>
      <c r="F832">
        <v>38</v>
      </c>
      <c r="G832">
        <v>40</v>
      </c>
      <c r="H832">
        <v>41</v>
      </c>
      <c r="I832">
        <f t="shared" si="12"/>
        <v>119</v>
      </c>
    </row>
    <row r="833" spans="1:9" x14ac:dyDescent="0.25">
      <c r="A833" t="s">
        <v>8</v>
      </c>
      <c r="B833" t="s">
        <v>23</v>
      </c>
      <c r="C833" t="s">
        <v>19</v>
      </c>
      <c r="D833" t="s">
        <v>11</v>
      </c>
      <c r="E833" t="s">
        <v>12</v>
      </c>
      <c r="F833">
        <v>46</v>
      </c>
      <c r="G833">
        <v>51</v>
      </c>
      <c r="H833">
        <v>47</v>
      </c>
      <c r="I833">
        <f t="shared" si="12"/>
        <v>144</v>
      </c>
    </row>
    <row r="834" spans="1:9" x14ac:dyDescent="0.25">
      <c r="A834" t="s">
        <v>13</v>
      </c>
      <c r="B834" t="s">
        <v>14</v>
      </c>
      <c r="C834" t="s">
        <v>19</v>
      </c>
      <c r="D834" t="s">
        <v>16</v>
      </c>
      <c r="E834" t="s">
        <v>17</v>
      </c>
      <c r="F834">
        <v>13</v>
      </c>
      <c r="G834">
        <v>36</v>
      </c>
      <c r="H834">
        <v>37</v>
      </c>
      <c r="I834">
        <f t="shared" si="12"/>
        <v>86</v>
      </c>
    </row>
    <row r="835" spans="1:9" x14ac:dyDescent="0.25">
      <c r="A835" t="s">
        <v>8</v>
      </c>
      <c r="B835" t="s">
        <v>9</v>
      </c>
      <c r="C835" t="s">
        <v>24</v>
      </c>
      <c r="D835" t="s">
        <v>11</v>
      </c>
      <c r="E835" t="s">
        <v>17</v>
      </c>
      <c r="F835">
        <v>85</v>
      </c>
      <c r="G835">
        <v>83</v>
      </c>
      <c r="H835">
        <v>78</v>
      </c>
      <c r="I835">
        <f t="shared" ref="I835:I898" si="13">SUM(F835:H835)</f>
        <v>246</v>
      </c>
    </row>
    <row r="836" spans="1:9" x14ac:dyDescent="0.25">
      <c r="A836" t="s">
        <v>13</v>
      </c>
      <c r="B836" t="s">
        <v>20</v>
      </c>
      <c r="C836" t="s">
        <v>19</v>
      </c>
      <c r="D836" t="s">
        <v>11</v>
      </c>
      <c r="E836" t="s">
        <v>17</v>
      </c>
      <c r="F836">
        <v>79</v>
      </c>
      <c r="G836">
        <v>79</v>
      </c>
      <c r="H836">
        <v>80</v>
      </c>
      <c r="I836">
        <f t="shared" si="13"/>
        <v>238</v>
      </c>
    </row>
    <row r="837" spans="1:9" x14ac:dyDescent="0.25">
      <c r="A837" t="s">
        <v>13</v>
      </c>
      <c r="B837" t="s">
        <v>20</v>
      </c>
      <c r="C837" t="s">
        <v>15</v>
      </c>
      <c r="D837" t="s">
        <v>11</v>
      </c>
      <c r="E837" t="s">
        <v>17</v>
      </c>
      <c r="F837">
        <v>76</v>
      </c>
      <c r="G837">
        <v>81</v>
      </c>
      <c r="H837">
        <v>79</v>
      </c>
      <c r="I837">
        <f t="shared" si="13"/>
        <v>236</v>
      </c>
    </row>
    <row r="838" spans="1:9" x14ac:dyDescent="0.25">
      <c r="A838" t="s">
        <v>13</v>
      </c>
      <c r="B838" t="s">
        <v>23</v>
      </c>
      <c r="C838" t="s">
        <v>15</v>
      </c>
      <c r="D838" t="s">
        <v>16</v>
      </c>
      <c r="E838" t="s">
        <v>12</v>
      </c>
      <c r="F838">
        <v>53</v>
      </c>
      <c r="G838">
        <v>70</v>
      </c>
      <c r="H838">
        <v>65</v>
      </c>
      <c r="I838">
        <f t="shared" si="13"/>
        <v>188</v>
      </c>
    </row>
    <row r="839" spans="1:9" x14ac:dyDescent="0.25">
      <c r="A839" t="s">
        <v>8</v>
      </c>
      <c r="B839" t="s">
        <v>9</v>
      </c>
      <c r="C839" t="s">
        <v>10</v>
      </c>
      <c r="D839" t="s">
        <v>11</v>
      </c>
      <c r="E839" t="s">
        <v>12</v>
      </c>
      <c r="F839">
        <v>68</v>
      </c>
      <c r="G839">
        <v>70</v>
      </c>
      <c r="H839">
        <v>63</v>
      </c>
      <c r="I839">
        <f t="shared" si="13"/>
        <v>201</v>
      </c>
    </row>
    <row r="840" spans="1:9" x14ac:dyDescent="0.25">
      <c r="A840" t="s">
        <v>8</v>
      </c>
      <c r="B840" t="s">
        <v>14</v>
      </c>
      <c r="C840" t="s">
        <v>21</v>
      </c>
      <c r="D840" t="s">
        <v>16</v>
      </c>
      <c r="E840" t="s">
        <v>12</v>
      </c>
      <c r="F840">
        <v>67</v>
      </c>
      <c r="G840">
        <v>70</v>
      </c>
      <c r="H840">
        <v>70</v>
      </c>
      <c r="I840">
        <f t="shared" si="13"/>
        <v>207</v>
      </c>
    </row>
    <row r="841" spans="1:9" x14ac:dyDescent="0.25">
      <c r="A841" t="s">
        <v>8</v>
      </c>
      <c r="B841" t="s">
        <v>18</v>
      </c>
      <c r="C841" t="s">
        <v>19</v>
      </c>
      <c r="D841" t="s">
        <v>11</v>
      </c>
      <c r="E841" t="s">
        <v>12</v>
      </c>
      <c r="F841">
        <v>100</v>
      </c>
      <c r="G841">
        <v>84</v>
      </c>
      <c r="H841">
        <v>88</v>
      </c>
      <c r="I841">
        <f t="shared" si="13"/>
        <v>272</v>
      </c>
    </row>
    <row r="842" spans="1:9" x14ac:dyDescent="0.25">
      <c r="A842" t="s">
        <v>8</v>
      </c>
      <c r="B842" t="s">
        <v>23</v>
      </c>
      <c r="C842" t="s">
        <v>21</v>
      </c>
      <c r="D842" t="s">
        <v>16</v>
      </c>
      <c r="E842" t="s">
        <v>17</v>
      </c>
      <c r="F842">
        <v>54</v>
      </c>
      <c r="G842">
        <v>48</v>
      </c>
      <c r="H842">
        <v>45</v>
      </c>
      <c r="I842">
        <f t="shared" si="13"/>
        <v>147</v>
      </c>
    </row>
    <row r="843" spans="1:9" x14ac:dyDescent="0.25">
      <c r="A843" t="s">
        <v>13</v>
      </c>
      <c r="B843" t="s">
        <v>18</v>
      </c>
      <c r="C843" t="s">
        <v>21</v>
      </c>
      <c r="D843" t="s">
        <v>16</v>
      </c>
      <c r="E843" t="s">
        <v>17</v>
      </c>
      <c r="F843">
        <v>72</v>
      </c>
      <c r="G843">
        <v>73</v>
      </c>
      <c r="H843">
        <v>70</v>
      </c>
      <c r="I843">
        <f t="shared" si="13"/>
        <v>215</v>
      </c>
    </row>
    <row r="844" spans="1:9" x14ac:dyDescent="0.25">
      <c r="A844" t="s">
        <v>8</v>
      </c>
      <c r="B844" t="s">
        <v>9</v>
      </c>
      <c r="C844" t="s">
        <v>19</v>
      </c>
      <c r="D844" t="s">
        <v>11</v>
      </c>
      <c r="E844" t="s">
        <v>12</v>
      </c>
      <c r="F844">
        <v>91</v>
      </c>
      <c r="G844">
        <v>97</v>
      </c>
      <c r="H844">
        <v>95</v>
      </c>
      <c r="I844">
        <f t="shared" si="13"/>
        <v>283</v>
      </c>
    </row>
    <row r="845" spans="1:9" x14ac:dyDescent="0.25">
      <c r="A845" t="s">
        <v>8</v>
      </c>
      <c r="B845" t="s">
        <v>14</v>
      </c>
      <c r="C845" t="s">
        <v>24</v>
      </c>
      <c r="D845" t="s">
        <v>11</v>
      </c>
      <c r="E845" t="s">
        <v>12</v>
      </c>
      <c r="F845">
        <v>87</v>
      </c>
      <c r="G845">
        <v>81</v>
      </c>
      <c r="H845">
        <v>86</v>
      </c>
      <c r="I845">
        <f t="shared" si="13"/>
        <v>254</v>
      </c>
    </row>
    <row r="846" spans="1:9" x14ac:dyDescent="0.25">
      <c r="A846" t="s">
        <v>13</v>
      </c>
      <c r="B846" t="s">
        <v>14</v>
      </c>
      <c r="C846" t="s">
        <v>21</v>
      </c>
      <c r="D846" t="s">
        <v>16</v>
      </c>
      <c r="E846" t="s">
        <v>17</v>
      </c>
      <c r="F846">
        <v>66</v>
      </c>
      <c r="G846">
        <v>75</v>
      </c>
      <c r="H846">
        <v>74</v>
      </c>
      <c r="I846">
        <f t="shared" si="13"/>
        <v>215</v>
      </c>
    </row>
    <row r="847" spans="1:9" x14ac:dyDescent="0.25">
      <c r="A847" t="s">
        <v>8</v>
      </c>
      <c r="B847" t="s">
        <v>23</v>
      </c>
      <c r="C847" t="s">
        <v>15</v>
      </c>
      <c r="D847" t="s">
        <v>11</v>
      </c>
      <c r="E847" t="s">
        <v>17</v>
      </c>
      <c r="F847">
        <v>65</v>
      </c>
      <c r="G847">
        <v>66</v>
      </c>
      <c r="H847">
        <v>64</v>
      </c>
      <c r="I847">
        <f t="shared" si="13"/>
        <v>195</v>
      </c>
    </row>
    <row r="848" spans="1:9" x14ac:dyDescent="0.25">
      <c r="A848" t="s">
        <v>13</v>
      </c>
      <c r="B848" t="s">
        <v>18</v>
      </c>
      <c r="C848" t="s">
        <v>21</v>
      </c>
      <c r="D848" t="s">
        <v>16</v>
      </c>
      <c r="E848" t="s">
        <v>12</v>
      </c>
      <c r="F848">
        <v>41</v>
      </c>
      <c r="G848">
        <v>56</v>
      </c>
      <c r="H848">
        <v>53</v>
      </c>
      <c r="I848">
        <f t="shared" si="13"/>
        <v>150</v>
      </c>
    </row>
    <row r="849" spans="1:9" x14ac:dyDescent="0.25">
      <c r="A849" t="s">
        <v>13</v>
      </c>
      <c r="B849" t="s">
        <v>23</v>
      </c>
      <c r="C849" t="s">
        <v>21</v>
      </c>
      <c r="D849" t="s">
        <v>11</v>
      </c>
      <c r="E849" t="s">
        <v>17</v>
      </c>
      <c r="F849">
        <v>67</v>
      </c>
      <c r="G849">
        <v>69</v>
      </c>
      <c r="H849">
        <v>65</v>
      </c>
      <c r="I849">
        <f t="shared" si="13"/>
        <v>201</v>
      </c>
    </row>
    <row r="850" spans="1:9" x14ac:dyDescent="0.25">
      <c r="A850" t="s">
        <v>8</v>
      </c>
      <c r="B850" t="s">
        <v>18</v>
      </c>
      <c r="C850" t="s">
        <v>10</v>
      </c>
      <c r="D850" t="s">
        <v>11</v>
      </c>
      <c r="E850" t="s">
        <v>17</v>
      </c>
      <c r="F850">
        <v>94</v>
      </c>
      <c r="G850">
        <v>89</v>
      </c>
      <c r="H850">
        <v>86</v>
      </c>
      <c r="I850">
        <f t="shared" si="13"/>
        <v>269</v>
      </c>
    </row>
    <row r="851" spans="1:9" x14ac:dyDescent="0.25">
      <c r="A851" t="s">
        <v>13</v>
      </c>
      <c r="B851" t="s">
        <v>20</v>
      </c>
      <c r="C851" t="s">
        <v>22</v>
      </c>
      <c r="D851" t="s">
        <v>16</v>
      </c>
      <c r="E851" t="s">
        <v>12</v>
      </c>
      <c r="F851">
        <v>57</v>
      </c>
      <c r="G851">
        <v>70</v>
      </c>
      <c r="H851">
        <v>68</v>
      </c>
      <c r="I851">
        <f t="shared" si="13"/>
        <v>195</v>
      </c>
    </row>
    <row r="852" spans="1:9" x14ac:dyDescent="0.25">
      <c r="A852" t="s">
        <v>8</v>
      </c>
      <c r="B852" t="s">
        <v>9</v>
      </c>
      <c r="C852" t="s">
        <v>10</v>
      </c>
      <c r="D852" t="s">
        <v>11</v>
      </c>
      <c r="E852" t="s">
        <v>17</v>
      </c>
      <c r="F852">
        <v>89</v>
      </c>
      <c r="G852">
        <v>83</v>
      </c>
      <c r="H852">
        <v>80</v>
      </c>
      <c r="I852">
        <f t="shared" si="13"/>
        <v>252</v>
      </c>
    </row>
    <row r="853" spans="1:9" x14ac:dyDescent="0.25">
      <c r="A853" t="s">
        <v>8</v>
      </c>
      <c r="B853" t="s">
        <v>9</v>
      </c>
      <c r="C853" t="s">
        <v>21</v>
      </c>
      <c r="D853" t="s">
        <v>11</v>
      </c>
      <c r="E853" t="s">
        <v>12</v>
      </c>
      <c r="F853">
        <v>77</v>
      </c>
      <c r="G853">
        <v>73</v>
      </c>
      <c r="H853">
        <v>80</v>
      </c>
      <c r="I853">
        <f t="shared" si="13"/>
        <v>230</v>
      </c>
    </row>
    <row r="854" spans="1:9" x14ac:dyDescent="0.25">
      <c r="A854" t="s">
        <v>8</v>
      </c>
      <c r="B854" t="s">
        <v>23</v>
      </c>
      <c r="C854" t="s">
        <v>15</v>
      </c>
      <c r="D854" t="s">
        <v>11</v>
      </c>
      <c r="E854" t="s">
        <v>17</v>
      </c>
      <c r="F854">
        <v>57</v>
      </c>
      <c r="G854">
        <v>60</v>
      </c>
      <c r="H854">
        <v>50</v>
      </c>
      <c r="I854">
        <f t="shared" si="13"/>
        <v>167</v>
      </c>
    </row>
    <row r="855" spans="1:9" x14ac:dyDescent="0.25">
      <c r="A855" t="s">
        <v>8</v>
      </c>
      <c r="B855" t="s">
        <v>14</v>
      </c>
      <c r="C855" t="s">
        <v>19</v>
      </c>
      <c r="D855" t="s">
        <v>11</v>
      </c>
      <c r="E855" t="s">
        <v>12</v>
      </c>
      <c r="F855">
        <v>72</v>
      </c>
      <c r="G855">
        <v>72</v>
      </c>
      <c r="H855">
        <v>72</v>
      </c>
      <c r="I855">
        <f t="shared" si="13"/>
        <v>216</v>
      </c>
    </row>
    <row r="856" spans="1:9" x14ac:dyDescent="0.25">
      <c r="A856" t="s">
        <v>8</v>
      </c>
      <c r="B856" t="s">
        <v>14</v>
      </c>
      <c r="C856" t="s">
        <v>22</v>
      </c>
      <c r="D856" t="s">
        <v>11</v>
      </c>
      <c r="E856" t="s">
        <v>12</v>
      </c>
      <c r="F856">
        <v>98</v>
      </c>
      <c r="G856">
        <v>94</v>
      </c>
      <c r="H856">
        <v>95</v>
      </c>
      <c r="I856">
        <f t="shared" si="13"/>
        <v>287</v>
      </c>
    </row>
    <row r="857" spans="1:9" x14ac:dyDescent="0.25">
      <c r="A857" t="s">
        <v>13</v>
      </c>
      <c r="B857" t="s">
        <v>14</v>
      </c>
      <c r="C857" t="s">
        <v>24</v>
      </c>
      <c r="D857" t="s">
        <v>11</v>
      </c>
      <c r="E857" t="s">
        <v>17</v>
      </c>
      <c r="F857">
        <v>87</v>
      </c>
      <c r="G857">
        <v>97</v>
      </c>
      <c r="H857">
        <v>100</v>
      </c>
      <c r="I857">
        <f t="shared" si="13"/>
        <v>284</v>
      </c>
    </row>
    <row r="858" spans="1:9" x14ac:dyDescent="0.25">
      <c r="A858" t="s">
        <v>8</v>
      </c>
      <c r="B858" t="s">
        <v>23</v>
      </c>
      <c r="C858" t="s">
        <v>15</v>
      </c>
      <c r="D858" t="s">
        <v>16</v>
      </c>
      <c r="E858" t="s">
        <v>17</v>
      </c>
      <c r="F858">
        <v>61</v>
      </c>
      <c r="G858">
        <v>57</v>
      </c>
      <c r="H858">
        <v>55</v>
      </c>
      <c r="I858">
        <f t="shared" si="13"/>
        <v>173</v>
      </c>
    </row>
    <row r="859" spans="1:9" x14ac:dyDescent="0.25">
      <c r="A859" t="s">
        <v>13</v>
      </c>
      <c r="B859" t="s">
        <v>23</v>
      </c>
      <c r="C859" t="s">
        <v>24</v>
      </c>
      <c r="D859" t="s">
        <v>11</v>
      </c>
      <c r="E859" t="s">
        <v>17</v>
      </c>
      <c r="F859">
        <v>85</v>
      </c>
      <c r="G859">
        <v>100</v>
      </c>
      <c r="H859">
        <v>97</v>
      </c>
      <c r="I859">
        <f t="shared" si="13"/>
        <v>282</v>
      </c>
    </row>
    <row r="860" spans="1:9" x14ac:dyDescent="0.25">
      <c r="A860" t="s">
        <v>13</v>
      </c>
      <c r="B860" t="s">
        <v>14</v>
      </c>
      <c r="C860" t="s">
        <v>15</v>
      </c>
      <c r="D860" t="s">
        <v>11</v>
      </c>
      <c r="E860" t="s">
        <v>17</v>
      </c>
      <c r="F860">
        <v>81</v>
      </c>
      <c r="G860">
        <v>85</v>
      </c>
      <c r="H860">
        <v>91</v>
      </c>
      <c r="I860">
        <f t="shared" si="13"/>
        <v>257</v>
      </c>
    </row>
    <row r="861" spans="1:9" x14ac:dyDescent="0.25">
      <c r="A861" t="s">
        <v>13</v>
      </c>
      <c r="B861" t="s">
        <v>14</v>
      </c>
      <c r="C861" t="s">
        <v>10</v>
      </c>
      <c r="D861" t="s">
        <v>11</v>
      </c>
      <c r="E861" t="s">
        <v>12</v>
      </c>
      <c r="F861">
        <v>74</v>
      </c>
      <c r="G861">
        <v>84</v>
      </c>
      <c r="H861">
        <v>79</v>
      </c>
      <c r="I861">
        <f t="shared" si="13"/>
        <v>237</v>
      </c>
    </row>
    <row r="862" spans="1:9" x14ac:dyDescent="0.25">
      <c r="A862" t="s">
        <v>8</v>
      </c>
      <c r="B862" t="s">
        <v>23</v>
      </c>
      <c r="C862" t="s">
        <v>22</v>
      </c>
      <c r="D862" t="s">
        <v>11</v>
      </c>
      <c r="E862" t="s">
        <v>17</v>
      </c>
      <c r="F862">
        <v>98</v>
      </c>
      <c r="G862">
        <v>92</v>
      </c>
      <c r="H862">
        <v>90</v>
      </c>
      <c r="I862">
        <f t="shared" si="13"/>
        <v>280</v>
      </c>
    </row>
    <row r="863" spans="1:9" x14ac:dyDescent="0.25">
      <c r="A863" t="s">
        <v>13</v>
      </c>
      <c r="B863" t="s">
        <v>14</v>
      </c>
      <c r="C863" t="s">
        <v>19</v>
      </c>
      <c r="D863" t="s">
        <v>11</v>
      </c>
      <c r="E863" t="s">
        <v>17</v>
      </c>
      <c r="F863">
        <v>86</v>
      </c>
      <c r="G863">
        <v>84</v>
      </c>
      <c r="H863">
        <v>89</v>
      </c>
      <c r="I863">
        <f t="shared" si="13"/>
        <v>259</v>
      </c>
    </row>
    <row r="864" spans="1:9" x14ac:dyDescent="0.25">
      <c r="A864" t="s">
        <v>8</v>
      </c>
      <c r="B864" t="s">
        <v>23</v>
      </c>
      <c r="C864" t="s">
        <v>22</v>
      </c>
      <c r="D864" t="s">
        <v>11</v>
      </c>
      <c r="E864" t="s">
        <v>12</v>
      </c>
      <c r="F864">
        <v>85</v>
      </c>
      <c r="G864">
        <v>81</v>
      </c>
      <c r="H864">
        <v>82</v>
      </c>
      <c r="I864">
        <f t="shared" si="13"/>
        <v>248</v>
      </c>
    </row>
    <row r="865" spans="1:9" x14ac:dyDescent="0.25">
      <c r="A865" t="s">
        <v>8</v>
      </c>
      <c r="B865" t="s">
        <v>23</v>
      </c>
      <c r="C865" t="s">
        <v>19</v>
      </c>
      <c r="D865" t="s">
        <v>11</v>
      </c>
      <c r="E865" t="s">
        <v>17</v>
      </c>
      <c r="F865">
        <v>68</v>
      </c>
      <c r="G865">
        <v>71</v>
      </c>
      <c r="H865">
        <v>63</v>
      </c>
      <c r="I865">
        <f t="shared" si="13"/>
        <v>202</v>
      </c>
    </row>
    <row r="866" spans="1:9" x14ac:dyDescent="0.25">
      <c r="A866" t="s">
        <v>13</v>
      </c>
      <c r="B866" t="s">
        <v>18</v>
      </c>
      <c r="C866" t="s">
        <v>10</v>
      </c>
      <c r="D866" t="s">
        <v>16</v>
      </c>
      <c r="E866" t="s">
        <v>12</v>
      </c>
      <c r="F866">
        <v>66</v>
      </c>
      <c r="G866">
        <v>78</v>
      </c>
      <c r="H866">
        <v>77</v>
      </c>
      <c r="I866">
        <f t="shared" si="13"/>
        <v>221</v>
      </c>
    </row>
    <row r="867" spans="1:9" x14ac:dyDescent="0.25">
      <c r="A867" t="s">
        <v>8</v>
      </c>
      <c r="B867" t="s">
        <v>20</v>
      </c>
      <c r="C867" t="s">
        <v>15</v>
      </c>
      <c r="D867" t="s">
        <v>16</v>
      </c>
      <c r="E867" t="s">
        <v>12</v>
      </c>
      <c r="F867">
        <v>75</v>
      </c>
      <c r="G867">
        <v>74</v>
      </c>
      <c r="H867">
        <v>71</v>
      </c>
      <c r="I867">
        <f t="shared" si="13"/>
        <v>220</v>
      </c>
    </row>
    <row r="868" spans="1:9" x14ac:dyDescent="0.25">
      <c r="A868" t="s">
        <v>8</v>
      </c>
      <c r="B868" t="s">
        <v>23</v>
      </c>
      <c r="C868" t="s">
        <v>22</v>
      </c>
      <c r="D868" t="s">
        <v>11</v>
      </c>
      <c r="E868" t="s">
        <v>17</v>
      </c>
      <c r="F868">
        <v>79</v>
      </c>
      <c r="G868">
        <v>57</v>
      </c>
      <c r="H868">
        <v>58</v>
      </c>
      <c r="I868">
        <f t="shared" si="13"/>
        <v>194</v>
      </c>
    </row>
    <row r="869" spans="1:9" x14ac:dyDescent="0.25">
      <c r="A869" t="s">
        <v>13</v>
      </c>
      <c r="B869" t="s">
        <v>20</v>
      </c>
      <c r="C869" t="s">
        <v>22</v>
      </c>
      <c r="D869" t="s">
        <v>16</v>
      </c>
      <c r="E869" t="s">
        <v>17</v>
      </c>
      <c r="F869">
        <v>59</v>
      </c>
      <c r="G869">
        <v>85</v>
      </c>
      <c r="H869">
        <v>82</v>
      </c>
      <c r="I869">
        <f t="shared" si="13"/>
        <v>226</v>
      </c>
    </row>
    <row r="870" spans="1:9" x14ac:dyDescent="0.25">
      <c r="A870" t="s">
        <v>8</v>
      </c>
      <c r="B870" t="s">
        <v>20</v>
      </c>
      <c r="C870" t="s">
        <v>24</v>
      </c>
      <c r="D870" t="s">
        <v>16</v>
      </c>
      <c r="E870" t="s">
        <v>17</v>
      </c>
      <c r="F870">
        <v>60</v>
      </c>
      <c r="G870">
        <v>62</v>
      </c>
      <c r="H870">
        <v>58</v>
      </c>
      <c r="I870">
        <f t="shared" si="13"/>
        <v>180</v>
      </c>
    </row>
    <row r="871" spans="1:9" x14ac:dyDescent="0.25">
      <c r="A871" t="s">
        <v>8</v>
      </c>
      <c r="B871" t="s">
        <v>14</v>
      </c>
      <c r="C871" t="s">
        <v>10</v>
      </c>
      <c r="D871" t="s">
        <v>11</v>
      </c>
      <c r="E871" t="s">
        <v>17</v>
      </c>
      <c r="F871">
        <v>69</v>
      </c>
      <c r="G871">
        <v>60</v>
      </c>
      <c r="H871">
        <v>54</v>
      </c>
      <c r="I871">
        <f t="shared" si="13"/>
        <v>183</v>
      </c>
    </row>
    <row r="872" spans="1:9" x14ac:dyDescent="0.25">
      <c r="A872" t="s">
        <v>13</v>
      </c>
      <c r="B872" t="s">
        <v>20</v>
      </c>
      <c r="C872" t="s">
        <v>10</v>
      </c>
      <c r="D872" t="s">
        <v>16</v>
      </c>
      <c r="E872" t="s">
        <v>17</v>
      </c>
      <c r="F872">
        <v>49</v>
      </c>
      <c r="G872">
        <v>54</v>
      </c>
      <c r="H872">
        <v>58</v>
      </c>
      <c r="I872">
        <f t="shared" si="13"/>
        <v>161</v>
      </c>
    </row>
    <row r="873" spans="1:9" x14ac:dyDescent="0.25">
      <c r="A873" t="s">
        <v>8</v>
      </c>
      <c r="B873" t="s">
        <v>14</v>
      </c>
      <c r="C873" t="s">
        <v>19</v>
      </c>
      <c r="D873" t="s">
        <v>11</v>
      </c>
      <c r="E873" t="s">
        <v>17</v>
      </c>
      <c r="F873">
        <v>62</v>
      </c>
      <c r="G873">
        <v>44</v>
      </c>
      <c r="H873">
        <v>52</v>
      </c>
      <c r="I873">
        <f t="shared" si="13"/>
        <v>158</v>
      </c>
    </row>
    <row r="874" spans="1:9" x14ac:dyDescent="0.25">
      <c r="A874" t="s">
        <v>13</v>
      </c>
      <c r="B874" t="s">
        <v>18</v>
      </c>
      <c r="C874" t="s">
        <v>10</v>
      </c>
      <c r="D874" t="s">
        <v>16</v>
      </c>
      <c r="E874" t="s">
        <v>12</v>
      </c>
      <c r="F874">
        <v>70</v>
      </c>
      <c r="G874">
        <v>84</v>
      </c>
      <c r="H874">
        <v>83</v>
      </c>
      <c r="I874">
        <f t="shared" si="13"/>
        <v>237</v>
      </c>
    </row>
    <row r="875" spans="1:9" x14ac:dyDescent="0.25">
      <c r="A875" t="s">
        <v>8</v>
      </c>
      <c r="B875" t="s">
        <v>14</v>
      </c>
      <c r="C875" t="s">
        <v>22</v>
      </c>
      <c r="D875" t="s">
        <v>11</v>
      </c>
      <c r="E875" t="s">
        <v>17</v>
      </c>
      <c r="F875">
        <v>71</v>
      </c>
      <c r="G875">
        <v>57</v>
      </c>
      <c r="H875">
        <v>60</v>
      </c>
      <c r="I875">
        <f t="shared" si="13"/>
        <v>188</v>
      </c>
    </row>
    <row r="876" spans="1:9" x14ac:dyDescent="0.25">
      <c r="A876" t="s">
        <v>8</v>
      </c>
      <c r="B876" t="s">
        <v>23</v>
      </c>
      <c r="C876" t="s">
        <v>22</v>
      </c>
      <c r="D876" t="s">
        <v>11</v>
      </c>
      <c r="E876" t="s">
        <v>17</v>
      </c>
      <c r="F876">
        <v>71</v>
      </c>
      <c r="G876">
        <v>69</v>
      </c>
      <c r="H876">
        <v>65</v>
      </c>
      <c r="I876">
        <f t="shared" si="13"/>
        <v>205</v>
      </c>
    </row>
    <row r="877" spans="1:9" x14ac:dyDescent="0.25">
      <c r="A877" t="s">
        <v>13</v>
      </c>
      <c r="B877" t="s">
        <v>23</v>
      </c>
      <c r="C877" t="s">
        <v>15</v>
      </c>
      <c r="D877" t="s">
        <v>16</v>
      </c>
      <c r="E877" t="s">
        <v>17</v>
      </c>
      <c r="F877">
        <v>50</v>
      </c>
      <c r="G877">
        <v>59</v>
      </c>
      <c r="H877">
        <v>54</v>
      </c>
      <c r="I877">
        <f t="shared" si="13"/>
        <v>163</v>
      </c>
    </row>
    <row r="878" spans="1:9" x14ac:dyDescent="0.25">
      <c r="A878" t="s">
        <v>13</v>
      </c>
      <c r="B878" t="s">
        <v>20</v>
      </c>
      <c r="C878" t="s">
        <v>10</v>
      </c>
      <c r="D878" t="s">
        <v>11</v>
      </c>
      <c r="E878" t="s">
        <v>17</v>
      </c>
      <c r="F878">
        <v>52</v>
      </c>
      <c r="G878">
        <v>55</v>
      </c>
      <c r="H878">
        <v>57</v>
      </c>
      <c r="I878">
        <f t="shared" si="13"/>
        <v>164</v>
      </c>
    </row>
    <row r="879" spans="1:9" x14ac:dyDescent="0.25">
      <c r="A879" t="s">
        <v>8</v>
      </c>
      <c r="B879" t="s">
        <v>18</v>
      </c>
      <c r="C879" t="s">
        <v>19</v>
      </c>
      <c r="D879" t="s">
        <v>16</v>
      </c>
      <c r="E879" t="s">
        <v>12</v>
      </c>
      <c r="F879">
        <v>75</v>
      </c>
      <c r="G879">
        <v>65</v>
      </c>
      <c r="H879">
        <v>66</v>
      </c>
      <c r="I879">
        <f t="shared" si="13"/>
        <v>206</v>
      </c>
    </row>
    <row r="880" spans="1:9" x14ac:dyDescent="0.25">
      <c r="A880" t="s">
        <v>13</v>
      </c>
      <c r="B880" t="s">
        <v>23</v>
      </c>
      <c r="C880" t="s">
        <v>22</v>
      </c>
      <c r="D880" t="s">
        <v>11</v>
      </c>
      <c r="E880" t="s">
        <v>17</v>
      </c>
      <c r="F880">
        <v>51</v>
      </c>
      <c r="G880">
        <v>64</v>
      </c>
      <c r="H880">
        <v>63</v>
      </c>
      <c r="I880">
        <f t="shared" si="13"/>
        <v>178</v>
      </c>
    </row>
    <row r="881" spans="1:9" x14ac:dyDescent="0.25">
      <c r="A881" t="s">
        <v>8</v>
      </c>
      <c r="B881" t="s">
        <v>23</v>
      </c>
      <c r="C881" t="s">
        <v>15</v>
      </c>
      <c r="D881" t="s">
        <v>11</v>
      </c>
      <c r="E881" t="s">
        <v>17</v>
      </c>
      <c r="F881">
        <v>64</v>
      </c>
      <c r="G881">
        <v>48</v>
      </c>
      <c r="H881">
        <v>50</v>
      </c>
      <c r="I881">
        <f t="shared" si="13"/>
        <v>162</v>
      </c>
    </row>
    <row r="882" spans="1:9" x14ac:dyDescent="0.25">
      <c r="A882" t="s">
        <v>13</v>
      </c>
      <c r="B882" t="s">
        <v>9</v>
      </c>
      <c r="C882" t="s">
        <v>19</v>
      </c>
      <c r="D882" t="s">
        <v>16</v>
      </c>
      <c r="E882" t="s">
        <v>12</v>
      </c>
      <c r="F882">
        <v>65</v>
      </c>
      <c r="G882">
        <v>76</v>
      </c>
      <c r="H882">
        <v>72</v>
      </c>
      <c r="I882">
        <f t="shared" si="13"/>
        <v>213</v>
      </c>
    </row>
    <row r="883" spans="1:9" x14ac:dyDescent="0.25">
      <c r="A883" t="s">
        <v>8</v>
      </c>
      <c r="B883" t="s">
        <v>20</v>
      </c>
      <c r="C883" t="s">
        <v>24</v>
      </c>
      <c r="D883" t="s">
        <v>11</v>
      </c>
      <c r="E883" t="s">
        <v>17</v>
      </c>
      <c r="F883">
        <v>99</v>
      </c>
      <c r="G883">
        <v>81</v>
      </c>
      <c r="H883">
        <v>87</v>
      </c>
      <c r="I883">
        <f t="shared" si="13"/>
        <v>267</v>
      </c>
    </row>
    <row r="884" spans="1:9" x14ac:dyDescent="0.25">
      <c r="A884" t="s">
        <v>13</v>
      </c>
      <c r="B884" t="s">
        <v>20</v>
      </c>
      <c r="C884" t="s">
        <v>21</v>
      </c>
      <c r="D884" t="s">
        <v>11</v>
      </c>
      <c r="E884" t="s">
        <v>17</v>
      </c>
      <c r="F884">
        <v>60</v>
      </c>
      <c r="G884">
        <v>62</v>
      </c>
      <c r="H884">
        <v>58</v>
      </c>
      <c r="I884">
        <f t="shared" si="13"/>
        <v>180</v>
      </c>
    </row>
    <row r="885" spans="1:9" x14ac:dyDescent="0.25">
      <c r="A885" t="s">
        <v>13</v>
      </c>
      <c r="B885" t="s">
        <v>20</v>
      </c>
      <c r="C885" t="s">
        <v>19</v>
      </c>
      <c r="D885" t="s">
        <v>11</v>
      </c>
      <c r="E885" t="s">
        <v>17</v>
      </c>
      <c r="F885">
        <v>70</v>
      </c>
      <c r="G885">
        <v>78</v>
      </c>
      <c r="H885">
        <v>80</v>
      </c>
      <c r="I885">
        <f t="shared" si="13"/>
        <v>228</v>
      </c>
    </row>
    <row r="886" spans="1:9" x14ac:dyDescent="0.25">
      <c r="A886" t="s">
        <v>8</v>
      </c>
      <c r="B886" t="s">
        <v>9</v>
      </c>
      <c r="C886" t="s">
        <v>19</v>
      </c>
      <c r="D886" t="s">
        <v>11</v>
      </c>
      <c r="E886" t="s">
        <v>12</v>
      </c>
      <c r="F886">
        <v>77</v>
      </c>
      <c r="G886">
        <v>76</v>
      </c>
      <c r="H886">
        <v>77</v>
      </c>
      <c r="I886">
        <f t="shared" si="13"/>
        <v>230</v>
      </c>
    </row>
    <row r="887" spans="1:9" x14ac:dyDescent="0.25">
      <c r="A887" t="s">
        <v>8</v>
      </c>
      <c r="B887" t="s">
        <v>20</v>
      </c>
      <c r="C887" t="s">
        <v>10</v>
      </c>
      <c r="D887" t="s">
        <v>16</v>
      </c>
      <c r="E887" t="s">
        <v>17</v>
      </c>
      <c r="F887">
        <v>37</v>
      </c>
      <c r="G887">
        <v>28</v>
      </c>
      <c r="H887">
        <v>23</v>
      </c>
      <c r="I887">
        <f t="shared" si="13"/>
        <v>88</v>
      </c>
    </row>
    <row r="888" spans="1:9" x14ac:dyDescent="0.25">
      <c r="A888" t="s">
        <v>8</v>
      </c>
      <c r="B888" t="s">
        <v>18</v>
      </c>
      <c r="C888" t="s">
        <v>21</v>
      </c>
      <c r="D888" t="s">
        <v>16</v>
      </c>
      <c r="E888" t="s">
        <v>17</v>
      </c>
      <c r="F888">
        <v>73</v>
      </c>
      <c r="G888">
        <v>73</v>
      </c>
      <c r="H888">
        <v>61</v>
      </c>
      <c r="I888">
        <f t="shared" si="13"/>
        <v>207</v>
      </c>
    </row>
    <row r="889" spans="1:9" x14ac:dyDescent="0.25">
      <c r="A889" t="s">
        <v>13</v>
      </c>
      <c r="B889" t="s">
        <v>20</v>
      </c>
      <c r="C889" t="s">
        <v>21</v>
      </c>
      <c r="D889" t="s">
        <v>16</v>
      </c>
      <c r="E889" t="s">
        <v>12</v>
      </c>
      <c r="F889">
        <v>53</v>
      </c>
      <c r="G889">
        <v>74</v>
      </c>
      <c r="H889">
        <v>75</v>
      </c>
      <c r="I889">
        <f t="shared" si="13"/>
        <v>202</v>
      </c>
    </row>
    <row r="890" spans="1:9" x14ac:dyDescent="0.25">
      <c r="A890" t="s">
        <v>13</v>
      </c>
      <c r="B890" t="s">
        <v>20</v>
      </c>
      <c r="C890" t="s">
        <v>21</v>
      </c>
      <c r="D890" t="s">
        <v>11</v>
      </c>
      <c r="E890" t="s">
        <v>17</v>
      </c>
      <c r="F890">
        <v>67</v>
      </c>
      <c r="G890">
        <v>58</v>
      </c>
      <c r="H890">
        <v>62</v>
      </c>
      <c r="I890">
        <f t="shared" si="13"/>
        <v>187</v>
      </c>
    </row>
    <row r="891" spans="1:9" x14ac:dyDescent="0.25">
      <c r="A891" t="s">
        <v>13</v>
      </c>
      <c r="B891" t="s">
        <v>20</v>
      </c>
      <c r="C891" t="s">
        <v>19</v>
      </c>
      <c r="D891" t="s">
        <v>16</v>
      </c>
      <c r="E891" t="s">
        <v>17</v>
      </c>
      <c r="F891">
        <v>67</v>
      </c>
      <c r="G891">
        <v>79</v>
      </c>
      <c r="H891">
        <v>80</v>
      </c>
      <c r="I891">
        <f t="shared" si="13"/>
        <v>226</v>
      </c>
    </row>
    <row r="892" spans="1:9" x14ac:dyDescent="0.25">
      <c r="A892" t="s">
        <v>8</v>
      </c>
      <c r="B892" t="s">
        <v>20</v>
      </c>
      <c r="C892" t="s">
        <v>10</v>
      </c>
      <c r="D892" t="s">
        <v>16</v>
      </c>
      <c r="E892" t="s">
        <v>17</v>
      </c>
      <c r="F892">
        <v>51</v>
      </c>
      <c r="G892">
        <v>57</v>
      </c>
      <c r="H892">
        <v>50</v>
      </c>
      <c r="I892">
        <f t="shared" si="13"/>
        <v>158</v>
      </c>
    </row>
    <row r="893" spans="1:9" x14ac:dyDescent="0.25">
      <c r="A893" t="s">
        <v>8</v>
      </c>
      <c r="B893" t="s">
        <v>14</v>
      </c>
      <c r="C893" t="s">
        <v>10</v>
      </c>
      <c r="D893" t="s">
        <v>11</v>
      </c>
      <c r="E893" t="s">
        <v>12</v>
      </c>
      <c r="F893">
        <v>64</v>
      </c>
      <c r="G893">
        <v>71</v>
      </c>
      <c r="H893">
        <v>70</v>
      </c>
      <c r="I893">
        <f t="shared" si="13"/>
        <v>205</v>
      </c>
    </row>
    <row r="894" spans="1:9" x14ac:dyDescent="0.25">
      <c r="A894" t="s">
        <v>8</v>
      </c>
      <c r="B894" t="s">
        <v>18</v>
      </c>
      <c r="C894" t="s">
        <v>19</v>
      </c>
      <c r="D894" t="s">
        <v>16</v>
      </c>
      <c r="E894" t="s">
        <v>17</v>
      </c>
      <c r="F894">
        <v>55</v>
      </c>
      <c r="G894">
        <v>42</v>
      </c>
      <c r="H894">
        <v>43</v>
      </c>
      <c r="I894">
        <f t="shared" si="13"/>
        <v>140</v>
      </c>
    </row>
    <row r="895" spans="1:9" x14ac:dyDescent="0.25">
      <c r="A895" t="s">
        <v>8</v>
      </c>
      <c r="B895" t="s">
        <v>14</v>
      </c>
      <c r="C895" t="s">
        <v>21</v>
      </c>
      <c r="D895" t="s">
        <v>16</v>
      </c>
      <c r="E895" t="s">
        <v>12</v>
      </c>
      <c r="F895">
        <v>55</v>
      </c>
      <c r="G895">
        <v>39</v>
      </c>
      <c r="H895">
        <v>51</v>
      </c>
      <c r="I895">
        <f t="shared" si="13"/>
        <v>145</v>
      </c>
    </row>
    <row r="896" spans="1:9" x14ac:dyDescent="0.25">
      <c r="A896" t="s">
        <v>8</v>
      </c>
      <c r="B896" t="s">
        <v>18</v>
      </c>
      <c r="C896" t="s">
        <v>21</v>
      </c>
      <c r="D896" t="s">
        <v>11</v>
      </c>
      <c r="E896" t="s">
        <v>17</v>
      </c>
      <c r="F896">
        <v>86</v>
      </c>
      <c r="G896">
        <v>77</v>
      </c>
      <c r="H896">
        <v>78</v>
      </c>
      <c r="I896">
        <f t="shared" si="13"/>
        <v>241</v>
      </c>
    </row>
    <row r="897" spans="1:9" x14ac:dyDescent="0.25">
      <c r="A897" t="s">
        <v>13</v>
      </c>
      <c r="B897" t="s">
        <v>20</v>
      </c>
      <c r="C897" t="s">
        <v>24</v>
      </c>
      <c r="D897" t="s">
        <v>11</v>
      </c>
      <c r="E897" t="s">
        <v>17</v>
      </c>
      <c r="F897">
        <v>71</v>
      </c>
      <c r="G897">
        <v>88</v>
      </c>
      <c r="H897">
        <v>85</v>
      </c>
      <c r="I897">
        <f t="shared" si="13"/>
        <v>244</v>
      </c>
    </row>
    <row r="898" spans="1:9" x14ac:dyDescent="0.25">
      <c r="A898" t="s">
        <v>8</v>
      </c>
      <c r="B898" t="s">
        <v>23</v>
      </c>
      <c r="C898" t="s">
        <v>10</v>
      </c>
      <c r="D898" t="s">
        <v>16</v>
      </c>
      <c r="E898" t="s">
        <v>17</v>
      </c>
      <c r="F898">
        <v>71</v>
      </c>
      <c r="G898">
        <v>63</v>
      </c>
      <c r="H898">
        <v>64</v>
      </c>
      <c r="I898">
        <f t="shared" si="13"/>
        <v>198</v>
      </c>
    </row>
    <row r="899" spans="1:9" x14ac:dyDescent="0.25">
      <c r="A899" t="s">
        <v>13</v>
      </c>
      <c r="B899" t="s">
        <v>23</v>
      </c>
      <c r="C899" t="s">
        <v>15</v>
      </c>
      <c r="D899" t="s">
        <v>16</v>
      </c>
      <c r="E899" t="s">
        <v>17</v>
      </c>
      <c r="F899">
        <v>51</v>
      </c>
      <c r="G899">
        <v>67</v>
      </c>
      <c r="H899">
        <v>69</v>
      </c>
      <c r="I899">
        <f t="shared" ref="I899:I962" si="14">SUM(F899:H899)</f>
        <v>187</v>
      </c>
    </row>
    <row r="900" spans="1:9" x14ac:dyDescent="0.25">
      <c r="A900" t="s">
        <v>13</v>
      </c>
      <c r="B900" t="s">
        <v>18</v>
      </c>
      <c r="C900" t="s">
        <v>19</v>
      </c>
      <c r="D900" t="s">
        <v>11</v>
      </c>
      <c r="E900" t="s">
        <v>12</v>
      </c>
      <c r="F900">
        <v>75</v>
      </c>
      <c r="G900">
        <v>76</v>
      </c>
      <c r="H900">
        <v>85</v>
      </c>
      <c r="I900">
        <f t="shared" si="14"/>
        <v>236</v>
      </c>
    </row>
    <row r="901" spans="1:9" x14ac:dyDescent="0.25">
      <c r="A901" t="s">
        <v>8</v>
      </c>
      <c r="B901" t="s">
        <v>23</v>
      </c>
      <c r="C901" t="s">
        <v>15</v>
      </c>
      <c r="D901" t="s">
        <v>16</v>
      </c>
      <c r="E901" t="s">
        <v>17</v>
      </c>
      <c r="F901">
        <v>45</v>
      </c>
      <c r="G901">
        <v>31</v>
      </c>
      <c r="H901">
        <v>27</v>
      </c>
      <c r="I901">
        <f t="shared" si="14"/>
        <v>103</v>
      </c>
    </row>
    <row r="902" spans="1:9" x14ac:dyDescent="0.25">
      <c r="A902" t="s">
        <v>8</v>
      </c>
      <c r="B902" t="s">
        <v>20</v>
      </c>
      <c r="C902" t="s">
        <v>15</v>
      </c>
      <c r="D902" t="s">
        <v>11</v>
      </c>
      <c r="E902" t="s">
        <v>17</v>
      </c>
      <c r="F902">
        <v>59</v>
      </c>
      <c r="G902">
        <v>54</v>
      </c>
      <c r="H902">
        <v>48</v>
      </c>
      <c r="I902">
        <f t="shared" si="14"/>
        <v>161</v>
      </c>
    </row>
    <row r="903" spans="1:9" x14ac:dyDescent="0.25">
      <c r="A903" t="s">
        <v>13</v>
      </c>
      <c r="B903" t="s">
        <v>18</v>
      </c>
      <c r="C903" t="s">
        <v>10</v>
      </c>
      <c r="D903" t="s">
        <v>16</v>
      </c>
      <c r="E903" t="s">
        <v>17</v>
      </c>
      <c r="F903">
        <v>64</v>
      </c>
      <c r="G903">
        <v>69</v>
      </c>
      <c r="H903">
        <v>68</v>
      </c>
      <c r="I903">
        <f t="shared" si="14"/>
        <v>201</v>
      </c>
    </row>
    <row r="904" spans="1:9" x14ac:dyDescent="0.25">
      <c r="A904" t="s">
        <v>8</v>
      </c>
      <c r="B904" t="s">
        <v>9</v>
      </c>
      <c r="C904" t="s">
        <v>19</v>
      </c>
      <c r="D904" t="s">
        <v>11</v>
      </c>
      <c r="E904" t="s">
        <v>12</v>
      </c>
      <c r="F904">
        <v>78</v>
      </c>
      <c r="G904">
        <v>69</v>
      </c>
      <c r="H904">
        <v>73</v>
      </c>
      <c r="I904">
        <f t="shared" si="14"/>
        <v>220</v>
      </c>
    </row>
    <row r="905" spans="1:9" x14ac:dyDescent="0.25">
      <c r="A905" t="s">
        <v>8</v>
      </c>
      <c r="B905" t="s">
        <v>14</v>
      </c>
      <c r="C905" t="s">
        <v>10</v>
      </c>
      <c r="D905" t="s">
        <v>16</v>
      </c>
      <c r="E905" t="s">
        <v>17</v>
      </c>
      <c r="F905">
        <v>59</v>
      </c>
      <c r="G905">
        <v>61</v>
      </c>
      <c r="H905">
        <v>58</v>
      </c>
      <c r="I905">
        <f t="shared" si="14"/>
        <v>178</v>
      </c>
    </row>
    <row r="906" spans="1:9" x14ac:dyDescent="0.25">
      <c r="A906" t="s">
        <v>8</v>
      </c>
      <c r="B906" t="s">
        <v>18</v>
      </c>
      <c r="C906" t="s">
        <v>22</v>
      </c>
      <c r="D906" t="s">
        <v>16</v>
      </c>
      <c r="E906" t="s">
        <v>17</v>
      </c>
      <c r="F906">
        <v>80</v>
      </c>
      <c r="G906">
        <v>70</v>
      </c>
      <c r="H906">
        <v>71</v>
      </c>
      <c r="I906">
        <f t="shared" si="14"/>
        <v>221</v>
      </c>
    </row>
    <row r="907" spans="1:9" x14ac:dyDescent="0.25">
      <c r="A907" t="s">
        <v>8</v>
      </c>
      <c r="B907" t="s">
        <v>20</v>
      </c>
      <c r="C907" t="s">
        <v>21</v>
      </c>
      <c r="D907" t="s">
        <v>11</v>
      </c>
      <c r="E907" t="s">
        <v>12</v>
      </c>
      <c r="F907">
        <v>68</v>
      </c>
      <c r="G907">
        <v>82</v>
      </c>
      <c r="H907">
        <v>77</v>
      </c>
      <c r="I907">
        <f t="shared" si="14"/>
        <v>227</v>
      </c>
    </row>
    <row r="908" spans="1:9" x14ac:dyDescent="0.25">
      <c r="A908" t="s">
        <v>13</v>
      </c>
      <c r="B908" t="s">
        <v>20</v>
      </c>
      <c r="C908" t="s">
        <v>21</v>
      </c>
      <c r="D908" t="s">
        <v>11</v>
      </c>
      <c r="E908" t="s">
        <v>17</v>
      </c>
      <c r="F908">
        <v>77</v>
      </c>
      <c r="G908">
        <v>81</v>
      </c>
      <c r="H908">
        <v>79</v>
      </c>
      <c r="I908">
        <f t="shared" si="14"/>
        <v>237</v>
      </c>
    </row>
    <row r="909" spans="1:9" x14ac:dyDescent="0.25">
      <c r="A909" t="s">
        <v>8</v>
      </c>
      <c r="B909" t="s">
        <v>23</v>
      </c>
      <c r="C909" t="s">
        <v>10</v>
      </c>
      <c r="D909" t="s">
        <v>11</v>
      </c>
      <c r="E909" t="s">
        <v>17</v>
      </c>
      <c r="F909">
        <v>66</v>
      </c>
      <c r="G909">
        <v>67</v>
      </c>
      <c r="H909">
        <v>64</v>
      </c>
      <c r="I909">
        <f t="shared" si="14"/>
        <v>197</v>
      </c>
    </row>
    <row r="910" spans="1:9" x14ac:dyDescent="0.25">
      <c r="A910" t="s">
        <v>13</v>
      </c>
      <c r="B910" t="s">
        <v>23</v>
      </c>
      <c r="C910" t="s">
        <v>19</v>
      </c>
      <c r="D910" t="s">
        <v>16</v>
      </c>
      <c r="E910" t="s">
        <v>12</v>
      </c>
      <c r="F910">
        <v>26</v>
      </c>
      <c r="G910">
        <v>44</v>
      </c>
      <c r="H910">
        <v>46</v>
      </c>
      <c r="I910">
        <f t="shared" si="14"/>
        <v>116</v>
      </c>
    </row>
    <row r="911" spans="1:9" x14ac:dyDescent="0.25">
      <c r="A911" t="s">
        <v>8</v>
      </c>
      <c r="B911" t="s">
        <v>14</v>
      </c>
      <c r="C911" t="s">
        <v>19</v>
      </c>
      <c r="D911" t="s">
        <v>11</v>
      </c>
      <c r="E911" t="s">
        <v>12</v>
      </c>
      <c r="F911">
        <v>80</v>
      </c>
      <c r="G911">
        <v>66</v>
      </c>
      <c r="H911">
        <v>69</v>
      </c>
      <c r="I911">
        <f t="shared" si="14"/>
        <v>215</v>
      </c>
    </row>
    <row r="912" spans="1:9" x14ac:dyDescent="0.25">
      <c r="A912" t="s">
        <v>13</v>
      </c>
      <c r="B912" t="s">
        <v>14</v>
      </c>
      <c r="C912" t="s">
        <v>15</v>
      </c>
      <c r="D912" t="s">
        <v>16</v>
      </c>
      <c r="E912" t="s">
        <v>17</v>
      </c>
      <c r="F912">
        <v>48</v>
      </c>
      <c r="G912">
        <v>62</v>
      </c>
      <c r="H912">
        <v>61</v>
      </c>
      <c r="I912">
        <f t="shared" si="14"/>
        <v>171</v>
      </c>
    </row>
    <row r="913" spans="1:9" x14ac:dyDescent="0.25">
      <c r="A913" t="s">
        <v>13</v>
      </c>
      <c r="B913" t="s">
        <v>9</v>
      </c>
      <c r="C913" t="s">
        <v>21</v>
      </c>
      <c r="D913" t="s">
        <v>11</v>
      </c>
      <c r="E913" t="s">
        <v>17</v>
      </c>
      <c r="F913">
        <v>52</v>
      </c>
      <c r="G913">
        <v>64</v>
      </c>
      <c r="H913">
        <v>55</v>
      </c>
      <c r="I913">
        <f t="shared" si="14"/>
        <v>171</v>
      </c>
    </row>
    <row r="914" spans="1:9" x14ac:dyDescent="0.25">
      <c r="A914" t="s">
        <v>13</v>
      </c>
      <c r="B914" t="s">
        <v>14</v>
      </c>
      <c r="C914" t="s">
        <v>24</v>
      </c>
      <c r="D914" t="s">
        <v>16</v>
      </c>
      <c r="E914" t="s">
        <v>17</v>
      </c>
      <c r="F914">
        <v>54</v>
      </c>
      <c r="G914">
        <v>64</v>
      </c>
      <c r="H914">
        <v>64</v>
      </c>
      <c r="I914">
        <f t="shared" si="14"/>
        <v>182</v>
      </c>
    </row>
    <row r="915" spans="1:9" x14ac:dyDescent="0.25">
      <c r="A915" t="s">
        <v>13</v>
      </c>
      <c r="B915" t="s">
        <v>23</v>
      </c>
      <c r="C915" t="s">
        <v>19</v>
      </c>
      <c r="D915" t="s">
        <v>11</v>
      </c>
      <c r="E915" t="s">
        <v>12</v>
      </c>
      <c r="F915">
        <v>59</v>
      </c>
      <c r="G915">
        <v>68</v>
      </c>
      <c r="H915">
        <v>67</v>
      </c>
      <c r="I915">
        <f t="shared" si="14"/>
        <v>194</v>
      </c>
    </row>
    <row r="916" spans="1:9" x14ac:dyDescent="0.25">
      <c r="A916" t="s">
        <v>8</v>
      </c>
      <c r="B916" t="s">
        <v>14</v>
      </c>
      <c r="C916" t="s">
        <v>10</v>
      </c>
      <c r="D916" t="s">
        <v>11</v>
      </c>
      <c r="E916" t="s">
        <v>17</v>
      </c>
      <c r="F916">
        <v>77</v>
      </c>
      <c r="G916">
        <v>62</v>
      </c>
      <c r="H916">
        <v>65</v>
      </c>
      <c r="I916">
        <f t="shared" si="14"/>
        <v>204</v>
      </c>
    </row>
    <row r="917" spans="1:9" x14ac:dyDescent="0.25">
      <c r="A917" t="s">
        <v>13</v>
      </c>
      <c r="B917" t="s">
        <v>20</v>
      </c>
      <c r="C917" t="s">
        <v>19</v>
      </c>
      <c r="D917" t="s">
        <v>16</v>
      </c>
      <c r="E917" t="s">
        <v>17</v>
      </c>
      <c r="F917">
        <v>64</v>
      </c>
      <c r="G917">
        <v>70</v>
      </c>
      <c r="H917">
        <v>69</v>
      </c>
      <c r="I917">
        <f t="shared" si="14"/>
        <v>203</v>
      </c>
    </row>
    <row r="918" spans="1:9" x14ac:dyDescent="0.25">
      <c r="A918" t="s">
        <v>8</v>
      </c>
      <c r="B918" t="s">
        <v>14</v>
      </c>
      <c r="C918" t="s">
        <v>10</v>
      </c>
      <c r="D918" t="s">
        <v>11</v>
      </c>
      <c r="E918" t="s">
        <v>17</v>
      </c>
      <c r="F918">
        <v>83</v>
      </c>
      <c r="G918">
        <v>72</v>
      </c>
      <c r="H918">
        <v>68</v>
      </c>
      <c r="I918">
        <f t="shared" si="14"/>
        <v>223</v>
      </c>
    </row>
    <row r="919" spans="1:9" x14ac:dyDescent="0.25">
      <c r="A919" t="s">
        <v>8</v>
      </c>
      <c r="B919" t="s">
        <v>18</v>
      </c>
      <c r="C919" t="s">
        <v>10</v>
      </c>
      <c r="D919" t="s">
        <v>16</v>
      </c>
      <c r="E919" t="s">
        <v>17</v>
      </c>
      <c r="F919">
        <v>70</v>
      </c>
      <c r="G919">
        <v>73</v>
      </c>
      <c r="H919">
        <v>69</v>
      </c>
      <c r="I919">
        <f t="shared" si="14"/>
        <v>212</v>
      </c>
    </row>
    <row r="920" spans="1:9" x14ac:dyDescent="0.25">
      <c r="A920" t="s">
        <v>8</v>
      </c>
      <c r="B920" t="s">
        <v>23</v>
      </c>
      <c r="C920" t="s">
        <v>15</v>
      </c>
      <c r="D920" t="s">
        <v>11</v>
      </c>
      <c r="E920" t="s">
        <v>17</v>
      </c>
      <c r="F920">
        <v>72</v>
      </c>
      <c r="G920">
        <v>68</v>
      </c>
      <c r="H920">
        <v>67</v>
      </c>
      <c r="I920">
        <f t="shared" si="14"/>
        <v>207</v>
      </c>
    </row>
    <row r="921" spans="1:9" x14ac:dyDescent="0.25">
      <c r="A921" t="s">
        <v>13</v>
      </c>
      <c r="B921" t="s">
        <v>20</v>
      </c>
      <c r="C921" t="s">
        <v>21</v>
      </c>
      <c r="D921" t="s">
        <v>11</v>
      </c>
      <c r="E921" t="s">
        <v>17</v>
      </c>
      <c r="F921">
        <v>83</v>
      </c>
      <c r="G921">
        <v>78</v>
      </c>
      <c r="H921">
        <v>79</v>
      </c>
      <c r="I921">
        <f t="shared" si="14"/>
        <v>240</v>
      </c>
    </row>
    <row r="922" spans="1:9" x14ac:dyDescent="0.25">
      <c r="A922" t="s">
        <v>13</v>
      </c>
      <c r="B922" t="s">
        <v>20</v>
      </c>
      <c r="C922" t="s">
        <v>21</v>
      </c>
      <c r="D922" t="s">
        <v>11</v>
      </c>
      <c r="E922" t="s">
        <v>17</v>
      </c>
      <c r="F922">
        <v>52</v>
      </c>
      <c r="G922">
        <v>58</v>
      </c>
      <c r="H922">
        <v>57</v>
      </c>
      <c r="I922">
        <f t="shared" si="14"/>
        <v>167</v>
      </c>
    </row>
    <row r="923" spans="1:9" x14ac:dyDescent="0.25">
      <c r="A923" t="s">
        <v>13</v>
      </c>
      <c r="B923" t="s">
        <v>23</v>
      </c>
      <c r="C923" t="s">
        <v>19</v>
      </c>
      <c r="D923" t="s">
        <v>16</v>
      </c>
      <c r="E923" t="s">
        <v>12</v>
      </c>
      <c r="F923">
        <v>53</v>
      </c>
      <c r="G923">
        <v>73</v>
      </c>
      <c r="H923">
        <v>74</v>
      </c>
      <c r="I923">
        <f t="shared" si="14"/>
        <v>200</v>
      </c>
    </row>
    <row r="924" spans="1:9" x14ac:dyDescent="0.25">
      <c r="A924" t="s">
        <v>8</v>
      </c>
      <c r="B924" t="s">
        <v>14</v>
      </c>
      <c r="C924" t="s">
        <v>19</v>
      </c>
      <c r="D924" t="s">
        <v>11</v>
      </c>
      <c r="E924" t="s">
        <v>17</v>
      </c>
      <c r="F924">
        <v>55</v>
      </c>
      <c r="G924">
        <v>55</v>
      </c>
      <c r="H924">
        <v>55</v>
      </c>
      <c r="I924">
        <f t="shared" si="14"/>
        <v>165</v>
      </c>
    </row>
    <row r="925" spans="1:9" x14ac:dyDescent="0.25">
      <c r="A925" t="s">
        <v>8</v>
      </c>
      <c r="B925" t="s">
        <v>23</v>
      </c>
      <c r="C925" t="s">
        <v>21</v>
      </c>
      <c r="D925" t="s">
        <v>11</v>
      </c>
      <c r="E925" t="s">
        <v>17</v>
      </c>
      <c r="F925">
        <v>65</v>
      </c>
      <c r="G925">
        <v>63</v>
      </c>
      <c r="H925">
        <v>61</v>
      </c>
      <c r="I925">
        <f t="shared" si="14"/>
        <v>189</v>
      </c>
    </row>
    <row r="926" spans="1:9" x14ac:dyDescent="0.25">
      <c r="A926" t="s">
        <v>13</v>
      </c>
      <c r="B926" t="s">
        <v>18</v>
      </c>
      <c r="C926" t="s">
        <v>15</v>
      </c>
      <c r="D926" t="s">
        <v>11</v>
      </c>
      <c r="E926" t="s">
        <v>17</v>
      </c>
      <c r="F926">
        <v>60</v>
      </c>
      <c r="G926">
        <v>67</v>
      </c>
      <c r="H926">
        <v>64</v>
      </c>
      <c r="I926">
        <f t="shared" si="14"/>
        <v>191</v>
      </c>
    </row>
    <row r="927" spans="1:9" x14ac:dyDescent="0.25">
      <c r="A927" t="s">
        <v>8</v>
      </c>
      <c r="B927" t="s">
        <v>18</v>
      </c>
      <c r="C927" t="s">
        <v>10</v>
      </c>
      <c r="D927" t="s">
        <v>16</v>
      </c>
      <c r="E927" t="s">
        <v>12</v>
      </c>
      <c r="F927">
        <v>64</v>
      </c>
      <c r="G927">
        <v>62</v>
      </c>
      <c r="H927">
        <v>59</v>
      </c>
      <c r="I927">
        <f t="shared" si="14"/>
        <v>185</v>
      </c>
    </row>
    <row r="928" spans="1:9" x14ac:dyDescent="0.25">
      <c r="A928" t="s">
        <v>8</v>
      </c>
      <c r="B928" t="s">
        <v>23</v>
      </c>
      <c r="C928" t="s">
        <v>21</v>
      </c>
      <c r="D928" t="s">
        <v>11</v>
      </c>
      <c r="E928" t="s">
        <v>17</v>
      </c>
      <c r="F928">
        <v>71</v>
      </c>
      <c r="G928">
        <v>72</v>
      </c>
      <c r="H928">
        <v>69</v>
      </c>
      <c r="I928">
        <f t="shared" si="14"/>
        <v>212</v>
      </c>
    </row>
    <row r="929" spans="1:9" x14ac:dyDescent="0.25">
      <c r="A929" t="s">
        <v>8</v>
      </c>
      <c r="B929" t="s">
        <v>23</v>
      </c>
      <c r="C929" t="s">
        <v>22</v>
      </c>
      <c r="D929" t="s">
        <v>16</v>
      </c>
      <c r="E929" t="s">
        <v>12</v>
      </c>
      <c r="F929">
        <v>61</v>
      </c>
      <c r="G929">
        <v>71</v>
      </c>
      <c r="H929">
        <v>65</v>
      </c>
      <c r="I929">
        <f t="shared" si="14"/>
        <v>197</v>
      </c>
    </row>
    <row r="930" spans="1:9" x14ac:dyDescent="0.25">
      <c r="A930" t="s">
        <v>8</v>
      </c>
      <c r="B930" t="s">
        <v>14</v>
      </c>
      <c r="C930" t="s">
        <v>21</v>
      </c>
      <c r="D930" t="s">
        <v>11</v>
      </c>
      <c r="E930" t="s">
        <v>17</v>
      </c>
      <c r="F930">
        <v>61</v>
      </c>
      <c r="G930">
        <v>55</v>
      </c>
      <c r="H930">
        <v>58</v>
      </c>
      <c r="I930">
        <f t="shared" si="14"/>
        <v>174</v>
      </c>
    </row>
    <row r="931" spans="1:9" x14ac:dyDescent="0.25">
      <c r="A931" t="s">
        <v>13</v>
      </c>
      <c r="B931" t="s">
        <v>23</v>
      </c>
      <c r="C931" t="s">
        <v>24</v>
      </c>
      <c r="D931" t="s">
        <v>11</v>
      </c>
      <c r="E931" t="s">
        <v>17</v>
      </c>
      <c r="F931">
        <v>65</v>
      </c>
      <c r="G931">
        <v>74</v>
      </c>
      <c r="H931">
        <v>79</v>
      </c>
      <c r="I931">
        <f t="shared" si="14"/>
        <v>218</v>
      </c>
    </row>
    <row r="932" spans="1:9" x14ac:dyDescent="0.25">
      <c r="A932" t="s">
        <v>13</v>
      </c>
      <c r="B932" t="s">
        <v>14</v>
      </c>
      <c r="C932" t="s">
        <v>15</v>
      </c>
      <c r="D932" t="s">
        <v>11</v>
      </c>
      <c r="E932" t="s">
        <v>12</v>
      </c>
      <c r="F932">
        <v>71</v>
      </c>
      <c r="G932">
        <v>83</v>
      </c>
      <c r="H932">
        <v>89</v>
      </c>
      <c r="I932">
        <f t="shared" si="14"/>
        <v>243</v>
      </c>
    </row>
    <row r="933" spans="1:9" x14ac:dyDescent="0.25">
      <c r="A933" t="s">
        <v>8</v>
      </c>
      <c r="B933" t="s">
        <v>18</v>
      </c>
      <c r="C933" t="s">
        <v>21</v>
      </c>
      <c r="D933" t="s">
        <v>16</v>
      </c>
      <c r="E933" t="s">
        <v>17</v>
      </c>
      <c r="F933">
        <v>48</v>
      </c>
      <c r="G933">
        <v>49</v>
      </c>
      <c r="H933">
        <v>44</v>
      </c>
      <c r="I933">
        <f t="shared" si="14"/>
        <v>141</v>
      </c>
    </row>
    <row r="934" spans="1:9" x14ac:dyDescent="0.25">
      <c r="A934" t="s">
        <v>8</v>
      </c>
      <c r="B934" t="s">
        <v>18</v>
      </c>
      <c r="C934" t="s">
        <v>10</v>
      </c>
      <c r="D934" t="s">
        <v>16</v>
      </c>
      <c r="E934" t="s">
        <v>12</v>
      </c>
      <c r="F934">
        <v>75</v>
      </c>
      <c r="G934">
        <v>80</v>
      </c>
      <c r="H934">
        <v>75</v>
      </c>
      <c r="I934">
        <f t="shared" si="14"/>
        <v>230</v>
      </c>
    </row>
    <row r="935" spans="1:9" x14ac:dyDescent="0.25">
      <c r="A935" t="s">
        <v>8</v>
      </c>
      <c r="B935" t="s">
        <v>14</v>
      </c>
      <c r="C935" t="s">
        <v>21</v>
      </c>
      <c r="D935" t="s">
        <v>16</v>
      </c>
      <c r="E935" t="s">
        <v>17</v>
      </c>
      <c r="F935">
        <v>54</v>
      </c>
      <c r="G935">
        <v>66</v>
      </c>
      <c r="H935">
        <v>65</v>
      </c>
      <c r="I935">
        <f t="shared" si="14"/>
        <v>185</v>
      </c>
    </row>
    <row r="936" spans="1:9" x14ac:dyDescent="0.25">
      <c r="A936" t="s">
        <v>13</v>
      </c>
      <c r="B936" t="s">
        <v>23</v>
      </c>
      <c r="C936" t="s">
        <v>24</v>
      </c>
      <c r="D936" t="s">
        <v>11</v>
      </c>
      <c r="E936" t="s">
        <v>17</v>
      </c>
      <c r="F936">
        <v>70</v>
      </c>
      <c r="G936">
        <v>64</v>
      </c>
      <c r="H936">
        <v>65</v>
      </c>
      <c r="I936">
        <f t="shared" si="14"/>
        <v>199</v>
      </c>
    </row>
    <row r="937" spans="1:9" x14ac:dyDescent="0.25">
      <c r="A937" t="s">
        <v>8</v>
      </c>
      <c r="B937" t="s">
        <v>14</v>
      </c>
      <c r="C937" t="s">
        <v>15</v>
      </c>
      <c r="D937" t="s">
        <v>11</v>
      </c>
      <c r="E937" t="s">
        <v>17</v>
      </c>
      <c r="F937">
        <v>91</v>
      </c>
      <c r="G937">
        <v>77</v>
      </c>
      <c r="H937">
        <v>72</v>
      </c>
      <c r="I937">
        <f t="shared" si="14"/>
        <v>240</v>
      </c>
    </row>
    <row r="938" spans="1:9" x14ac:dyDescent="0.25">
      <c r="A938" t="s">
        <v>13</v>
      </c>
      <c r="B938" t="s">
        <v>14</v>
      </c>
      <c r="C938" t="s">
        <v>15</v>
      </c>
      <c r="D938" t="s">
        <v>11</v>
      </c>
      <c r="E938" t="s">
        <v>12</v>
      </c>
      <c r="F938">
        <v>33</v>
      </c>
      <c r="G938">
        <v>44</v>
      </c>
      <c r="H938">
        <v>50</v>
      </c>
      <c r="I938">
        <f t="shared" si="14"/>
        <v>127</v>
      </c>
    </row>
    <row r="939" spans="1:9" x14ac:dyDescent="0.25">
      <c r="A939" t="s">
        <v>13</v>
      </c>
      <c r="B939" t="s">
        <v>20</v>
      </c>
      <c r="C939" t="s">
        <v>10</v>
      </c>
      <c r="D939" t="s">
        <v>11</v>
      </c>
      <c r="E939" t="s">
        <v>17</v>
      </c>
      <c r="F939">
        <v>45</v>
      </c>
      <c r="G939">
        <v>50</v>
      </c>
      <c r="H939">
        <v>41</v>
      </c>
      <c r="I939">
        <f t="shared" si="14"/>
        <v>136</v>
      </c>
    </row>
    <row r="940" spans="1:9" x14ac:dyDescent="0.25">
      <c r="A940" t="s">
        <v>8</v>
      </c>
      <c r="B940" t="s">
        <v>9</v>
      </c>
      <c r="C940" t="s">
        <v>10</v>
      </c>
      <c r="D940" t="s">
        <v>16</v>
      </c>
      <c r="E940" t="s">
        <v>17</v>
      </c>
      <c r="F940">
        <v>45</v>
      </c>
      <c r="G940">
        <v>33</v>
      </c>
      <c r="H940">
        <v>32</v>
      </c>
      <c r="I940">
        <f t="shared" si="14"/>
        <v>110</v>
      </c>
    </row>
    <row r="941" spans="1:9" x14ac:dyDescent="0.25">
      <c r="A941" t="s">
        <v>8</v>
      </c>
      <c r="B941" t="s">
        <v>14</v>
      </c>
      <c r="C941" t="s">
        <v>22</v>
      </c>
      <c r="D941" t="s">
        <v>16</v>
      </c>
      <c r="E941" t="s">
        <v>17</v>
      </c>
      <c r="F941">
        <v>62</v>
      </c>
      <c r="G941">
        <v>61</v>
      </c>
      <c r="H941">
        <v>57</v>
      </c>
      <c r="I941">
        <f t="shared" si="14"/>
        <v>180</v>
      </c>
    </row>
    <row r="942" spans="1:9" x14ac:dyDescent="0.25">
      <c r="A942" t="s">
        <v>8</v>
      </c>
      <c r="B942" t="s">
        <v>18</v>
      </c>
      <c r="C942" t="s">
        <v>21</v>
      </c>
      <c r="D942" t="s">
        <v>16</v>
      </c>
      <c r="E942" t="s">
        <v>12</v>
      </c>
      <c r="F942">
        <v>92</v>
      </c>
      <c r="G942">
        <v>79</v>
      </c>
      <c r="H942">
        <v>77</v>
      </c>
      <c r="I942">
        <f t="shared" si="14"/>
        <v>248</v>
      </c>
    </row>
    <row r="943" spans="1:9" x14ac:dyDescent="0.25">
      <c r="A943" t="s">
        <v>13</v>
      </c>
      <c r="B943" t="s">
        <v>14</v>
      </c>
      <c r="C943" t="s">
        <v>19</v>
      </c>
      <c r="D943" t="s">
        <v>11</v>
      </c>
      <c r="E943" t="s">
        <v>17</v>
      </c>
      <c r="F943">
        <v>74</v>
      </c>
      <c r="G943">
        <v>75</v>
      </c>
      <c r="H943">
        <v>79</v>
      </c>
      <c r="I943">
        <f t="shared" si="14"/>
        <v>228</v>
      </c>
    </row>
    <row r="944" spans="1:9" x14ac:dyDescent="0.25">
      <c r="A944" t="s">
        <v>13</v>
      </c>
      <c r="B944" t="s">
        <v>23</v>
      </c>
      <c r="C944" t="s">
        <v>10</v>
      </c>
      <c r="D944" t="s">
        <v>11</v>
      </c>
      <c r="E944" t="s">
        <v>12</v>
      </c>
      <c r="F944">
        <v>81</v>
      </c>
      <c r="G944">
        <v>79</v>
      </c>
      <c r="H944">
        <v>83</v>
      </c>
      <c r="I944">
        <f t="shared" si="14"/>
        <v>243</v>
      </c>
    </row>
    <row r="945" spans="1:9" x14ac:dyDescent="0.25">
      <c r="A945" t="s">
        <v>8</v>
      </c>
      <c r="B945" t="s">
        <v>23</v>
      </c>
      <c r="C945" t="s">
        <v>21</v>
      </c>
      <c r="D945" t="s">
        <v>16</v>
      </c>
      <c r="E945" t="s">
        <v>17</v>
      </c>
      <c r="F945">
        <v>76</v>
      </c>
      <c r="G945">
        <v>71</v>
      </c>
      <c r="H945">
        <v>66</v>
      </c>
      <c r="I945">
        <f t="shared" si="14"/>
        <v>213</v>
      </c>
    </row>
    <row r="946" spans="1:9" x14ac:dyDescent="0.25">
      <c r="A946" t="s">
        <v>13</v>
      </c>
      <c r="B946" t="s">
        <v>23</v>
      </c>
      <c r="C946" t="s">
        <v>21</v>
      </c>
      <c r="D946" t="s">
        <v>11</v>
      </c>
      <c r="E946" t="s">
        <v>12</v>
      </c>
      <c r="F946">
        <v>57</v>
      </c>
      <c r="G946">
        <v>72</v>
      </c>
      <c r="H946">
        <v>73</v>
      </c>
      <c r="I946">
        <f t="shared" si="14"/>
        <v>202</v>
      </c>
    </row>
    <row r="947" spans="1:9" x14ac:dyDescent="0.25">
      <c r="A947" t="s">
        <v>8</v>
      </c>
      <c r="B947" t="s">
        <v>9</v>
      </c>
      <c r="C947" t="s">
        <v>19</v>
      </c>
      <c r="D947" t="s">
        <v>16</v>
      </c>
      <c r="E947" t="s">
        <v>17</v>
      </c>
      <c r="F947">
        <v>63</v>
      </c>
      <c r="G947">
        <v>61</v>
      </c>
      <c r="H947">
        <v>55</v>
      </c>
      <c r="I947">
        <f t="shared" si="14"/>
        <v>179</v>
      </c>
    </row>
    <row r="948" spans="1:9" x14ac:dyDescent="0.25">
      <c r="A948" t="s">
        <v>13</v>
      </c>
      <c r="B948" t="s">
        <v>14</v>
      </c>
      <c r="C948" t="s">
        <v>10</v>
      </c>
      <c r="D948" t="s">
        <v>11</v>
      </c>
      <c r="E948" t="s">
        <v>12</v>
      </c>
      <c r="F948">
        <v>57</v>
      </c>
      <c r="G948">
        <v>62</v>
      </c>
      <c r="H948">
        <v>73</v>
      </c>
      <c r="I948">
        <f t="shared" si="14"/>
        <v>192</v>
      </c>
    </row>
    <row r="949" spans="1:9" x14ac:dyDescent="0.25">
      <c r="A949" t="s">
        <v>13</v>
      </c>
      <c r="B949" t="s">
        <v>20</v>
      </c>
      <c r="C949" t="s">
        <v>19</v>
      </c>
      <c r="D949" t="s">
        <v>11</v>
      </c>
      <c r="E949" t="s">
        <v>12</v>
      </c>
      <c r="F949">
        <v>46</v>
      </c>
      <c r="G949">
        <v>65</v>
      </c>
      <c r="H949">
        <v>64</v>
      </c>
      <c r="I949">
        <f t="shared" si="14"/>
        <v>175</v>
      </c>
    </row>
    <row r="950" spans="1:9" x14ac:dyDescent="0.25">
      <c r="A950" t="s">
        <v>8</v>
      </c>
      <c r="B950" t="s">
        <v>18</v>
      </c>
      <c r="C950" t="s">
        <v>15</v>
      </c>
      <c r="D950" t="s">
        <v>16</v>
      </c>
      <c r="E950" t="s">
        <v>12</v>
      </c>
      <c r="F950">
        <v>49</v>
      </c>
      <c r="G950">
        <v>50</v>
      </c>
      <c r="H950">
        <v>45</v>
      </c>
      <c r="I950">
        <f t="shared" si="14"/>
        <v>144</v>
      </c>
    </row>
    <row r="951" spans="1:9" x14ac:dyDescent="0.25">
      <c r="A951" t="s">
        <v>13</v>
      </c>
      <c r="B951" t="s">
        <v>14</v>
      </c>
      <c r="C951" t="s">
        <v>15</v>
      </c>
      <c r="D951" t="s">
        <v>11</v>
      </c>
      <c r="E951" t="s">
        <v>17</v>
      </c>
      <c r="F951">
        <v>54</v>
      </c>
      <c r="G951">
        <v>60</v>
      </c>
      <c r="H951">
        <v>65</v>
      </c>
      <c r="I951">
        <f t="shared" si="14"/>
        <v>179</v>
      </c>
    </row>
    <row r="952" spans="1:9" x14ac:dyDescent="0.25">
      <c r="A952" t="s">
        <v>8</v>
      </c>
      <c r="B952" t="s">
        <v>23</v>
      </c>
      <c r="C952" t="s">
        <v>15</v>
      </c>
      <c r="D952" t="s">
        <v>11</v>
      </c>
      <c r="E952" t="s">
        <v>12</v>
      </c>
      <c r="F952">
        <v>89</v>
      </c>
      <c r="G952">
        <v>87</v>
      </c>
      <c r="H952">
        <v>90</v>
      </c>
      <c r="I952">
        <f t="shared" si="14"/>
        <v>266</v>
      </c>
    </row>
    <row r="953" spans="1:9" x14ac:dyDescent="0.25">
      <c r="A953" t="s">
        <v>8</v>
      </c>
      <c r="B953" t="s">
        <v>14</v>
      </c>
      <c r="C953" t="s">
        <v>22</v>
      </c>
      <c r="D953" t="s">
        <v>11</v>
      </c>
      <c r="E953" t="s">
        <v>12</v>
      </c>
      <c r="F953">
        <v>77</v>
      </c>
      <c r="G953">
        <v>70</v>
      </c>
      <c r="H953">
        <v>78</v>
      </c>
      <c r="I953">
        <f t="shared" si="14"/>
        <v>225</v>
      </c>
    </row>
    <row r="954" spans="1:9" x14ac:dyDescent="0.25">
      <c r="A954" t="s">
        <v>13</v>
      </c>
      <c r="B954" t="s">
        <v>23</v>
      </c>
      <c r="C954" t="s">
        <v>22</v>
      </c>
      <c r="D954" t="s">
        <v>11</v>
      </c>
      <c r="E954" t="s">
        <v>17</v>
      </c>
      <c r="F954">
        <v>46</v>
      </c>
      <c r="G954">
        <v>63</v>
      </c>
      <c r="H954">
        <v>60</v>
      </c>
      <c r="I954">
        <f t="shared" si="14"/>
        <v>169</v>
      </c>
    </row>
    <row r="955" spans="1:9" x14ac:dyDescent="0.25">
      <c r="A955" t="s">
        <v>8</v>
      </c>
      <c r="B955" t="s">
        <v>20</v>
      </c>
      <c r="C955" t="s">
        <v>21</v>
      </c>
      <c r="D955" t="s">
        <v>11</v>
      </c>
      <c r="E955" t="s">
        <v>12</v>
      </c>
      <c r="F955">
        <v>66</v>
      </c>
      <c r="G955">
        <v>59</v>
      </c>
      <c r="H955">
        <v>70</v>
      </c>
      <c r="I955">
        <f t="shared" si="14"/>
        <v>195</v>
      </c>
    </row>
    <row r="956" spans="1:9" x14ac:dyDescent="0.25">
      <c r="A956" t="s">
        <v>13</v>
      </c>
      <c r="B956" t="s">
        <v>23</v>
      </c>
      <c r="C956" t="s">
        <v>10</v>
      </c>
      <c r="D956" t="s">
        <v>11</v>
      </c>
      <c r="E956" t="s">
        <v>17</v>
      </c>
      <c r="F956">
        <v>48</v>
      </c>
      <c r="G956">
        <v>63</v>
      </c>
      <c r="H956">
        <v>53</v>
      </c>
      <c r="I956">
        <f t="shared" si="14"/>
        <v>164</v>
      </c>
    </row>
    <row r="957" spans="1:9" x14ac:dyDescent="0.25">
      <c r="A957" t="s">
        <v>8</v>
      </c>
      <c r="B957" t="s">
        <v>14</v>
      </c>
      <c r="C957" t="s">
        <v>21</v>
      </c>
      <c r="D957" t="s">
        <v>11</v>
      </c>
      <c r="E957" t="s">
        <v>12</v>
      </c>
      <c r="F957">
        <v>83</v>
      </c>
      <c r="G957">
        <v>76</v>
      </c>
      <c r="H957">
        <v>81</v>
      </c>
      <c r="I957">
        <f t="shared" si="14"/>
        <v>240</v>
      </c>
    </row>
    <row r="958" spans="1:9" x14ac:dyDescent="0.25">
      <c r="A958" t="s">
        <v>8</v>
      </c>
      <c r="B958" t="s">
        <v>23</v>
      </c>
      <c r="C958" t="s">
        <v>10</v>
      </c>
      <c r="D958" t="s">
        <v>11</v>
      </c>
      <c r="E958" t="s">
        <v>12</v>
      </c>
      <c r="F958">
        <v>69</v>
      </c>
      <c r="G958">
        <v>75</v>
      </c>
      <c r="H958">
        <v>74</v>
      </c>
      <c r="I958">
        <f t="shared" si="14"/>
        <v>218</v>
      </c>
    </row>
    <row r="959" spans="1:9" x14ac:dyDescent="0.25">
      <c r="A959" t="s">
        <v>8</v>
      </c>
      <c r="B959" t="s">
        <v>18</v>
      </c>
      <c r="C959" t="s">
        <v>22</v>
      </c>
      <c r="D959" t="s">
        <v>16</v>
      </c>
      <c r="E959" t="s">
        <v>17</v>
      </c>
      <c r="F959">
        <v>73</v>
      </c>
      <c r="G959">
        <v>52</v>
      </c>
      <c r="H959">
        <v>54</v>
      </c>
      <c r="I959">
        <f t="shared" si="14"/>
        <v>179</v>
      </c>
    </row>
    <row r="960" spans="1:9" x14ac:dyDescent="0.25">
      <c r="A960" t="s">
        <v>13</v>
      </c>
      <c r="B960" t="s">
        <v>14</v>
      </c>
      <c r="C960" t="s">
        <v>19</v>
      </c>
      <c r="D960" t="s">
        <v>11</v>
      </c>
      <c r="E960" t="s">
        <v>17</v>
      </c>
      <c r="F960">
        <v>43</v>
      </c>
      <c r="G960">
        <v>59</v>
      </c>
      <c r="H960">
        <v>59</v>
      </c>
      <c r="I960">
        <f t="shared" si="14"/>
        <v>161</v>
      </c>
    </row>
    <row r="961" spans="1:9" x14ac:dyDescent="0.25">
      <c r="A961" t="s">
        <v>8</v>
      </c>
      <c r="B961" t="s">
        <v>14</v>
      </c>
      <c r="C961" t="s">
        <v>24</v>
      </c>
      <c r="D961" t="s">
        <v>11</v>
      </c>
      <c r="E961" t="s">
        <v>12</v>
      </c>
      <c r="F961">
        <v>91</v>
      </c>
      <c r="G961">
        <v>84</v>
      </c>
      <c r="H961">
        <v>83</v>
      </c>
      <c r="I961">
        <f t="shared" si="14"/>
        <v>258</v>
      </c>
    </row>
    <row r="962" spans="1:9" x14ac:dyDescent="0.25">
      <c r="A962" t="s">
        <v>8</v>
      </c>
      <c r="B962" t="s">
        <v>23</v>
      </c>
      <c r="C962" t="s">
        <v>21</v>
      </c>
      <c r="D962" t="s">
        <v>11</v>
      </c>
      <c r="E962" t="s">
        <v>12</v>
      </c>
      <c r="F962">
        <v>49</v>
      </c>
      <c r="G962">
        <v>58</v>
      </c>
      <c r="H962">
        <v>55</v>
      </c>
      <c r="I962">
        <f t="shared" si="14"/>
        <v>162</v>
      </c>
    </row>
    <row r="963" spans="1:9" x14ac:dyDescent="0.25">
      <c r="A963" t="s">
        <v>8</v>
      </c>
      <c r="B963" t="s">
        <v>20</v>
      </c>
      <c r="C963" t="s">
        <v>24</v>
      </c>
      <c r="D963" t="s">
        <v>11</v>
      </c>
      <c r="E963" t="s">
        <v>17</v>
      </c>
      <c r="F963">
        <v>87</v>
      </c>
      <c r="G963">
        <v>86</v>
      </c>
      <c r="H963">
        <v>84</v>
      </c>
      <c r="I963">
        <f t="shared" ref="I963:I1001" si="15">SUM(F963:H963)</f>
        <v>257</v>
      </c>
    </row>
    <row r="964" spans="1:9" x14ac:dyDescent="0.25">
      <c r="A964" t="s">
        <v>8</v>
      </c>
      <c r="B964" t="s">
        <v>20</v>
      </c>
      <c r="C964" t="s">
        <v>15</v>
      </c>
      <c r="D964" t="s">
        <v>11</v>
      </c>
      <c r="E964" t="s">
        <v>12</v>
      </c>
      <c r="F964">
        <v>46</v>
      </c>
      <c r="G964">
        <v>46</v>
      </c>
      <c r="H964">
        <v>44</v>
      </c>
      <c r="I964">
        <f t="shared" si="15"/>
        <v>136</v>
      </c>
    </row>
    <row r="965" spans="1:9" x14ac:dyDescent="0.25">
      <c r="A965" t="s">
        <v>13</v>
      </c>
      <c r="B965" t="s">
        <v>14</v>
      </c>
      <c r="C965" t="s">
        <v>15</v>
      </c>
      <c r="D965" t="s">
        <v>11</v>
      </c>
      <c r="E965" t="s">
        <v>12</v>
      </c>
      <c r="F965">
        <v>63</v>
      </c>
      <c r="G965">
        <v>61</v>
      </c>
      <c r="H965">
        <v>71</v>
      </c>
      <c r="I965">
        <f t="shared" si="15"/>
        <v>195</v>
      </c>
    </row>
    <row r="966" spans="1:9" x14ac:dyDescent="0.25">
      <c r="A966" t="s">
        <v>8</v>
      </c>
      <c r="B966" t="s">
        <v>18</v>
      </c>
      <c r="C966" t="s">
        <v>22</v>
      </c>
      <c r="D966" t="s">
        <v>11</v>
      </c>
      <c r="E966" t="s">
        <v>17</v>
      </c>
      <c r="F966">
        <v>100</v>
      </c>
      <c r="G966">
        <v>83</v>
      </c>
      <c r="H966">
        <v>86</v>
      </c>
      <c r="I966">
        <f t="shared" si="15"/>
        <v>269</v>
      </c>
    </row>
    <row r="967" spans="1:9" x14ac:dyDescent="0.25">
      <c r="A967" t="s">
        <v>13</v>
      </c>
      <c r="B967" t="s">
        <v>18</v>
      </c>
      <c r="C967" t="s">
        <v>22</v>
      </c>
      <c r="D967" t="s">
        <v>11</v>
      </c>
      <c r="E967" t="s">
        <v>17</v>
      </c>
      <c r="F967">
        <v>86</v>
      </c>
      <c r="G967">
        <v>87</v>
      </c>
      <c r="H967">
        <v>89</v>
      </c>
      <c r="I967">
        <f t="shared" si="15"/>
        <v>262</v>
      </c>
    </row>
    <row r="968" spans="1:9" x14ac:dyDescent="0.25">
      <c r="A968" t="s">
        <v>13</v>
      </c>
      <c r="B968" t="s">
        <v>9</v>
      </c>
      <c r="C968" t="s">
        <v>15</v>
      </c>
      <c r="D968" t="s">
        <v>16</v>
      </c>
      <c r="E968" t="s">
        <v>12</v>
      </c>
      <c r="F968">
        <v>55</v>
      </c>
      <c r="G968">
        <v>73</v>
      </c>
      <c r="H968">
        <v>70</v>
      </c>
      <c r="I968">
        <f t="shared" si="15"/>
        <v>198</v>
      </c>
    </row>
    <row r="969" spans="1:9" x14ac:dyDescent="0.25">
      <c r="A969" t="s">
        <v>13</v>
      </c>
      <c r="B969" t="s">
        <v>18</v>
      </c>
      <c r="C969" t="s">
        <v>24</v>
      </c>
      <c r="D969" t="s">
        <v>16</v>
      </c>
      <c r="E969" t="s">
        <v>17</v>
      </c>
      <c r="F969">
        <v>84</v>
      </c>
      <c r="G969">
        <v>100</v>
      </c>
      <c r="H969">
        <v>99</v>
      </c>
      <c r="I969">
        <f t="shared" si="15"/>
        <v>283</v>
      </c>
    </row>
    <row r="970" spans="1:9" x14ac:dyDescent="0.25">
      <c r="A970" t="s">
        <v>13</v>
      </c>
      <c r="B970" t="s">
        <v>20</v>
      </c>
      <c r="C970" t="s">
        <v>15</v>
      </c>
      <c r="D970" t="s">
        <v>16</v>
      </c>
      <c r="E970" t="s">
        <v>17</v>
      </c>
      <c r="F970">
        <v>39</v>
      </c>
      <c r="G970">
        <v>51</v>
      </c>
      <c r="H970">
        <v>48</v>
      </c>
      <c r="I970">
        <f t="shared" si="15"/>
        <v>138</v>
      </c>
    </row>
    <row r="971" spans="1:9" x14ac:dyDescent="0.25">
      <c r="A971" t="s">
        <v>8</v>
      </c>
      <c r="B971" t="s">
        <v>20</v>
      </c>
      <c r="C971" t="s">
        <v>10</v>
      </c>
      <c r="D971" t="s">
        <v>11</v>
      </c>
      <c r="E971" t="s">
        <v>17</v>
      </c>
      <c r="F971">
        <v>67</v>
      </c>
      <c r="G971">
        <v>57</v>
      </c>
      <c r="H971">
        <v>52</v>
      </c>
      <c r="I971">
        <f t="shared" si="15"/>
        <v>176</v>
      </c>
    </row>
    <row r="972" spans="1:9" x14ac:dyDescent="0.25">
      <c r="A972" t="s">
        <v>13</v>
      </c>
      <c r="B972" t="s">
        <v>14</v>
      </c>
      <c r="C972" t="s">
        <v>15</v>
      </c>
      <c r="D972" t="s">
        <v>11</v>
      </c>
      <c r="E972" t="s">
        <v>12</v>
      </c>
      <c r="F972">
        <v>85</v>
      </c>
      <c r="G972">
        <v>100</v>
      </c>
      <c r="H972">
        <v>97</v>
      </c>
      <c r="I972">
        <f t="shared" si="15"/>
        <v>282</v>
      </c>
    </row>
    <row r="973" spans="1:9" x14ac:dyDescent="0.25">
      <c r="A973" t="s">
        <v>8</v>
      </c>
      <c r="B973" t="s">
        <v>23</v>
      </c>
      <c r="C973" t="s">
        <v>15</v>
      </c>
      <c r="D973" t="s">
        <v>11</v>
      </c>
      <c r="E973" t="s">
        <v>17</v>
      </c>
      <c r="F973">
        <v>64</v>
      </c>
      <c r="G973">
        <v>51</v>
      </c>
      <c r="H973">
        <v>44</v>
      </c>
      <c r="I973">
        <f t="shared" si="15"/>
        <v>159</v>
      </c>
    </row>
    <row r="974" spans="1:9" x14ac:dyDescent="0.25">
      <c r="A974" t="s">
        <v>13</v>
      </c>
      <c r="B974" t="s">
        <v>18</v>
      </c>
      <c r="C974" t="s">
        <v>21</v>
      </c>
      <c r="D974" t="s">
        <v>11</v>
      </c>
      <c r="E974" t="s">
        <v>17</v>
      </c>
      <c r="F974">
        <v>81</v>
      </c>
      <c r="G974">
        <v>77</v>
      </c>
      <c r="H974">
        <v>74</v>
      </c>
      <c r="I974">
        <f t="shared" si="15"/>
        <v>232</v>
      </c>
    </row>
    <row r="975" spans="1:9" x14ac:dyDescent="0.25">
      <c r="A975" t="s">
        <v>8</v>
      </c>
      <c r="B975" t="s">
        <v>23</v>
      </c>
      <c r="C975" t="s">
        <v>21</v>
      </c>
      <c r="D975" t="s">
        <v>11</v>
      </c>
      <c r="E975" t="s">
        <v>17</v>
      </c>
      <c r="F975">
        <v>78</v>
      </c>
      <c r="G975">
        <v>71</v>
      </c>
      <c r="H975">
        <v>67</v>
      </c>
      <c r="I975">
        <f t="shared" si="15"/>
        <v>216</v>
      </c>
    </row>
    <row r="976" spans="1:9" x14ac:dyDescent="0.25">
      <c r="A976" t="s">
        <v>13</v>
      </c>
      <c r="B976" t="s">
        <v>20</v>
      </c>
      <c r="C976" t="s">
        <v>15</v>
      </c>
      <c r="D976" t="s">
        <v>11</v>
      </c>
      <c r="E976" t="s">
        <v>17</v>
      </c>
      <c r="F976">
        <v>59</v>
      </c>
      <c r="G976">
        <v>59</v>
      </c>
      <c r="H976">
        <v>58</v>
      </c>
      <c r="I976">
        <f t="shared" si="15"/>
        <v>176</v>
      </c>
    </row>
    <row r="977" spans="1:9" x14ac:dyDescent="0.25">
      <c r="A977" t="s">
        <v>8</v>
      </c>
      <c r="B977" t="s">
        <v>23</v>
      </c>
      <c r="C977" t="s">
        <v>21</v>
      </c>
      <c r="D977" t="s">
        <v>11</v>
      </c>
      <c r="E977" t="s">
        <v>17</v>
      </c>
      <c r="F977">
        <v>74</v>
      </c>
      <c r="G977">
        <v>76</v>
      </c>
      <c r="H977">
        <v>70</v>
      </c>
      <c r="I977">
        <f t="shared" si="15"/>
        <v>220</v>
      </c>
    </row>
    <row r="978" spans="1:9" x14ac:dyDescent="0.25">
      <c r="A978" t="s">
        <v>13</v>
      </c>
      <c r="B978" t="s">
        <v>20</v>
      </c>
      <c r="C978" t="s">
        <v>19</v>
      </c>
      <c r="D978" t="s">
        <v>16</v>
      </c>
      <c r="E978" t="s">
        <v>12</v>
      </c>
      <c r="F978">
        <v>31</v>
      </c>
      <c r="G978">
        <v>29</v>
      </c>
      <c r="H978">
        <v>35</v>
      </c>
      <c r="I978">
        <f t="shared" si="15"/>
        <v>95</v>
      </c>
    </row>
    <row r="979" spans="1:9" x14ac:dyDescent="0.25">
      <c r="A979" t="s">
        <v>13</v>
      </c>
      <c r="B979" t="s">
        <v>23</v>
      </c>
      <c r="C979" t="s">
        <v>15</v>
      </c>
      <c r="D979" t="s">
        <v>16</v>
      </c>
      <c r="E979" t="s">
        <v>12</v>
      </c>
      <c r="F979">
        <v>54</v>
      </c>
      <c r="G979">
        <v>55</v>
      </c>
      <c r="H979">
        <v>65</v>
      </c>
      <c r="I979">
        <f t="shared" si="15"/>
        <v>174</v>
      </c>
    </row>
    <row r="980" spans="1:9" x14ac:dyDescent="0.25">
      <c r="A980" t="s">
        <v>8</v>
      </c>
      <c r="B980" t="s">
        <v>23</v>
      </c>
      <c r="C980" t="s">
        <v>10</v>
      </c>
      <c r="D980" t="s">
        <v>16</v>
      </c>
      <c r="E980" t="s">
        <v>17</v>
      </c>
      <c r="F980">
        <v>51</v>
      </c>
      <c r="G980">
        <v>51</v>
      </c>
      <c r="H980">
        <v>45</v>
      </c>
      <c r="I980">
        <f t="shared" si="15"/>
        <v>147</v>
      </c>
    </row>
    <row r="981" spans="1:9" x14ac:dyDescent="0.25">
      <c r="A981" t="s">
        <v>13</v>
      </c>
      <c r="B981" t="s">
        <v>20</v>
      </c>
      <c r="C981" t="s">
        <v>22</v>
      </c>
      <c r="D981" t="s">
        <v>16</v>
      </c>
      <c r="E981" t="s">
        <v>12</v>
      </c>
      <c r="F981">
        <v>57</v>
      </c>
      <c r="G981">
        <v>65</v>
      </c>
      <c r="H981">
        <v>68</v>
      </c>
      <c r="I981">
        <f t="shared" si="15"/>
        <v>190</v>
      </c>
    </row>
    <row r="982" spans="1:9" x14ac:dyDescent="0.25">
      <c r="A982" t="s">
        <v>13</v>
      </c>
      <c r="B982" t="s">
        <v>23</v>
      </c>
      <c r="C982" t="s">
        <v>15</v>
      </c>
      <c r="D982" t="s">
        <v>16</v>
      </c>
      <c r="E982" t="s">
        <v>17</v>
      </c>
      <c r="F982">
        <v>39</v>
      </c>
      <c r="G982">
        <v>50</v>
      </c>
      <c r="H982">
        <v>49</v>
      </c>
      <c r="I982">
        <f t="shared" si="15"/>
        <v>138</v>
      </c>
    </row>
    <row r="983" spans="1:9" x14ac:dyDescent="0.25">
      <c r="A983" t="s">
        <v>8</v>
      </c>
      <c r="B983" t="s">
        <v>23</v>
      </c>
      <c r="C983" t="s">
        <v>19</v>
      </c>
      <c r="D983" t="s">
        <v>11</v>
      </c>
      <c r="E983" t="s">
        <v>17</v>
      </c>
      <c r="F983">
        <v>64</v>
      </c>
      <c r="G983">
        <v>48</v>
      </c>
      <c r="H983">
        <v>48</v>
      </c>
      <c r="I983">
        <f t="shared" si="15"/>
        <v>160</v>
      </c>
    </row>
    <row r="984" spans="1:9" x14ac:dyDescent="0.25">
      <c r="A984" t="s">
        <v>8</v>
      </c>
      <c r="B984" t="s">
        <v>23</v>
      </c>
      <c r="C984" t="s">
        <v>24</v>
      </c>
      <c r="D984" t="s">
        <v>16</v>
      </c>
      <c r="E984" t="s">
        <v>12</v>
      </c>
      <c r="F984">
        <v>69</v>
      </c>
      <c r="G984">
        <v>79</v>
      </c>
      <c r="H984">
        <v>72</v>
      </c>
      <c r="I984">
        <f t="shared" si="15"/>
        <v>220</v>
      </c>
    </row>
    <row r="985" spans="1:9" x14ac:dyDescent="0.25">
      <c r="A985" t="s">
        <v>8</v>
      </c>
      <c r="B985" t="s">
        <v>9</v>
      </c>
      <c r="C985" t="s">
        <v>15</v>
      </c>
      <c r="D985" t="s">
        <v>11</v>
      </c>
      <c r="E985" t="s">
        <v>17</v>
      </c>
      <c r="F985">
        <v>58</v>
      </c>
      <c r="G985">
        <v>50</v>
      </c>
      <c r="H985">
        <v>47</v>
      </c>
      <c r="I985">
        <f t="shared" si="15"/>
        <v>155</v>
      </c>
    </row>
    <row r="986" spans="1:9" x14ac:dyDescent="0.25">
      <c r="A986" t="s">
        <v>13</v>
      </c>
      <c r="B986" t="s">
        <v>14</v>
      </c>
      <c r="C986" t="s">
        <v>10</v>
      </c>
      <c r="D986" t="s">
        <v>11</v>
      </c>
      <c r="E986" t="s">
        <v>17</v>
      </c>
      <c r="F986">
        <v>63</v>
      </c>
      <c r="G986">
        <v>71</v>
      </c>
      <c r="H986">
        <v>75</v>
      </c>
      <c r="I986">
        <f t="shared" si="15"/>
        <v>209</v>
      </c>
    </row>
    <row r="987" spans="1:9" x14ac:dyDescent="0.25">
      <c r="A987" t="s">
        <v>8</v>
      </c>
      <c r="B987" t="s">
        <v>18</v>
      </c>
      <c r="C987" t="s">
        <v>21</v>
      </c>
      <c r="D987" t="s">
        <v>11</v>
      </c>
      <c r="E987" t="s">
        <v>17</v>
      </c>
      <c r="F987">
        <v>74</v>
      </c>
      <c r="G987">
        <v>73</v>
      </c>
      <c r="H987">
        <v>67</v>
      </c>
      <c r="I987">
        <f t="shared" si="15"/>
        <v>214</v>
      </c>
    </row>
    <row r="988" spans="1:9" x14ac:dyDescent="0.25">
      <c r="A988" t="s">
        <v>8</v>
      </c>
      <c r="B988" t="s">
        <v>18</v>
      </c>
      <c r="C988" t="s">
        <v>19</v>
      </c>
      <c r="D988" t="s">
        <v>16</v>
      </c>
      <c r="E988" t="s">
        <v>17</v>
      </c>
      <c r="F988">
        <v>78</v>
      </c>
      <c r="G988">
        <v>84</v>
      </c>
      <c r="H988">
        <v>77</v>
      </c>
      <c r="I988">
        <f t="shared" si="15"/>
        <v>239</v>
      </c>
    </row>
    <row r="989" spans="1:9" x14ac:dyDescent="0.25">
      <c r="A989" t="s">
        <v>8</v>
      </c>
      <c r="B989" t="s">
        <v>9</v>
      </c>
      <c r="C989" t="s">
        <v>19</v>
      </c>
      <c r="D989" t="s">
        <v>11</v>
      </c>
      <c r="E989" t="s">
        <v>12</v>
      </c>
      <c r="F989">
        <v>78</v>
      </c>
      <c r="G989">
        <v>78</v>
      </c>
      <c r="H989">
        <v>74</v>
      </c>
      <c r="I989">
        <f t="shared" si="15"/>
        <v>230</v>
      </c>
    </row>
    <row r="990" spans="1:9" x14ac:dyDescent="0.25">
      <c r="A990" t="s">
        <v>13</v>
      </c>
      <c r="B990" t="s">
        <v>20</v>
      </c>
      <c r="C990" t="s">
        <v>19</v>
      </c>
      <c r="D990" t="s">
        <v>11</v>
      </c>
      <c r="E990" t="s">
        <v>17</v>
      </c>
      <c r="F990">
        <v>75</v>
      </c>
      <c r="G990">
        <v>76</v>
      </c>
      <c r="H990">
        <v>81</v>
      </c>
      <c r="I990">
        <f t="shared" si="15"/>
        <v>232</v>
      </c>
    </row>
    <row r="991" spans="1:9" x14ac:dyDescent="0.25">
      <c r="A991" t="s">
        <v>8</v>
      </c>
      <c r="B991" t="s">
        <v>14</v>
      </c>
      <c r="C991" t="s">
        <v>19</v>
      </c>
      <c r="D991" t="s">
        <v>11</v>
      </c>
      <c r="E991" t="s">
        <v>12</v>
      </c>
      <c r="F991">
        <v>70</v>
      </c>
      <c r="G991">
        <v>60</v>
      </c>
      <c r="H991">
        <v>65</v>
      </c>
      <c r="I991">
        <f t="shared" si="15"/>
        <v>195</v>
      </c>
    </row>
    <row r="992" spans="1:9" x14ac:dyDescent="0.25">
      <c r="A992" t="s">
        <v>8</v>
      </c>
      <c r="B992" t="s">
        <v>14</v>
      </c>
      <c r="C992" t="s">
        <v>19</v>
      </c>
      <c r="D992" t="s">
        <v>11</v>
      </c>
      <c r="E992" t="s">
        <v>17</v>
      </c>
      <c r="F992">
        <v>67</v>
      </c>
      <c r="G992">
        <v>55</v>
      </c>
      <c r="H992">
        <v>53</v>
      </c>
      <c r="I992">
        <f t="shared" si="15"/>
        <v>175</v>
      </c>
    </row>
    <row r="993" spans="1:9" x14ac:dyDescent="0.25">
      <c r="A993" t="s">
        <v>13</v>
      </c>
      <c r="B993" t="s">
        <v>23</v>
      </c>
      <c r="C993" t="s">
        <v>21</v>
      </c>
      <c r="D993" t="s">
        <v>11</v>
      </c>
      <c r="E993" t="s">
        <v>17</v>
      </c>
      <c r="F993">
        <v>87</v>
      </c>
      <c r="G993">
        <v>93</v>
      </c>
      <c r="H993">
        <v>88</v>
      </c>
      <c r="I993">
        <f t="shared" si="15"/>
        <v>268</v>
      </c>
    </row>
    <row r="994" spans="1:9" x14ac:dyDescent="0.25">
      <c r="A994" t="s">
        <v>8</v>
      </c>
      <c r="B994" t="s">
        <v>23</v>
      </c>
      <c r="C994" t="s">
        <v>19</v>
      </c>
      <c r="D994" t="s">
        <v>11</v>
      </c>
      <c r="E994" t="s">
        <v>17</v>
      </c>
      <c r="F994">
        <v>69</v>
      </c>
      <c r="G994">
        <v>63</v>
      </c>
      <c r="H994">
        <v>66</v>
      </c>
      <c r="I994">
        <f t="shared" si="15"/>
        <v>198</v>
      </c>
    </row>
    <row r="995" spans="1:9" x14ac:dyDescent="0.25">
      <c r="A995" t="s">
        <v>13</v>
      </c>
      <c r="B995" t="s">
        <v>9</v>
      </c>
      <c r="C995" t="s">
        <v>21</v>
      </c>
      <c r="D995" t="s">
        <v>11</v>
      </c>
      <c r="E995" t="s">
        <v>17</v>
      </c>
      <c r="F995">
        <v>58</v>
      </c>
      <c r="G995">
        <v>54</v>
      </c>
      <c r="H995">
        <v>58</v>
      </c>
      <c r="I995">
        <f t="shared" si="15"/>
        <v>170</v>
      </c>
    </row>
    <row r="996" spans="1:9" x14ac:dyDescent="0.25">
      <c r="A996" t="s">
        <v>8</v>
      </c>
      <c r="B996" t="s">
        <v>18</v>
      </c>
      <c r="C996" t="s">
        <v>10</v>
      </c>
      <c r="D996" t="s">
        <v>16</v>
      </c>
      <c r="E996" t="s">
        <v>12</v>
      </c>
      <c r="F996">
        <v>86</v>
      </c>
      <c r="G996">
        <v>82</v>
      </c>
      <c r="H996">
        <v>75</v>
      </c>
      <c r="I996">
        <f t="shared" si="15"/>
        <v>243</v>
      </c>
    </row>
    <row r="997" spans="1:9" x14ac:dyDescent="0.25">
      <c r="A997" t="s">
        <v>8</v>
      </c>
      <c r="B997" t="s">
        <v>23</v>
      </c>
      <c r="C997" t="s">
        <v>10</v>
      </c>
      <c r="D997" t="s">
        <v>11</v>
      </c>
      <c r="E997" t="s">
        <v>17</v>
      </c>
      <c r="F997">
        <v>73</v>
      </c>
      <c r="G997">
        <v>70</v>
      </c>
      <c r="H997">
        <v>65</v>
      </c>
      <c r="I997">
        <f t="shared" si="15"/>
        <v>208</v>
      </c>
    </row>
    <row r="998" spans="1:9" x14ac:dyDescent="0.25">
      <c r="A998" t="s">
        <v>8</v>
      </c>
      <c r="B998" t="s">
        <v>14</v>
      </c>
      <c r="C998" t="s">
        <v>21</v>
      </c>
      <c r="D998" t="s">
        <v>16</v>
      </c>
      <c r="E998" t="s">
        <v>12</v>
      </c>
      <c r="F998">
        <v>85</v>
      </c>
      <c r="G998">
        <v>91</v>
      </c>
      <c r="H998">
        <v>92</v>
      </c>
      <c r="I998">
        <f t="shared" si="15"/>
        <v>268</v>
      </c>
    </row>
    <row r="999" spans="1:9" x14ac:dyDescent="0.25">
      <c r="A999" t="s">
        <v>13</v>
      </c>
      <c r="B999" t="s">
        <v>23</v>
      </c>
      <c r="C999" t="s">
        <v>15</v>
      </c>
      <c r="D999" t="s">
        <v>16</v>
      </c>
      <c r="E999" t="s">
        <v>17</v>
      </c>
      <c r="F999">
        <v>32</v>
      </c>
      <c r="G999">
        <v>35</v>
      </c>
      <c r="H999">
        <v>41</v>
      </c>
      <c r="I999">
        <f t="shared" si="15"/>
        <v>108</v>
      </c>
    </row>
    <row r="1000" spans="1:9" x14ac:dyDescent="0.25">
      <c r="A1000" t="s">
        <v>13</v>
      </c>
      <c r="B1000" t="s">
        <v>23</v>
      </c>
      <c r="C1000" t="s">
        <v>19</v>
      </c>
      <c r="D1000" t="s">
        <v>11</v>
      </c>
      <c r="E1000" t="s">
        <v>17</v>
      </c>
      <c r="F1000">
        <v>73</v>
      </c>
      <c r="G1000">
        <v>74</v>
      </c>
      <c r="H1000">
        <v>82</v>
      </c>
      <c r="I1000">
        <f t="shared" si="15"/>
        <v>229</v>
      </c>
    </row>
    <row r="1001" spans="1:9" x14ac:dyDescent="0.25">
      <c r="A1001" t="s">
        <v>8</v>
      </c>
      <c r="B1001" t="s">
        <v>9</v>
      </c>
      <c r="C1001" t="s">
        <v>19</v>
      </c>
      <c r="D1001" t="s">
        <v>11</v>
      </c>
      <c r="E1001" t="s">
        <v>12</v>
      </c>
      <c r="F1001">
        <v>65</v>
      </c>
      <c r="G1001">
        <v>60</v>
      </c>
      <c r="H1001">
        <v>62</v>
      </c>
      <c r="I1001">
        <f t="shared" si="15"/>
        <v>187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E6B58-36C3-4532-AE85-8DCF98F592B2}">
  <dimension ref="A1:A38"/>
  <sheetViews>
    <sheetView showGridLines="0" topLeftCell="I1" zoomScale="66" zoomScaleNormal="66" workbookViewId="0">
      <selection activeCell="AD3" sqref="AD3"/>
    </sheetView>
  </sheetViews>
  <sheetFormatPr defaultColWidth="0" defaultRowHeight="15" zeroHeight="1" x14ac:dyDescent="0.25"/>
  <cols>
    <col min="1" max="7" width="9.140625" customWidth="1"/>
    <col min="8" max="8" width="12.140625" customWidth="1"/>
    <col min="9" max="28" width="9.140625" customWidth="1"/>
    <col min="29" max="29" width="12" customWidth="1"/>
    <col min="30" max="30" width="9.14062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57B7A-169E-434C-9400-AE73DB70217F}">
  <dimension ref="A2:I60"/>
  <sheetViews>
    <sheetView topLeftCell="A16" workbookViewId="0">
      <selection activeCell="D45" sqref="D45"/>
    </sheetView>
  </sheetViews>
  <sheetFormatPr defaultRowHeight="15" x14ac:dyDescent="0.25"/>
  <cols>
    <col min="1" max="1" width="21" bestFit="1" customWidth="1"/>
    <col min="2" max="2" width="16.28515625" bestFit="1" customWidth="1"/>
    <col min="3" max="3" width="10.5703125" bestFit="1" customWidth="1"/>
    <col min="4" max="4" width="13.85546875" bestFit="1" customWidth="1"/>
    <col min="5" max="5" width="12.85546875" bestFit="1" customWidth="1"/>
    <col min="6" max="6" width="23.28515625" bestFit="1" customWidth="1"/>
    <col min="7" max="7" width="16.28515625" bestFit="1" customWidth="1"/>
    <col min="8" max="9" width="10.5703125" bestFit="1" customWidth="1"/>
    <col min="10" max="10" width="16.42578125" bestFit="1" customWidth="1"/>
    <col min="11" max="11" width="11" bestFit="1" customWidth="1"/>
    <col min="12" max="12" width="17.5703125" bestFit="1" customWidth="1"/>
    <col min="13" max="13" width="12.7109375" bestFit="1" customWidth="1"/>
    <col min="14" max="14" width="5.140625" bestFit="1" customWidth="1"/>
    <col min="15" max="15" width="4.140625" bestFit="1" customWidth="1"/>
    <col min="16" max="25" width="5.140625" bestFit="1" customWidth="1"/>
    <col min="26" max="26" width="4.140625" bestFit="1" customWidth="1"/>
    <col min="27" max="36" width="5.140625" bestFit="1" customWidth="1"/>
    <col min="37" max="37" width="4.140625" bestFit="1" customWidth="1"/>
    <col min="38" max="47" width="5.140625" bestFit="1" customWidth="1"/>
    <col min="48" max="48" width="4.140625" bestFit="1" customWidth="1"/>
    <col min="49" max="58" width="5.140625" bestFit="1" customWidth="1"/>
    <col min="59" max="59" width="4.140625" bestFit="1" customWidth="1"/>
    <col min="60" max="69" width="5.140625" bestFit="1" customWidth="1"/>
    <col min="70" max="70" width="4.140625" bestFit="1" customWidth="1"/>
    <col min="71" max="80" width="5.140625" bestFit="1" customWidth="1"/>
    <col min="81" max="81" width="4.140625" bestFit="1" customWidth="1"/>
    <col min="82" max="91" width="5.140625" bestFit="1" customWidth="1"/>
    <col min="92" max="92" width="4.140625" bestFit="1" customWidth="1"/>
    <col min="93" max="102" width="5.140625" bestFit="1" customWidth="1"/>
    <col min="103" max="103" width="4.140625" bestFit="1" customWidth="1"/>
    <col min="104" max="113" width="5.140625" bestFit="1" customWidth="1"/>
    <col min="114" max="114" width="3.140625" bestFit="1" customWidth="1"/>
    <col min="115" max="115" width="4.140625" bestFit="1" customWidth="1"/>
    <col min="116" max="125" width="5.140625" bestFit="1" customWidth="1"/>
    <col min="126" max="126" width="4.140625" bestFit="1" customWidth="1"/>
    <col min="127" max="136" width="5.140625" bestFit="1" customWidth="1"/>
    <col min="137" max="137" width="4.140625" bestFit="1" customWidth="1"/>
    <col min="138" max="147" width="5.140625" bestFit="1" customWidth="1"/>
    <col min="148" max="148" width="4.140625" bestFit="1" customWidth="1"/>
    <col min="149" max="158" width="5.140625" bestFit="1" customWidth="1"/>
    <col min="159" max="159" width="4.140625" bestFit="1" customWidth="1"/>
    <col min="160" max="169" width="5.140625" bestFit="1" customWidth="1"/>
    <col min="170" max="170" width="4.140625" bestFit="1" customWidth="1"/>
    <col min="171" max="180" width="5.140625" bestFit="1" customWidth="1"/>
    <col min="181" max="181" width="4.140625" bestFit="1" customWidth="1"/>
    <col min="182" max="191" width="5.140625" bestFit="1" customWidth="1"/>
    <col min="192" max="192" width="4.140625" bestFit="1" customWidth="1"/>
    <col min="193" max="202" width="5.140625" bestFit="1" customWidth="1"/>
    <col min="203" max="203" width="4.140625" bestFit="1" customWidth="1"/>
    <col min="204" max="213" width="5.140625" bestFit="1" customWidth="1"/>
    <col min="214" max="214" width="4.140625" bestFit="1" customWidth="1"/>
    <col min="215" max="224" width="5.140625" bestFit="1" customWidth="1"/>
    <col min="225" max="225" width="3.140625" bestFit="1" customWidth="1"/>
    <col min="226" max="226" width="4.140625" bestFit="1" customWidth="1"/>
    <col min="227" max="236" width="5.140625" bestFit="1" customWidth="1"/>
    <col min="237" max="237" width="4.140625" bestFit="1" customWidth="1"/>
    <col min="238" max="247" width="5.140625" bestFit="1" customWidth="1"/>
    <col min="248" max="248" width="4.140625" bestFit="1" customWidth="1"/>
    <col min="249" max="258" width="5.140625" bestFit="1" customWidth="1"/>
    <col min="259" max="259" width="4.140625" bestFit="1" customWidth="1"/>
    <col min="260" max="269" width="5.140625" bestFit="1" customWidth="1"/>
    <col min="270" max="270" width="4.140625" bestFit="1" customWidth="1"/>
    <col min="271" max="280" width="5.140625" bestFit="1" customWidth="1"/>
    <col min="281" max="281" width="4.140625" bestFit="1" customWidth="1"/>
    <col min="282" max="291" width="5.140625" bestFit="1" customWidth="1"/>
    <col min="292" max="292" width="4.140625" bestFit="1" customWidth="1"/>
    <col min="293" max="302" width="5.140625" bestFit="1" customWidth="1"/>
    <col min="303" max="303" width="4.140625" bestFit="1" customWidth="1"/>
    <col min="304" max="313" width="5.140625" bestFit="1" customWidth="1"/>
    <col min="314" max="314" width="4.140625" bestFit="1" customWidth="1"/>
    <col min="315" max="324" width="5.140625" bestFit="1" customWidth="1"/>
    <col min="325" max="325" width="4.140625" bestFit="1" customWidth="1"/>
    <col min="326" max="335" width="5.140625" bestFit="1" customWidth="1"/>
    <col min="336" max="336" width="3.140625" bestFit="1" customWidth="1"/>
    <col min="337" max="337" width="4.140625" bestFit="1" customWidth="1"/>
    <col min="338" max="347" width="5.140625" bestFit="1" customWidth="1"/>
    <col min="348" max="348" width="4.140625" bestFit="1" customWidth="1"/>
    <col min="349" max="358" width="5.140625" bestFit="1" customWidth="1"/>
    <col min="359" max="359" width="4.140625" bestFit="1" customWidth="1"/>
    <col min="360" max="369" width="5.140625" bestFit="1" customWidth="1"/>
    <col min="370" max="370" width="4.140625" bestFit="1" customWidth="1"/>
    <col min="371" max="380" width="5.140625" bestFit="1" customWidth="1"/>
    <col min="381" max="381" width="4.140625" bestFit="1" customWidth="1"/>
    <col min="382" max="391" width="5.140625" bestFit="1" customWidth="1"/>
    <col min="392" max="392" width="4.140625" bestFit="1" customWidth="1"/>
    <col min="393" max="402" width="5.140625" bestFit="1" customWidth="1"/>
    <col min="403" max="403" width="4.140625" bestFit="1" customWidth="1"/>
    <col min="404" max="413" width="5.140625" bestFit="1" customWidth="1"/>
    <col min="414" max="414" width="4.140625" bestFit="1" customWidth="1"/>
    <col min="415" max="424" width="5.140625" bestFit="1" customWidth="1"/>
    <col min="425" max="425" width="4.140625" bestFit="1" customWidth="1"/>
    <col min="426" max="435" width="5.140625" bestFit="1" customWidth="1"/>
    <col min="436" max="436" width="4.140625" bestFit="1" customWidth="1"/>
    <col min="437" max="446" width="5.140625" bestFit="1" customWidth="1"/>
    <col min="447" max="447" width="3.140625" bestFit="1" customWidth="1"/>
    <col min="448" max="448" width="4.140625" bestFit="1" customWidth="1"/>
    <col min="449" max="458" width="5.140625" bestFit="1" customWidth="1"/>
    <col min="459" max="459" width="4.140625" bestFit="1" customWidth="1"/>
    <col min="460" max="469" width="5.140625" bestFit="1" customWidth="1"/>
    <col min="470" max="470" width="4.140625" bestFit="1" customWidth="1"/>
    <col min="471" max="480" width="5.140625" bestFit="1" customWidth="1"/>
    <col min="481" max="481" width="4.140625" bestFit="1" customWidth="1"/>
    <col min="482" max="491" width="5.140625" bestFit="1" customWidth="1"/>
    <col min="492" max="492" width="4.140625" bestFit="1" customWidth="1"/>
    <col min="493" max="502" width="5.140625" bestFit="1" customWidth="1"/>
    <col min="503" max="503" width="4.140625" bestFit="1" customWidth="1"/>
    <col min="504" max="513" width="5.140625" bestFit="1" customWidth="1"/>
    <col min="514" max="514" width="4.140625" bestFit="1" customWidth="1"/>
    <col min="515" max="524" width="5.140625" bestFit="1" customWidth="1"/>
    <col min="525" max="525" width="4.140625" bestFit="1" customWidth="1"/>
    <col min="526" max="535" width="5.140625" bestFit="1" customWidth="1"/>
    <col min="536" max="536" width="4.140625" bestFit="1" customWidth="1"/>
    <col min="537" max="546" width="5.140625" bestFit="1" customWidth="1"/>
    <col min="547" max="547" width="4.140625" bestFit="1" customWidth="1"/>
    <col min="548" max="557" width="5.140625" bestFit="1" customWidth="1"/>
    <col min="558" max="558" width="3.140625" bestFit="1" customWidth="1"/>
    <col min="559" max="559" width="4.140625" bestFit="1" customWidth="1"/>
    <col min="560" max="569" width="5.140625" bestFit="1" customWidth="1"/>
    <col min="570" max="570" width="4.140625" bestFit="1" customWidth="1"/>
    <col min="571" max="580" width="5.140625" bestFit="1" customWidth="1"/>
    <col min="581" max="581" width="4.140625" bestFit="1" customWidth="1"/>
    <col min="582" max="591" width="5.140625" bestFit="1" customWidth="1"/>
    <col min="592" max="592" width="4.140625" bestFit="1" customWidth="1"/>
    <col min="593" max="602" width="5.140625" bestFit="1" customWidth="1"/>
    <col min="603" max="603" width="4.140625" bestFit="1" customWidth="1"/>
    <col min="604" max="613" width="5.140625" bestFit="1" customWidth="1"/>
    <col min="614" max="614" width="4.140625" bestFit="1" customWidth="1"/>
    <col min="615" max="624" width="5.140625" bestFit="1" customWidth="1"/>
    <col min="625" max="625" width="4.140625" bestFit="1" customWidth="1"/>
    <col min="626" max="635" width="5.140625" bestFit="1" customWidth="1"/>
    <col min="636" max="636" width="4.140625" bestFit="1" customWidth="1"/>
    <col min="637" max="646" width="5.140625" bestFit="1" customWidth="1"/>
    <col min="647" max="647" width="4.140625" bestFit="1" customWidth="1"/>
    <col min="648" max="657" width="5.140625" bestFit="1" customWidth="1"/>
    <col min="658" max="658" width="4.140625" bestFit="1" customWidth="1"/>
    <col min="659" max="668" width="5.140625" bestFit="1" customWidth="1"/>
    <col min="669" max="669" width="3.140625" bestFit="1" customWidth="1"/>
    <col min="670" max="670" width="4.140625" bestFit="1" customWidth="1"/>
    <col min="671" max="680" width="5.140625" bestFit="1" customWidth="1"/>
    <col min="681" max="681" width="4.140625" bestFit="1" customWidth="1"/>
    <col min="682" max="691" width="5.140625" bestFit="1" customWidth="1"/>
    <col min="692" max="692" width="4.140625" bestFit="1" customWidth="1"/>
    <col min="693" max="702" width="5.140625" bestFit="1" customWidth="1"/>
    <col min="703" max="703" width="4.140625" bestFit="1" customWidth="1"/>
    <col min="704" max="713" width="5.140625" bestFit="1" customWidth="1"/>
    <col min="714" max="714" width="4.140625" bestFit="1" customWidth="1"/>
    <col min="715" max="724" width="5.140625" bestFit="1" customWidth="1"/>
    <col min="725" max="725" width="4.140625" bestFit="1" customWidth="1"/>
    <col min="726" max="735" width="5.140625" bestFit="1" customWidth="1"/>
    <col min="736" max="736" width="4.140625" bestFit="1" customWidth="1"/>
    <col min="737" max="746" width="5.140625" bestFit="1" customWidth="1"/>
    <col min="747" max="747" width="4.140625" bestFit="1" customWidth="1"/>
    <col min="748" max="757" width="5.140625" bestFit="1" customWidth="1"/>
    <col min="758" max="758" width="4.140625" bestFit="1" customWidth="1"/>
    <col min="759" max="768" width="5.140625" bestFit="1" customWidth="1"/>
    <col min="769" max="769" width="4.140625" bestFit="1" customWidth="1"/>
    <col min="770" max="779" width="5.140625" bestFit="1" customWidth="1"/>
    <col min="780" max="780" width="3.140625" bestFit="1" customWidth="1"/>
    <col min="781" max="781" width="4.140625" bestFit="1" customWidth="1"/>
    <col min="782" max="791" width="5.140625" bestFit="1" customWidth="1"/>
    <col min="792" max="792" width="4.140625" bestFit="1" customWidth="1"/>
    <col min="793" max="802" width="5.140625" bestFit="1" customWidth="1"/>
    <col min="803" max="803" width="4.140625" bestFit="1" customWidth="1"/>
    <col min="804" max="813" width="5.140625" bestFit="1" customWidth="1"/>
    <col min="814" max="814" width="4.140625" bestFit="1" customWidth="1"/>
    <col min="815" max="824" width="5.140625" bestFit="1" customWidth="1"/>
    <col min="825" max="825" width="4.140625" bestFit="1" customWidth="1"/>
    <col min="826" max="835" width="5.140625" bestFit="1" customWidth="1"/>
    <col min="836" max="836" width="4.140625" bestFit="1" customWidth="1"/>
    <col min="837" max="846" width="5.140625" bestFit="1" customWidth="1"/>
    <col min="847" max="847" width="4.140625" bestFit="1" customWidth="1"/>
    <col min="848" max="857" width="5.140625" bestFit="1" customWidth="1"/>
    <col min="858" max="858" width="4.140625" bestFit="1" customWidth="1"/>
    <col min="859" max="868" width="5.140625" bestFit="1" customWidth="1"/>
    <col min="869" max="869" width="4.140625" bestFit="1" customWidth="1"/>
    <col min="870" max="879" width="5.140625" bestFit="1" customWidth="1"/>
    <col min="880" max="880" width="4.140625" bestFit="1" customWidth="1"/>
    <col min="881" max="890" width="5.140625" bestFit="1" customWidth="1"/>
    <col min="891" max="891" width="3.140625" bestFit="1" customWidth="1"/>
    <col min="892" max="892" width="4.140625" bestFit="1" customWidth="1"/>
    <col min="893" max="902" width="5.140625" bestFit="1" customWidth="1"/>
    <col min="903" max="903" width="4.140625" bestFit="1" customWidth="1"/>
    <col min="904" max="913" width="5.140625" bestFit="1" customWidth="1"/>
    <col min="914" max="914" width="4.140625" bestFit="1" customWidth="1"/>
    <col min="915" max="924" width="5.140625" bestFit="1" customWidth="1"/>
    <col min="925" max="925" width="4.140625" bestFit="1" customWidth="1"/>
    <col min="926" max="935" width="5.140625" bestFit="1" customWidth="1"/>
    <col min="936" max="936" width="4.140625" bestFit="1" customWidth="1"/>
    <col min="937" max="946" width="5.140625" bestFit="1" customWidth="1"/>
    <col min="947" max="947" width="4.140625" bestFit="1" customWidth="1"/>
    <col min="948" max="957" width="5.140625" bestFit="1" customWidth="1"/>
    <col min="958" max="958" width="4.140625" bestFit="1" customWidth="1"/>
    <col min="959" max="968" width="5.140625" bestFit="1" customWidth="1"/>
    <col min="969" max="969" width="4.140625" bestFit="1" customWidth="1"/>
    <col min="970" max="979" width="5.140625" bestFit="1" customWidth="1"/>
    <col min="980" max="980" width="4.140625" bestFit="1" customWidth="1"/>
    <col min="981" max="990" width="5.140625" bestFit="1" customWidth="1"/>
    <col min="991" max="991" width="4.140625" bestFit="1" customWidth="1"/>
    <col min="992" max="1001" width="5.140625" bestFit="1" customWidth="1"/>
    <col min="1002" max="1002" width="11.28515625" bestFit="1" customWidth="1"/>
  </cols>
  <sheetData>
    <row r="2" spans="1:8" x14ac:dyDescent="0.25">
      <c r="D2" s="3">
        <f>GETPIVOTDATA("math score",$D$3)</f>
        <v>66.396000000000001</v>
      </c>
    </row>
    <row r="3" spans="1:8" x14ac:dyDescent="0.25">
      <c r="A3" t="s">
        <v>1029</v>
      </c>
      <c r="D3" t="s">
        <v>1031</v>
      </c>
    </row>
    <row r="4" spans="1:8" x14ac:dyDescent="0.25">
      <c r="A4">
        <v>1000</v>
      </c>
      <c r="D4" s="3">
        <v>66.396000000000001</v>
      </c>
    </row>
    <row r="5" spans="1:8" x14ac:dyDescent="0.25">
      <c r="G5" s="1" t="s">
        <v>1030</v>
      </c>
      <c r="H5" t="s">
        <v>1029</v>
      </c>
    </row>
    <row r="6" spans="1:8" x14ac:dyDescent="0.25">
      <c r="D6" s="4">
        <f>GETPIVOTDATA("reading score",$D$7)</f>
        <v>69.001999999999995</v>
      </c>
      <c r="G6" s="2" t="s">
        <v>24</v>
      </c>
      <c r="H6">
        <v>70</v>
      </c>
    </row>
    <row r="7" spans="1:8" x14ac:dyDescent="0.25">
      <c r="A7" s="1" t="s">
        <v>26</v>
      </c>
      <c r="B7" t="s">
        <v>1029</v>
      </c>
      <c r="D7" t="s">
        <v>1032</v>
      </c>
      <c r="G7" s="2" t="s">
        <v>22</v>
      </c>
      <c r="H7">
        <v>112</v>
      </c>
    </row>
    <row r="8" spans="1:8" x14ac:dyDescent="0.25">
      <c r="A8" s="2" t="s">
        <v>13</v>
      </c>
      <c r="B8">
        <v>483</v>
      </c>
      <c r="D8" s="5">
        <v>69.001999999999995</v>
      </c>
      <c r="G8" s="2" t="s">
        <v>15</v>
      </c>
      <c r="H8">
        <v>191</v>
      </c>
    </row>
    <row r="9" spans="1:8" x14ac:dyDescent="0.25">
      <c r="A9" s="2" t="s">
        <v>8</v>
      </c>
      <c r="B9">
        <v>517</v>
      </c>
      <c r="D9" s="3">
        <f>GETPIVOTDATA("writing score",$D$10)</f>
        <v>67.738</v>
      </c>
      <c r="G9" s="2" t="s">
        <v>10</v>
      </c>
      <c r="H9">
        <v>202</v>
      </c>
    </row>
    <row r="10" spans="1:8" x14ac:dyDescent="0.25">
      <c r="D10" t="s">
        <v>1033</v>
      </c>
      <c r="G10" s="2" t="s">
        <v>21</v>
      </c>
      <c r="H10">
        <v>203</v>
      </c>
    </row>
    <row r="11" spans="1:8" x14ac:dyDescent="0.25">
      <c r="D11" s="3">
        <v>67.738</v>
      </c>
      <c r="G11" s="2" t="s">
        <v>19</v>
      </c>
      <c r="H11">
        <v>222</v>
      </c>
    </row>
    <row r="12" spans="1:8" x14ac:dyDescent="0.25">
      <c r="D12">
        <f>GETPIVOTDATA("ID",$D$13)</f>
        <v>1000</v>
      </c>
    </row>
    <row r="13" spans="1:8" x14ac:dyDescent="0.25">
      <c r="A13" s="1" t="s">
        <v>1036</v>
      </c>
      <c r="B13" t="s">
        <v>1029</v>
      </c>
      <c r="D13" t="s">
        <v>1029</v>
      </c>
      <c r="F13" s="1" t="s">
        <v>1033</v>
      </c>
      <c r="G13" s="1" t="s">
        <v>27</v>
      </c>
    </row>
    <row r="14" spans="1:8" x14ac:dyDescent="0.25">
      <c r="A14" s="2" t="s">
        <v>9</v>
      </c>
      <c r="B14">
        <v>79</v>
      </c>
      <c r="D14">
        <v>1000</v>
      </c>
      <c r="F14" s="1" t="s">
        <v>1035</v>
      </c>
      <c r="G14" t="s">
        <v>17</v>
      </c>
      <c r="H14" t="s">
        <v>12</v>
      </c>
    </row>
    <row r="15" spans="1:8" x14ac:dyDescent="0.25">
      <c r="A15" s="2" t="s">
        <v>20</v>
      </c>
      <c r="B15">
        <v>205</v>
      </c>
      <c r="F15" s="2" t="s">
        <v>8</v>
      </c>
      <c r="G15" s="4">
        <v>60.07309941520468</v>
      </c>
      <c r="H15" s="4">
        <v>71.760000000000005</v>
      </c>
    </row>
    <row r="16" spans="1:8" x14ac:dyDescent="0.25">
      <c r="A16" s="2" t="s">
        <v>23</v>
      </c>
      <c r="B16">
        <v>323</v>
      </c>
      <c r="F16" s="2" t="s">
        <v>13</v>
      </c>
      <c r="G16" s="4">
        <v>68.662538699690401</v>
      </c>
      <c r="H16" s="4">
        <v>77.856250000000003</v>
      </c>
    </row>
    <row r="17" spans="1:8" x14ac:dyDescent="0.25">
      <c r="A17" s="2" t="s">
        <v>14</v>
      </c>
      <c r="B17">
        <v>262</v>
      </c>
    </row>
    <row r="18" spans="1:8" x14ac:dyDescent="0.25">
      <c r="A18" s="2" t="s">
        <v>18</v>
      </c>
      <c r="B18">
        <v>131</v>
      </c>
      <c r="G18" s="1" t="s">
        <v>1030</v>
      </c>
      <c r="H18" t="s">
        <v>1033</v>
      </c>
    </row>
    <row r="19" spans="1:8" x14ac:dyDescent="0.25">
      <c r="G19" s="2" t="s">
        <v>13</v>
      </c>
      <c r="H19" s="4">
        <v>71.708074534161497</v>
      </c>
    </row>
    <row r="20" spans="1:8" x14ac:dyDescent="0.25">
      <c r="A20" s="1" t="s">
        <v>1031</v>
      </c>
      <c r="B20" s="1" t="s">
        <v>27</v>
      </c>
      <c r="G20" s="2" t="s">
        <v>8</v>
      </c>
      <c r="H20" s="4">
        <v>64.029013539651842</v>
      </c>
    </row>
    <row r="21" spans="1:8" x14ac:dyDescent="0.25">
      <c r="A21" s="1" t="s">
        <v>1035</v>
      </c>
      <c r="B21" t="s">
        <v>17</v>
      </c>
      <c r="C21" t="s">
        <v>12</v>
      </c>
    </row>
    <row r="22" spans="1:8" x14ac:dyDescent="0.25">
      <c r="A22" s="2" t="s">
        <v>13</v>
      </c>
      <c r="B22" s="4">
        <v>61.860681114551085</v>
      </c>
      <c r="C22" s="4">
        <v>65.893749999999997</v>
      </c>
    </row>
    <row r="23" spans="1:8" x14ac:dyDescent="0.25">
      <c r="A23" s="2" t="s">
        <v>8</v>
      </c>
      <c r="B23" s="4">
        <v>67.456140350877192</v>
      </c>
      <c r="C23" s="4">
        <v>73.15428571428572</v>
      </c>
    </row>
    <row r="24" spans="1:8" x14ac:dyDescent="0.25">
      <c r="F24" s="1" t="s">
        <v>1032</v>
      </c>
      <c r="G24" s="1" t="s">
        <v>27</v>
      </c>
    </row>
    <row r="25" spans="1:8" x14ac:dyDescent="0.25">
      <c r="F25" s="1" t="s">
        <v>1035</v>
      </c>
      <c r="G25" t="s">
        <v>17</v>
      </c>
      <c r="H25" t="s">
        <v>12</v>
      </c>
    </row>
    <row r="26" spans="1:8" x14ac:dyDescent="0.25">
      <c r="A26" s="1" t="s">
        <v>1034</v>
      </c>
      <c r="B26" t="s">
        <v>1031</v>
      </c>
      <c r="F26" s="2" t="s">
        <v>8</v>
      </c>
      <c r="G26" s="4">
        <v>63.190058479532162</v>
      </c>
      <c r="H26" s="4">
        <v>72.394285714285715</v>
      </c>
    </row>
    <row r="27" spans="1:8" x14ac:dyDescent="0.25">
      <c r="A27" s="2" t="s">
        <v>12</v>
      </c>
      <c r="B27" s="4">
        <v>69.68656716417911</v>
      </c>
      <c r="F27" s="2" t="s">
        <v>13</v>
      </c>
      <c r="G27" s="4">
        <v>69.879256965944279</v>
      </c>
      <c r="H27" s="4">
        <v>75.943749999999994</v>
      </c>
    </row>
    <row r="28" spans="1:8" x14ac:dyDescent="0.25">
      <c r="A28" s="2" t="s">
        <v>17</v>
      </c>
      <c r="B28" s="4">
        <v>64.738345864661653</v>
      </c>
    </row>
    <row r="31" spans="1:8" x14ac:dyDescent="0.25">
      <c r="D31" s="1" t="s">
        <v>1034</v>
      </c>
      <c r="E31" t="s">
        <v>1032</v>
      </c>
    </row>
    <row r="32" spans="1:8" x14ac:dyDescent="0.25">
      <c r="D32" s="2" t="s">
        <v>12</v>
      </c>
      <c r="E32" s="4">
        <v>74.089552238805965</v>
      </c>
    </row>
    <row r="33" spans="2:9" x14ac:dyDescent="0.25">
      <c r="D33" s="2" t="s">
        <v>17</v>
      </c>
      <c r="E33" s="4">
        <v>66.439097744360907</v>
      </c>
    </row>
    <row r="37" spans="2:9" x14ac:dyDescent="0.25">
      <c r="D37" s="1" t="s">
        <v>1034</v>
      </c>
      <c r="E37" t="s">
        <v>1033</v>
      </c>
      <c r="G37" s="1" t="s">
        <v>1040</v>
      </c>
      <c r="H37" s="1" t="s">
        <v>27</v>
      </c>
    </row>
    <row r="38" spans="2:9" x14ac:dyDescent="0.25">
      <c r="D38" s="2" t="s">
        <v>12</v>
      </c>
      <c r="E38" s="4">
        <v>74.671641791044777</v>
      </c>
      <c r="G38" s="1" t="s">
        <v>1036</v>
      </c>
      <c r="H38" t="s">
        <v>8</v>
      </c>
      <c r="I38" t="s">
        <v>13</v>
      </c>
    </row>
    <row r="39" spans="2:9" x14ac:dyDescent="0.25">
      <c r="D39" s="2" t="s">
        <v>17</v>
      </c>
      <c r="E39" s="4">
        <v>64.245112781954887</v>
      </c>
      <c r="G39" s="2" t="s">
        <v>9</v>
      </c>
      <c r="H39" s="4">
        <v>63.317460317460309</v>
      </c>
      <c r="I39" s="4">
        <v>71</v>
      </c>
    </row>
    <row r="40" spans="2:9" x14ac:dyDescent="0.25">
      <c r="G40" s="2" t="s">
        <v>20</v>
      </c>
      <c r="H40" s="4">
        <v>65.095238095238102</v>
      </c>
      <c r="I40" s="4">
        <v>65.529239766081858</v>
      </c>
    </row>
    <row r="41" spans="2:9" x14ac:dyDescent="0.25">
      <c r="B41" s="1" t="s">
        <v>1037</v>
      </c>
      <c r="C41" t="s">
        <v>1032</v>
      </c>
      <c r="G41" s="2" t="s">
        <v>23</v>
      </c>
      <c r="H41" s="4">
        <v>62.891518737672591</v>
      </c>
      <c r="I41" s="4">
        <v>66.640692640692649</v>
      </c>
    </row>
    <row r="42" spans="2:9" x14ac:dyDescent="0.25">
      <c r="B42" s="2" t="s">
        <v>16</v>
      </c>
      <c r="C42" s="4">
        <v>63.189655172413794</v>
      </c>
      <c r="G42" s="2" t="s">
        <v>14</v>
      </c>
      <c r="H42" s="4">
        <v>70.124999999999986</v>
      </c>
      <c r="I42" s="4">
        <v>72.370370370370367</v>
      </c>
    </row>
    <row r="43" spans="2:9" x14ac:dyDescent="0.25">
      <c r="B43" s="2" t="s">
        <v>11</v>
      </c>
      <c r="C43" s="4">
        <v>72.104294478527606</v>
      </c>
      <c r="G43" s="2" t="s">
        <v>18</v>
      </c>
      <c r="H43" s="4">
        <v>71.76793248945151</v>
      </c>
      <c r="I43" s="4">
        <v>73.365384615384627</v>
      </c>
    </row>
    <row r="45" spans="2:9" x14ac:dyDescent="0.25">
      <c r="E45" s="1" t="s">
        <v>1037</v>
      </c>
      <c r="F45" t="s">
        <v>1033</v>
      </c>
    </row>
    <row r="46" spans="2:9" x14ac:dyDescent="0.25">
      <c r="B46" s="1" t="s">
        <v>1037</v>
      </c>
      <c r="C46" t="s">
        <v>1031</v>
      </c>
      <c r="E46" s="2" t="s">
        <v>16</v>
      </c>
      <c r="F46" s="4">
        <v>60.925287356321839</v>
      </c>
    </row>
    <row r="47" spans="2:9" x14ac:dyDescent="0.25">
      <c r="B47" s="2" t="s">
        <v>16</v>
      </c>
      <c r="C47" s="4">
        <v>58.505747126436781</v>
      </c>
      <c r="E47" s="2" t="s">
        <v>11</v>
      </c>
      <c r="F47" s="4">
        <v>71.374233128834362</v>
      </c>
    </row>
    <row r="48" spans="2:9" x14ac:dyDescent="0.25">
      <c r="B48" s="2" t="s">
        <v>11</v>
      </c>
      <c r="C48" s="4">
        <v>70.607361963190186</v>
      </c>
    </row>
    <row r="54" spans="2:3" x14ac:dyDescent="0.25">
      <c r="B54" s="1" t="s">
        <v>1037</v>
      </c>
      <c r="C54" t="s">
        <v>1041</v>
      </c>
    </row>
    <row r="55" spans="2:3" x14ac:dyDescent="0.25">
      <c r="B55" s="2" t="s">
        <v>21</v>
      </c>
      <c r="C55" s="4">
        <v>203</v>
      </c>
    </row>
    <row r="56" spans="2:3" x14ac:dyDescent="0.25">
      <c r="B56" s="2" t="s">
        <v>22</v>
      </c>
      <c r="C56" s="4">
        <v>112</v>
      </c>
    </row>
    <row r="57" spans="2:3" x14ac:dyDescent="0.25">
      <c r="B57" s="2" t="s">
        <v>10</v>
      </c>
      <c r="C57" s="4">
        <v>202</v>
      </c>
    </row>
    <row r="58" spans="2:3" x14ac:dyDescent="0.25">
      <c r="B58" s="2" t="s">
        <v>24</v>
      </c>
      <c r="C58" s="4">
        <v>70</v>
      </c>
    </row>
    <row r="59" spans="2:3" x14ac:dyDescent="0.25">
      <c r="B59" s="2" t="s">
        <v>19</v>
      </c>
      <c r="C59" s="4">
        <v>222</v>
      </c>
    </row>
    <row r="60" spans="2:3" x14ac:dyDescent="0.25">
      <c r="B60" s="2" t="s">
        <v>15</v>
      </c>
      <c r="C60" s="4">
        <v>191</v>
      </c>
    </row>
  </sheetData>
  <pageMargins left="0.7" right="0.7" top="0.75" bottom="0.75" header="0.3" footer="0.3"/>
  <pageSetup orientation="portrait"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1"/>
  <sheetViews>
    <sheetView topLeftCell="B1" workbookViewId="0">
      <selection activeCell="H15" sqref="G13:H15"/>
    </sheetView>
  </sheetViews>
  <sheetFormatPr defaultRowHeight="15" x14ac:dyDescent="0.25"/>
  <cols>
    <col min="2" max="2" width="9.42578125" customWidth="1"/>
    <col min="3" max="3" width="22.140625" customWidth="1"/>
    <col min="4" max="4" width="27" customWidth="1"/>
    <col min="5" max="5" width="17.140625" customWidth="1"/>
    <col min="6" max="6" width="27.5703125" customWidth="1"/>
    <col min="7" max="7" width="16.5703125" customWidth="1"/>
    <col min="8" max="8" width="17.140625" customWidth="1"/>
    <col min="9" max="9" width="14.5703125" customWidth="1"/>
    <col min="10" max="10" width="16.7109375" customWidth="1"/>
    <col min="11" max="11" width="17" customWidth="1"/>
  </cols>
  <sheetData>
    <row r="1" spans="1:11" x14ac:dyDescent="0.25">
      <c r="A1" t="s">
        <v>28</v>
      </c>
      <c r="B1" t="s">
        <v>0</v>
      </c>
      <c r="C1" t="s">
        <v>1</v>
      </c>
      <c r="D1" t="s">
        <v>2</v>
      </c>
      <c r="E1" t="s">
        <v>3</v>
      </c>
      <c r="F1" t="s">
        <v>4</v>
      </c>
      <c r="G1" t="s">
        <v>5</v>
      </c>
      <c r="H1" t="s">
        <v>6</v>
      </c>
      <c r="I1" t="s">
        <v>7</v>
      </c>
      <c r="J1" t="s">
        <v>1038</v>
      </c>
      <c r="K1" t="s">
        <v>1039</v>
      </c>
    </row>
    <row r="2" spans="1:11" x14ac:dyDescent="0.25">
      <c r="A2" t="s">
        <v>29</v>
      </c>
      <c r="B2" t="s">
        <v>8</v>
      </c>
      <c r="C2" t="s">
        <v>9</v>
      </c>
      <c r="D2" t="s">
        <v>10</v>
      </c>
      <c r="E2" t="s">
        <v>11</v>
      </c>
      <c r="F2" t="s">
        <v>12</v>
      </c>
      <c r="G2">
        <v>67</v>
      </c>
      <c r="H2">
        <v>67</v>
      </c>
      <c r="I2">
        <v>63</v>
      </c>
      <c r="J2">
        <f>SUM(Table2[[#This Row],[math score]:[writing score]])</f>
        <v>197</v>
      </c>
      <c r="K2">
        <f>Table2[[#This Row],[Total score]]/3</f>
        <v>65.666666666666671</v>
      </c>
    </row>
    <row r="3" spans="1:11" x14ac:dyDescent="0.25">
      <c r="A3" t="s">
        <v>30</v>
      </c>
      <c r="B3" t="s">
        <v>13</v>
      </c>
      <c r="C3" t="s">
        <v>14</v>
      </c>
      <c r="D3" t="s">
        <v>15</v>
      </c>
      <c r="E3" t="s">
        <v>16</v>
      </c>
      <c r="F3" t="s">
        <v>17</v>
      </c>
      <c r="G3">
        <v>40</v>
      </c>
      <c r="H3">
        <v>59</v>
      </c>
      <c r="I3">
        <v>55</v>
      </c>
      <c r="J3">
        <f>SUM(Table2[[#This Row],[math score]:[writing score]])</f>
        <v>154</v>
      </c>
      <c r="K3">
        <f>Table2[[#This Row],[Total score]]/3</f>
        <v>51.333333333333336</v>
      </c>
    </row>
    <row r="4" spans="1:11" x14ac:dyDescent="0.25">
      <c r="A4" t="s">
        <v>31</v>
      </c>
      <c r="B4" t="s">
        <v>8</v>
      </c>
      <c r="C4" t="s">
        <v>18</v>
      </c>
      <c r="D4" t="s">
        <v>19</v>
      </c>
      <c r="E4" t="s">
        <v>16</v>
      </c>
      <c r="F4" t="s">
        <v>17</v>
      </c>
      <c r="G4">
        <v>59</v>
      </c>
      <c r="H4">
        <v>60</v>
      </c>
      <c r="I4">
        <v>50</v>
      </c>
      <c r="J4">
        <f>SUM(Table2[[#This Row],[math score]:[writing score]])</f>
        <v>169</v>
      </c>
      <c r="K4">
        <f>Table2[[#This Row],[Total score]]/3</f>
        <v>56.333333333333336</v>
      </c>
    </row>
    <row r="5" spans="1:11" x14ac:dyDescent="0.25">
      <c r="A5" t="s">
        <v>32</v>
      </c>
      <c r="B5" t="s">
        <v>8</v>
      </c>
      <c r="C5" t="s">
        <v>20</v>
      </c>
      <c r="D5" t="s">
        <v>10</v>
      </c>
      <c r="E5" t="s">
        <v>11</v>
      </c>
      <c r="F5" t="s">
        <v>17</v>
      </c>
      <c r="G5">
        <v>77</v>
      </c>
      <c r="H5">
        <v>78</v>
      </c>
      <c r="I5">
        <v>68</v>
      </c>
      <c r="J5">
        <f>SUM(Table2[[#This Row],[math score]:[writing score]])</f>
        <v>223</v>
      </c>
      <c r="K5">
        <f>Table2[[#This Row],[Total score]]/3</f>
        <v>74.333333333333329</v>
      </c>
    </row>
    <row r="6" spans="1:11" x14ac:dyDescent="0.25">
      <c r="A6" t="s">
        <v>33</v>
      </c>
      <c r="B6" t="s">
        <v>8</v>
      </c>
      <c r="C6" t="s">
        <v>18</v>
      </c>
      <c r="D6" t="s">
        <v>21</v>
      </c>
      <c r="E6" t="s">
        <v>11</v>
      </c>
      <c r="F6" t="s">
        <v>12</v>
      </c>
      <c r="G6">
        <v>78</v>
      </c>
      <c r="H6">
        <v>73</v>
      </c>
      <c r="I6">
        <v>68</v>
      </c>
      <c r="J6">
        <f>SUM(Table2[[#This Row],[math score]:[writing score]])</f>
        <v>219</v>
      </c>
      <c r="K6">
        <f>Table2[[#This Row],[Total score]]/3</f>
        <v>73</v>
      </c>
    </row>
    <row r="7" spans="1:11" x14ac:dyDescent="0.25">
      <c r="A7" t="s">
        <v>34</v>
      </c>
      <c r="B7" t="s">
        <v>13</v>
      </c>
      <c r="C7" t="s">
        <v>14</v>
      </c>
      <c r="D7" t="s">
        <v>10</v>
      </c>
      <c r="E7" t="s">
        <v>11</v>
      </c>
      <c r="F7" t="s">
        <v>17</v>
      </c>
      <c r="G7">
        <v>63</v>
      </c>
      <c r="H7">
        <v>77</v>
      </c>
      <c r="I7">
        <v>76</v>
      </c>
      <c r="J7">
        <f>SUM(Table2[[#This Row],[math score]:[writing score]])</f>
        <v>216</v>
      </c>
      <c r="K7">
        <f>Table2[[#This Row],[Total score]]/3</f>
        <v>72</v>
      </c>
    </row>
    <row r="8" spans="1:11" x14ac:dyDescent="0.25">
      <c r="A8" t="s">
        <v>35</v>
      </c>
      <c r="B8" t="s">
        <v>13</v>
      </c>
      <c r="C8" t="s">
        <v>9</v>
      </c>
      <c r="D8" t="s">
        <v>22</v>
      </c>
      <c r="E8" t="s">
        <v>11</v>
      </c>
      <c r="F8" t="s">
        <v>17</v>
      </c>
      <c r="G8">
        <v>62</v>
      </c>
      <c r="H8">
        <v>59</v>
      </c>
      <c r="I8">
        <v>63</v>
      </c>
      <c r="J8">
        <f>SUM(Table2[[#This Row],[math score]:[writing score]])</f>
        <v>184</v>
      </c>
      <c r="K8">
        <f>Table2[[#This Row],[Total score]]/3</f>
        <v>61.333333333333336</v>
      </c>
    </row>
    <row r="9" spans="1:11" x14ac:dyDescent="0.25">
      <c r="A9" t="s">
        <v>36</v>
      </c>
      <c r="B9" t="s">
        <v>8</v>
      </c>
      <c r="C9" t="s">
        <v>18</v>
      </c>
      <c r="D9" t="s">
        <v>19</v>
      </c>
      <c r="E9" t="s">
        <v>11</v>
      </c>
      <c r="F9" t="s">
        <v>12</v>
      </c>
      <c r="G9">
        <v>93</v>
      </c>
      <c r="H9">
        <v>88</v>
      </c>
      <c r="I9">
        <v>84</v>
      </c>
      <c r="J9">
        <f>SUM(Table2[[#This Row],[math score]:[writing score]])</f>
        <v>265</v>
      </c>
      <c r="K9">
        <f>Table2[[#This Row],[Total score]]/3</f>
        <v>88.333333333333329</v>
      </c>
    </row>
    <row r="10" spans="1:11" x14ac:dyDescent="0.25">
      <c r="A10" t="s">
        <v>37</v>
      </c>
      <c r="B10" t="s">
        <v>8</v>
      </c>
      <c r="C10" t="s">
        <v>14</v>
      </c>
      <c r="D10" t="s">
        <v>10</v>
      </c>
      <c r="E10" t="s">
        <v>11</v>
      </c>
      <c r="F10" t="s">
        <v>17</v>
      </c>
      <c r="G10">
        <v>63</v>
      </c>
      <c r="H10">
        <v>56</v>
      </c>
      <c r="I10">
        <v>65</v>
      </c>
      <c r="J10">
        <f>SUM(Table2[[#This Row],[math score]:[writing score]])</f>
        <v>184</v>
      </c>
      <c r="K10">
        <f>Table2[[#This Row],[Total score]]/3</f>
        <v>61.333333333333336</v>
      </c>
    </row>
    <row r="11" spans="1:11" x14ac:dyDescent="0.25">
      <c r="A11" t="s">
        <v>38</v>
      </c>
      <c r="B11" t="s">
        <v>8</v>
      </c>
      <c r="C11" t="s">
        <v>23</v>
      </c>
      <c r="D11" t="s">
        <v>19</v>
      </c>
      <c r="E11" t="s">
        <v>16</v>
      </c>
      <c r="F11" t="s">
        <v>17</v>
      </c>
      <c r="G11">
        <v>47</v>
      </c>
      <c r="H11">
        <v>42</v>
      </c>
      <c r="I11">
        <v>45</v>
      </c>
      <c r="J11">
        <f>SUM(Table2[[#This Row],[math score]:[writing score]])</f>
        <v>134</v>
      </c>
      <c r="K11">
        <f>Table2[[#This Row],[Total score]]/3</f>
        <v>44.666666666666664</v>
      </c>
    </row>
    <row r="12" spans="1:11" x14ac:dyDescent="0.25">
      <c r="A12" t="s">
        <v>39</v>
      </c>
      <c r="B12" t="s">
        <v>8</v>
      </c>
      <c r="C12" t="s">
        <v>18</v>
      </c>
      <c r="D12" t="s">
        <v>19</v>
      </c>
      <c r="E12" t="s">
        <v>11</v>
      </c>
      <c r="F12" t="s">
        <v>12</v>
      </c>
      <c r="G12">
        <v>99</v>
      </c>
      <c r="H12">
        <v>83</v>
      </c>
      <c r="I12">
        <v>85</v>
      </c>
      <c r="J12">
        <f>SUM(Table2[[#This Row],[math score]:[writing score]])</f>
        <v>267</v>
      </c>
      <c r="K12">
        <f>Table2[[#This Row],[Total score]]/3</f>
        <v>89</v>
      </c>
    </row>
    <row r="13" spans="1:11" x14ac:dyDescent="0.25">
      <c r="A13" t="s">
        <v>40</v>
      </c>
      <c r="B13" t="s">
        <v>13</v>
      </c>
      <c r="C13" t="s">
        <v>14</v>
      </c>
      <c r="D13" t="s">
        <v>10</v>
      </c>
      <c r="E13" t="s">
        <v>11</v>
      </c>
      <c r="F13" t="s">
        <v>12</v>
      </c>
      <c r="G13">
        <v>80</v>
      </c>
      <c r="H13">
        <v>87</v>
      </c>
      <c r="I13">
        <v>90</v>
      </c>
      <c r="J13">
        <f>SUM(Table2[[#This Row],[math score]:[writing score]])</f>
        <v>257</v>
      </c>
      <c r="K13">
        <f>Table2[[#This Row],[Total score]]/3</f>
        <v>85.666666666666671</v>
      </c>
    </row>
    <row r="14" spans="1:11" x14ac:dyDescent="0.25">
      <c r="A14" t="s">
        <v>41</v>
      </c>
      <c r="B14" t="s">
        <v>8</v>
      </c>
      <c r="C14" t="s">
        <v>14</v>
      </c>
      <c r="D14" t="s">
        <v>21</v>
      </c>
      <c r="E14" t="s">
        <v>11</v>
      </c>
      <c r="F14" t="s">
        <v>12</v>
      </c>
      <c r="G14">
        <v>77</v>
      </c>
      <c r="H14">
        <v>87</v>
      </c>
      <c r="I14">
        <v>85</v>
      </c>
      <c r="J14">
        <f>SUM(Table2[[#This Row],[math score]:[writing score]])</f>
        <v>249</v>
      </c>
      <c r="K14">
        <f>Table2[[#This Row],[Total score]]/3</f>
        <v>83</v>
      </c>
    </row>
    <row r="15" spans="1:11" x14ac:dyDescent="0.25">
      <c r="A15" t="s">
        <v>42</v>
      </c>
      <c r="B15" t="s">
        <v>8</v>
      </c>
      <c r="C15" t="s">
        <v>23</v>
      </c>
      <c r="D15" t="s">
        <v>10</v>
      </c>
      <c r="E15" t="s">
        <v>11</v>
      </c>
      <c r="F15" t="s">
        <v>12</v>
      </c>
      <c r="G15">
        <v>74</v>
      </c>
      <c r="H15">
        <v>74</v>
      </c>
      <c r="I15">
        <v>73</v>
      </c>
      <c r="J15">
        <f>SUM(Table2[[#This Row],[math score]:[writing score]])</f>
        <v>221</v>
      </c>
      <c r="K15">
        <f>Table2[[#This Row],[Total score]]/3</f>
        <v>73.666666666666671</v>
      </c>
    </row>
    <row r="16" spans="1:11" x14ac:dyDescent="0.25">
      <c r="A16" t="s">
        <v>43</v>
      </c>
      <c r="B16" t="s">
        <v>8</v>
      </c>
      <c r="C16" t="s">
        <v>18</v>
      </c>
      <c r="D16" t="s">
        <v>15</v>
      </c>
      <c r="E16" t="s">
        <v>11</v>
      </c>
      <c r="F16" t="s">
        <v>12</v>
      </c>
      <c r="G16">
        <v>81</v>
      </c>
      <c r="H16">
        <v>87</v>
      </c>
      <c r="I16">
        <v>85</v>
      </c>
      <c r="J16">
        <f>SUM(Table2[[#This Row],[math score]:[writing score]])</f>
        <v>253</v>
      </c>
      <c r="K16">
        <f>Table2[[#This Row],[Total score]]/3</f>
        <v>84.333333333333329</v>
      </c>
    </row>
    <row r="17" spans="1:11" x14ac:dyDescent="0.25">
      <c r="A17" t="s">
        <v>44</v>
      </c>
      <c r="B17" t="s">
        <v>8</v>
      </c>
      <c r="C17" t="s">
        <v>18</v>
      </c>
      <c r="D17" t="s">
        <v>21</v>
      </c>
      <c r="E17" t="s">
        <v>16</v>
      </c>
      <c r="F17" t="s">
        <v>17</v>
      </c>
      <c r="G17">
        <v>69</v>
      </c>
      <c r="H17">
        <v>61</v>
      </c>
      <c r="I17">
        <v>57</v>
      </c>
      <c r="J17">
        <f>SUM(Table2[[#This Row],[math score]:[writing score]])</f>
        <v>187</v>
      </c>
      <c r="K17">
        <f>Table2[[#This Row],[Total score]]/3</f>
        <v>62.333333333333336</v>
      </c>
    </row>
    <row r="18" spans="1:11" x14ac:dyDescent="0.25">
      <c r="A18" t="s">
        <v>45</v>
      </c>
      <c r="B18" t="s">
        <v>8</v>
      </c>
      <c r="C18" t="s">
        <v>20</v>
      </c>
      <c r="D18" t="s">
        <v>10</v>
      </c>
      <c r="E18" t="s">
        <v>11</v>
      </c>
      <c r="F18" t="s">
        <v>17</v>
      </c>
      <c r="G18">
        <v>58</v>
      </c>
      <c r="H18">
        <v>47</v>
      </c>
      <c r="I18">
        <v>42</v>
      </c>
      <c r="J18">
        <f>SUM(Table2[[#This Row],[math score]:[writing score]])</f>
        <v>147</v>
      </c>
      <c r="K18">
        <f>Table2[[#This Row],[Total score]]/3</f>
        <v>49</v>
      </c>
    </row>
    <row r="19" spans="1:11" x14ac:dyDescent="0.25">
      <c r="A19" t="s">
        <v>46</v>
      </c>
      <c r="B19" t="s">
        <v>13</v>
      </c>
      <c r="C19" t="s">
        <v>23</v>
      </c>
      <c r="D19" t="s">
        <v>21</v>
      </c>
      <c r="E19" t="s">
        <v>11</v>
      </c>
      <c r="F19" t="s">
        <v>12</v>
      </c>
      <c r="G19">
        <v>54</v>
      </c>
      <c r="H19">
        <v>62</v>
      </c>
      <c r="I19">
        <v>65</v>
      </c>
      <c r="J19">
        <f>SUM(Table2[[#This Row],[math score]:[writing score]])</f>
        <v>181</v>
      </c>
      <c r="K19">
        <f>Table2[[#This Row],[Total score]]/3</f>
        <v>60.333333333333336</v>
      </c>
    </row>
    <row r="20" spans="1:11" x14ac:dyDescent="0.25">
      <c r="A20" t="s">
        <v>47</v>
      </c>
      <c r="B20" t="s">
        <v>13</v>
      </c>
      <c r="C20" t="s">
        <v>23</v>
      </c>
      <c r="D20" t="s">
        <v>21</v>
      </c>
      <c r="E20" t="s">
        <v>16</v>
      </c>
      <c r="F20" t="s">
        <v>17</v>
      </c>
      <c r="G20">
        <v>23</v>
      </c>
      <c r="H20">
        <v>44</v>
      </c>
      <c r="I20">
        <v>44</v>
      </c>
      <c r="J20">
        <f>SUM(Table2[[#This Row],[math score]:[writing score]])</f>
        <v>111</v>
      </c>
      <c r="K20">
        <f>Table2[[#This Row],[Total score]]/3</f>
        <v>37</v>
      </c>
    </row>
    <row r="21" spans="1:11" x14ac:dyDescent="0.25">
      <c r="A21" t="s">
        <v>48</v>
      </c>
      <c r="B21" t="s">
        <v>8</v>
      </c>
      <c r="C21" t="s">
        <v>23</v>
      </c>
      <c r="D21" t="s">
        <v>19</v>
      </c>
      <c r="E21" t="s">
        <v>16</v>
      </c>
      <c r="F21" t="s">
        <v>17</v>
      </c>
      <c r="G21">
        <v>39</v>
      </c>
      <c r="H21">
        <v>32</v>
      </c>
      <c r="I21">
        <v>31</v>
      </c>
      <c r="J21">
        <f>SUM(Table2[[#This Row],[math score]:[writing score]])</f>
        <v>102</v>
      </c>
      <c r="K21">
        <f>Table2[[#This Row],[Total score]]/3</f>
        <v>34</v>
      </c>
    </row>
    <row r="22" spans="1:11" x14ac:dyDescent="0.25">
      <c r="A22" t="s">
        <v>49</v>
      </c>
      <c r="B22" t="s">
        <v>13</v>
      </c>
      <c r="C22" t="s">
        <v>23</v>
      </c>
      <c r="D22" t="s">
        <v>21</v>
      </c>
      <c r="E22" t="s">
        <v>11</v>
      </c>
      <c r="F22" t="s">
        <v>17</v>
      </c>
      <c r="G22">
        <v>83</v>
      </c>
      <c r="H22">
        <v>76</v>
      </c>
      <c r="I22">
        <v>88</v>
      </c>
      <c r="J22">
        <f>SUM(Table2[[#This Row],[math score]:[writing score]])</f>
        <v>247</v>
      </c>
      <c r="K22">
        <f>Table2[[#This Row],[Total score]]/3</f>
        <v>82.333333333333329</v>
      </c>
    </row>
    <row r="23" spans="1:11" x14ac:dyDescent="0.25">
      <c r="A23" t="s">
        <v>50</v>
      </c>
      <c r="B23" t="s">
        <v>8</v>
      </c>
      <c r="C23" t="s">
        <v>23</v>
      </c>
      <c r="D23" t="s">
        <v>21</v>
      </c>
      <c r="E23" t="s">
        <v>11</v>
      </c>
      <c r="F23" t="s">
        <v>17</v>
      </c>
      <c r="G23">
        <v>58</v>
      </c>
      <c r="H23">
        <v>52</v>
      </c>
      <c r="I23">
        <v>55</v>
      </c>
      <c r="J23">
        <f>SUM(Table2[[#This Row],[math score]:[writing score]])</f>
        <v>165</v>
      </c>
      <c r="K23">
        <f>Table2[[#This Row],[Total score]]/3</f>
        <v>55</v>
      </c>
    </row>
    <row r="24" spans="1:11" x14ac:dyDescent="0.25">
      <c r="A24" t="s">
        <v>51</v>
      </c>
      <c r="B24" t="s">
        <v>8</v>
      </c>
      <c r="C24" t="s">
        <v>20</v>
      </c>
      <c r="D24" t="s">
        <v>19</v>
      </c>
      <c r="E24" t="s">
        <v>11</v>
      </c>
      <c r="F24" t="s">
        <v>12</v>
      </c>
      <c r="G24">
        <v>71</v>
      </c>
      <c r="H24">
        <v>69</v>
      </c>
      <c r="I24">
        <v>73</v>
      </c>
      <c r="J24">
        <f>SUM(Table2[[#This Row],[math score]:[writing score]])</f>
        <v>213</v>
      </c>
      <c r="K24">
        <f>Table2[[#This Row],[Total score]]/3</f>
        <v>71</v>
      </c>
    </row>
    <row r="25" spans="1:11" x14ac:dyDescent="0.25">
      <c r="A25" t="s">
        <v>52</v>
      </c>
      <c r="B25" t="s">
        <v>13</v>
      </c>
      <c r="C25" t="s">
        <v>20</v>
      </c>
      <c r="D25" t="s">
        <v>19</v>
      </c>
      <c r="E25" t="s">
        <v>16</v>
      </c>
      <c r="F25" t="s">
        <v>17</v>
      </c>
      <c r="G25">
        <v>44</v>
      </c>
      <c r="H25">
        <v>55</v>
      </c>
      <c r="I25">
        <v>54</v>
      </c>
      <c r="J25">
        <f>SUM(Table2[[#This Row],[math score]:[writing score]])</f>
        <v>153</v>
      </c>
      <c r="K25">
        <f>Table2[[#This Row],[Total score]]/3</f>
        <v>51</v>
      </c>
    </row>
    <row r="26" spans="1:11" x14ac:dyDescent="0.25">
      <c r="A26" t="s">
        <v>53</v>
      </c>
      <c r="B26" t="s">
        <v>8</v>
      </c>
      <c r="C26" t="s">
        <v>18</v>
      </c>
      <c r="D26" t="s">
        <v>15</v>
      </c>
      <c r="E26" t="s">
        <v>16</v>
      </c>
      <c r="F26" t="s">
        <v>17</v>
      </c>
      <c r="G26">
        <v>46</v>
      </c>
      <c r="H26">
        <v>38</v>
      </c>
      <c r="I26">
        <v>32</v>
      </c>
      <c r="J26">
        <f>SUM(Table2[[#This Row],[math score]:[writing score]])</f>
        <v>116</v>
      </c>
      <c r="K26">
        <f>Table2[[#This Row],[Total score]]/3</f>
        <v>38.666666666666664</v>
      </c>
    </row>
    <row r="27" spans="1:11" x14ac:dyDescent="0.25">
      <c r="A27" t="s">
        <v>54</v>
      </c>
      <c r="B27" t="s">
        <v>8</v>
      </c>
      <c r="C27" t="s">
        <v>23</v>
      </c>
      <c r="D27" t="s">
        <v>10</v>
      </c>
      <c r="E27" t="s">
        <v>16</v>
      </c>
      <c r="F27" t="s">
        <v>17</v>
      </c>
      <c r="G27">
        <v>51</v>
      </c>
      <c r="H27">
        <v>45</v>
      </c>
      <c r="I27">
        <v>42</v>
      </c>
      <c r="J27">
        <f>SUM(Table2[[#This Row],[math score]:[writing score]])</f>
        <v>138</v>
      </c>
      <c r="K27">
        <f>Table2[[#This Row],[Total score]]/3</f>
        <v>46</v>
      </c>
    </row>
    <row r="28" spans="1:11" x14ac:dyDescent="0.25">
      <c r="A28" t="s">
        <v>55</v>
      </c>
      <c r="B28" t="s">
        <v>13</v>
      </c>
      <c r="C28" t="s">
        <v>23</v>
      </c>
      <c r="D28" t="s">
        <v>15</v>
      </c>
      <c r="E28" t="s">
        <v>11</v>
      </c>
      <c r="F28" t="s">
        <v>17</v>
      </c>
      <c r="G28">
        <v>53</v>
      </c>
      <c r="H28">
        <v>60</v>
      </c>
      <c r="I28">
        <v>56</v>
      </c>
      <c r="J28">
        <f>SUM(Table2[[#This Row],[math score]:[writing score]])</f>
        <v>169</v>
      </c>
      <c r="K28">
        <f>Table2[[#This Row],[Total score]]/3</f>
        <v>56.333333333333336</v>
      </c>
    </row>
    <row r="29" spans="1:11" x14ac:dyDescent="0.25">
      <c r="A29" t="s">
        <v>56</v>
      </c>
      <c r="B29" t="s">
        <v>8</v>
      </c>
      <c r="C29" t="s">
        <v>18</v>
      </c>
      <c r="D29" t="s">
        <v>10</v>
      </c>
      <c r="E29" t="s">
        <v>11</v>
      </c>
      <c r="F29" t="s">
        <v>17</v>
      </c>
      <c r="G29">
        <v>71</v>
      </c>
      <c r="H29">
        <v>68</v>
      </c>
      <c r="I29">
        <v>60</v>
      </c>
      <c r="J29">
        <f>SUM(Table2[[#This Row],[math score]:[writing score]])</f>
        <v>199</v>
      </c>
      <c r="K29">
        <f>Table2[[#This Row],[Total score]]/3</f>
        <v>66.333333333333329</v>
      </c>
    </row>
    <row r="30" spans="1:11" x14ac:dyDescent="0.25">
      <c r="A30" t="s">
        <v>57</v>
      </c>
      <c r="B30" t="s">
        <v>13</v>
      </c>
      <c r="C30" t="s">
        <v>20</v>
      </c>
      <c r="D30" t="s">
        <v>10</v>
      </c>
      <c r="E30" t="s">
        <v>11</v>
      </c>
      <c r="F30" t="s">
        <v>12</v>
      </c>
      <c r="G30">
        <v>74</v>
      </c>
      <c r="H30">
        <v>89</v>
      </c>
      <c r="I30">
        <v>89</v>
      </c>
      <c r="J30">
        <f>SUM(Table2[[#This Row],[math score]:[writing score]])</f>
        <v>252</v>
      </c>
      <c r="K30">
        <f>Table2[[#This Row],[Total score]]/3</f>
        <v>84</v>
      </c>
    </row>
    <row r="31" spans="1:11" x14ac:dyDescent="0.25">
      <c r="A31" t="s">
        <v>58</v>
      </c>
      <c r="B31" t="s">
        <v>13</v>
      </c>
      <c r="C31" t="s">
        <v>9</v>
      </c>
      <c r="D31" t="s">
        <v>15</v>
      </c>
      <c r="E31" t="s">
        <v>16</v>
      </c>
      <c r="F31" t="s">
        <v>17</v>
      </c>
      <c r="G31">
        <v>33</v>
      </c>
      <c r="H31">
        <v>54</v>
      </c>
      <c r="I31">
        <v>51</v>
      </c>
      <c r="J31">
        <f>SUM(Table2[[#This Row],[math score]:[writing score]])</f>
        <v>138</v>
      </c>
      <c r="K31">
        <f>Table2[[#This Row],[Total score]]/3</f>
        <v>46</v>
      </c>
    </row>
    <row r="32" spans="1:11" x14ac:dyDescent="0.25">
      <c r="A32" t="s">
        <v>59</v>
      </c>
      <c r="B32" t="s">
        <v>8</v>
      </c>
      <c r="C32" t="s">
        <v>20</v>
      </c>
      <c r="D32" t="s">
        <v>19</v>
      </c>
      <c r="E32" t="s">
        <v>11</v>
      </c>
      <c r="F32" t="s">
        <v>17</v>
      </c>
      <c r="G32">
        <v>87</v>
      </c>
      <c r="H32">
        <v>79</v>
      </c>
      <c r="I32">
        <v>77</v>
      </c>
      <c r="J32">
        <f>SUM(Table2[[#This Row],[math score]:[writing score]])</f>
        <v>243</v>
      </c>
      <c r="K32">
        <f>Table2[[#This Row],[Total score]]/3</f>
        <v>81</v>
      </c>
    </row>
    <row r="33" spans="1:11" x14ac:dyDescent="0.25">
      <c r="A33" t="s">
        <v>60</v>
      </c>
      <c r="B33" t="s">
        <v>8</v>
      </c>
      <c r="C33" t="s">
        <v>9</v>
      </c>
      <c r="D33" t="s">
        <v>22</v>
      </c>
      <c r="E33" t="s">
        <v>16</v>
      </c>
      <c r="F33" t="s">
        <v>17</v>
      </c>
      <c r="G33">
        <v>78</v>
      </c>
      <c r="H33">
        <v>74</v>
      </c>
      <c r="I33">
        <v>73</v>
      </c>
      <c r="J33">
        <f>SUM(Table2[[#This Row],[math score]:[writing score]])</f>
        <v>225</v>
      </c>
      <c r="K33">
        <f>Table2[[#This Row],[Total score]]/3</f>
        <v>75</v>
      </c>
    </row>
    <row r="34" spans="1:11" x14ac:dyDescent="0.25">
      <c r="A34" t="s">
        <v>61</v>
      </c>
      <c r="B34" t="s">
        <v>8</v>
      </c>
      <c r="C34" t="s">
        <v>9</v>
      </c>
      <c r="D34" t="s">
        <v>15</v>
      </c>
      <c r="E34" t="s">
        <v>16</v>
      </c>
      <c r="F34" t="s">
        <v>12</v>
      </c>
      <c r="G34">
        <v>40</v>
      </c>
      <c r="H34">
        <v>41</v>
      </c>
      <c r="I34">
        <v>39</v>
      </c>
      <c r="J34">
        <f>SUM(Table2[[#This Row],[math score]:[writing score]])</f>
        <v>120</v>
      </c>
      <c r="K34">
        <f>Table2[[#This Row],[Total score]]/3</f>
        <v>40</v>
      </c>
    </row>
    <row r="35" spans="1:11" x14ac:dyDescent="0.25">
      <c r="A35" t="s">
        <v>62</v>
      </c>
      <c r="B35" t="s">
        <v>13</v>
      </c>
      <c r="C35" t="s">
        <v>20</v>
      </c>
      <c r="D35" t="s">
        <v>21</v>
      </c>
      <c r="E35" t="s">
        <v>11</v>
      </c>
      <c r="F35" t="s">
        <v>12</v>
      </c>
      <c r="G35">
        <v>65</v>
      </c>
      <c r="H35">
        <v>65</v>
      </c>
      <c r="I35">
        <v>71</v>
      </c>
      <c r="J35">
        <f>SUM(Table2[[#This Row],[math score]:[writing score]])</f>
        <v>201</v>
      </c>
      <c r="K35">
        <f>Table2[[#This Row],[Total score]]/3</f>
        <v>67</v>
      </c>
    </row>
    <row r="36" spans="1:11" x14ac:dyDescent="0.25">
      <c r="A36" t="s">
        <v>63</v>
      </c>
      <c r="B36" t="s">
        <v>13</v>
      </c>
      <c r="C36" t="s">
        <v>20</v>
      </c>
      <c r="D36" t="s">
        <v>22</v>
      </c>
      <c r="E36" t="s">
        <v>11</v>
      </c>
      <c r="F36" t="s">
        <v>12</v>
      </c>
      <c r="G36">
        <v>79</v>
      </c>
      <c r="H36">
        <v>88</v>
      </c>
      <c r="I36">
        <v>89</v>
      </c>
      <c r="J36">
        <f>SUM(Table2[[#This Row],[math score]:[writing score]])</f>
        <v>256</v>
      </c>
      <c r="K36">
        <f>Table2[[#This Row],[Total score]]/3</f>
        <v>85.333333333333329</v>
      </c>
    </row>
    <row r="37" spans="1:11" x14ac:dyDescent="0.25">
      <c r="A37" t="s">
        <v>64</v>
      </c>
      <c r="B37" t="s">
        <v>13</v>
      </c>
      <c r="C37" t="s">
        <v>9</v>
      </c>
      <c r="D37" t="s">
        <v>22</v>
      </c>
      <c r="E37" t="s">
        <v>11</v>
      </c>
      <c r="F37" t="s">
        <v>17</v>
      </c>
      <c r="G37">
        <v>68</v>
      </c>
      <c r="H37">
        <v>74</v>
      </c>
      <c r="I37">
        <v>74</v>
      </c>
      <c r="J37">
        <f>SUM(Table2[[#This Row],[math score]:[writing score]])</f>
        <v>216</v>
      </c>
      <c r="K37">
        <f>Table2[[#This Row],[Total score]]/3</f>
        <v>72</v>
      </c>
    </row>
    <row r="38" spans="1:11" x14ac:dyDescent="0.25">
      <c r="A38" t="s">
        <v>65</v>
      </c>
      <c r="B38" t="s">
        <v>13</v>
      </c>
      <c r="C38" t="s">
        <v>23</v>
      </c>
      <c r="D38" t="s">
        <v>19</v>
      </c>
      <c r="E38" t="s">
        <v>11</v>
      </c>
      <c r="F38" t="s">
        <v>12</v>
      </c>
      <c r="G38">
        <v>57</v>
      </c>
      <c r="H38">
        <v>77</v>
      </c>
      <c r="I38">
        <v>75</v>
      </c>
      <c r="J38">
        <f>SUM(Table2[[#This Row],[math score]:[writing score]])</f>
        <v>209</v>
      </c>
      <c r="K38">
        <f>Table2[[#This Row],[Total score]]/3</f>
        <v>69.666666666666671</v>
      </c>
    </row>
    <row r="39" spans="1:11" x14ac:dyDescent="0.25">
      <c r="A39" t="s">
        <v>66</v>
      </c>
      <c r="B39" t="s">
        <v>8</v>
      </c>
      <c r="C39" t="s">
        <v>20</v>
      </c>
      <c r="D39" t="s">
        <v>10</v>
      </c>
      <c r="E39" t="s">
        <v>16</v>
      </c>
      <c r="F39" t="s">
        <v>17</v>
      </c>
      <c r="G39">
        <v>67</v>
      </c>
      <c r="H39">
        <v>65</v>
      </c>
      <c r="I39">
        <v>54</v>
      </c>
      <c r="J39">
        <f>SUM(Table2[[#This Row],[math score]:[writing score]])</f>
        <v>186</v>
      </c>
      <c r="K39">
        <f>Table2[[#This Row],[Total score]]/3</f>
        <v>62</v>
      </c>
    </row>
    <row r="40" spans="1:11" x14ac:dyDescent="0.25">
      <c r="A40" t="s">
        <v>67</v>
      </c>
      <c r="B40" t="s">
        <v>13</v>
      </c>
      <c r="C40" t="s">
        <v>20</v>
      </c>
      <c r="D40" t="s">
        <v>19</v>
      </c>
      <c r="E40" t="s">
        <v>16</v>
      </c>
      <c r="F40" t="s">
        <v>12</v>
      </c>
      <c r="G40">
        <v>58</v>
      </c>
      <c r="H40">
        <v>68</v>
      </c>
      <c r="I40">
        <v>73</v>
      </c>
      <c r="J40">
        <f>SUM(Table2[[#This Row],[math score]:[writing score]])</f>
        <v>199</v>
      </c>
      <c r="K40">
        <f>Table2[[#This Row],[Total score]]/3</f>
        <v>66.333333333333329</v>
      </c>
    </row>
    <row r="41" spans="1:11" x14ac:dyDescent="0.25">
      <c r="A41" t="s">
        <v>68</v>
      </c>
      <c r="B41" t="s">
        <v>8</v>
      </c>
      <c r="C41" t="s">
        <v>18</v>
      </c>
      <c r="D41" t="s">
        <v>21</v>
      </c>
      <c r="E41" t="s">
        <v>11</v>
      </c>
      <c r="F41" t="s">
        <v>17</v>
      </c>
      <c r="G41">
        <v>98</v>
      </c>
      <c r="H41">
        <v>81</v>
      </c>
      <c r="I41">
        <v>77</v>
      </c>
      <c r="J41">
        <f>SUM(Table2[[#This Row],[math score]:[writing score]])</f>
        <v>256</v>
      </c>
      <c r="K41">
        <f>Table2[[#This Row],[Total score]]/3</f>
        <v>85.333333333333329</v>
      </c>
    </row>
    <row r="42" spans="1:11" x14ac:dyDescent="0.25">
      <c r="A42" t="s">
        <v>69</v>
      </c>
      <c r="B42" t="s">
        <v>13</v>
      </c>
      <c r="C42" t="s">
        <v>20</v>
      </c>
      <c r="D42" t="s">
        <v>24</v>
      </c>
      <c r="E42" t="s">
        <v>16</v>
      </c>
      <c r="F42" t="s">
        <v>17</v>
      </c>
      <c r="G42">
        <v>54</v>
      </c>
      <c r="H42">
        <v>75</v>
      </c>
      <c r="I42">
        <v>72</v>
      </c>
      <c r="J42">
        <f>SUM(Table2[[#This Row],[math score]:[writing score]])</f>
        <v>201</v>
      </c>
      <c r="K42">
        <f>Table2[[#This Row],[Total score]]/3</f>
        <v>67</v>
      </c>
    </row>
    <row r="43" spans="1:11" x14ac:dyDescent="0.25">
      <c r="A43" t="s">
        <v>70</v>
      </c>
      <c r="B43" t="s">
        <v>8</v>
      </c>
      <c r="C43" t="s">
        <v>14</v>
      </c>
      <c r="D43" t="s">
        <v>10</v>
      </c>
      <c r="E43" t="s">
        <v>11</v>
      </c>
      <c r="F43" t="s">
        <v>17</v>
      </c>
      <c r="G43">
        <v>77</v>
      </c>
      <c r="H43">
        <v>67</v>
      </c>
      <c r="I43">
        <v>64</v>
      </c>
      <c r="J43">
        <f>SUM(Table2[[#This Row],[math score]:[writing score]])</f>
        <v>208</v>
      </c>
      <c r="K43">
        <f>Table2[[#This Row],[Total score]]/3</f>
        <v>69.333333333333329</v>
      </c>
    </row>
    <row r="44" spans="1:11" x14ac:dyDescent="0.25">
      <c r="A44" t="s">
        <v>71</v>
      </c>
      <c r="B44" t="s">
        <v>8</v>
      </c>
      <c r="C44" t="s">
        <v>18</v>
      </c>
      <c r="D44" t="s">
        <v>10</v>
      </c>
      <c r="E44" t="s">
        <v>11</v>
      </c>
      <c r="F44" t="s">
        <v>12</v>
      </c>
      <c r="G44">
        <v>87</v>
      </c>
      <c r="H44">
        <v>79</v>
      </c>
      <c r="I44">
        <v>82</v>
      </c>
      <c r="J44">
        <f>SUM(Table2[[#This Row],[math score]:[writing score]])</f>
        <v>248</v>
      </c>
      <c r="K44">
        <f>Table2[[#This Row],[Total score]]/3</f>
        <v>82.666666666666671</v>
      </c>
    </row>
    <row r="45" spans="1:11" x14ac:dyDescent="0.25">
      <c r="A45" t="s">
        <v>72</v>
      </c>
      <c r="B45" t="s">
        <v>13</v>
      </c>
      <c r="C45" t="s">
        <v>23</v>
      </c>
      <c r="D45" t="s">
        <v>24</v>
      </c>
      <c r="E45" t="s">
        <v>11</v>
      </c>
      <c r="F45" t="s">
        <v>17</v>
      </c>
      <c r="G45">
        <v>58</v>
      </c>
      <c r="H45">
        <v>70</v>
      </c>
      <c r="I45">
        <v>70</v>
      </c>
      <c r="J45">
        <f>SUM(Table2[[#This Row],[math score]:[writing score]])</f>
        <v>198</v>
      </c>
      <c r="K45">
        <f>Table2[[#This Row],[Total score]]/3</f>
        <v>66</v>
      </c>
    </row>
    <row r="46" spans="1:11" x14ac:dyDescent="0.25">
      <c r="A46" t="s">
        <v>73</v>
      </c>
      <c r="B46" t="s">
        <v>8</v>
      </c>
      <c r="C46" t="s">
        <v>18</v>
      </c>
      <c r="D46" t="s">
        <v>10</v>
      </c>
      <c r="E46" t="s">
        <v>11</v>
      </c>
      <c r="F46" t="s">
        <v>17</v>
      </c>
      <c r="G46">
        <v>100</v>
      </c>
      <c r="H46">
        <v>88</v>
      </c>
      <c r="I46">
        <v>87</v>
      </c>
      <c r="J46">
        <f>SUM(Table2[[#This Row],[math score]:[writing score]])</f>
        <v>275</v>
      </c>
      <c r="K46">
        <f>Table2[[#This Row],[Total score]]/3</f>
        <v>91.666666666666671</v>
      </c>
    </row>
    <row r="47" spans="1:11" x14ac:dyDescent="0.25">
      <c r="A47" t="s">
        <v>74</v>
      </c>
      <c r="B47" t="s">
        <v>8</v>
      </c>
      <c r="C47" t="s">
        <v>23</v>
      </c>
      <c r="D47" t="s">
        <v>22</v>
      </c>
      <c r="E47" t="s">
        <v>11</v>
      </c>
      <c r="F47" t="s">
        <v>17</v>
      </c>
      <c r="G47">
        <v>60</v>
      </c>
      <c r="H47">
        <v>46</v>
      </c>
      <c r="I47">
        <v>51</v>
      </c>
      <c r="J47">
        <f>SUM(Table2[[#This Row],[math score]:[writing score]])</f>
        <v>157</v>
      </c>
      <c r="K47">
        <f>Table2[[#This Row],[Total score]]/3</f>
        <v>52.333333333333336</v>
      </c>
    </row>
    <row r="48" spans="1:11" x14ac:dyDescent="0.25">
      <c r="A48" t="s">
        <v>75</v>
      </c>
      <c r="B48" t="s">
        <v>8</v>
      </c>
      <c r="C48" t="s">
        <v>23</v>
      </c>
      <c r="D48" t="s">
        <v>21</v>
      </c>
      <c r="E48" t="s">
        <v>16</v>
      </c>
      <c r="F48" t="s">
        <v>17</v>
      </c>
      <c r="G48">
        <v>64</v>
      </c>
      <c r="H48">
        <v>63</v>
      </c>
      <c r="I48">
        <v>57</v>
      </c>
      <c r="J48">
        <f>SUM(Table2[[#This Row],[math score]:[writing score]])</f>
        <v>184</v>
      </c>
      <c r="K48">
        <f>Table2[[#This Row],[Total score]]/3</f>
        <v>61.333333333333336</v>
      </c>
    </row>
    <row r="49" spans="1:11" x14ac:dyDescent="0.25">
      <c r="A49" t="s">
        <v>76</v>
      </c>
      <c r="B49" t="s">
        <v>13</v>
      </c>
      <c r="C49" t="s">
        <v>18</v>
      </c>
      <c r="D49" t="s">
        <v>15</v>
      </c>
      <c r="E49" t="s">
        <v>11</v>
      </c>
      <c r="F49" t="s">
        <v>12</v>
      </c>
      <c r="G49">
        <v>65</v>
      </c>
      <c r="H49">
        <v>76</v>
      </c>
      <c r="I49">
        <v>78</v>
      </c>
      <c r="J49">
        <f>SUM(Table2[[#This Row],[math score]:[writing score]])</f>
        <v>219</v>
      </c>
      <c r="K49">
        <f>Table2[[#This Row],[Total score]]/3</f>
        <v>73</v>
      </c>
    </row>
    <row r="50" spans="1:11" x14ac:dyDescent="0.25">
      <c r="A50" t="s">
        <v>77</v>
      </c>
      <c r="B50" t="s">
        <v>13</v>
      </c>
      <c r="C50" t="s">
        <v>14</v>
      </c>
      <c r="D50" t="s">
        <v>10</v>
      </c>
      <c r="E50" t="s">
        <v>11</v>
      </c>
      <c r="F50" t="s">
        <v>17</v>
      </c>
      <c r="G50">
        <v>68</v>
      </c>
      <c r="H50">
        <v>72</v>
      </c>
      <c r="I50">
        <v>73</v>
      </c>
      <c r="J50">
        <f>SUM(Table2[[#This Row],[math score]:[writing score]])</f>
        <v>213</v>
      </c>
      <c r="K50">
        <f>Table2[[#This Row],[Total score]]/3</f>
        <v>71</v>
      </c>
    </row>
    <row r="51" spans="1:11" x14ac:dyDescent="0.25">
      <c r="A51" t="s">
        <v>78</v>
      </c>
      <c r="B51" t="s">
        <v>8</v>
      </c>
      <c r="C51" t="s">
        <v>23</v>
      </c>
      <c r="D51" t="s">
        <v>21</v>
      </c>
      <c r="E51" t="s">
        <v>16</v>
      </c>
      <c r="F51" t="s">
        <v>12</v>
      </c>
      <c r="G51">
        <v>60</v>
      </c>
      <c r="H51">
        <v>63</v>
      </c>
      <c r="I51">
        <v>57</v>
      </c>
      <c r="J51">
        <f>SUM(Table2[[#This Row],[math score]:[writing score]])</f>
        <v>180</v>
      </c>
      <c r="K51">
        <f>Table2[[#This Row],[Total score]]/3</f>
        <v>60</v>
      </c>
    </row>
    <row r="52" spans="1:11" x14ac:dyDescent="0.25">
      <c r="A52" t="s">
        <v>79</v>
      </c>
      <c r="B52" t="s">
        <v>8</v>
      </c>
      <c r="C52" t="s">
        <v>14</v>
      </c>
      <c r="D52" t="s">
        <v>10</v>
      </c>
      <c r="E52" t="s">
        <v>11</v>
      </c>
      <c r="F52" t="s">
        <v>17</v>
      </c>
      <c r="G52">
        <v>65</v>
      </c>
      <c r="H52">
        <v>68</v>
      </c>
      <c r="I52">
        <v>64</v>
      </c>
      <c r="J52">
        <f>SUM(Table2[[#This Row],[math score]:[writing score]])</f>
        <v>197</v>
      </c>
      <c r="K52">
        <f>Table2[[#This Row],[Total score]]/3</f>
        <v>65.666666666666671</v>
      </c>
    </row>
    <row r="53" spans="1:11" x14ac:dyDescent="0.25">
      <c r="A53" t="s">
        <v>80</v>
      </c>
      <c r="B53" t="s">
        <v>13</v>
      </c>
      <c r="C53" t="s">
        <v>23</v>
      </c>
      <c r="D53" t="s">
        <v>15</v>
      </c>
      <c r="E53" t="s">
        <v>16</v>
      </c>
      <c r="F53" t="s">
        <v>17</v>
      </c>
      <c r="G53">
        <v>52</v>
      </c>
      <c r="H53">
        <v>58</v>
      </c>
      <c r="I53">
        <v>60</v>
      </c>
      <c r="J53">
        <f>SUM(Table2[[#This Row],[math score]:[writing score]])</f>
        <v>170</v>
      </c>
      <c r="K53">
        <f>Table2[[#This Row],[Total score]]/3</f>
        <v>56.666666666666664</v>
      </c>
    </row>
    <row r="54" spans="1:11" x14ac:dyDescent="0.25">
      <c r="A54" t="s">
        <v>81</v>
      </c>
      <c r="B54" t="s">
        <v>13</v>
      </c>
      <c r="C54" t="s">
        <v>23</v>
      </c>
      <c r="D54" t="s">
        <v>21</v>
      </c>
      <c r="E54" t="s">
        <v>11</v>
      </c>
      <c r="F54" t="s">
        <v>17</v>
      </c>
      <c r="G54">
        <v>74</v>
      </c>
      <c r="H54">
        <v>81</v>
      </c>
      <c r="I54">
        <v>85</v>
      </c>
      <c r="J54">
        <f>SUM(Table2[[#This Row],[math score]:[writing score]])</f>
        <v>240</v>
      </c>
      <c r="K54">
        <f>Table2[[#This Row],[Total score]]/3</f>
        <v>80</v>
      </c>
    </row>
    <row r="55" spans="1:11" x14ac:dyDescent="0.25">
      <c r="A55" t="s">
        <v>82</v>
      </c>
      <c r="B55" t="s">
        <v>13</v>
      </c>
      <c r="C55" t="s">
        <v>23</v>
      </c>
      <c r="D55" t="s">
        <v>10</v>
      </c>
      <c r="E55" t="s">
        <v>16</v>
      </c>
      <c r="F55" t="s">
        <v>17</v>
      </c>
      <c r="G55">
        <v>36</v>
      </c>
      <c r="H55">
        <v>53</v>
      </c>
      <c r="I55">
        <v>49</v>
      </c>
      <c r="J55">
        <f>SUM(Table2[[#This Row],[math score]:[writing score]])</f>
        <v>138</v>
      </c>
      <c r="K55">
        <f>Table2[[#This Row],[Total score]]/3</f>
        <v>46</v>
      </c>
    </row>
    <row r="56" spans="1:11" x14ac:dyDescent="0.25">
      <c r="A56" t="s">
        <v>83</v>
      </c>
      <c r="B56" t="s">
        <v>8</v>
      </c>
      <c r="C56" t="s">
        <v>14</v>
      </c>
      <c r="D56" t="s">
        <v>10</v>
      </c>
      <c r="E56" t="s">
        <v>16</v>
      </c>
      <c r="F56" t="s">
        <v>17</v>
      </c>
      <c r="G56">
        <v>57</v>
      </c>
      <c r="H56">
        <v>57</v>
      </c>
      <c r="I56">
        <v>47</v>
      </c>
      <c r="J56">
        <f>SUM(Table2[[#This Row],[math score]:[writing score]])</f>
        <v>161</v>
      </c>
      <c r="K56">
        <f>Table2[[#This Row],[Total score]]/3</f>
        <v>53.666666666666664</v>
      </c>
    </row>
    <row r="57" spans="1:11" x14ac:dyDescent="0.25">
      <c r="A57" t="s">
        <v>84</v>
      </c>
      <c r="B57" t="s">
        <v>13</v>
      </c>
      <c r="C57" t="s">
        <v>23</v>
      </c>
      <c r="D57" t="s">
        <v>19</v>
      </c>
      <c r="E57" t="s">
        <v>11</v>
      </c>
      <c r="F57" t="s">
        <v>12</v>
      </c>
      <c r="G57">
        <v>56</v>
      </c>
      <c r="H57">
        <v>60</v>
      </c>
      <c r="I57">
        <v>62</v>
      </c>
      <c r="J57">
        <f>SUM(Table2[[#This Row],[math score]:[writing score]])</f>
        <v>178</v>
      </c>
      <c r="K57">
        <f>Table2[[#This Row],[Total score]]/3</f>
        <v>59.333333333333336</v>
      </c>
    </row>
    <row r="58" spans="1:11" x14ac:dyDescent="0.25">
      <c r="A58" t="s">
        <v>85</v>
      </c>
      <c r="B58" t="s">
        <v>13</v>
      </c>
      <c r="C58" t="s">
        <v>23</v>
      </c>
      <c r="D58" t="s">
        <v>22</v>
      </c>
      <c r="E58" t="s">
        <v>11</v>
      </c>
      <c r="F58" t="s">
        <v>12</v>
      </c>
      <c r="G58">
        <v>67</v>
      </c>
      <c r="H58">
        <v>80</v>
      </c>
      <c r="I58">
        <v>84</v>
      </c>
      <c r="J58">
        <f>SUM(Table2[[#This Row],[math score]:[writing score]])</f>
        <v>231</v>
      </c>
      <c r="K58">
        <f>Table2[[#This Row],[Total score]]/3</f>
        <v>77</v>
      </c>
    </row>
    <row r="59" spans="1:11" x14ac:dyDescent="0.25">
      <c r="A59" t="s">
        <v>86</v>
      </c>
      <c r="B59" t="s">
        <v>8</v>
      </c>
      <c r="C59" t="s">
        <v>14</v>
      </c>
      <c r="D59" t="s">
        <v>21</v>
      </c>
      <c r="E59" t="s">
        <v>11</v>
      </c>
      <c r="F59" t="s">
        <v>12</v>
      </c>
      <c r="G59">
        <v>88</v>
      </c>
      <c r="H59">
        <v>87</v>
      </c>
      <c r="I59">
        <v>83</v>
      </c>
      <c r="J59">
        <f>SUM(Table2[[#This Row],[math score]:[writing score]])</f>
        <v>258</v>
      </c>
      <c r="K59">
        <f>Table2[[#This Row],[Total score]]/3</f>
        <v>86</v>
      </c>
    </row>
    <row r="60" spans="1:11" x14ac:dyDescent="0.25">
      <c r="A60" t="s">
        <v>87</v>
      </c>
      <c r="B60" t="s">
        <v>13</v>
      </c>
      <c r="C60" t="s">
        <v>14</v>
      </c>
      <c r="D60" t="s">
        <v>19</v>
      </c>
      <c r="E60" t="s">
        <v>16</v>
      </c>
      <c r="F60" t="s">
        <v>17</v>
      </c>
      <c r="G60">
        <v>42</v>
      </c>
      <c r="H60">
        <v>61</v>
      </c>
      <c r="I60">
        <v>51</v>
      </c>
      <c r="J60">
        <f>SUM(Table2[[#This Row],[math score]:[writing score]])</f>
        <v>154</v>
      </c>
      <c r="K60">
        <f>Table2[[#This Row],[Total score]]/3</f>
        <v>51.333333333333336</v>
      </c>
    </row>
    <row r="61" spans="1:11" x14ac:dyDescent="0.25">
      <c r="A61" t="s">
        <v>88</v>
      </c>
      <c r="B61" t="s">
        <v>8</v>
      </c>
      <c r="C61" t="s">
        <v>18</v>
      </c>
      <c r="D61" t="s">
        <v>15</v>
      </c>
      <c r="E61" t="s">
        <v>11</v>
      </c>
      <c r="F61" t="s">
        <v>17</v>
      </c>
      <c r="G61">
        <v>68</v>
      </c>
      <c r="H61">
        <v>51</v>
      </c>
      <c r="I61">
        <v>48</v>
      </c>
      <c r="J61">
        <f>SUM(Table2[[#This Row],[math score]:[writing score]])</f>
        <v>167</v>
      </c>
      <c r="K61">
        <f>Table2[[#This Row],[Total score]]/3</f>
        <v>55.666666666666664</v>
      </c>
    </row>
    <row r="62" spans="1:11" x14ac:dyDescent="0.25">
      <c r="A62" t="s">
        <v>89</v>
      </c>
      <c r="B62" t="s">
        <v>8</v>
      </c>
      <c r="C62" t="s">
        <v>14</v>
      </c>
      <c r="D62" t="s">
        <v>19</v>
      </c>
      <c r="E62" t="s">
        <v>16</v>
      </c>
      <c r="F62" t="s">
        <v>17</v>
      </c>
      <c r="G62">
        <v>76</v>
      </c>
      <c r="H62">
        <v>66</v>
      </c>
      <c r="I62">
        <v>68</v>
      </c>
      <c r="J62">
        <f>SUM(Table2[[#This Row],[math score]:[writing score]])</f>
        <v>210</v>
      </c>
      <c r="K62">
        <f>Table2[[#This Row],[Total score]]/3</f>
        <v>70</v>
      </c>
    </row>
    <row r="63" spans="1:11" x14ac:dyDescent="0.25">
      <c r="A63" t="s">
        <v>90</v>
      </c>
      <c r="B63" t="s">
        <v>13</v>
      </c>
      <c r="C63" t="s">
        <v>18</v>
      </c>
      <c r="D63" t="s">
        <v>15</v>
      </c>
      <c r="E63" t="s">
        <v>11</v>
      </c>
      <c r="F63" t="s">
        <v>17</v>
      </c>
      <c r="G63">
        <v>58</v>
      </c>
      <c r="H63">
        <v>63</v>
      </c>
      <c r="I63">
        <v>59</v>
      </c>
      <c r="J63">
        <f>SUM(Table2[[#This Row],[math score]:[writing score]])</f>
        <v>180</v>
      </c>
      <c r="K63">
        <f>Table2[[#This Row],[Total score]]/3</f>
        <v>60</v>
      </c>
    </row>
    <row r="64" spans="1:11" x14ac:dyDescent="0.25">
      <c r="A64" t="s">
        <v>91</v>
      </c>
      <c r="B64" t="s">
        <v>8</v>
      </c>
      <c r="C64" t="s">
        <v>18</v>
      </c>
      <c r="D64" t="s">
        <v>15</v>
      </c>
      <c r="E64" t="s">
        <v>11</v>
      </c>
      <c r="F64" t="s">
        <v>12</v>
      </c>
      <c r="G64">
        <v>69</v>
      </c>
      <c r="H64">
        <v>67</v>
      </c>
      <c r="I64">
        <v>62</v>
      </c>
      <c r="J64">
        <f>SUM(Table2[[#This Row],[math score]:[writing score]])</f>
        <v>198</v>
      </c>
      <c r="K64">
        <f>Table2[[#This Row],[Total score]]/3</f>
        <v>66</v>
      </c>
    </row>
    <row r="65" spans="1:11" x14ac:dyDescent="0.25">
      <c r="A65" t="s">
        <v>92</v>
      </c>
      <c r="B65" t="s">
        <v>8</v>
      </c>
      <c r="C65" t="s">
        <v>9</v>
      </c>
      <c r="D65" t="s">
        <v>22</v>
      </c>
      <c r="E65" t="s">
        <v>11</v>
      </c>
      <c r="F65" t="s">
        <v>12</v>
      </c>
      <c r="G65">
        <v>77</v>
      </c>
      <c r="H65">
        <v>82</v>
      </c>
      <c r="I65">
        <v>78</v>
      </c>
      <c r="J65">
        <f>SUM(Table2[[#This Row],[math score]:[writing score]])</f>
        <v>237</v>
      </c>
      <c r="K65">
        <f>Table2[[#This Row],[Total score]]/3</f>
        <v>79</v>
      </c>
    </row>
    <row r="66" spans="1:11" x14ac:dyDescent="0.25">
      <c r="A66" t="s">
        <v>93</v>
      </c>
      <c r="B66" t="s">
        <v>8</v>
      </c>
      <c r="C66" t="s">
        <v>14</v>
      </c>
      <c r="D66" t="s">
        <v>24</v>
      </c>
      <c r="E66" t="s">
        <v>11</v>
      </c>
      <c r="F66" t="s">
        <v>12</v>
      </c>
      <c r="G66">
        <v>83</v>
      </c>
      <c r="H66">
        <v>93</v>
      </c>
      <c r="I66">
        <v>97</v>
      </c>
      <c r="J66">
        <f>SUM(Table2[[#This Row],[math score]:[writing score]])</f>
        <v>273</v>
      </c>
      <c r="K66">
        <f>Table2[[#This Row],[Total score]]/3</f>
        <v>91</v>
      </c>
    </row>
    <row r="67" spans="1:11" x14ac:dyDescent="0.25">
      <c r="A67" t="s">
        <v>94</v>
      </c>
      <c r="B67" t="s">
        <v>13</v>
      </c>
      <c r="C67" t="s">
        <v>23</v>
      </c>
      <c r="D67" t="s">
        <v>15</v>
      </c>
      <c r="E67" t="s">
        <v>16</v>
      </c>
      <c r="F67" t="s">
        <v>12</v>
      </c>
      <c r="G67">
        <v>49</v>
      </c>
      <c r="H67">
        <v>74</v>
      </c>
      <c r="I67">
        <v>70</v>
      </c>
      <c r="J67">
        <f>SUM(Table2[[#This Row],[math score]:[writing score]])</f>
        <v>193</v>
      </c>
      <c r="K67">
        <f>Table2[[#This Row],[Total score]]/3</f>
        <v>64.333333333333329</v>
      </c>
    </row>
    <row r="68" spans="1:11" x14ac:dyDescent="0.25">
      <c r="A68" t="s">
        <v>95</v>
      </c>
      <c r="B68" t="s">
        <v>8</v>
      </c>
      <c r="C68" t="s">
        <v>23</v>
      </c>
      <c r="D68" t="s">
        <v>10</v>
      </c>
      <c r="E68" t="s">
        <v>11</v>
      </c>
      <c r="F68" t="s">
        <v>17</v>
      </c>
      <c r="G68">
        <v>71</v>
      </c>
      <c r="H68">
        <v>60</v>
      </c>
      <c r="I68">
        <v>56</v>
      </c>
      <c r="J68">
        <f>SUM(Table2[[#This Row],[math score]:[writing score]])</f>
        <v>187</v>
      </c>
      <c r="K68">
        <f>Table2[[#This Row],[Total score]]/3</f>
        <v>62.333333333333336</v>
      </c>
    </row>
    <row r="69" spans="1:11" x14ac:dyDescent="0.25">
      <c r="A69" t="s">
        <v>96</v>
      </c>
      <c r="B69" t="s">
        <v>13</v>
      </c>
      <c r="C69" t="s">
        <v>14</v>
      </c>
      <c r="D69" t="s">
        <v>15</v>
      </c>
      <c r="E69" t="s">
        <v>16</v>
      </c>
      <c r="F69" t="s">
        <v>17</v>
      </c>
      <c r="G69">
        <v>47</v>
      </c>
      <c r="H69">
        <v>46</v>
      </c>
      <c r="I69">
        <v>49</v>
      </c>
      <c r="J69">
        <f>SUM(Table2[[#This Row],[math score]:[writing score]])</f>
        <v>142</v>
      </c>
      <c r="K69">
        <f>Table2[[#This Row],[Total score]]/3</f>
        <v>47.333333333333336</v>
      </c>
    </row>
    <row r="70" spans="1:11" x14ac:dyDescent="0.25">
      <c r="A70" t="s">
        <v>97</v>
      </c>
      <c r="B70" t="s">
        <v>8</v>
      </c>
      <c r="C70" t="s">
        <v>20</v>
      </c>
      <c r="D70" t="s">
        <v>10</v>
      </c>
      <c r="E70" t="s">
        <v>11</v>
      </c>
      <c r="F70" t="s">
        <v>17</v>
      </c>
      <c r="G70">
        <v>79</v>
      </c>
      <c r="H70">
        <v>64</v>
      </c>
      <c r="I70">
        <v>60</v>
      </c>
      <c r="J70">
        <f>SUM(Table2[[#This Row],[math score]:[writing score]])</f>
        <v>203</v>
      </c>
      <c r="K70">
        <f>Table2[[#This Row],[Total score]]/3</f>
        <v>67.666666666666671</v>
      </c>
    </row>
    <row r="71" spans="1:11" x14ac:dyDescent="0.25">
      <c r="A71" t="s">
        <v>98</v>
      </c>
      <c r="B71" t="s">
        <v>13</v>
      </c>
      <c r="C71" t="s">
        <v>23</v>
      </c>
      <c r="D71" t="s">
        <v>10</v>
      </c>
      <c r="E71" t="s">
        <v>11</v>
      </c>
      <c r="F71" t="s">
        <v>17</v>
      </c>
      <c r="G71">
        <v>60</v>
      </c>
      <c r="H71">
        <v>64</v>
      </c>
      <c r="I71">
        <v>57</v>
      </c>
      <c r="J71">
        <f>SUM(Table2[[#This Row],[math score]:[writing score]])</f>
        <v>181</v>
      </c>
      <c r="K71">
        <f>Table2[[#This Row],[Total score]]/3</f>
        <v>60.333333333333336</v>
      </c>
    </row>
    <row r="72" spans="1:11" x14ac:dyDescent="0.25">
      <c r="A72" t="s">
        <v>99</v>
      </c>
      <c r="B72" t="s">
        <v>13</v>
      </c>
      <c r="C72" t="s">
        <v>23</v>
      </c>
      <c r="D72" t="s">
        <v>21</v>
      </c>
      <c r="E72" t="s">
        <v>11</v>
      </c>
      <c r="F72" t="s">
        <v>12</v>
      </c>
      <c r="G72">
        <v>56</v>
      </c>
      <c r="H72">
        <v>68</v>
      </c>
      <c r="I72">
        <v>73</v>
      </c>
      <c r="J72">
        <f>SUM(Table2[[#This Row],[math score]:[writing score]])</f>
        <v>197</v>
      </c>
      <c r="K72">
        <f>Table2[[#This Row],[Total score]]/3</f>
        <v>65.666666666666671</v>
      </c>
    </row>
    <row r="73" spans="1:11" x14ac:dyDescent="0.25">
      <c r="A73" t="s">
        <v>100</v>
      </c>
      <c r="B73" t="s">
        <v>8</v>
      </c>
      <c r="C73" t="s">
        <v>23</v>
      </c>
      <c r="D73" t="s">
        <v>21</v>
      </c>
      <c r="E73" t="s">
        <v>11</v>
      </c>
      <c r="F73" t="s">
        <v>17</v>
      </c>
      <c r="G73">
        <v>57</v>
      </c>
      <c r="H73">
        <v>52</v>
      </c>
      <c r="I73">
        <v>47</v>
      </c>
      <c r="J73">
        <f>SUM(Table2[[#This Row],[math score]:[writing score]])</f>
        <v>156</v>
      </c>
      <c r="K73">
        <f>Table2[[#This Row],[Total score]]/3</f>
        <v>52</v>
      </c>
    </row>
    <row r="74" spans="1:11" x14ac:dyDescent="0.25">
      <c r="A74" t="s">
        <v>101</v>
      </c>
      <c r="B74" t="s">
        <v>13</v>
      </c>
      <c r="C74" t="s">
        <v>20</v>
      </c>
      <c r="D74" t="s">
        <v>19</v>
      </c>
      <c r="E74" t="s">
        <v>11</v>
      </c>
      <c r="F74" t="s">
        <v>17</v>
      </c>
      <c r="G74">
        <v>49</v>
      </c>
      <c r="H74">
        <v>70</v>
      </c>
      <c r="I74">
        <v>63</v>
      </c>
      <c r="J74">
        <f>SUM(Table2[[#This Row],[math score]:[writing score]])</f>
        <v>182</v>
      </c>
      <c r="K74">
        <f>Table2[[#This Row],[Total score]]/3</f>
        <v>60.666666666666664</v>
      </c>
    </row>
    <row r="75" spans="1:11" x14ac:dyDescent="0.25">
      <c r="A75" t="s">
        <v>102</v>
      </c>
      <c r="B75" t="s">
        <v>13</v>
      </c>
      <c r="C75" t="s">
        <v>23</v>
      </c>
      <c r="D75" t="s">
        <v>15</v>
      </c>
      <c r="E75" t="s">
        <v>11</v>
      </c>
      <c r="F75" t="s">
        <v>12</v>
      </c>
      <c r="G75">
        <v>79</v>
      </c>
      <c r="H75">
        <v>76</v>
      </c>
      <c r="I75">
        <v>81</v>
      </c>
      <c r="J75">
        <f>SUM(Table2[[#This Row],[math score]:[writing score]])</f>
        <v>236</v>
      </c>
      <c r="K75">
        <f>Table2[[#This Row],[Total score]]/3</f>
        <v>78.666666666666671</v>
      </c>
    </row>
    <row r="76" spans="1:11" x14ac:dyDescent="0.25">
      <c r="A76" t="s">
        <v>103</v>
      </c>
      <c r="B76" t="s">
        <v>8</v>
      </c>
      <c r="C76" t="s">
        <v>20</v>
      </c>
      <c r="D76" t="s">
        <v>24</v>
      </c>
      <c r="E76" t="s">
        <v>16</v>
      </c>
      <c r="F76" t="s">
        <v>17</v>
      </c>
      <c r="G76">
        <v>71</v>
      </c>
      <c r="H76">
        <v>76</v>
      </c>
      <c r="I76">
        <v>67</v>
      </c>
      <c r="J76">
        <f>SUM(Table2[[#This Row],[math score]:[writing score]])</f>
        <v>214</v>
      </c>
      <c r="K76">
        <f>Table2[[#This Row],[Total score]]/3</f>
        <v>71.333333333333329</v>
      </c>
    </row>
    <row r="77" spans="1:11" x14ac:dyDescent="0.25">
      <c r="A77" t="s">
        <v>104</v>
      </c>
      <c r="B77" t="s">
        <v>13</v>
      </c>
      <c r="C77" t="s">
        <v>23</v>
      </c>
      <c r="D77" t="s">
        <v>10</v>
      </c>
      <c r="E77" t="s">
        <v>11</v>
      </c>
      <c r="F77" t="s">
        <v>17</v>
      </c>
      <c r="G77">
        <v>71</v>
      </c>
      <c r="H77">
        <v>77</v>
      </c>
      <c r="I77">
        <v>70</v>
      </c>
      <c r="J77">
        <f>SUM(Table2[[#This Row],[math score]:[writing score]])</f>
        <v>218</v>
      </c>
      <c r="K77">
        <f>Table2[[#This Row],[Total score]]/3</f>
        <v>72.666666666666671</v>
      </c>
    </row>
    <row r="78" spans="1:11" x14ac:dyDescent="0.25">
      <c r="A78" t="s">
        <v>105</v>
      </c>
      <c r="B78" t="s">
        <v>13</v>
      </c>
      <c r="C78" t="s">
        <v>23</v>
      </c>
      <c r="D78" t="s">
        <v>19</v>
      </c>
      <c r="E78" t="s">
        <v>11</v>
      </c>
      <c r="F78" t="s">
        <v>17</v>
      </c>
      <c r="G78">
        <v>47</v>
      </c>
      <c r="H78">
        <v>63</v>
      </c>
      <c r="I78">
        <v>59</v>
      </c>
      <c r="J78">
        <f>SUM(Table2[[#This Row],[math score]:[writing score]])</f>
        <v>169</v>
      </c>
      <c r="K78">
        <f>Table2[[#This Row],[Total score]]/3</f>
        <v>56.333333333333336</v>
      </c>
    </row>
    <row r="79" spans="1:11" x14ac:dyDescent="0.25">
      <c r="A79" t="s">
        <v>106</v>
      </c>
      <c r="B79" t="s">
        <v>13</v>
      </c>
      <c r="C79" t="s">
        <v>14</v>
      </c>
      <c r="D79" t="s">
        <v>10</v>
      </c>
      <c r="E79" t="s">
        <v>16</v>
      </c>
      <c r="F79" t="s">
        <v>17</v>
      </c>
      <c r="G79">
        <v>72</v>
      </c>
      <c r="H79">
        <v>91</v>
      </c>
      <c r="I79">
        <v>81</v>
      </c>
      <c r="J79">
        <f>SUM(Table2[[#This Row],[math score]:[writing score]])</f>
        <v>244</v>
      </c>
      <c r="K79">
        <f>Table2[[#This Row],[Total score]]/3</f>
        <v>81.333333333333329</v>
      </c>
    </row>
    <row r="80" spans="1:11" x14ac:dyDescent="0.25">
      <c r="A80" t="s">
        <v>107</v>
      </c>
      <c r="B80" t="s">
        <v>8</v>
      </c>
      <c r="C80" t="s">
        <v>23</v>
      </c>
      <c r="D80" t="s">
        <v>21</v>
      </c>
      <c r="E80" t="s">
        <v>11</v>
      </c>
      <c r="F80" t="s">
        <v>17</v>
      </c>
      <c r="G80">
        <v>78</v>
      </c>
      <c r="H80">
        <v>73</v>
      </c>
      <c r="I80">
        <v>76</v>
      </c>
      <c r="J80">
        <f>SUM(Table2[[#This Row],[math score]:[writing score]])</f>
        <v>227</v>
      </c>
      <c r="K80">
        <f>Table2[[#This Row],[Total score]]/3</f>
        <v>75.666666666666671</v>
      </c>
    </row>
    <row r="81" spans="1:11" x14ac:dyDescent="0.25">
      <c r="A81" t="s">
        <v>108</v>
      </c>
      <c r="B81" t="s">
        <v>8</v>
      </c>
      <c r="C81" t="s">
        <v>14</v>
      </c>
      <c r="D81" t="s">
        <v>15</v>
      </c>
      <c r="E81" t="s">
        <v>11</v>
      </c>
      <c r="F81" t="s">
        <v>17</v>
      </c>
      <c r="G81">
        <v>54</v>
      </c>
      <c r="H81">
        <v>43</v>
      </c>
      <c r="I81">
        <v>45</v>
      </c>
      <c r="J81">
        <f>SUM(Table2[[#This Row],[math score]:[writing score]])</f>
        <v>142</v>
      </c>
      <c r="K81">
        <f>Table2[[#This Row],[Total score]]/3</f>
        <v>47.333333333333336</v>
      </c>
    </row>
    <row r="82" spans="1:11" x14ac:dyDescent="0.25">
      <c r="A82" t="s">
        <v>109</v>
      </c>
      <c r="B82" t="s">
        <v>13</v>
      </c>
      <c r="C82" t="s">
        <v>20</v>
      </c>
      <c r="D82" t="s">
        <v>22</v>
      </c>
      <c r="E82" t="s">
        <v>11</v>
      </c>
      <c r="F82" t="s">
        <v>17</v>
      </c>
      <c r="G82">
        <v>46</v>
      </c>
      <c r="H82">
        <v>59</v>
      </c>
      <c r="I82">
        <v>62</v>
      </c>
      <c r="J82">
        <f>SUM(Table2[[#This Row],[math score]:[writing score]])</f>
        <v>167</v>
      </c>
      <c r="K82">
        <f>Table2[[#This Row],[Total score]]/3</f>
        <v>55.666666666666664</v>
      </c>
    </row>
    <row r="83" spans="1:11" x14ac:dyDescent="0.25">
      <c r="A83" t="s">
        <v>110</v>
      </c>
      <c r="B83" t="s">
        <v>13</v>
      </c>
      <c r="C83" t="s">
        <v>14</v>
      </c>
      <c r="D83" t="s">
        <v>15</v>
      </c>
      <c r="E83" t="s">
        <v>16</v>
      </c>
      <c r="F83" t="s">
        <v>17</v>
      </c>
      <c r="G83">
        <v>31</v>
      </c>
      <c r="H83">
        <v>38</v>
      </c>
      <c r="I83">
        <v>42</v>
      </c>
      <c r="J83">
        <f>SUM(Table2[[#This Row],[math score]:[writing score]])</f>
        <v>111</v>
      </c>
      <c r="K83">
        <f>Table2[[#This Row],[Total score]]/3</f>
        <v>37</v>
      </c>
    </row>
    <row r="84" spans="1:11" x14ac:dyDescent="0.25">
      <c r="A84" t="s">
        <v>111</v>
      </c>
      <c r="B84" t="s">
        <v>13</v>
      </c>
      <c r="C84" t="s">
        <v>23</v>
      </c>
      <c r="D84" t="s">
        <v>21</v>
      </c>
      <c r="E84" t="s">
        <v>16</v>
      </c>
      <c r="F84" t="s">
        <v>17</v>
      </c>
      <c r="G84">
        <v>51</v>
      </c>
      <c r="H84">
        <v>59</v>
      </c>
      <c r="I84">
        <v>59</v>
      </c>
      <c r="J84">
        <f>SUM(Table2[[#This Row],[math score]:[writing score]])</f>
        <v>169</v>
      </c>
      <c r="K84">
        <f>Table2[[#This Row],[Total score]]/3</f>
        <v>56.333333333333336</v>
      </c>
    </row>
    <row r="85" spans="1:11" x14ac:dyDescent="0.25">
      <c r="A85" t="s">
        <v>112</v>
      </c>
      <c r="B85" t="s">
        <v>8</v>
      </c>
      <c r="C85" t="s">
        <v>20</v>
      </c>
      <c r="D85" t="s">
        <v>10</v>
      </c>
      <c r="E85" t="s">
        <v>11</v>
      </c>
      <c r="F85" t="s">
        <v>12</v>
      </c>
      <c r="G85">
        <v>78</v>
      </c>
      <c r="H85">
        <v>76</v>
      </c>
      <c r="I85">
        <v>73</v>
      </c>
      <c r="J85">
        <f>SUM(Table2[[#This Row],[math score]:[writing score]])</f>
        <v>227</v>
      </c>
      <c r="K85">
        <f>Table2[[#This Row],[Total score]]/3</f>
        <v>75.666666666666671</v>
      </c>
    </row>
    <row r="86" spans="1:11" x14ac:dyDescent="0.25">
      <c r="A86" t="s">
        <v>113</v>
      </c>
      <c r="B86" t="s">
        <v>13</v>
      </c>
      <c r="C86" t="s">
        <v>20</v>
      </c>
      <c r="D86" t="s">
        <v>21</v>
      </c>
      <c r="E86" t="s">
        <v>16</v>
      </c>
      <c r="F86" t="s">
        <v>17</v>
      </c>
      <c r="G86">
        <v>32</v>
      </c>
      <c r="H86">
        <v>41</v>
      </c>
      <c r="I86">
        <v>39</v>
      </c>
      <c r="J86">
        <f>SUM(Table2[[#This Row],[math score]:[writing score]])</f>
        <v>112</v>
      </c>
      <c r="K86">
        <f>Table2[[#This Row],[Total score]]/3</f>
        <v>37.333333333333336</v>
      </c>
    </row>
    <row r="87" spans="1:11" x14ac:dyDescent="0.25">
      <c r="A87" t="s">
        <v>114</v>
      </c>
      <c r="B87" t="s">
        <v>13</v>
      </c>
      <c r="C87" t="s">
        <v>23</v>
      </c>
      <c r="D87" t="s">
        <v>15</v>
      </c>
      <c r="E87" t="s">
        <v>11</v>
      </c>
      <c r="F87" t="s">
        <v>17</v>
      </c>
      <c r="G87">
        <v>53</v>
      </c>
      <c r="H87">
        <v>71</v>
      </c>
      <c r="I87">
        <v>69</v>
      </c>
      <c r="J87">
        <f>SUM(Table2[[#This Row],[math score]:[writing score]])</f>
        <v>193</v>
      </c>
      <c r="K87">
        <f>Table2[[#This Row],[Total score]]/3</f>
        <v>64.333333333333329</v>
      </c>
    </row>
    <row r="88" spans="1:11" x14ac:dyDescent="0.25">
      <c r="A88" t="s">
        <v>115</v>
      </c>
      <c r="B88" t="s">
        <v>13</v>
      </c>
      <c r="C88" t="s">
        <v>23</v>
      </c>
      <c r="D88" t="s">
        <v>19</v>
      </c>
      <c r="E88" t="s">
        <v>16</v>
      </c>
      <c r="F88" t="s">
        <v>17</v>
      </c>
      <c r="G88">
        <v>63</v>
      </c>
      <c r="H88">
        <v>76</v>
      </c>
      <c r="I88">
        <v>69</v>
      </c>
      <c r="J88">
        <f>SUM(Table2[[#This Row],[math score]:[writing score]])</f>
        <v>208</v>
      </c>
      <c r="K88">
        <f>Table2[[#This Row],[Total score]]/3</f>
        <v>69.333333333333329</v>
      </c>
    </row>
    <row r="89" spans="1:11" x14ac:dyDescent="0.25">
      <c r="A89" t="s">
        <v>116</v>
      </c>
      <c r="B89" t="s">
        <v>8</v>
      </c>
      <c r="C89" t="s">
        <v>14</v>
      </c>
      <c r="D89" t="s">
        <v>19</v>
      </c>
      <c r="E89" t="s">
        <v>11</v>
      </c>
      <c r="F89" t="s">
        <v>17</v>
      </c>
      <c r="G89">
        <v>97</v>
      </c>
      <c r="H89">
        <v>93</v>
      </c>
      <c r="I89">
        <v>88</v>
      </c>
      <c r="J89">
        <f>SUM(Table2[[#This Row],[math score]:[writing score]])</f>
        <v>278</v>
      </c>
      <c r="K89">
        <f>Table2[[#This Row],[Total score]]/3</f>
        <v>92.666666666666671</v>
      </c>
    </row>
    <row r="90" spans="1:11" x14ac:dyDescent="0.25">
      <c r="A90" t="s">
        <v>117</v>
      </c>
      <c r="B90" t="s">
        <v>13</v>
      </c>
      <c r="C90" t="s">
        <v>14</v>
      </c>
      <c r="D90" t="s">
        <v>19</v>
      </c>
      <c r="E90" t="s">
        <v>11</v>
      </c>
      <c r="F90" t="s">
        <v>17</v>
      </c>
      <c r="G90">
        <v>56</v>
      </c>
      <c r="H90">
        <v>52</v>
      </c>
      <c r="I90">
        <v>61</v>
      </c>
      <c r="J90">
        <f>SUM(Table2[[#This Row],[math score]:[writing score]])</f>
        <v>169</v>
      </c>
      <c r="K90">
        <f>Table2[[#This Row],[Total score]]/3</f>
        <v>56.333333333333336</v>
      </c>
    </row>
    <row r="91" spans="1:11" x14ac:dyDescent="0.25">
      <c r="A91" t="s">
        <v>118</v>
      </c>
      <c r="B91" t="s">
        <v>8</v>
      </c>
      <c r="C91" t="s">
        <v>20</v>
      </c>
      <c r="D91" t="s">
        <v>10</v>
      </c>
      <c r="E91" t="s">
        <v>11</v>
      </c>
      <c r="F91" t="s">
        <v>17</v>
      </c>
      <c r="G91">
        <v>72</v>
      </c>
      <c r="H91">
        <v>76</v>
      </c>
      <c r="I91">
        <v>72</v>
      </c>
      <c r="J91">
        <f>SUM(Table2[[#This Row],[math score]:[writing score]])</f>
        <v>220</v>
      </c>
      <c r="K91">
        <f>Table2[[#This Row],[Total score]]/3</f>
        <v>73.333333333333329</v>
      </c>
    </row>
    <row r="92" spans="1:11" x14ac:dyDescent="0.25">
      <c r="A92" t="s">
        <v>119</v>
      </c>
      <c r="B92" t="s">
        <v>8</v>
      </c>
      <c r="C92" t="s">
        <v>23</v>
      </c>
      <c r="D92" t="s">
        <v>19</v>
      </c>
      <c r="E92" t="s">
        <v>16</v>
      </c>
      <c r="F92" t="s">
        <v>17</v>
      </c>
      <c r="G92">
        <v>57</v>
      </c>
      <c r="H92">
        <v>47</v>
      </c>
      <c r="I92">
        <v>42</v>
      </c>
      <c r="J92">
        <f>SUM(Table2[[#This Row],[math score]:[writing score]])</f>
        <v>146</v>
      </c>
      <c r="K92">
        <f>Table2[[#This Row],[Total score]]/3</f>
        <v>48.666666666666664</v>
      </c>
    </row>
    <row r="93" spans="1:11" x14ac:dyDescent="0.25">
      <c r="A93" t="s">
        <v>120</v>
      </c>
      <c r="B93" t="s">
        <v>8</v>
      </c>
      <c r="C93" t="s">
        <v>20</v>
      </c>
      <c r="D93" t="s">
        <v>15</v>
      </c>
      <c r="E93" t="s">
        <v>11</v>
      </c>
      <c r="F93" t="s">
        <v>17</v>
      </c>
      <c r="G93">
        <v>74</v>
      </c>
      <c r="H93">
        <v>71</v>
      </c>
      <c r="I93">
        <v>70</v>
      </c>
      <c r="J93">
        <f>SUM(Table2[[#This Row],[math score]:[writing score]])</f>
        <v>215</v>
      </c>
      <c r="K93">
        <f>Table2[[#This Row],[Total score]]/3</f>
        <v>71.666666666666671</v>
      </c>
    </row>
    <row r="94" spans="1:11" x14ac:dyDescent="0.25">
      <c r="A94" t="s">
        <v>121</v>
      </c>
      <c r="B94" t="s">
        <v>13</v>
      </c>
      <c r="C94" t="s">
        <v>14</v>
      </c>
      <c r="D94" t="s">
        <v>24</v>
      </c>
      <c r="E94" t="s">
        <v>11</v>
      </c>
      <c r="F94" t="s">
        <v>17</v>
      </c>
      <c r="G94">
        <v>81</v>
      </c>
      <c r="H94">
        <v>81</v>
      </c>
      <c r="I94">
        <v>87</v>
      </c>
      <c r="J94">
        <f>SUM(Table2[[#This Row],[math score]:[writing score]])</f>
        <v>249</v>
      </c>
      <c r="K94">
        <f>Table2[[#This Row],[Total score]]/3</f>
        <v>83</v>
      </c>
    </row>
    <row r="95" spans="1:11" x14ac:dyDescent="0.25">
      <c r="A95" t="s">
        <v>122</v>
      </c>
      <c r="B95" t="s">
        <v>8</v>
      </c>
      <c r="C95" t="s">
        <v>14</v>
      </c>
      <c r="D95" t="s">
        <v>22</v>
      </c>
      <c r="E95" t="s">
        <v>11</v>
      </c>
      <c r="F95" t="s">
        <v>12</v>
      </c>
      <c r="G95">
        <v>94</v>
      </c>
      <c r="H95">
        <v>87</v>
      </c>
      <c r="I95">
        <v>93</v>
      </c>
      <c r="J95">
        <f>SUM(Table2[[#This Row],[math score]:[writing score]])</f>
        <v>274</v>
      </c>
      <c r="K95">
        <f>Table2[[#This Row],[Total score]]/3</f>
        <v>91.333333333333329</v>
      </c>
    </row>
    <row r="96" spans="1:11" x14ac:dyDescent="0.25">
      <c r="A96" t="s">
        <v>123</v>
      </c>
      <c r="B96" t="s">
        <v>8</v>
      </c>
      <c r="C96" t="s">
        <v>20</v>
      </c>
      <c r="D96" t="s">
        <v>24</v>
      </c>
      <c r="E96" t="s">
        <v>16</v>
      </c>
      <c r="F96" t="s">
        <v>17</v>
      </c>
      <c r="G96">
        <v>81</v>
      </c>
      <c r="H96">
        <v>73</v>
      </c>
      <c r="I96">
        <v>72</v>
      </c>
      <c r="J96">
        <f>SUM(Table2[[#This Row],[math score]:[writing score]])</f>
        <v>226</v>
      </c>
      <c r="K96">
        <f>Table2[[#This Row],[Total score]]/3</f>
        <v>75.333333333333329</v>
      </c>
    </row>
    <row r="97" spans="1:11" x14ac:dyDescent="0.25">
      <c r="A97" t="s">
        <v>124</v>
      </c>
      <c r="B97" t="s">
        <v>13</v>
      </c>
      <c r="C97" t="s">
        <v>23</v>
      </c>
      <c r="D97" t="s">
        <v>10</v>
      </c>
      <c r="E97" t="s">
        <v>11</v>
      </c>
      <c r="F97" t="s">
        <v>12</v>
      </c>
      <c r="G97">
        <v>58</v>
      </c>
      <c r="H97">
        <v>63</v>
      </c>
      <c r="I97">
        <v>67</v>
      </c>
      <c r="J97">
        <f>SUM(Table2[[#This Row],[math score]:[writing score]])</f>
        <v>188</v>
      </c>
      <c r="K97">
        <f>Table2[[#This Row],[Total score]]/3</f>
        <v>62.666666666666664</v>
      </c>
    </row>
    <row r="98" spans="1:11" x14ac:dyDescent="0.25">
      <c r="A98" t="s">
        <v>125</v>
      </c>
      <c r="B98" t="s">
        <v>13</v>
      </c>
      <c r="C98" t="s">
        <v>18</v>
      </c>
      <c r="D98" t="s">
        <v>21</v>
      </c>
      <c r="E98" t="s">
        <v>11</v>
      </c>
      <c r="F98" t="s">
        <v>12</v>
      </c>
      <c r="G98">
        <v>95</v>
      </c>
      <c r="H98">
        <v>100</v>
      </c>
      <c r="I98">
        <v>100</v>
      </c>
      <c r="J98">
        <f>SUM(Table2[[#This Row],[math score]:[writing score]])</f>
        <v>295</v>
      </c>
      <c r="K98">
        <f>Table2[[#This Row],[Total score]]/3</f>
        <v>98.333333333333329</v>
      </c>
    </row>
    <row r="99" spans="1:11" x14ac:dyDescent="0.25">
      <c r="A99" t="s">
        <v>126</v>
      </c>
      <c r="B99" t="s">
        <v>8</v>
      </c>
      <c r="C99" t="s">
        <v>20</v>
      </c>
      <c r="D99" t="s">
        <v>10</v>
      </c>
      <c r="E99" t="s">
        <v>16</v>
      </c>
      <c r="F99" t="s">
        <v>17</v>
      </c>
      <c r="G99">
        <v>45</v>
      </c>
      <c r="H99">
        <v>52</v>
      </c>
      <c r="I99">
        <v>49</v>
      </c>
      <c r="J99">
        <f>SUM(Table2[[#This Row],[math score]:[writing score]])</f>
        <v>146</v>
      </c>
      <c r="K99">
        <f>Table2[[#This Row],[Total score]]/3</f>
        <v>48.666666666666664</v>
      </c>
    </row>
    <row r="100" spans="1:11" x14ac:dyDescent="0.25">
      <c r="A100" t="s">
        <v>127</v>
      </c>
      <c r="B100" t="s">
        <v>8</v>
      </c>
      <c r="C100" t="s">
        <v>9</v>
      </c>
      <c r="D100" t="s">
        <v>19</v>
      </c>
      <c r="E100" t="s">
        <v>11</v>
      </c>
      <c r="F100" t="s">
        <v>17</v>
      </c>
      <c r="G100">
        <v>63</v>
      </c>
      <c r="H100">
        <v>50</v>
      </c>
      <c r="I100">
        <v>49</v>
      </c>
      <c r="J100">
        <f>SUM(Table2[[#This Row],[math score]:[writing score]])</f>
        <v>162</v>
      </c>
      <c r="K100">
        <f>Table2[[#This Row],[Total score]]/3</f>
        <v>54</v>
      </c>
    </row>
    <row r="101" spans="1:11" x14ac:dyDescent="0.25">
      <c r="A101" t="s">
        <v>128</v>
      </c>
      <c r="B101" t="s">
        <v>8</v>
      </c>
      <c r="C101" t="s">
        <v>20</v>
      </c>
      <c r="D101" t="s">
        <v>21</v>
      </c>
      <c r="E101" t="s">
        <v>11</v>
      </c>
      <c r="F101" t="s">
        <v>17</v>
      </c>
      <c r="G101">
        <v>60</v>
      </c>
      <c r="H101">
        <v>54</v>
      </c>
      <c r="I101">
        <v>53</v>
      </c>
      <c r="J101">
        <f>SUM(Table2[[#This Row],[math score]:[writing score]])</f>
        <v>167</v>
      </c>
      <c r="K101">
        <f>Table2[[#This Row],[Total score]]/3</f>
        <v>55.666666666666664</v>
      </c>
    </row>
    <row r="102" spans="1:11" x14ac:dyDescent="0.25">
      <c r="A102" t="s">
        <v>129</v>
      </c>
      <c r="B102" t="s">
        <v>8</v>
      </c>
      <c r="C102" t="s">
        <v>23</v>
      </c>
      <c r="D102" t="s">
        <v>19</v>
      </c>
      <c r="E102" t="s">
        <v>16</v>
      </c>
      <c r="F102" t="s">
        <v>12</v>
      </c>
      <c r="G102">
        <v>54</v>
      </c>
      <c r="H102">
        <v>61</v>
      </c>
      <c r="I102">
        <v>62</v>
      </c>
      <c r="J102">
        <f>SUM(Table2[[#This Row],[math score]:[writing score]])</f>
        <v>177</v>
      </c>
      <c r="K102">
        <f>Table2[[#This Row],[Total score]]/3</f>
        <v>59</v>
      </c>
    </row>
    <row r="103" spans="1:11" x14ac:dyDescent="0.25">
      <c r="A103" t="s">
        <v>130</v>
      </c>
      <c r="B103" t="s">
        <v>8</v>
      </c>
      <c r="C103" t="s">
        <v>23</v>
      </c>
      <c r="D103" t="s">
        <v>19</v>
      </c>
      <c r="E103" t="s">
        <v>11</v>
      </c>
      <c r="F103" t="s">
        <v>12</v>
      </c>
      <c r="G103">
        <v>75</v>
      </c>
      <c r="H103">
        <v>78</v>
      </c>
      <c r="I103">
        <v>79</v>
      </c>
      <c r="J103">
        <f>SUM(Table2[[#This Row],[math score]:[writing score]])</f>
        <v>232</v>
      </c>
      <c r="K103">
        <f>Table2[[#This Row],[Total score]]/3</f>
        <v>77.333333333333329</v>
      </c>
    </row>
    <row r="104" spans="1:11" x14ac:dyDescent="0.25">
      <c r="A104" t="s">
        <v>131</v>
      </c>
      <c r="B104" t="s">
        <v>8</v>
      </c>
      <c r="C104" t="s">
        <v>18</v>
      </c>
      <c r="D104" t="s">
        <v>10</v>
      </c>
      <c r="E104" t="s">
        <v>11</v>
      </c>
      <c r="F104" t="s">
        <v>17</v>
      </c>
      <c r="G104">
        <v>79</v>
      </c>
      <c r="H104">
        <v>78</v>
      </c>
      <c r="I104">
        <v>77</v>
      </c>
      <c r="J104">
        <f>SUM(Table2[[#This Row],[math score]:[writing score]])</f>
        <v>234</v>
      </c>
      <c r="K104">
        <f>Table2[[#This Row],[Total score]]/3</f>
        <v>78</v>
      </c>
    </row>
    <row r="105" spans="1:11" x14ac:dyDescent="0.25">
      <c r="A105" t="s">
        <v>132</v>
      </c>
      <c r="B105" t="s">
        <v>8</v>
      </c>
      <c r="C105" t="s">
        <v>14</v>
      </c>
      <c r="D105" t="s">
        <v>10</v>
      </c>
      <c r="E105" t="s">
        <v>11</v>
      </c>
      <c r="F105" t="s">
        <v>17</v>
      </c>
      <c r="G105">
        <v>66</v>
      </c>
      <c r="H105">
        <v>67</v>
      </c>
      <c r="I105">
        <v>67</v>
      </c>
      <c r="J105">
        <f>SUM(Table2[[#This Row],[math score]:[writing score]])</f>
        <v>200</v>
      </c>
      <c r="K105">
        <f>Table2[[#This Row],[Total score]]/3</f>
        <v>66.666666666666671</v>
      </c>
    </row>
    <row r="106" spans="1:11" x14ac:dyDescent="0.25">
      <c r="A106" t="s">
        <v>133</v>
      </c>
      <c r="B106" t="s">
        <v>13</v>
      </c>
      <c r="C106" t="s">
        <v>20</v>
      </c>
      <c r="D106" t="s">
        <v>19</v>
      </c>
      <c r="E106" t="s">
        <v>11</v>
      </c>
      <c r="F106" t="s">
        <v>17</v>
      </c>
      <c r="G106">
        <v>47</v>
      </c>
      <c r="H106">
        <v>58</v>
      </c>
      <c r="I106">
        <v>58</v>
      </c>
      <c r="J106">
        <f>SUM(Table2[[#This Row],[math score]:[writing score]])</f>
        <v>163</v>
      </c>
      <c r="K106">
        <f>Table2[[#This Row],[Total score]]/3</f>
        <v>54.333333333333336</v>
      </c>
    </row>
    <row r="107" spans="1:11" x14ac:dyDescent="0.25">
      <c r="A107" t="s">
        <v>134</v>
      </c>
      <c r="B107" t="s">
        <v>13</v>
      </c>
      <c r="C107" t="s">
        <v>14</v>
      </c>
      <c r="D107" t="s">
        <v>22</v>
      </c>
      <c r="E107" t="s">
        <v>11</v>
      </c>
      <c r="F107" t="s">
        <v>17</v>
      </c>
      <c r="G107">
        <v>70</v>
      </c>
      <c r="H107">
        <v>78</v>
      </c>
      <c r="I107">
        <v>82</v>
      </c>
      <c r="J107">
        <f>SUM(Table2[[#This Row],[math score]:[writing score]])</f>
        <v>230</v>
      </c>
      <c r="K107">
        <f>Table2[[#This Row],[Total score]]/3</f>
        <v>76.666666666666671</v>
      </c>
    </row>
    <row r="108" spans="1:11" x14ac:dyDescent="0.25">
      <c r="A108" t="s">
        <v>135</v>
      </c>
      <c r="B108" t="s">
        <v>8</v>
      </c>
      <c r="C108" t="s">
        <v>14</v>
      </c>
      <c r="D108" t="s">
        <v>10</v>
      </c>
      <c r="E108" t="s">
        <v>11</v>
      </c>
      <c r="F108" t="s">
        <v>17</v>
      </c>
      <c r="G108">
        <v>82</v>
      </c>
      <c r="H108">
        <v>74</v>
      </c>
      <c r="I108">
        <v>73</v>
      </c>
      <c r="J108">
        <f>SUM(Table2[[#This Row],[math score]:[writing score]])</f>
        <v>229</v>
      </c>
      <c r="K108">
        <f>Table2[[#This Row],[Total score]]/3</f>
        <v>76.333333333333329</v>
      </c>
    </row>
    <row r="109" spans="1:11" x14ac:dyDescent="0.25">
      <c r="A109" t="s">
        <v>136</v>
      </c>
      <c r="B109" t="s">
        <v>8</v>
      </c>
      <c r="C109" t="s">
        <v>9</v>
      </c>
      <c r="D109" t="s">
        <v>22</v>
      </c>
      <c r="E109" t="s">
        <v>11</v>
      </c>
      <c r="F109" t="s">
        <v>17</v>
      </c>
      <c r="G109">
        <v>56</v>
      </c>
      <c r="H109">
        <v>38</v>
      </c>
      <c r="I109">
        <v>44</v>
      </c>
      <c r="J109">
        <f>SUM(Table2[[#This Row],[math score]:[writing score]])</f>
        <v>138</v>
      </c>
      <c r="K109">
        <f>Table2[[#This Row],[Total score]]/3</f>
        <v>46</v>
      </c>
    </row>
    <row r="110" spans="1:11" x14ac:dyDescent="0.25">
      <c r="A110" t="s">
        <v>137</v>
      </c>
      <c r="B110" t="s">
        <v>8</v>
      </c>
      <c r="C110" t="s">
        <v>20</v>
      </c>
      <c r="D110" t="s">
        <v>21</v>
      </c>
      <c r="E110" t="s">
        <v>11</v>
      </c>
      <c r="F110" t="s">
        <v>17</v>
      </c>
      <c r="G110">
        <v>92</v>
      </c>
      <c r="H110">
        <v>78</v>
      </c>
      <c r="I110">
        <v>71</v>
      </c>
      <c r="J110">
        <f>SUM(Table2[[#This Row],[math score]:[writing score]])</f>
        <v>241</v>
      </c>
      <c r="K110">
        <f>Table2[[#This Row],[Total score]]/3</f>
        <v>80.333333333333329</v>
      </c>
    </row>
    <row r="111" spans="1:11" x14ac:dyDescent="0.25">
      <c r="A111" t="s">
        <v>138</v>
      </c>
      <c r="B111" t="s">
        <v>8</v>
      </c>
      <c r="C111" t="s">
        <v>23</v>
      </c>
      <c r="D111" t="s">
        <v>19</v>
      </c>
      <c r="E111" t="s">
        <v>16</v>
      </c>
      <c r="F111" t="s">
        <v>17</v>
      </c>
      <c r="G111">
        <v>30</v>
      </c>
      <c r="H111">
        <v>33</v>
      </c>
      <c r="I111">
        <v>33</v>
      </c>
      <c r="J111">
        <f>SUM(Table2[[#This Row],[math score]:[writing score]])</f>
        <v>96</v>
      </c>
      <c r="K111">
        <f>Table2[[#This Row],[Total score]]/3</f>
        <v>32</v>
      </c>
    </row>
    <row r="112" spans="1:11" x14ac:dyDescent="0.25">
      <c r="A112" t="s">
        <v>139</v>
      </c>
      <c r="B112" t="s">
        <v>13</v>
      </c>
      <c r="C112" t="s">
        <v>23</v>
      </c>
      <c r="D112" t="s">
        <v>19</v>
      </c>
      <c r="E112" t="s">
        <v>11</v>
      </c>
      <c r="F112" t="s">
        <v>12</v>
      </c>
      <c r="G112">
        <v>79</v>
      </c>
      <c r="H112">
        <v>88</v>
      </c>
      <c r="I112">
        <v>86</v>
      </c>
      <c r="J112">
        <f>SUM(Table2[[#This Row],[math score]:[writing score]])</f>
        <v>253</v>
      </c>
      <c r="K112">
        <f>Table2[[#This Row],[Total score]]/3</f>
        <v>84.333333333333329</v>
      </c>
    </row>
    <row r="113" spans="1:11" x14ac:dyDescent="0.25">
      <c r="A113" t="s">
        <v>140</v>
      </c>
      <c r="B113" t="s">
        <v>13</v>
      </c>
      <c r="C113" t="s">
        <v>14</v>
      </c>
      <c r="D113" t="s">
        <v>15</v>
      </c>
      <c r="E113" t="s">
        <v>11</v>
      </c>
      <c r="F113" t="s">
        <v>17</v>
      </c>
      <c r="G113">
        <v>41</v>
      </c>
      <c r="H113">
        <v>52</v>
      </c>
      <c r="I113">
        <v>47</v>
      </c>
      <c r="J113">
        <f>SUM(Table2[[#This Row],[math score]:[writing score]])</f>
        <v>140</v>
      </c>
      <c r="K113">
        <f>Table2[[#This Row],[Total score]]/3</f>
        <v>46.666666666666664</v>
      </c>
    </row>
    <row r="114" spans="1:11" x14ac:dyDescent="0.25">
      <c r="A114" t="s">
        <v>141</v>
      </c>
      <c r="B114" t="s">
        <v>13</v>
      </c>
      <c r="C114" t="s">
        <v>23</v>
      </c>
      <c r="D114" t="s">
        <v>24</v>
      </c>
      <c r="E114" t="s">
        <v>11</v>
      </c>
      <c r="F114" t="s">
        <v>17</v>
      </c>
      <c r="G114">
        <v>63</v>
      </c>
      <c r="H114">
        <v>82</v>
      </c>
      <c r="I114">
        <v>71</v>
      </c>
      <c r="J114">
        <f>SUM(Table2[[#This Row],[math score]:[writing score]])</f>
        <v>216</v>
      </c>
      <c r="K114">
        <f>Table2[[#This Row],[Total score]]/3</f>
        <v>72</v>
      </c>
    </row>
    <row r="115" spans="1:11" x14ac:dyDescent="0.25">
      <c r="A115" t="s">
        <v>142</v>
      </c>
      <c r="B115" t="s">
        <v>8</v>
      </c>
      <c r="C115" t="s">
        <v>9</v>
      </c>
      <c r="D115" t="s">
        <v>22</v>
      </c>
      <c r="E115" t="s">
        <v>16</v>
      </c>
      <c r="F115" t="s">
        <v>17</v>
      </c>
      <c r="G115">
        <v>43</v>
      </c>
      <c r="H115">
        <v>34</v>
      </c>
      <c r="I115">
        <v>33</v>
      </c>
      <c r="J115">
        <f>SUM(Table2[[#This Row],[math score]:[writing score]])</f>
        <v>110</v>
      </c>
      <c r="K115">
        <f>Table2[[#This Row],[Total score]]/3</f>
        <v>36.666666666666664</v>
      </c>
    </row>
    <row r="116" spans="1:11" x14ac:dyDescent="0.25">
      <c r="A116" t="s">
        <v>143</v>
      </c>
      <c r="B116" t="s">
        <v>8</v>
      </c>
      <c r="C116" t="s">
        <v>14</v>
      </c>
      <c r="D116" t="s">
        <v>10</v>
      </c>
      <c r="E116" t="s">
        <v>11</v>
      </c>
      <c r="F116" t="s">
        <v>17</v>
      </c>
      <c r="G116">
        <v>77</v>
      </c>
      <c r="H116">
        <v>76</v>
      </c>
      <c r="I116">
        <v>74</v>
      </c>
      <c r="J116">
        <f>SUM(Table2[[#This Row],[math score]:[writing score]])</f>
        <v>227</v>
      </c>
      <c r="K116">
        <f>Table2[[#This Row],[Total score]]/3</f>
        <v>75.666666666666671</v>
      </c>
    </row>
    <row r="117" spans="1:11" x14ac:dyDescent="0.25">
      <c r="A117" t="s">
        <v>144</v>
      </c>
      <c r="B117" t="s">
        <v>8</v>
      </c>
      <c r="C117" t="s">
        <v>20</v>
      </c>
      <c r="D117" t="s">
        <v>21</v>
      </c>
      <c r="E117" t="s">
        <v>11</v>
      </c>
      <c r="F117" t="s">
        <v>12</v>
      </c>
      <c r="G117">
        <v>76</v>
      </c>
      <c r="H117">
        <v>79</v>
      </c>
      <c r="I117">
        <v>76</v>
      </c>
      <c r="J117">
        <f>SUM(Table2[[#This Row],[math score]:[writing score]])</f>
        <v>231</v>
      </c>
      <c r="K117">
        <f>Table2[[#This Row],[Total score]]/3</f>
        <v>77</v>
      </c>
    </row>
    <row r="118" spans="1:11" x14ac:dyDescent="0.25">
      <c r="A118" t="s">
        <v>145</v>
      </c>
      <c r="B118" t="s">
        <v>13</v>
      </c>
      <c r="C118" t="s">
        <v>18</v>
      </c>
      <c r="D118" t="s">
        <v>19</v>
      </c>
      <c r="E118" t="s">
        <v>16</v>
      </c>
      <c r="F118" t="s">
        <v>17</v>
      </c>
      <c r="G118">
        <v>49</v>
      </c>
      <c r="H118">
        <v>61</v>
      </c>
      <c r="I118">
        <v>63</v>
      </c>
      <c r="J118">
        <f>SUM(Table2[[#This Row],[math score]:[writing score]])</f>
        <v>173</v>
      </c>
      <c r="K118">
        <f>Table2[[#This Row],[Total score]]/3</f>
        <v>57.666666666666664</v>
      </c>
    </row>
    <row r="119" spans="1:11" x14ac:dyDescent="0.25">
      <c r="A119" t="s">
        <v>146</v>
      </c>
      <c r="B119" t="s">
        <v>8</v>
      </c>
      <c r="C119" t="s">
        <v>23</v>
      </c>
      <c r="D119" t="s">
        <v>21</v>
      </c>
      <c r="E119" t="s">
        <v>11</v>
      </c>
      <c r="F119" t="s">
        <v>12</v>
      </c>
      <c r="G119">
        <v>59</v>
      </c>
      <c r="H119">
        <v>57</v>
      </c>
      <c r="I119">
        <v>55</v>
      </c>
      <c r="J119">
        <f>SUM(Table2[[#This Row],[math score]:[writing score]])</f>
        <v>171</v>
      </c>
      <c r="K119">
        <f>Table2[[#This Row],[Total score]]/3</f>
        <v>57</v>
      </c>
    </row>
    <row r="120" spans="1:11" x14ac:dyDescent="0.25">
      <c r="A120" t="s">
        <v>147</v>
      </c>
      <c r="B120" t="s">
        <v>8</v>
      </c>
      <c r="C120" t="s">
        <v>20</v>
      </c>
      <c r="D120" t="s">
        <v>22</v>
      </c>
      <c r="E120" t="s">
        <v>16</v>
      </c>
      <c r="F120" t="s">
        <v>17</v>
      </c>
      <c r="G120">
        <v>59</v>
      </c>
      <c r="H120">
        <v>70</v>
      </c>
      <c r="I120">
        <v>58</v>
      </c>
      <c r="J120">
        <f>SUM(Table2[[#This Row],[math score]:[writing score]])</f>
        <v>187</v>
      </c>
      <c r="K120">
        <f>Table2[[#This Row],[Total score]]/3</f>
        <v>62.333333333333336</v>
      </c>
    </row>
    <row r="121" spans="1:11" x14ac:dyDescent="0.25">
      <c r="A121" t="s">
        <v>148</v>
      </c>
      <c r="B121" t="s">
        <v>13</v>
      </c>
      <c r="C121" t="s">
        <v>14</v>
      </c>
      <c r="D121" t="s">
        <v>15</v>
      </c>
      <c r="E121" t="s">
        <v>11</v>
      </c>
      <c r="F121" t="s">
        <v>12</v>
      </c>
      <c r="G121">
        <v>76</v>
      </c>
      <c r="H121">
        <v>90</v>
      </c>
      <c r="I121">
        <v>87</v>
      </c>
      <c r="J121">
        <f>SUM(Table2[[#This Row],[math score]:[writing score]])</f>
        <v>253</v>
      </c>
      <c r="K121">
        <f>Table2[[#This Row],[Total score]]/3</f>
        <v>84.333333333333329</v>
      </c>
    </row>
    <row r="122" spans="1:11" x14ac:dyDescent="0.25">
      <c r="A122" t="s">
        <v>149</v>
      </c>
      <c r="B122" t="s">
        <v>13</v>
      </c>
      <c r="C122" t="s">
        <v>23</v>
      </c>
      <c r="D122" t="s">
        <v>10</v>
      </c>
      <c r="E122" t="s">
        <v>11</v>
      </c>
      <c r="F122" t="s">
        <v>12</v>
      </c>
      <c r="G122">
        <v>55</v>
      </c>
      <c r="H122">
        <v>71</v>
      </c>
      <c r="I122">
        <v>71</v>
      </c>
      <c r="J122">
        <f>SUM(Table2[[#This Row],[math score]:[writing score]])</f>
        <v>197</v>
      </c>
      <c r="K122">
        <f>Table2[[#This Row],[Total score]]/3</f>
        <v>65.666666666666671</v>
      </c>
    </row>
    <row r="123" spans="1:11" x14ac:dyDescent="0.25">
      <c r="A123" t="s">
        <v>150</v>
      </c>
      <c r="B123" t="s">
        <v>13</v>
      </c>
      <c r="C123" t="s">
        <v>14</v>
      </c>
      <c r="D123" t="s">
        <v>22</v>
      </c>
      <c r="E123" t="s">
        <v>11</v>
      </c>
      <c r="F123" t="s">
        <v>12</v>
      </c>
      <c r="G123">
        <v>78</v>
      </c>
      <c r="H123">
        <v>87</v>
      </c>
      <c r="I123">
        <v>89</v>
      </c>
      <c r="J123">
        <f>SUM(Table2[[#This Row],[math score]:[writing score]])</f>
        <v>254</v>
      </c>
      <c r="K123">
        <f>Table2[[#This Row],[Total score]]/3</f>
        <v>84.666666666666671</v>
      </c>
    </row>
    <row r="124" spans="1:11" x14ac:dyDescent="0.25">
      <c r="A124" t="s">
        <v>151</v>
      </c>
      <c r="B124" t="s">
        <v>13</v>
      </c>
      <c r="C124" t="s">
        <v>23</v>
      </c>
      <c r="D124" t="s">
        <v>22</v>
      </c>
      <c r="E124" t="s">
        <v>11</v>
      </c>
      <c r="F124" t="s">
        <v>12</v>
      </c>
      <c r="G124">
        <v>51</v>
      </c>
      <c r="H124">
        <v>53</v>
      </c>
      <c r="I124">
        <v>62</v>
      </c>
      <c r="J124">
        <f>SUM(Table2[[#This Row],[math score]:[writing score]])</f>
        <v>166</v>
      </c>
      <c r="K124">
        <f>Table2[[#This Row],[Total score]]/3</f>
        <v>55.333333333333336</v>
      </c>
    </row>
    <row r="125" spans="1:11" x14ac:dyDescent="0.25">
      <c r="A125" t="s">
        <v>152</v>
      </c>
      <c r="B125" t="s">
        <v>13</v>
      </c>
      <c r="C125" t="s">
        <v>23</v>
      </c>
      <c r="D125" t="s">
        <v>15</v>
      </c>
      <c r="E125" t="s">
        <v>11</v>
      </c>
      <c r="F125" t="s">
        <v>12</v>
      </c>
      <c r="G125">
        <v>41</v>
      </c>
      <c r="H125">
        <v>43</v>
      </c>
      <c r="I125">
        <v>45</v>
      </c>
      <c r="J125">
        <f>SUM(Table2[[#This Row],[math score]:[writing score]])</f>
        <v>129</v>
      </c>
      <c r="K125">
        <f>Table2[[#This Row],[Total score]]/3</f>
        <v>43</v>
      </c>
    </row>
    <row r="126" spans="1:11" x14ac:dyDescent="0.25">
      <c r="A126" t="s">
        <v>153</v>
      </c>
      <c r="B126" t="s">
        <v>13</v>
      </c>
      <c r="C126" t="s">
        <v>14</v>
      </c>
      <c r="D126" t="s">
        <v>21</v>
      </c>
      <c r="E126" t="s">
        <v>11</v>
      </c>
      <c r="F126" t="s">
        <v>17</v>
      </c>
      <c r="G126">
        <v>74</v>
      </c>
      <c r="H126">
        <v>78</v>
      </c>
      <c r="I126">
        <v>86</v>
      </c>
      <c r="J126">
        <f>SUM(Table2[[#This Row],[math score]:[writing score]])</f>
        <v>238</v>
      </c>
      <c r="K126">
        <f>Table2[[#This Row],[Total score]]/3</f>
        <v>79.333333333333329</v>
      </c>
    </row>
    <row r="127" spans="1:11" x14ac:dyDescent="0.25">
      <c r="A127" t="s">
        <v>154</v>
      </c>
      <c r="B127" t="s">
        <v>8</v>
      </c>
      <c r="C127" t="s">
        <v>23</v>
      </c>
      <c r="D127" t="s">
        <v>24</v>
      </c>
      <c r="E127" t="s">
        <v>11</v>
      </c>
      <c r="F127" t="s">
        <v>17</v>
      </c>
      <c r="G127">
        <v>62</v>
      </c>
      <c r="H127">
        <v>54</v>
      </c>
      <c r="I127">
        <v>58</v>
      </c>
      <c r="J127">
        <f>SUM(Table2[[#This Row],[math score]:[writing score]])</f>
        <v>174</v>
      </c>
      <c r="K127">
        <f>Table2[[#This Row],[Total score]]/3</f>
        <v>58</v>
      </c>
    </row>
    <row r="128" spans="1:11" x14ac:dyDescent="0.25">
      <c r="A128" t="s">
        <v>155</v>
      </c>
      <c r="B128" t="s">
        <v>8</v>
      </c>
      <c r="C128" t="s">
        <v>14</v>
      </c>
      <c r="D128" t="s">
        <v>21</v>
      </c>
      <c r="E128" t="s">
        <v>11</v>
      </c>
      <c r="F128" t="s">
        <v>17</v>
      </c>
      <c r="G128">
        <v>77</v>
      </c>
      <c r="H128">
        <v>71</v>
      </c>
      <c r="I128">
        <v>64</v>
      </c>
      <c r="J128">
        <f>SUM(Table2[[#This Row],[math score]:[writing score]])</f>
        <v>212</v>
      </c>
      <c r="K128">
        <f>Table2[[#This Row],[Total score]]/3</f>
        <v>70.666666666666671</v>
      </c>
    </row>
    <row r="129" spans="1:11" x14ac:dyDescent="0.25">
      <c r="A129" t="s">
        <v>156</v>
      </c>
      <c r="B129" t="s">
        <v>8</v>
      </c>
      <c r="C129" t="s">
        <v>23</v>
      </c>
      <c r="D129" t="s">
        <v>15</v>
      </c>
      <c r="E129" t="s">
        <v>11</v>
      </c>
      <c r="F129" t="s">
        <v>17</v>
      </c>
      <c r="G129">
        <v>45</v>
      </c>
      <c r="H129">
        <v>52</v>
      </c>
      <c r="I129">
        <v>45</v>
      </c>
      <c r="J129">
        <f>SUM(Table2[[#This Row],[math score]:[writing score]])</f>
        <v>142</v>
      </c>
      <c r="K129">
        <f>Table2[[#This Row],[Total score]]/3</f>
        <v>47.333333333333336</v>
      </c>
    </row>
    <row r="130" spans="1:11" x14ac:dyDescent="0.25">
      <c r="A130" t="s">
        <v>157</v>
      </c>
      <c r="B130" t="s">
        <v>8</v>
      </c>
      <c r="C130" t="s">
        <v>18</v>
      </c>
      <c r="D130" t="s">
        <v>19</v>
      </c>
      <c r="E130" t="s">
        <v>11</v>
      </c>
      <c r="F130" t="s">
        <v>12</v>
      </c>
      <c r="G130">
        <v>100</v>
      </c>
      <c r="H130">
        <v>84</v>
      </c>
      <c r="I130">
        <v>87</v>
      </c>
      <c r="J130">
        <f>SUM(Table2[[#This Row],[math score]:[writing score]])</f>
        <v>271</v>
      </c>
      <c r="K130">
        <f>Table2[[#This Row],[Total score]]/3</f>
        <v>90.333333333333329</v>
      </c>
    </row>
    <row r="131" spans="1:11" x14ac:dyDescent="0.25">
      <c r="A131" t="s">
        <v>158</v>
      </c>
      <c r="B131" t="s">
        <v>13</v>
      </c>
      <c r="C131" t="s">
        <v>14</v>
      </c>
      <c r="D131" t="s">
        <v>21</v>
      </c>
      <c r="E131" t="s">
        <v>16</v>
      </c>
      <c r="F131" t="s">
        <v>12</v>
      </c>
      <c r="G131">
        <v>83</v>
      </c>
      <c r="H131">
        <v>95</v>
      </c>
      <c r="I131">
        <v>100</v>
      </c>
      <c r="J131">
        <f>SUM(Table2[[#This Row],[math score]:[writing score]])</f>
        <v>278</v>
      </c>
      <c r="K131">
        <f>Table2[[#This Row],[Total score]]/3</f>
        <v>92.666666666666671</v>
      </c>
    </row>
    <row r="132" spans="1:11" x14ac:dyDescent="0.25">
      <c r="A132" t="s">
        <v>159</v>
      </c>
      <c r="B132" t="s">
        <v>13</v>
      </c>
      <c r="C132" t="s">
        <v>18</v>
      </c>
      <c r="D132" t="s">
        <v>21</v>
      </c>
      <c r="E132" t="s">
        <v>16</v>
      </c>
      <c r="F132" t="s">
        <v>12</v>
      </c>
      <c r="G132">
        <v>77</v>
      </c>
      <c r="H132">
        <v>75</v>
      </c>
      <c r="I132">
        <v>82</v>
      </c>
      <c r="J132">
        <f>SUM(Table2[[#This Row],[math score]:[writing score]])</f>
        <v>234</v>
      </c>
      <c r="K132">
        <f>Table2[[#This Row],[Total score]]/3</f>
        <v>78</v>
      </c>
    </row>
    <row r="133" spans="1:11" x14ac:dyDescent="0.25">
      <c r="A133" t="s">
        <v>160</v>
      </c>
      <c r="B133" t="s">
        <v>8</v>
      </c>
      <c r="C133" t="s">
        <v>23</v>
      </c>
      <c r="D133" t="s">
        <v>10</v>
      </c>
      <c r="E133" t="s">
        <v>11</v>
      </c>
      <c r="F133" t="s">
        <v>12</v>
      </c>
      <c r="G133">
        <v>66</v>
      </c>
      <c r="H133">
        <v>70</v>
      </c>
      <c r="I133">
        <v>64</v>
      </c>
      <c r="J133">
        <f>SUM(Table2[[#This Row],[math score]:[writing score]])</f>
        <v>200</v>
      </c>
      <c r="K133">
        <f>Table2[[#This Row],[Total score]]/3</f>
        <v>66.666666666666671</v>
      </c>
    </row>
    <row r="134" spans="1:11" x14ac:dyDescent="0.25">
      <c r="A134" t="s">
        <v>161</v>
      </c>
      <c r="B134" t="s">
        <v>8</v>
      </c>
      <c r="C134" t="s">
        <v>20</v>
      </c>
      <c r="D134" t="s">
        <v>19</v>
      </c>
      <c r="E134" t="s">
        <v>11</v>
      </c>
      <c r="F134" t="s">
        <v>17</v>
      </c>
      <c r="G134">
        <v>65</v>
      </c>
      <c r="H134">
        <v>63</v>
      </c>
      <c r="I134">
        <v>57</v>
      </c>
      <c r="J134">
        <f>SUM(Table2[[#This Row],[math score]:[writing score]])</f>
        <v>185</v>
      </c>
      <c r="K134">
        <f>Table2[[#This Row],[Total score]]/3</f>
        <v>61.666666666666664</v>
      </c>
    </row>
    <row r="135" spans="1:11" x14ac:dyDescent="0.25">
      <c r="A135" t="s">
        <v>162</v>
      </c>
      <c r="B135" t="s">
        <v>8</v>
      </c>
      <c r="C135" t="s">
        <v>14</v>
      </c>
      <c r="D135" t="s">
        <v>21</v>
      </c>
      <c r="E135" t="s">
        <v>11</v>
      </c>
      <c r="F135" t="s">
        <v>17</v>
      </c>
      <c r="G135">
        <v>62</v>
      </c>
      <c r="H135">
        <v>55</v>
      </c>
      <c r="I135">
        <v>56</v>
      </c>
      <c r="J135">
        <f>SUM(Table2[[#This Row],[math score]:[writing score]])</f>
        <v>173</v>
      </c>
      <c r="K135">
        <f>Table2[[#This Row],[Total score]]/3</f>
        <v>57.666666666666664</v>
      </c>
    </row>
    <row r="136" spans="1:11" x14ac:dyDescent="0.25">
      <c r="A136" t="s">
        <v>163</v>
      </c>
      <c r="B136" t="s">
        <v>8</v>
      </c>
      <c r="C136" t="s">
        <v>18</v>
      </c>
      <c r="D136" t="s">
        <v>19</v>
      </c>
      <c r="E136" t="s">
        <v>11</v>
      </c>
      <c r="F136" t="s">
        <v>17</v>
      </c>
      <c r="G136">
        <v>55</v>
      </c>
      <c r="H136">
        <v>54</v>
      </c>
      <c r="I136">
        <v>54</v>
      </c>
      <c r="J136">
        <f>SUM(Table2[[#This Row],[math score]:[writing score]])</f>
        <v>163</v>
      </c>
      <c r="K136">
        <f>Table2[[#This Row],[Total score]]/3</f>
        <v>54.333333333333336</v>
      </c>
    </row>
    <row r="137" spans="1:11" x14ac:dyDescent="0.25">
      <c r="A137" t="s">
        <v>164</v>
      </c>
      <c r="B137" t="s">
        <v>8</v>
      </c>
      <c r="C137" t="s">
        <v>23</v>
      </c>
      <c r="D137" t="s">
        <v>15</v>
      </c>
      <c r="E137" t="s">
        <v>16</v>
      </c>
      <c r="F137" t="s">
        <v>17</v>
      </c>
      <c r="G137">
        <v>73</v>
      </c>
      <c r="H137">
        <v>78</v>
      </c>
      <c r="I137">
        <v>69</v>
      </c>
      <c r="J137">
        <f>SUM(Table2[[#This Row],[math score]:[writing score]])</f>
        <v>220</v>
      </c>
      <c r="K137">
        <f>Table2[[#This Row],[Total score]]/3</f>
        <v>73.333333333333329</v>
      </c>
    </row>
    <row r="138" spans="1:11" x14ac:dyDescent="0.25">
      <c r="A138" t="s">
        <v>165</v>
      </c>
      <c r="B138" t="s">
        <v>8</v>
      </c>
      <c r="C138" t="s">
        <v>9</v>
      </c>
      <c r="D138" t="s">
        <v>19</v>
      </c>
      <c r="E138" t="s">
        <v>11</v>
      </c>
      <c r="F138" t="s">
        <v>12</v>
      </c>
      <c r="G138">
        <v>73</v>
      </c>
      <c r="H138">
        <v>81</v>
      </c>
      <c r="I138">
        <v>76</v>
      </c>
      <c r="J138">
        <f>SUM(Table2[[#This Row],[math score]:[writing score]])</f>
        <v>230</v>
      </c>
      <c r="K138">
        <f>Table2[[#This Row],[Total score]]/3</f>
        <v>76.666666666666671</v>
      </c>
    </row>
    <row r="139" spans="1:11" x14ac:dyDescent="0.25">
      <c r="A139" t="s">
        <v>166</v>
      </c>
      <c r="B139" t="s">
        <v>13</v>
      </c>
      <c r="C139" t="s">
        <v>20</v>
      </c>
      <c r="D139" t="s">
        <v>21</v>
      </c>
      <c r="E139" t="s">
        <v>11</v>
      </c>
      <c r="F139" t="s">
        <v>12</v>
      </c>
      <c r="G139">
        <v>48</v>
      </c>
      <c r="H139">
        <v>66</v>
      </c>
      <c r="I139">
        <v>68</v>
      </c>
      <c r="J139">
        <f>SUM(Table2[[#This Row],[math score]:[writing score]])</f>
        <v>182</v>
      </c>
      <c r="K139">
        <f>Table2[[#This Row],[Total score]]/3</f>
        <v>60.666666666666664</v>
      </c>
    </row>
    <row r="140" spans="1:11" x14ac:dyDescent="0.25">
      <c r="A140" t="s">
        <v>167</v>
      </c>
      <c r="B140" t="s">
        <v>8</v>
      </c>
      <c r="C140" t="s">
        <v>14</v>
      </c>
      <c r="D140" t="s">
        <v>19</v>
      </c>
      <c r="E140" t="s">
        <v>16</v>
      </c>
      <c r="F140" t="s">
        <v>17</v>
      </c>
      <c r="G140">
        <v>52</v>
      </c>
      <c r="H140">
        <v>44</v>
      </c>
      <c r="I140">
        <v>49</v>
      </c>
      <c r="J140">
        <f>SUM(Table2[[#This Row],[math score]:[writing score]])</f>
        <v>145</v>
      </c>
      <c r="K140">
        <f>Table2[[#This Row],[Total score]]/3</f>
        <v>48.333333333333336</v>
      </c>
    </row>
    <row r="141" spans="1:11" x14ac:dyDescent="0.25">
      <c r="A141" t="s">
        <v>168</v>
      </c>
      <c r="B141" t="s">
        <v>13</v>
      </c>
      <c r="C141" t="s">
        <v>23</v>
      </c>
      <c r="D141" t="s">
        <v>15</v>
      </c>
      <c r="E141" t="s">
        <v>16</v>
      </c>
      <c r="F141" t="s">
        <v>17</v>
      </c>
      <c r="G141">
        <v>60</v>
      </c>
      <c r="H141">
        <v>72</v>
      </c>
      <c r="I141">
        <v>64</v>
      </c>
      <c r="J141">
        <f>SUM(Table2[[#This Row],[math score]:[writing score]])</f>
        <v>196</v>
      </c>
      <c r="K141">
        <f>Table2[[#This Row],[Total score]]/3</f>
        <v>65.333333333333329</v>
      </c>
    </row>
    <row r="142" spans="1:11" x14ac:dyDescent="0.25">
      <c r="A142" t="s">
        <v>169</v>
      </c>
      <c r="B142" t="s">
        <v>8</v>
      </c>
      <c r="C142" t="s">
        <v>20</v>
      </c>
      <c r="D142" t="s">
        <v>21</v>
      </c>
      <c r="E142" t="s">
        <v>16</v>
      </c>
      <c r="F142" t="s">
        <v>17</v>
      </c>
      <c r="G142">
        <v>68</v>
      </c>
      <c r="H142">
        <v>63</v>
      </c>
      <c r="I142">
        <v>57</v>
      </c>
      <c r="J142">
        <f>SUM(Table2[[#This Row],[math score]:[writing score]])</f>
        <v>188</v>
      </c>
      <c r="K142">
        <f>Table2[[#This Row],[Total score]]/3</f>
        <v>62.666666666666664</v>
      </c>
    </row>
    <row r="143" spans="1:11" x14ac:dyDescent="0.25">
      <c r="A143" t="s">
        <v>170</v>
      </c>
      <c r="B143" t="s">
        <v>13</v>
      </c>
      <c r="C143" t="s">
        <v>14</v>
      </c>
      <c r="D143" t="s">
        <v>19</v>
      </c>
      <c r="E143" t="s">
        <v>16</v>
      </c>
      <c r="F143" t="s">
        <v>17</v>
      </c>
      <c r="G143">
        <v>65</v>
      </c>
      <c r="H143">
        <v>77</v>
      </c>
      <c r="I143">
        <v>83</v>
      </c>
      <c r="J143">
        <f>SUM(Table2[[#This Row],[math score]:[writing score]])</f>
        <v>225</v>
      </c>
      <c r="K143">
        <f>Table2[[#This Row],[Total score]]/3</f>
        <v>75</v>
      </c>
    </row>
    <row r="144" spans="1:11" x14ac:dyDescent="0.25">
      <c r="A144" t="s">
        <v>171</v>
      </c>
      <c r="B144" t="s">
        <v>13</v>
      </c>
      <c r="C144" t="s">
        <v>14</v>
      </c>
      <c r="D144" t="s">
        <v>22</v>
      </c>
      <c r="E144" t="s">
        <v>11</v>
      </c>
      <c r="F144" t="s">
        <v>17</v>
      </c>
      <c r="G144">
        <v>86</v>
      </c>
      <c r="H144">
        <v>83</v>
      </c>
      <c r="I144">
        <v>87</v>
      </c>
      <c r="J144">
        <f>SUM(Table2[[#This Row],[math score]:[writing score]])</f>
        <v>256</v>
      </c>
      <c r="K144">
        <f>Table2[[#This Row],[Total score]]/3</f>
        <v>85.333333333333329</v>
      </c>
    </row>
    <row r="145" spans="1:11" x14ac:dyDescent="0.25">
      <c r="A145" t="s">
        <v>172</v>
      </c>
      <c r="B145" t="s">
        <v>13</v>
      </c>
      <c r="C145" t="s">
        <v>20</v>
      </c>
      <c r="D145" t="s">
        <v>21</v>
      </c>
      <c r="E145" t="s">
        <v>11</v>
      </c>
      <c r="F145" t="s">
        <v>17</v>
      </c>
      <c r="G145">
        <v>55</v>
      </c>
      <c r="H145">
        <v>62</v>
      </c>
      <c r="I145">
        <v>60</v>
      </c>
      <c r="J145">
        <f>SUM(Table2[[#This Row],[math score]:[writing score]])</f>
        <v>177</v>
      </c>
      <c r="K145">
        <f>Table2[[#This Row],[Total score]]/3</f>
        <v>59</v>
      </c>
    </row>
    <row r="146" spans="1:11" x14ac:dyDescent="0.25">
      <c r="A146" t="s">
        <v>173</v>
      </c>
      <c r="B146" t="s">
        <v>8</v>
      </c>
      <c r="C146" t="s">
        <v>20</v>
      </c>
      <c r="D146" t="s">
        <v>24</v>
      </c>
      <c r="E146" t="s">
        <v>11</v>
      </c>
      <c r="F146" t="s">
        <v>12</v>
      </c>
      <c r="G146">
        <v>80</v>
      </c>
      <c r="H146">
        <v>71</v>
      </c>
      <c r="I146">
        <v>68</v>
      </c>
      <c r="J146">
        <f>SUM(Table2[[#This Row],[math score]:[writing score]])</f>
        <v>219</v>
      </c>
      <c r="K146">
        <f>Table2[[#This Row],[Total score]]/3</f>
        <v>73</v>
      </c>
    </row>
    <row r="147" spans="1:11" x14ac:dyDescent="0.25">
      <c r="A147" t="s">
        <v>174</v>
      </c>
      <c r="B147" t="s">
        <v>13</v>
      </c>
      <c r="C147" t="s">
        <v>20</v>
      </c>
      <c r="D147" t="s">
        <v>10</v>
      </c>
      <c r="E147" t="s">
        <v>16</v>
      </c>
      <c r="F147" t="s">
        <v>17</v>
      </c>
      <c r="G147">
        <v>51</v>
      </c>
      <c r="H147">
        <v>57</v>
      </c>
      <c r="I147">
        <v>57</v>
      </c>
      <c r="J147">
        <f>SUM(Table2[[#This Row],[math score]:[writing score]])</f>
        <v>165</v>
      </c>
      <c r="K147">
        <f>Table2[[#This Row],[Total score]]/3</f>
        <v>55</v>
      </c>
    </row>
    <row r="148" spans="1:11" x14ac:dyDescent="0.25">
      <c r="A148" t="s">
        <v>175</v>
      </c>
      <c r="B148" t="s">
        <v>13</v>
      </c>
      <c r="C148" t="s">
        <v>20</v>
      </c>
      <c r="D148" t="s">
        <v>15</v>
      </c>
      <c r="E148" t="s">
        <v>11</v>
      </c>
      <c r="F148" t="s">
        <v>12</v>
      </c>
      <c r="G148">
        <v>63</v>
      </c>
      <c r="H148">
        <v>61</v>
      </c>
      <c r="I148">
        <v>66</v>
      </c>
      <c r="J148">
        <f>SUM(Table2[[#This Row],[math score]:[writing score]])</f>
        <v>190</v>
      </c>
      <c r="K148">
        <f>Table2[[#This Row],[Total score]]/3</f>
        <v>63.333333333333336</v>
      </c>
    </row>
    <row r="149" spans="1:11" x14ac:dyDescent="0.25">
      <c r="A149" t="s">
        <v>176</v>
      </c>
      <c r="B149" t="s">
        <v>8</v>
      </c>
      <c r="C149" t="s">
        <v>18</v>
      </c>
      <c r="D149" t="s">
        <v>19</v>
      </c>
      <c r="E149" t="s">
        <v>11</v>
      </c>
      <c r="F149" t="s">
        <v>17</v>
      </c>
      <c r="G149">
        <v>60</v>
      </c>
      <c r="H149">
        <v>55</v>
      </c>
      <c r="I149">
        <v>46</v>
      </c>
      <c r="J149">
        <f>SUM(Table2[[#This Row],[math score]:[writing score]])</f>
        <v>161</v>
      </c>
      <c r="K149">
        <f>Table2[[#This Row],[Total score]]/3</f>
        <v>53.666666666666664</v>
      </c>
    </row>
    <row r="150" spans="1:11" x14ac:dyDescent="0.25">
      <c r="A150" t="s">
        <v>177</v>
      </c>
      <c r="B150" t="s">
        <v>13</v>
      </c>
      <c r="C150" t="s">
        <v>18</v>
      </c>
      <c r="D150" t="s">
        <v>22</v>
      </c>
      <c r="E150" t="s">
        <v>11</v>
      </c>
      <c r="F150" t="s">
        <v>12</v>
      </c>
      <c r="G150">
        <v>100</v>
      </c>
      <c r="H150">
        <v>100</v>
      </c>
      <c r="I150">
        <v>100</v>
      </c>
      <c r="J150">
        <f>SUM(Table2[[#This Row],[math score]:[writing score]])</f>
        <v>300</v>
      </c>
      <c r="K150">
        <f>Table2[[#This Row],[Total score]]/3</f>
        <v>100</v>
      </c>
    </row>
    <row r="151" spans="1:11" x14ac:dyDescent="0.25">
      <c r="A151" t="s">
        <v>178</v>
      </c>
      <c r="B151" t="s">
        <v>8</v>
      </c>
      <c r="C151" t="s">
        <v>9</v>
      </c>
      <c r="D151" t="s">
        <v>21</v>
      </c>
      <c r="E151" t="s">
        <v>16</v>
      </c>
      <c r="F151" t="s">
        <v>17</v>
      </c>
      <c r="G151">
        <v>46</v>
      </c>
      <c r="H151">
        <v>44</v>
      </c>
      <c r="I151">
        <v>44</v>
      </c>
      <c r="J151">
        <f>SUM(Table2[[#This Row],[math score]:[writing score]])</f>
        <v>134</v>
      </c>
      <c r="K151">
        <f>Table2[[#This Row],[Total score]]/3</f>
        <v>44.666666666666664</v>
      </c>
    </row>
    <row r="152" spans="1:11" x14ac:dyDescent="0.25">
      <c r="A152" t="s">
        <v>179</v>
      </c>
      <c r="B152" t="s">
        <v>13</v>
      </c>
      <c r="C152" t="s">
        <v>23</v>
      </c>
      <c r="D152" t="s">
        <v>19</v>
      </c>
      <c r="E152" t="s">
        <v>11</v>
      </c>
      <c r="F152" t="s">
        <v>12</v>
      </c>
      <c r="G152">
        <v>67</v>
      </c>
      <c r="H152">
        <v>78</v>
      </c>
      <c r="I152">
        <v>80</v>
      </c>
      <c r="J152">
        <f>SUM(Table2[[#This Row],[math score]:[writing score]])</f>
        <v>225</v>
      </c>
      <c r="K152">
        <f>Table2[[#This Row],[Total score]]/3</f>
        <v>75</v>
      </c>
    </row>
    <row r="153" spans="1:11" x14ac:dyDescent="0.25">
      <c r="A153" t="s">
        <v>180</v>
      </c>
      <c r="B153" t="s">
        <v>13</v>
      </c>
      <c r="C153" t="s">
        <v>23</v>
      </c>
      <c r="D153" t="s">
        <v>10</v>
      </c>
      <c r="E153" t="s">
        <v>16</v>
      </c>
      <c r="F153" t="s">
        <v>17</v>
      </c>
      <c r="G153">
        <v>54</v>
      </c>
      <c r="H153">
        <v>67</v>
      </c>
      <c r="I153">
        <v>59</v>
      </c>
      <c r="J153">
        <f>SUM(Table2[[#This Row],[math score]:[writing score]])</f>
        <v>180</v>
      </c>
      <c r="K153">
        <f>Table2[[#This Row],[Total score]]/3</f>
        <v>60</v>
      </c>
    </row>
    <row r="154" spans="1:11" x14ac:dyDescent="0.25">
      <c r="A154" t="s">
        <v>181</v>
      </c>
      <c r="B154" t="s">
        <v>13</v>
      </c>
      <c r="C154" t="s">
        <v>20</v>
      </c>
      <c r="D154" t="s">
        <v>21</v>
      </c>
      <c r="E154" t="s">
        <v>11</v>
      </c>
      <c r="F154" t="s">
        <v>17</v>
      </c>
      <c r="G154">
        <v>63</v>
      </c>
      <c r="H154">
        <v>79</v>
      </c>
      <c r="I154">
        <v>76</v>
      </c>
      <c r="J154">
        <f>SUM(Table2[[#This Row],[math score]:[writing score]])</f>
        <v>218</v>
      </c>
      <c r="K154">
        <f>Table2[[#This Row],[Total score]]/3</f>
        <v>72.666666666666671</v>
      </c>
    </row>
    <row r="155" spans="1:11" x14ac:dyDescent="0.25">
      <c r="A155" t="s">
        <v>182</v>
      </c>
      <c r="B155" t="s">
        <v>8</v>
      </c>
      <c r="C155" t="s">
        <v>14</v>
      </c>
      <c r="D155" t="s">
        <v>22</v>
      </c>
      <c r="E155" t="s">
        <v>11</v>
      </c>
      <c r="F155" t="s">
        <v>17</v>
      </c>
      <c r="G155">
        <v>68</v>
      </c>
      <c r="H155">
        <v>66</v>
      </c>
      <c r="I155">
        <v>73</v>
      </c>
      <c r="J155">
        <f>SUM(Table2[[#This Row],[math score]:[writing score]])</f>
        <v>207</v>
      </c>
      <c r="K155">
        <f>Table2[[#This Row],[Total score]]/3</f>
        <v>69</v>
      </c>
    </row>
    <row r="156" spans="1:11" x14ac:dyDescent="0.25">
      <c r="A156" t="s">
        <v>183</v>
      </c>
      <c r="B156" t="s">
        <v>13</v>
      </c>
      <c r="C156" t="s">
        <v>23</v>
      </c>
      <c r="D156" t="s">
        <v>21</v>
      </c>
      <c r="E156" t="s">
        <v>16</v>
      </c>
      <c r="F156" t="s">
        <v>17</v>
      </c>
      <c r="G156">
        <v>54</v>
      </c>
      <c r="H156">
        <v>63</v>
      </c>
      <c r="I156">
        <v>58</v>
      </c>
      <c r="J156">
        <f>SUM(Table2[[#This Row],[math score]:[writing score]])</f>
        <v>175</v>
      </c>
      <c r="K156">
        <f>Table2[[#This Row],[Total score]]/3</f>
        <v>58.333333333333336</v>
      </c>
    </row>
    <row r="157" spans="1:11" x14ac:dyDescent="0.25">
      <c r="A157" t="s">
        <v>184</v>
      </c>
      <c r="B157" t="s">
        <v>13</v>
      </c>
      <c r="C157" t="s">
        <v>23</v>
      </c>
      <c r="D157" t="s">
        <v>19</v>
      </c>
      <c r="E157" t="s">
        <v>11</v>
      </c>
      <c r="F157" t="s">
        <v>17</v>
      </c>
      <c r="G157">
        <v>43</v>
      </c>
      <c r="H157">
        <v>44</v>
      </c>
      <c r="I157">
        <v>47</v>
      </c>
      <c r="J157">
        <f>SUM(Table2[[#This Row],[math score]:[writing score]])</f>
        <v>134</v>
      </c>
      <c r="K157">
        <f>Table2[[#This Row],[Total score]]/3</f>
        <v>44.666666666666664</v>
      </c>
    </row>
    <row r="158" spans="1:11" x14ac:dyDescent="0.25">
      <c r="A158" t="s">
        <v>185</v>
      </c>
      <c r="B158" t="s">
        <v>8</v>
      </c>
      <c r="C158" t="s">
        <v>20</v>
      </c>
      <c r="D158" t="s">
        <v>10</v>
      </c>
      <c r="E158" t="s">
        <v>16</v>
      </c>
      <c r="F158" t="s">
        <v>17</v>
      </c>
      <c r="G158">
        <v>64</v>
      </c>
      <c r="H158">
        <v>64</v>
      </c>
      <c r="I158">
        <v>59</v>
      </c>
      <c r="J158">
        <f>SUM(Table2[[#This Row],[math score]:[writing score]])</f>
        <v>187</v>
      </c>
      <c r="K158">
        <f>Table2[[#This Row],[Total score]]/3</f>
        <v>62.333333333333336</v>
      </c>
    </row>
    <row r="159" spans="1:11" x14ac:dyDescent="0.25">
      <c r="A159" t="s">
        <v>186</v>
      </c>
      <c r="B159" t="s">
        <v>13</v>
      </c>
      <c r="C159" t="s">
        <v>18</v>
      </c>
      <c r="D159" t="s">
        <v>21</v>
      </c>
      <c r="E159" t="s">
        <v>16</v>
      </c>
      <c r="F159" t="s">
        <v>17</v>
      </c>
      <c r="G159">
        <v>92</v>
      </c>
      <c r="H159">
        <v>87</v>
      </c>
      <c r="I159">
        <v>87</v>
      </c>
      <c r="J159">
        <f>SUM(Table2[[#This Row],[math score]:[writing score]])</f>
        <v>266</v>
      </c>
      <c r="K159">
        <f>Table2[[#This Row],[Total score]]/3</f>
        <v>88.666666666666671</v>
      </c>
    </row>
    <row r="160" spans="1:11" x14ac:dyDescent="0.25">
      <c r="A160" t="s">
        <v>187</v>
      </c>
      <c r="B160" t="s">
        <v>13</v>
      </c>
      <c r="C160" t="s">
        <v>14</v>
      </c>
      <c r="D160" t="s">
        <v>21</v>
      </c>
      <c r="E160" t="s">
        <v>16</v>
      </c>
      <c r="F160" t="s">
        <v>17</v>
      </c>
      <c r="G160">
        <v>82</v>
      </c>
      <c r="H160">
        <v>95</v>
      </c>
      <c r="I160">
        <v>93</v>
      </c>
      <c r="J160">
        <f>SUM(Table2[[#This Row],[math score]:[writing score]])</f>
        <v>270</v>
      </c>
      <c r="K160">
        <f>Table2[[#This Row],[Total score]]/3</f>
        <v>90</v>
      </c>
    </row>
    <row r="161" spans="1:11" x14ac:dyDescent="0.25">
      <c r="A161" t="s">
        <v>188</v>
      </c>
      <c r="B161" t="s">
        <v>8</v>
      </c>
      <c r="C161" t="s">
        <v>18</v>
      </c>
      <c r="D161" t="s">
        <v>15</v>
      </c>
      <c r="E161" t="s">
        <v>16</v>
      </c>
      <c r="F161" t="s">
        <v>17</v>
      </c>
      <c r="G161">
        <v>84</v>
      </c>
      <c r="H161">
        <v>78</v>
      </c>
      <c r="I161">
        <v>79</v>
      </c>
      <c r="J161">
        <f>SUM(Table2[[#This Row],[math score]:[writing score]])</f>
        <v>241</v>
      </c>
      <c r="K161">
        <f>Table2[[#This Row],[Total score]]/3</f>
        <v>80.333333333333329</v>
      </c>
    </row>
    <row r="162" spans="1:11" x14ac:dyDescent="0.25">
      <c r="A162" t="s">
        <v>189</v>
      </c>
      <c r="B162" t="s">
        <v>13</v>
      </c>
      <c r="C162" t="s">
        <v>14</v>
      </c>
      <c r="D162" t="s">
        <v>21</v>
      </c>
      <c r="E162" t="s">
        <v>11</v>
      </c>
      <c r="F162" t="s">
        <v>12</v>
      </c>
      <c r="G162">
        <v>84</v>
      </c>
      <c r="H162">
        <v>98</v>
      </c>
      <c r="I162">
        <v>97</v>
      </c>
      <c r="J162">
        <f>SUM(Table2[[#This Row],[math score]:[writing score]])</f>
        <v>279</v>
      </c>
      <c r="K162">
        <f>Table2[[#This Row],[Total score]]/3</f>
        <v>93</v>
      </c>
    </row>
    <row r="163" spans="1:11" x14ac:dyDescent="0.25">
      <c r="A163" t="s">
        <v>190</v>
      </c>
      <c r="B163" t="s">
        <v>8</v>
      </c>
      <c r="C163" t="s">
        <v>14</v>
      </c>
      <c r="D163" t="s">
        <v>21</v>
      </c>
      <c r="E163" t="s">
        <v>16</v>
      </c>
      <c r="F163" t="s">
        <v>17</v>
      </c>
      <c r="G163">
        <v>65</v>
      </c>
      <c r="H163">
        <v>63</v>
      </c>
      <c r="I163">
        <v>65</v>
      </c>
      <c r="J163">
        <f>SUM(Table2[[#This Row],[math score]:[writing score]])</f>
        <v>193</v>
      </c>
      <c r="K163">
        <f>Table2[[#This Row],[Total score]]/3</f>
        <v>64.333333333333329</v>
      </c>
    </row>
    <row r="164" spans="1:11" x14ac:dyDescent="0.25">
      <c r="A164" t="s">
        <v>191</v>
      </c>
      <c r="B164" t="s">
        <v>13</v>
      </c>
      <c r="C164" t="s">
        <v>23</v>
      </c>
      <c r="D164" t="s">
        <v>22</v>
      </c>
      <c r="E164" t="s">
        <v>11</v>
      </c>
      <c r="F164" t="s">
        <v>17</v>
      </c>
      <c r="G164">
        <v>83</v>
      </c>
      <c r="H164">
        <v>92</v>
      </c>
      <c r="I164">
        <v>91</v>
      </c>
      <c r="J164">
        <f>SUM(Table2[[#This Row],[math score]:[writing score]])</f>
        <v>266</v>
      </c>
      <c r="K164">
        <f>Table2[[#This Row],[Total score]]/3</f>
        <v>88.666666666666671</v>
      </c>
    </row>
    <row r="165" spans="1:11" x14ac:dyDescent="0.25">
      <c r="A165" t="s">
        <v>192</v>
      </c>
      <c r="B165" t="s">
        <v>13</v>
      </c>
      <c r="C165" t="s">
        <v>20</v>
      </c>
      <c r="D165" t="s">
        <v>15</v>
      </c>
      <c r="E165" t="s">
        <v>11</v>
      </c>
      <c r="F165" t="s">
        <v>12</v>
      </c>
      <c r="G165">
        <v>70</v>
      </c>
      <c r="H165">
        <v>75</v>
      </c>
      <c r="I165">
        <v>75</v>
      </c>
      <c r="J165">
        <f>SUM(Table2[[#This Row],[math score]:[writing score]])</f>
        <v>220</v>
      </c>
      <c r="K165">
        <f>Table2[[#This Row],[Total score]]/3</f>
        <v>73.333333333333329</v>
      </c>
    </row>
    <row r="166" spans="1:11" x14ac:dyDescent="0.25">
      <c r="A166" t="s">
        <v>193</v>
      </c>
      <c r="B166" t="s">
        <v>8</v>
      </c>
      <c r="C166" t="s">
        <v>9</v>
      </c>
      <c r="D166" t="s">
        <v>22</v>
      </c>
      <c r="E166" t="s">
        <v>11</v>
      </c>
      <c r="F166" t="s">
        <v>12</v>
      </c>
      <c r="G166">
        <v>66</v>
      </c>
      <c r="H166">
        <v>72</v>
      </c>
      <c r="I166">
        <v>70</v>
      </c>
      <c r="J166">
        <f>SUM(Table2[[#This Row],[math score]:[writing score]])</f>
        <v>208</v>
      </c>
      <c r="K166">
        <f>Table2[[#This Row],[Total score]]/3</f>
        <v>69.333333333333329</v>
      </c>
    </row>
    <row r="167" spans="1:11" x14ac:dyDescent="0.25">
      <c r="A167" t="s">
        <v>194</v>
      </c>
      <c r="B167" t="s">
        <v>13</v>
      </c>
      <c r="C167" t="s">
        <v>14</v>
      </c>
      <c r="D167" t="s">
        <v>22</v>
      </c>
      <c r="E167" t="s">
        <v>11</v>
      </c>
      <c r="F167" t="s">
        <v>12</v>
      </c>
      <c r="G167">
        <v>71</v>
      </c>
      <c r="H167">
        <v>87</v>
      </c>
      <c r="I167">
        <v>92</v>
      </c>
      <c r="J167">
        <f>SUM(Table2[[#This Row],[math score]:[writing score]])</f>
        <v>250</v>
      </c>
      <c r="K167">
        <f>Table2[[#This Row],[Total score]]/3</f>
        <v>83.333333333333329</v>
      </c>
    </row>
    <row r="168" spans="1:11" x14ac:dyDescent="0.25">
      <c r="A168" t="s">
        <v>195</v>
      </c>
      <c r="B168" t="s">
        <v>8</v>
      </c>
      <c r="C168" t="s">
        <v>20</v>
      </c>
      <c r="D168" t="s">
        <v>22</v>
      </c>
      <c r="E168" t="s">
        <v>11</v>
      </c>
      <c r="F168" t="s">
        <v>17</v>
      </c>
      <c r="G168">
        <v>66</v>
      </c>
      <c r="H168">
        <v>64</v>
      </c>
      <c r="I168">
        <v>58</v>
      </c>
      <c r="J168">
        <f>SUM(Table2[[#This Row],[math score]:[writing score]])</f>
        <v>188</v>
      </c>
      <c r="K168">
        <f>Table2[[#This Row],[Total score]]/3</f>
        <v>62.666666666666664</v>
      </c>
    </row>
    <row r="169" spans="1:11" x14ac:dyDescent="0.25">
      <c r="A169" t="s">
        <v>196</v>
      </c>
      <c r="B169" t="s">
        <v>13</v>
      </c>
      <c r="C169" t="s">
        <v>20</v>
      </c>
      <c r="D169" t="s">
        <v>15</v>
      </c>
      <c r="E169" t="s">
        <v>11</v>
      </c>
      <c r="F169" t="s">
        <v>12</v>
      </c>
      <c r="G169">
        <v>57</v>
      </c>
      <c r="H169">
        <v>64</v>
      </c>
      <c r="I169">
        <v>68</v>
      </c>
      <c r="J169">
        <f>SUM(Table2[[#This Row],[math score]:[writing score]])</f>
        <v>189</v>
      </c>
      <c r="K169">
        <f>Table2[[#This Row],[Total score]]/3</f>
        <v>63</v>
      </c>
    </row>
    <row r="170" spans="1:11" x14ac:dyDescent="0.25">
      <c r="A170" t="s">
        <v>197</v>
      </c>
      <c r="B170" t="s">
        <v>13</v>
      </c>
      <c r="C170" t="s">
        <v>23</v>
      </c>
      <c r="D170" t="s">
        <v>24</v>
      </c>
      <c r="E170" t="s">
        <v>11</v>
      </c>
      <c r="F170" t="s">
        <v>17</v>
      </c>
      <c r="G170">
        <v>86</v>
      </c>
      <c r="H170">
        <v>90</v>
      </c>
      <c r="I170">
        <v>93</v>
      </c>
      <c r="J170">
        <f>SUM(Table2[[#This Row],[math score]:[writing score]])</f>
        <v>269</v>
      </c>
      <c r="K170">
        <f>Table2[[#This Row],[Total score]]/3</f>
        <v>89.666666666666671</v>
      </c>
    </row>
    <row r="171" spans="1:11" x14ac:dyDescent="0.25">
      <c r="A171" t="s">
        <v>198</v>
      </c>
      <c r="B171" t="s">
        <v>13</v>
      </c>
      <c r="C171" t="s">
        <v>9</v>
      </c>
      <c r="D171" t="s">
        <v>10</v>
      </c>
      <c r="E171" t="s">
        <v>11</v>
      </c>
      <c r="F171" t="s">
        <v>17</v>
      </c>
      <c r="G171">
        <v>80</v>
      </c>
      <c r="H171">
        <v>85</v>
      </c>
      <c r="I171">
        <v>83</v>
      </c>
      <c r="J171">
        <f>SUM(Table2[[#This Row],[math score]:[writing score]])</f>
        <v>248</v>
      </c>
      <c r="K171">
        <f>Table2[[#This Row],[Total score]]/3</f>
        <v>82.666666666666671</v>
      </c>
    </row>
    <row r="172" spans="1:11" x14ac:dyDescent="0.25">
      <c r="A172" t="s">
        <v>199</v>
      </c>
      <c r="B172" t="s">
        <v>13</v>
      </c>
      <c r="C172" t="s">
        <v>20</v>
      </c>
      <c r="D172" t="s">
        <v>10</v>
      </c>
      <c r="E172" t="s">
        <v>11</v>
      </c>
      <c r="F172" t="s">
        <v>17</v>
      </c>
      <c r="G172">
        <v>62</v>
      </c>
      <c r="H172">
        <v>60</v>
      </c>
      <c r="I172">
        <v>59</v>
      </c>
      <c r="J172">
        <f>SUM(Table2[[#This Row],[math score]:[writing score]])</f>
        <v>181</v>
      </c>
      <c r="K172">
        <f>Table2[[#This Row],[Total score]]/3</f>
        <v>60.333333333333336</v>
      </c>
    </row>
    <row r="173" spans="1:11" x14ac:dyDescent="0.25">
      <c r="A173" t="s">
        <v>200</v>
      </c>
      <c r="B173" t="s">
        <v>13</v>
      </c>
      <c r="C173" t="s">
        <v>14</v>
      </c>
      <c r="D173" t="s">
        <v>19</v>
      </c>
      <c r="E173" t="s">
        <v>11</v>
      </c>
      <c r="F173" t="s">
        <v>17</v>
      </c>
      <c r="G173">
        <v>71</v>
      </c>
      <c r="H173">
        <v>71</v>
      </c>
      <c r="I173">
        <v>76</v>
      </c>
      <c r="J173">
        <f>SUM(Table2[[#This Row],[math score]:[writing score]])</f>
        <v>218</v>
      </c>
      <c r="K173">
        <f>Table2[[#This Row],[Total score]]/3</f>
        <v>72.666666666666671</v>
      </c>
    </row>
    <row r="174" spans="1:11" x14ac:dyDescent="0.25">
      <c r="A174" t="s">
        <v>201</v>
      </c>
      <c r="B174" t="s">
        <v>13</v>
      </c>
      <c r="C174" t="s">
        <v>23</v>
      </c>
      <c r="D174" t="s">
        <v>19</v>
      </c>
      <c r="E174" t="s">
        <v>16</v>
      </c>
      <c r="F174" t="s">
        <v>12</v>
      </c>
      <c r="G174">
        <v>57</v>
      </c>
      <c r="H174">
        <v>66</v>
      </c>
      <c r="I174">
        <v>71</v>
      </c>
      <c r="J174">
        <f>SUM(Table2[[#This Row],[math score]:[writing score]])</f>
        <v>194</v>
      </c>
      <c r="K174">
        <f>Table2[[#This Row],[Total score]]/3</f>
        <v>64.666666666666671</v>
      </c>
    </row>
    <row r="175" spans="1:11" x14ac:dyDescent="0.25">
      <c r="A175" t="s">
        <v>202</v>
      </c>
      <c r="B175" t="s">
        <v>8</v>
      </c>
      <c r="C175" t="s">
        <v>9</v>
      </c>
      <c r="D175" t="s">
        <v>15</v>
      </c>
      <c r="E175" t="s">
        <v>16</v>
      </c>
      <c r="F175" t="s">
        <v>12</v>
      </c>
      <c r="G175">
        <v>69</v>
      </c>
      <c r="H175">
        <v>64</v>
      </c>
      <c r="I175">
        <v>62</v>
      </c>
      <c r="J175">
        <f>SUM(Table2[[#This Row],[math score]:[writing score]])</f>
        <v>195</v>
      </c>
      <c r="K175">
        <f>Table2[[#This Row],[Total score]]/3</f>
        <v>65</v>
      </c>
    </row>
    <row r="176" spans="1:11" x14ac:dyDescent="0.25">
      <c r="A176" t="s">
        <v>203</v>
      </c>
      <c r="B176" t="s">
        <v>8</v>
      </c>
      <c r="C176" t="s">
        <v>20</v>
      </c>
      <c r="D176" t="s">
        <v>19</v>
      </c>
      <c r="E176" t="s">
        <v>11</v>
      </c>
      <c r="F176" t="s">
        <v>12</v>
      </c>
      <c r="G176">
        <v>83</v>
      </c>
      <c r="H176">
        <v>74</v>
      </c>
      <c r="I176">
        <v>72</v>
      </c>
      <c r="J176">
        <f>SUM(Table2[[#This Row],[math score]:[writing score]])</f>
        <v>229</v>
      </c>
      <c r="K176">
        <f>Table2[[#This Row],[Total score]]/3</f>
        <v>76.333333333333329</v>
      </c>
    </row>
    <row r="177" spans="1:11" x14ac:dyDescent="0.25">
      <c r="A177" t="s">
        <v>204</v>
      </c>
      <c r="B177" t="s">
        <v>13</v>
      </c>
      <c r="C177" t="s">
        <v>14</v>
      </c>
      <c r="D177" t="s">
        <v>19</v>
      </c>
      <c r="E177" t="s">
        <v>16</v>
      </c>
      <c r="F177" t="s">
        <v>17</v>
      </c>
      <c r="G177">
        <v>50</v>
      </c>
      <c r="H177">
        <v>56</v>
      </c>
      <c r="I177">
        <v>60</v>
      </c>
      <c r="J177">
        <f>SUM(Table2[[#This Row],[math score]:[writing score]])</f>
        <v>166</v>
      </c>
      <c r="K177">
        <f>Table2[[#This Row],[Total score]]/3</f>
        <v>55.333333333333336</v>
      </c>
    </row>
    <row r="178" spans="1:11" x14ac:dyDescent="0.25">
      <c r="A178" t="s">
        <v>205</v>
      </c>
      <c r="B178" t="s">
        <v>13</v>
      </c>
      <c r="C178" t="s">
        <v>23</v>
      </c>
      <c r="D178" t="s">
        <v>22</v>
      </c>
      <c r="E178" t="s">
        <v>11</v>
      </c>
      <c r="F178" t="s">
        <v>17</v>
      </c>
      <c r="G178">
        <v>55</v>
      </c>
      <c r="H178">
        <v>56</v>
      </c>
      <c r="I178">
        <v>56</v>
      </c>
      <c r="J178">
        <f>SUM(Table2[[#This Row],[math score]:[writing score]])</f>
        <v>167</v>
      </c>
      <c r="K178">
        <f>Table2[[#This Row],[Total score]]/3</f>
        <v>55.666666666666664</v>
      </c>
    </row>
    <row r="179" spans="1:11" x14ac:dyDescent="0.25">
      <c r="A179" t="s">
        <v>206</v>
      </c>
      <c r="B179" t="s">
        <v>8</v>
      </c>
      <c r="C179" t="s">
        <v>20</v>
      </c>
      <c r="D179" t="s">
        <v>15</v>
      </c>
      <c r="E179" t="s">
        <v>16</v>
      </c>
      <c r="F179" t="s">
        <v>17</v>
      </c>
      <c r="G179">
        <v>55</v>
      </c>
      <c r="H179">
        <v>53</v>
      </c>
      <c r="I179">
        <v>51</v>
      </c>
      <c r="J179">
        <f>SUM(Table2[[#This Row],[math score]:[writing score]])</f>
        <v>159</v>
      </c>
      <c r="K179">
        <f>Table2[[#This Row],[Total score]]/3</f>
        <v>53</v>
      </c>
    </row>
    <row r="180" spans="1:11" x14ac:dyDescent="0.25">
      <c r="A180" t="s">
        <v>207</v>
      </c>
      <c r="B180" t="s">
        <v>13</v>
      </c>
      <c r="C180" t="s">
        <v>14</v>
      </c>
      <c r="D180" t="s">
        <v>19</v>
      </c>
      <c r="E180" t="s">
        <v>16</v>
      </c>
      <c r="F180" t="s">
        <v>12</v>
      </c>
      <c r="G180">
        <v>83</v>
      </c>
      <c r="H180">
        <v>93</v>
      </c>
      <c r="I180">
        <v>95</v>
      </c>
      <c r="J180">
        <f>SUM(Table2[[#This Row],[math score]:[writing score]])</f>
        <v>271</v>
      </c>
      <c r="K180">
        <f>Table2[[#This Row],[Total score]]/3</f>
        <v>90.333333333333329</v>
      </c>
    </row>
    <row r="181" spans="1:11" x14ac:dyDescent="0.25">
      <c r="A181" t="s">
        <v>208</v>
      </c>
      <c r="B181" t="s">
        <v>8</v>
      </c>
      <c r="C181" t="s">
        <v>14</v>
      </c>
      <c r="D181" t="s">
        <v>10</v>
      </c>
      <c r="E181" t="s">
        <v>11</v>
      </c>
      <c r="F181" t="s">
        <v>12</v>
      </c>
      <c r="G181">
        <v>89</v>
      </c>
      <c r="H181">
        <v>87</v>
      </c>
      <c r="I181">
        <v>86</v>
      </c>
      <c r="J181">
        <f>SUM(Table2[[#This Row],[math score]:[writing score]])</f>
        <v>262</v>
      </c>
      <c r="K181">
        <f>Table2[[#This Row],[Total score]]/3</f>
        <v>87.333333333333329</v>
      </c>
    </row>
    <row r="182" spans="1:11" x14ac:dyDescent="0.25">
      <c r="A182" t="s">
        <v>209</v>
      </c>
      <c r="B182" t="s">
        <v>13</v>
      </c>
      <c r="C182" t="s">
        <v>14</v>
      </c>
      <c r="D182" t="s">
        <v>15</v>
      </c>
      <c r="E182" t="s">
        <v>11</v>
      </c>
      <c r="F182" t="s">
        <v>17</v>
      </c>
      <c r="G182">
        <v>51</v>
      </c>
      <c r="H182">
        <v>62</v>
      </c>
      <c r="I182">
        <v>64</v>
      </c>
      <c r="J182">
        <f>SUM(Table2[[#This Row],[math score]:[writing score]])</f>
        <v>177</v>
      </c>
      <c r="K182">
        <f>Table2[[#This Row],[Total score]]/3</f>
        <v>59</v>
      </c>
    </row>
    <row r="183" spans="1:11" x14ac:dyDescent="0.25">
      <c r="A183" t="s">
        <v>210</v>
      </c>
      <c r="B183" t="s">
        <v>13</v>
      </c>
      <c r="C183" t="s">
        <v>23</v>
      </c>
      <c r="D183" t="s">
        <v>19</v>
      </c>
      <c r="E183" t="s">
        <v>11</v>
      </c>
      <c r="F183" t="s">
        <v>17</v>
      </c>
      <c r="G183">
        <v>48</v>
      </c>
      <c r="H183">
        <v>52</v>
      </c>
      <c r="I183">
        <v>49</v>
      </c>
      <c r="J183">
        <f>SUM(Table2[[#This Row],[math score]:[writing score]])</f>
        <v>149</v>
      </c>
      <c r="K183">
        <f>Table2[[#This Row],[Total score]]/3</f>
        <v>49.666666666666664</v>
      </c>
    </row>
    <row r="184" spans="1:11" x14ac:dyDescent="0.25">
      <c r="A184" t="s">
        <v>211</v>
      </c>
      <c r="B184" t="s">
        <v>13</v>
      </c>
      <c r="C184" t="s">
        <v>18</v>
      </c>
      <c r="D184" t="s">
        <v>22</v>
      </c>
      <c r="E184" t="s">
        <v>11</v>
      </c>
      <c r="F184" t="s">
        <v>17</v>
      </c>
      <c r="G184">
        <v>84</v>
      </c>
      <c r="H184">
        <v>95</v>
      </c>
      <c r="I184">
        <v>89</v>
      </c>
      <c r="J184">
        <f>SUM(Table2[[#This Row],[math score]:[writing score]])</f>
        <v>268</v>
      </c>
      <c r="K184">
        <f>Table2[[#This Row],[Total score]]/3</f>
        <v>89.333333333333329</v>
      </c>
    </row>
    <row r="185" spans="1:11" x14ac:dyDescent="0.25">
      <c r="A185" t="s">
        <v>212</v>
      </c>
      <c r="B185" t="s">
        <v>13</v>
      </c>
      <c r="C185" t="s">
        <v>23</v>
      </c>
      <c r="D185" t="s">
        <v>21</v>
      </c>
      <c r="E185" t="s">
        <v>11</v>
      </c>
      <c r="F185" t="s">
        <v>17</v>
      </c>
      <c r="G185">
        <v>69</v>
      </c>
      <c r="H185">
        <v>83</v>
      </c>
      <c r="I185">
        <v>76</v>
      </c>
      <c r="J185">
        <f>SUM(Table2[[#This Row],[math score]:[writing score]])</f>
        <v>228</v>
      </c>
      <c r="K185">
        <f>Table2[[#This Row],[Total score]]/3</f>
        <v>76</v>
      </c>
    </row>
    <row r="186" spans="1:11" x14ac:dyDescent="0.25">
      <c r="A186" t="s">
        <v>213</v>
      </c>
      <c r="B186" t="s">
        <v>13</v>
      </c>
      <c r="C186" t="s">
        <v>23</v>
      </c>
      <c r="D186" t="s">
        <v>21</v>
      </c>
      <c r="E186" t="s">
        <v>11</v>
      </c>
      <c r="F186" t="s">
        <v>12</v>
      </c>
      <c r="G186">
        <v>75</v>
      </c>
      <c r="H186">
        <v>85</v>
      </c>
      <c r="I186">
        <v>87</v>
      </c>
      <c r="J186">
        <f>SUM(Table2[[#This Row],[math score]:[writing score]])</f>
        <v>247</v>
      </c>
      <c r="K186">
        <f>Table2[[#This Row],[Total score]]/3</f>
        <v>82.333333333333329</v>
      </c>
    </row>
    <row r="187" spans="1:11" x14ac:dyDescent="0.25">
      <c r="A187" t="s">
        <v>214</v>
      </c>
      <c r="B187" t="s">
        <v>13</v>
      </c>
      <c r="C187" t="s">
        <v>23</v>
      </c>
      <c r="D187" t="s">
        <v>24</v>
      </c>
      <c r="E187" t="s">
        <v>11</v>
      </c>
      <c r="F187" t="s">
        <v>17</v>
      </c>
      <c r="G187">
        <v>91</v>
      </c>
      <c r="H187">
        <v>100</v>
      </c>
      <c r="I187">
        <v>99</v>
      </c>
      <c r="J187">
        <f>SUM(Table2[[#This Row],[math score]:[writing score]])</f>
        <v>290</v>
      </c>
      <c r="K187">
        <f>Table2[[#This Row],[Total score]]/3</f>
        <v>96.666666666666671</v>
      </c>
    </row>
    <row r="188" spans="1:11" x14ac:dyDescent="0.25">
      <c r="A188" t="s">
        <v>215</v>
      </c>
      <c r="B188" t="s">
        <v>8</v>
      </c>
      <c r="C188" t="s">
        <v>20</v>
      </c>
      <c r="D188" t="s">
        <v>10</v>
      </c>
      <c r="E188" t="s">
        <v>11</v>
      </c>
      <c r="F188" t="s">
        <v>17</v>
      </c>
      <c r="G188">
        <v>76</v>
      </c>
      <c r="H188">
        <v>77</v>
      </c>
      <c r="I188">
        <v>67</v>
      </c>
      <c r="J188">
        <f>SUM(Table2[[#This Row],[math score]:[writing score]])</f>
        <v>220</v>
      </c>
      <c r="K188">
        <f>Table2[[#This Row],[Total score]]/3</f>
        <v>73.333333333333329</v>
      </c>
    </row>
    <row r="189" spans="1:11" x14ac:dyDescent="0.25">
      <c r="A189" t="s">
        <v>216</v>
      </c>
      <c r="B189" t="s">
        <v>8</v>
      </c>
      <c r="C189" t="s">
        <v>18</v>
      </c>
      <c r="D189" t="s">
        <v>15</v>
      </c>
      <c r="E189" t="s">
        <v>16</v>
      </c>
      <c r="F189" t="s">
        <v>17</v>
      </c>
      <c r="G189">
        <v>63</v>
      </c>
      <c r="H189">
        <v>61</v>
      </c>
      <c r="I189">
        <v>59</v>
      </c>
      <c r="J189">
        <f>SUM(Table2[[#This Row],[math score]:[writing score]])</f>
        <v>183</v>
      </c>
      <c r="K189">
        <f>Table2[[#This Row],[Total score]]/3</f>
        <v>61</v>
      </c>
    </row>
    <row r="190" spans="1:11" x14ac:dyDescent="0.25">
      <c r="A190" t="s">
        <v>217</v>
      </c>
      <c r="B190" t="s">
        <v>8</v>
      </c>
      <c r="C190" t="s">
        <v>14</v>
      </c>
      <c r="D190" t="s">
        <v>10</v>
      </c>
      <c r="E190" t="s">
        <v>11</v>
      </c>
      <c r="F190" t="s">
        <v>17</v>
      </c>
      <c r="G190">
        <v>73</v>
      </c>
      <c r="H190">
        <v>65</v>
      </c>
      <c r="I190">
        <v>64</v>
      </c>
      <c r="J190">
        <f>SUM(Table2[[#This Row],[math score]:[writing score]])</f>
        <v>202</v>
      </c>
      <c r="K190">
        <f>Table2[[#This Row],[Total score]]/3</f>
        <v>67.333333333333329</v>
      </c>
    </row>
    <row r="191" spans="1:11" x14ac:dyDescent="0.25">
      <c r="A191" t="s">
        <v>218</v>
      </c>
      <c r="B191" t="s">
        <v>8</v>
      </c>
      <c r="C191" t="s">
        <v>20</v>
      </c>
      <c r="D191" t="s">
        <v>15</v>
      </c>
      <c r="E191" t="s">
        <v>16</v>
      </c>
      <c r="F191" t="s">
        <v>12</v>
      </c>
      <c r="G191">
        <v>52</v>
      </c>
      <c r="H191">
        <v>63</v>
      </c>
      <c r="I191">
        <v>53</v>
      </c>
      <c r="J191">
        <f>SUM(Table2[[#This Row],[math score]:[writing score]])</f>
        <v>168</v>
      </c>
      <c r="K191">
        <f>Table2[[#This Row],[Total score]]/3</f>
        <v>56</v>
      </c>
    </row>
    <row r="192" spans="1:11" x14ac:dyDescent="0.25">
      <c r="A192" t="s">
        <v>219</v>
      </c>
      <c r="B192" t="s">
        <v>8</v>
      </c>
      <c r="C192" t="s">
        <v>20</v>
      </c>
      <c r="D192" t="s">
        <v>15</v>
      </c>
      <c r="E192" t="s">
        <v>11</v>
      </c>
      <c r="F192" t="s">
        <v>12</v>
      </c>
      <c r="G192">
        <v>58</v>
      </c>
      <c r="H192">
        <v>57</v>
      </c>
      <c r="I192">
        <v>53</v>
      </c>
      <c r="J192">
        <f>SUM(Table2[[#This Row],[math score]:[writing score]])</f>
        <v>168</v>
      </c>
      <c r="K192">
        <f>Table2[[#This Row],[Total score]]/3</f>
        <v>56</v>
      </c>
    </row>
    <row r="193" spans="1:11" x14ac:dyDescent="0.25">
      <c r="A193" t="s">
        <v>220</v>
      </c>
      <c r="B193" t="s">
        <v>13</v>
      </c>
      <c r="C193" t="s">
        <v>20</v>
      </c>
      <c r="D193" t="s">
        <v>15</v>
      </c>
      <c r="E193" t="s">
        <v>11</v>
      </c>
      <c r="F193" t="s">
        <v>17</v>
      </c>
      <c r="G193">
        <v>33</v>
      </c>
      <c r="H193">
        <v>51</v>
      </c>
      <c r="I193">
        <v>51</v>
      </c>
      <c r="J193">
        <f>SUM(Table2[[#This Row],[math score]:[writing score]])</f>
        <v>135</v>
      </c>
      <c r="K193">
        <f>Table2[[#This Row],[Total score]]/3</f>
        <v>45</v>
      </c>
    </row>
    <row r="194" spans="1:11" x14ac:dyDescent="0.25">
      <c r="A194" t="s">
        <v>221</v>
      </c>
      <c r="B194" t="s">
        <v>8</v>
      </c>
      <c r="C194" t="s">
        <v>18</v>
      </c>
      <c r="D194" t="s">
        <v>15</v>
      </c>
      <c r="E194" t="s">
        <v>16</v>
      </c>
      <c r="F194" t="s">
        <v>17</v>
      </c>
      <c r="G194">
        <v>68</v>
      </c>
      <c r="H194">
        <v>62</v>
      </c>
      <c r="I194">
        <v>61</v>
      </c>
      <c r="J194">
        <f>SUM(Table2[[#This Row],[math score]:[writing score]])</f>
        <v>191</v>
      </c>
      <c r="K194">
        <f>Table2[[#This Row],[Total score]]/3</f>
        <v>63.666666666666664</v>
      </c>
    </row>
    <row r="195" spans="1:11" x14ac:dyDescent="0.25">
      <c r="A195" t="s">
        <v>222</v>
      </c>
      <c r="B195" t="s">
        <v>13</v>
      </c>
      <c r="C195" t="s">
        <v>23</v>
      </c>
      <c r="D195" t="s">
        <v>21</v>
      </c>
      <c r="E195" t="s">
        <v>11</v>
      </c>
      <c r="F195" t="s">
        <v>12</v>
      </c>
      <c r="G195">
        <v>77</v>
      </c>
      <c r="H195">
        <v>91</v>
      </c>
      <c r="I195">
        <v>89</v>
      </c>
      <c r="J195">
        <f>SUM(Table2[[#This Row],[math score]:[writing score]])</f>
        <v>257</v>
      </c>
      <c r="K195">
        <f>Table2[[#This Row],[Total score]]/3</f>
        <v>85.666666666666671</v>
      </c>
    </row>
    <row r="196" spans="1:11" x14ac:dyDescent="0.25">
      <c r="A196" t="s">
        <v>223</v>
      </c>
      <c r="B196" t="s">
        <v>13</v>
      </c>
      <c r="C196" t="s">
        <v>23</v>
      </c>
      <c r="D196" t="s">
        <v>22</v>
      </c>
      <c r="E196" t="s">
        <v>11</v>
      </c>
      <c r="F196" t="s">
        <v>17</v>
      </c>
      <c r="G196">
        <v>64</v>
      </c>
      <c r="H196">
        <v>64</v>
      </c>
      <c r="I196">
        <v>66</v>
      </c>
      <c r="J196">
        <f>SUM(Table2[[#This Row],[math score]:[writing score]])</f>
        <v>194</v>
      </c>
      <c r="K196">
        <f>Table2[[#This Row],[Total score]]/3</f>
        <v>64.666666666666671</v>
      </c>
    </row>
    <row r="197" spans="1:11" x14ac:dyDescent="0.25">
      <c r="A197" t="s">
        <v>224</v>
      </c>
      <c r="B197" t="s">
        <v>13</v>
      </c>
      <c r="C197" t="s">
        <v>14</v>
      </c>
      <c r="D197" t="s">
        <v>15</v>
      </c>
      <c r="E197" t="s">
        <v>16</v>
      </c>
      <c r="F197" t="s">
        <v>17</v>
      </c>
      <c r="G197">
        <v>39</v>
      </c>
      <c r="H197">
        <v>49</v>
      </c>
      <c r="I197">
        <v>48</v>
      </c>
      <c r="J197">
        <f>SUM(Table2[[#This Row],[math score]:[writing score]])</f>
        <v>136</v>
      </c>
      <c r="K197">
        <f>Table2[[#This Row],[Total score]]/3</f>
        <v>45.333333333333336</v>
      </c>
    </row>
    <row r="198" spans="1:11" x14ac:dyDescent="0.25">
      <c r="A198" t="s">
        <v>225</v>
      </c>
      <c r="B198" t="s">
        <v>8</v>
      </c>
      <c r="C198" t="s">
        <v>14</v>
      </c>
      <c r="D198" t="s">
        <v>22</v>
      </c>
      <c r="E198" t="s">
        <v>11</v>
      </c>
      <c r="F198" t="s">
        <v>17</v>
      </c>
      <c r="G198">
        <v>50</v>
      </c>
      <c r="H198">
        <v>46</v>
      </c>
      <c r="I198">
        <v>48</v>
      </c>
      <c r="J198">
        <f>SUM(Table2[[#This Row],[math score]:[writing score]])</f>
        <v>144</v>
      </c>
      <c r="K198">
        <f>Table2[[#This Row],[Total score]]/3</f>
        <v>48</v>
      </c>
    </row>
    <row r="199" spans="1:11" x14ac:dyDescent="0.25">
      <c r="A199" t="s">
        <v>226</v>
      </c>
      <c r="B199" t="s">
        <v>8</v>
      </c>
      <c r="C199" t="s">
        <v>9</v>
      </c>
      <c r="D199" t="s">
        <v>24</v>
      </c>
      <c r="E199" t="s">
        <v>16</v>
      </c>
      <c r="F199" t="s">
        <v>17</v>
      </c>
      <c r="G199">
        <v>53</v>
      </c>
      <c r="H199">
        <v>57</v>
      </c>
      <c r="I199">
        <v>51</v>
      </c>
      <c r="J199">
        <f>SUM(Table2[[#This Row],[math score]:[writing score]])</f>
        <v>161</v>
      </c>
      <c r="K199">
        <f>Table2[[#This Row],[Total score]]/3</f>
        <v>53.666666666666664</v>
      </c>
    </row>
    <row r="200" spans="1:11" x14ac:dyDescent="0.25">
      <c r="A200" t="s">
        <v>227</v>
      </c>
      <c r="B200" t="s">
        <v>13</v>
      </c>
      <c r="C200" t="s">
        <v>20</v>
      </c>
      <c r="D200" t="s">
        <v>21</v>
      </c>
      <c r="E200" t="s">
        <v>11</v>
      </c>
      <c r="F200" t="s">
        <v>12</v>
      </c>
      <c r="G200">
        <v>54</v>
      </c>
      <c r="H200">
        <v>62</v>
      </c>
      <c r="I200">
        <v>70</v>
      </c>
      <c r="J200">
        <f>SUM(Table2[[#This Row],[math score]:[writing score]])</f>
        <v>186</v>
      </c>
      <c r="K200">
        <f>Table2[[#This Row],[Total score]]/3</f>
        <v>62</v>
      </c>
    </row>
    <row r="201" spans="1:11" x14ac:dyDescent="0.25">
      <c r="A201" t="s">
        <v>228</v>
      </c>
      <c r="B201" t="s">
        <v>8</v>
      </c>
      <c r="C201" t="s">
        <v>14</v>
      </c>
      <c r="D201" t="s">
        <v>10</v>
      </c>
      <c r="E201" t="s">
        <v>11</v>
      </c>
      <c r="F201" t="s">
        <v>17</v>
      </c>
      <c r="G201">
        <v>74</v>
      </c>
      <c r="H201">
        <v>63</v>
      </c>
      <c r="I201">
        <v>65</v>
      </c>
      <c r="J201">
        <f>SUM(Table2[[#This Row],[math score]:[writing score]])</f>
        <v>202</v>
      </c>
      <c r="K201">
        <f>Table2[[#This Row],[Total score]]/3</f>
        <v>67.333333333333329</v>
      </c>
    </row>
    <row r="202" spans="1:11" x14ac:dyDescent="0.25">
      <c r="A202" t="s">
        <v>229</v>
      </c>
      <c r="B202" t="s">
        <v>13</v>
      </c>
      <c r="C202" t="s">
        <v>14</v>
      </c>
      <c r="D202" t="s">
        <v>21</v>
      </c>
      <c r="E202" t="s">
        <v>11</v>
      </c>
      <c r="F202" t="s">
        <v>12</v>
      </c>
      <c r="G202">
        <v>50</v>
      </c>
      <c r="H202">
        <v>63</v>
      </c>
      <c r="I202">
        <v>65</v>
      </c>
      <c r="J202">
        <f>SUM(Table2[[#This Row],[math score]:[writing score]])</f>
        <v>178</v>
      </c>
      <c r="K202">
        <f>Table2[[#This Row],[Total score]]/3</f>
        <v>59.333333333333336</v>
      </c>
    </row>
    <row r="203" spans="1:11" x14ac:dyDescent="0.25">
      <c r="A203" t="s">
        <v>230</v>
      </c>
      <c r="B203" t="s">
        <v>8</v>
      </c>
      <c r="C203" t="s">
        <v>18</v>
      </c>
      <c r="D203" t="s">
        <v>21</v>
      </c>
      <c r="E203" t="s">
        <v>11</v>
      </c>
      <c r="F203" t="s">
        <v>17</v>
      </c>
      <c r="G203">
        <v>55</v>
      </c>
      <c r="H203">
        <v>54</v>
      </c>
      <c r="I203">
        <v>47</v>
      </c>
      <c r="J203">
        <f>SUM(Table2[[#This Row],[math score]:[writing score]])</f>
        <v>156</v>
      </c>
      <c r="K203">
        <f>Table2[[#This Row],[Total score]]/3</f>
        <v>52</v>
      </c>
    </row>
    <row r="204" spans="1:11" x14ac:dyDescent="0.25">
      <c r="A204" t="s">
        <v>231</v>
      </c>
      <c r="B204" t="s">
        <v>8</v>
      </c>
      <c r="C204" t="s">
        <v>23</v>
      </c>
      <c r="D204" t="s">
        <v>19</v>
      </c>
      <c r="E204" t="s">
        <v>11</v>
      </c>
      <c r="F204" t="s">
        <v>17</v>
      </c>
      <c r="G204">
        <v>77</v>
      </c>
      <c r="H204">
        <v>64</v>
      </c>
      <c r="I204">
        <v>70</v>
      </c>
      <c r="J204">
        <f>SUM(Table2[[#This Row],[math score]:[writing score]])</f>
        <v>211</v>
      </c>
      <c r="K204">
        <f>Table2[[#This Row],[Total score]]/3</f>
        <v>70.333333333333329</v>
      </c>
    </row>
    <row r="205" spans="1:11" x14ac:dyDescent="0.25">
      <c r="A205" t="s">
        <v>232</v>
      </c>
      <c r="B205" t="s">
        <v>13</v>
      </c>
      <c r="C205" t="s">
        <v>20</v>
      </c>
      <c r="D205" t="s">
        <v>15</v>
      </c>
      <c r="E205" t="s">
        <v>11</v>
      </c>
      <c r="F205" t="s">
        <v>12</v>
      </c>
      <c r="G205">
        <v>49</v>
      </c>
      <c r="H205">
        <v>64</v>
      </c>
      <c r="I205">
        <v>67</v>
      </c>
      <c r="J205">
        <f>SUM(Table2[[#This Row],[math score]:[writing score]])</f>
        <v>180</v>
      </c>
      <c r="K205">
        <f>Table2[[#This Row],[Total score]]/3</f>
        <v>60</v>
      </c>
    </row>
    <row r="206" spans="1:11" x14ac:dyDescent="0.25">
      <c r="A206" t="s">
        <v>233</v>
      </c>
      <c r="B206" t="s">
        <v>13</v>
      </c>
      <c r="C206" t="s">
        <v>14</v>
      </c>
      <c r="D206" t="s">
        <v>21</v>
      </c>
      <c r="E206" t="s">
        <v>16</v>
      </c>
      <c r="F206" t="s">
        <v>17</v>
      </c>
      <c r="G206">
        <v>66</v>
      </c>
      <c r="H206">
        <v>83</v>
      </c>
      <c r="I206">
        <v>82</v>
      </c>
      <c r="J206">
        <f>SUM(Table2[[#This Row],[math score]:[writing score]])</f>
        <v>231</v>
      </c>
      <c r="K206">
        <f>Table2[[#This Row],[Total score]]/3</f>
        <v>77</v>
      </c>
    </row>
    <row r="207" spans="1:11" x14ac:dyDescent="0.25">
      <c r="A207" t="s">
        <v>234</v>
      </c>
      <c r="B207" t="s">
        <v>8</v>
      </c>
      <c r="C207" t="s">
        <v>20</v>
      </c>
      <c r="D207" t="s">
        <v>15</v>
      </c>
      <c r="E207" t="s">
        <v>11</v>
      </c>
      <c r="F207" t="s">
        <v>12</v>
      </c>
      <c r="G207">
        <v>77</v>
      </c>
      <c r="H207">
        <v>74</v>
      </c>
      <c r="I207">
        <v>75</v>
      </c>
      <c r="J207">
        <f>SUM(Table2[[#This Row],[math score]:[writing score]])</f>
        <v>226</v>
      </c>
      <c r="K207">
        <f>Table2[[#This Row],[Total score]]/3</f>
        <v>75.333333333333329</v>
      </c>
    </row>
    <row r="208" spans="1:11" x14ac:dyDescent="0.25">
      <c r="A208" t="s">
        <v>235</v>
      </c>
      <c r="B208" t="s">
        <v>13</v>
      </c>
      <c r="C208" t="s">
        <v>9</v>
      </c>
      <c r="D208" t="s">
        <v>24</v>
      </c>
      <c r="E208" t="s">
        <v>11</v>
      </c>
      <c r="F208" t="s">
        <v>12</v>
      </c>
      <c r="G208">
        <v>74</v>
      </c>
      <c r="H208">
        <v>78</v>
      </c>
      <c r="I208">
        <v>84</v>
      </c>
      <c r="J208">
        <f>SUM(Table2[[#This Row],[math score]:[writing score]])</f>
        <v>236</v>
      </c>
      <c r="K208">
        <f>Table2[[#This Row],[Total score]]/3</f>
        <v>78.666666666666671</v>
      </c>
    </row>
    <row r="209" spans="1:11" x14ac:dyDescent="0.25">
      <c r="A209" t="s">
        <v>236</v>
      </c>
      <c r="B209" t="s">
        <v>8</v>
      </c>
      <c r="C209" t="s">
        <v>23</v>
      </c>
      <c r="D209" t="s">
        <v>19</v>
      </c>
      <c r="E209" t="s">
        <v>11</v>
      </c>
      <c r="F209" t="s">
        <v>17</v>
      </c>
      <c r="G209">
        <v>85</v>
      </c>
      <c r="H209">
        <v>78</v>
      </c>
      <c r="I209">
        <v>81</v>
      </c>
      <c r="J209">
        <f>SUM(Table2[[#This Row],[math score]:[writing score]])</f>
        <v>244</v>
      </c>
      <c r="K209">
        <f>Table2[[#This Row],[Total score]]/3</f>
        <v>81.333333333333329</v>
      </c>
    </row>
    <row r="210" spans="1:11" x14ac:dyDescent="0.25">
      <c r="A210" t="s">
        <v>237</v>
      </c>
      <c r="B210" t="s">
        <v>13</v>
      </c>
      <c r="C210" t="s">
        <v>9</v>
      </c>
      <c r="D210" t="s">
        <v>19</v>
      </c>
      <c r="E210" t="s">
        <v>11</v>
      </c>
      <c r="F210" t="s">
        <v>17</v>
      </c>
      <c r="G210">
        <v>77</v>
      </c>
      <c r="H210">
        <v>86</v>
      </c>
      <c r="I210">
        <v>84</v>
      </c>
      <c r="J210">
        <f>SUM(Table2[[#This Row],[math score]:[writing score]])</f>
        <v>247</v>
      </c>
      <c r="K210">
        <f>Table2[[#This Row],[Total score]]/3</f>
        <v>82.333333333333329</v>
      </c>
    </row>
    <row r="211" spans="1:11" x14ac:dyDescent="0.25">
      <c r="A211" t="s">
        <v>238</v>
      </c>
      <c r="B211" t="s">
        <v>13</v>
      </c>
      <c r="C211" t="s">
        <v>20</v>
      </c>
      <c r="D211" t="s">
        <v>21</v>
      </c>
      <c r="E211" t="s">
        <v>11</v>
      </c>
      <c r="F211" t="s">
        <v>17</v>
      </c>
      <c r="G211">
        <v>64</v>
      </c>
      <c r="H211">
        <v>62</v>
      </c>
      <c r="I211">
        <v>66</v>
      </c>
      <c r="J211">
        <f>SUM(Table2[[#This Row],[math score]:[writing score]])</f>
        <v>192</v>
      </c>
      <c r="K211">
        <f>Table2[[#This Row],[Total score]]/3</f>
        <v>64</v>
      </c>
    </row>
    <row r="212" spans="1:11" x14ac:dyDescent="0.25">
      <c r="A212" t="s">
        <v>239</v>
      </c>
      <c r="B212" t="s">
        <v>13</v>
      </c>
      <c r="C212" t="s">
        <v>14</v>
      </c>
      <c r="D212" t="s">
        <v>10</v>
      </c>
      <c r="E212" t="s">
        <v>16</v>
      </c>
      <c r="F212" t="s">
        <v>12</v>
      </c>
      <c r="G212">
        <v>61</v>
      </c>
      <c r="H212">
        <v>69</v>
      </c>
      <c r="I212">
        <v>68</v>
      </c>
      <c r="J212">
        <f>SUM(Table2[[#This Row],[math score]:[writing score]])</f>
        <v>198</v>
      </c>
      <c r="K212">
        <f>Table2[[#This Row],[Total score]]/3</f>
        <v>66</v>
      </c>
    </row>
    <row r="213" spans="1:11" x14ac:dyDescent="0.25">
      <c r="A213" t="s">
        <v>240</v>
      </c>
      <c r="B213" t="s">
        <v>8</v>
      </c>
      <c r="C213" t="s">
        <v>14</v>
      </c>
      <c r="D213" t="s">
        <v>21</v>
      </c>
      <c r="E213" t="s">
        <v>11</v>
      </c>
      <c r="F213" t="s">
        <v>17</v>
      </c>
      <c r="G213">
        <v>97</v>
      </c>
      <c r="H213">
        <v>88</v>
      </c>
      <c r="I213">
        <v>85</v>
      </c>
      <c r="J213">
        <f>SUM(Table2[[#This Row],[math score]:[writing score]])</f>
        <v>270</v>
      </c>
      <c r="K213">
        <f>Table2[[#This Row],[Total score]]/3</f>
        <v>90</v>
      </c>
    </row>
    <row r="214" spans="1:11" x14ac:dyDescent="0.25">
      <c r="A214" t="s">
        <v>241</v>
      </c>
      <c r="B214" t="s">
        <v>8</v>
      </c>
      <c r="C214" t="s">
        <v>23</v>
      </c>
      <c r="D214" t="s">
        <v>19</v>
      </c>
      <c r="E214" t="s">
        <v>11</v>
      </c>
      <c r="F214" t="s">
        <v>12</v>
      </c>
      <c r="G214">
        <v>66</v>
      </c>
      <c r="H214">
        <v>75</v>
      </c>
      <c r="I214">
        <v>70</v>
      </c>
      <c r="J214">
        <f>SUM(Table2[[#This Row],[math score]:[writing score]])</f>
        <v>211</v>
      </c>
      <c r="K214">
        <f>Table2[[#This Row],[Total score]]/3</f>
        <v>70.333333333333329</v>
      </c>
    </row>
    <row r="215" spans="1:11" x14ac:dyDescent="0.25">
      <c r="A215" t="s">
        <v>242</v>
      </c>
      <c r="B215" t="s">
        <v>8</v>
      </c>
      <c r="C215" t="s">
        <v>23</v>
      </c>
      <c r="D215" t="s">
        <v>15</v>
      </c>
      <c r="E215" t="s">
        <v>11</v>
      </c>
      <c r="F215" t="s">
        <v>17</v>
      </c>
      <c r="G215">
        <v>62</v>
      </c>
      <c r="H215">
        <v>66</v>
      </c>
      <c r="I215">
        <v>64</v>
      </c>
      <c r="J215">
        <f>SUM(Table2[[#This Row],[math score]:[writing score]])</f>
        <v>192</v>
      </c>
      <c r="K215">
        <f>Table2[[#This Row],[Total score]]/3</f>
        <v>64</v>
      </c>
    </row>
    <row r="216" spans="1:11" x14ac:dyDescent="0.25">
      <c r="A216" t="s">
        <v>243</v>
      </c>
      <c r="B216" t="s">
        <v>13</v>
      </c>
      <c r="C216" t="s">
        <v>18</v>
      </c>
      <c r="D216" t="s">
        <v>15</v>
      </c>
      <c r="E216" t="s">
        <v>11</v>
      </c>
      <c r="F216" t="s">
        <v>12</v>
      </c>
      <c r="G216">
        <v>64</v>
      </c>
      <c r="H216">
        <v>80</v>
      </c>
      <c r="I216">
        <v>77</v>
      </c>
      <c r="J216">
        <f>SUM(Table2[[#This Row],[math score]:[writing score]])</f>
        <v>221</v>
      </c>
      <c r="K216">
        <f>Table2[[#This Row],[Total score]]/3</f>
        <v>73.666666666666671</v>
      </c>
    </row>
    <row r="217" spans="1:11" x14ac:dyDescent="0.25">
      <c r="A217" t="s">
        <v>244</v>
      </c>
      <c r="B217" t="s">
        <v>13</v>
      </c>
      <c r="C217" t="s">
        <v>20</v>
      </c>
      <c r="D217" t="s">
        <v>22</v>
      </c>
      <c r="E217" t="s">
        <v>16</v>
      </c>
      <c r="F217" t="s">
        <v>17</v>
      </c>
      <c r="G217">
        <v>55</v>
      </c>
      <c r="H217">
        <v>57</v>
      </c>
      <c r="I217">
        <v>60</v>
      </c>
      <c r="J217">
        <f>SUM(Table2[[#This Row],[math score]:[writing score]])</f>
        <v>172</v>
      </c>
      <c r="K217">
        <f>Table2[[#This Row],[Total score]]/3</f>
        <v>57.333333333333336</v>
      </c>
    </row>
    <row r="218" spans="1:11" x14ac:dyDescent="0.25">
      <c r="A218" t="s">
        <v>245</v>
      </c>
      <c r="B218" t="s">
        <v>13</v>
      </c>
      <c r="C218" t="s">
        <v>20</v>
      </c>
      <c r="D218" t="s">
        <v>21</v>
      </c>
      <c r="E218" t="s">
        <v>11</v>
      </c>
      <c r="F218" t="s">
        <v>17</v>
      </c>
      <c r="G218">
        <v>53</v>
      </c>
      <c r="H218">
        <v>72</v>
      </c>
      <c r="I218">
        <v>66</v>
      </c>
      <c r="J218">
        <f>SUM(Table2[[#This Row],[math score]:[writing score]])</f>
        <v>191</v>
      </c>
      <c r="K218">
        <f>Table2[[#This Row],[Total score]]/3</f>
        <v>63.666666666666664</v>
      </c>
    </row>
    <row r="219" spans="1:11" x14ac:dyDescent="0.25">
      <c r="A219" t="s">
        <v>246</v>
      </c>
      <c r="B219" t="s">
        <v>13</v>
      </c>
      <c r="C219" t="s">
        <v>14</v>
      </c>
      <c r="D219" t="s">
        <v>19</v>
      </c>
      <c r="E219" t="s">
        <v>16</v>
      </c>
      <c r="F219" t="s">
        <v>17</v>
      </c>
      <c r="G219">
        <v>71</v>
      </c>
      <c r="H219">
        <v>81</v>
      </c>
      <c r="I219">
        <v>77</v>
      </c>
      <c r="J219">
        <f>SUM(Table2[[#This Row],[math score]:[writing score]])</f>
        <v>229</v>
      </c>
      <c r="K219">
        <f>Table2[[#This Row],[Total score]]/3</f>
        <v>76.333333333333329</v>
      </c>
    </row>
    <row r="220" spans="1:11" x14ac:dyDescent="0.25">
      <c r="A220" t="s">
        <v>247</v>
      </c>
      <c r="B220" t="s">
        <v>8</v>
      </c>
      <c r="C220" t="s">
        <v>20</v>
      </c>
      <c r="D220" t="s">
        <v>10</v>
      </c>
      <c r="E220" t="s">
        <v>16</v>
      </c>
      <c r="F220" t="s">
        <v>12</v>
      </c>
      <c r="G220">
        <v>66</v>
      </c>
      <c r="H220">
        <v>59</v>
      </c>
      <c r="I220">
        <v>68</v>
      </c>
      <c r="J220">
        <f>SUM(Table2[[#This Row],[math score]:[writing score]])</f>
        <v>193</v>
      </c>
      <c r="K220">
        <f>Table2[[#This Row],[Total score]]/3</f>
        <v>64.333333333333329</v>
      </c>
    </row>
    <row r="221" spans="1:11" x14ac:dyDescent="0.25">
      <c r="A221" t="s">
        <v>248</v>
      </c>
      <c r="B221" t="s">
        <v>8</v>
      </c>
      <c r="C221" t="s">
        <v>23</v>
      </c>
      <c r="D221" t="s">
        <v>21</v>
      </c>
      <c r="E221" t="s">
        <v>11</v>
      </c>
      <c r="F221" t="s">
        <v>17</v>
      </c>
      <c r="G221">
        <v>68</v>
      </c>
      <c r="H221">
        <v>61</v>
      </c>
      <c r="I221">
        <v>62</v>
      </c>
      <c r="J221">
        <f>SUM(Table2[[#This Row],[math score]:[writing score]])</f>
        <v>191</v>
      </c>
      <c r="K221">
        <f>Table2[[#This Row],[Total score]]/3</f>
        <v>63.666666666666664</v>
      </c>
    </row>
    <row r="222" spans="1:11" x14ac:dyDescent="0.25">
      <c r="A222" t="s">
        <v>249</v>
      </c>
      <c r="B222" t="s">
        <v>8</v>
      </c>
      <c r="C222" t="s">
        <v>14</v>
      </c>
      <c r="D222" t="s">
        <v>19</v>
      </c>
      <c r="E222" t="s">
        <v>11</v>
      </c>
      <c r="F222" t="s">
        <v>17</v>
      </c>
      <c r="G222">
        <v>89</v>
      </c>
      <c r="H222">
        <v>90</v>
      </c>
      <c r="I222">
        <v>83</v>
      </c>
      <c r="J222">
        <f>SUM(Table2[[#This Row],[math score]:[writing score]])</f>
        <v>262</v>
      </c>
      <c r="K222">
        <f>Table2[[#This Row],[Total score]]/3</f>
        <v>87.333333333333329</v>
      </c>
    </row>
    <row r="223" spans="1:11" x14ac:dyDescent="0.25">
      <c r="A223" t="s">
        <v>250</v>
      </c>
      <c r="B223" t="s">
        <v>8</v>
      </c>
      <c r="C223" t="s">
        <v>23</v>
      </c>
      <c r="D223" t="s">
        <v>21</v>
      </c>
      <c r="E223" t="s">
        <v>11</v>
      </c>
      <c r="F223" t="s">
        <v>12</v>
      </c>
      <c r="G223">
        <v>65</v>
      </c>
      <c r="H223">
        <v>69</v>
      </c>
      <c r="I223">
        <v>74</v>
      </c>
      <c r="J223">
        <f>SUM(Table2[[#This Row],[math score]:[writing score]])</f>
        <v>208</v>
      </c>
      <c r="K223">
        <f>Table2[[#This Row],[Total score]]/3</f>
        <v>69.333333333333329</v>
      </c>
    </row>
    <row r="224" spans="1:11" x14ac:dyDescent="0.25">
      <c r="A224" t="s">
        <v>251</v>
      </c>
      <c r="B224" t="s">
        <v>13</v>
      </c>
      <c r="C224" t="s">
        <v>20</v>
      </c>
      <c r="D224" t="s">
        <v>15</v>
      </c>
      <c r="E224" t="s">
        <v>11</v>
      </c>
      <c r="F224" t="s">
        <v>17</v>
      </c>
      <c r="G224">
        <v>43</v>
      </c>
      <c r="H224">
        <v>48</v>
      </c>
      <c r="I224">
        <v>44</v>
      </c>
      <c r="J224">
        <f>SUM(Table2[[#This Row],[math score]:[writing score]])</f>
        <v>135</v>
      </c>
      <c r="K224">
        <f>Table2[[#This Row],[Total score]]/3</f>
        <v>45</v>
      </c>
    </row>
    <row r="225" spans="1:11" x14ac:dyDescent="0.25">
      <c r="A225" t="s">
        <v>252</v>
      </c>
      <c r="B225" t="s">
        <v>13</v>
      </c>
      <c r="C225" t="s">
        <v>14</v>
      </c>
      <c r="D225" t="s">
        <v>24</v>
      </c>
      <c r="E225" t="s">
        <v>11</v>
      </c>
      <c r="F225" t="s">
        <v>17</v>
      </c>
      <c r="G225">
        <v>79</v>
      </c>
      <c r="H225">
        <v>77</v>
      </c>
      <c r="I225">
        <v>83</v>
      </c>
      <c r="J225">
        <f>SUM(Table2[[#This Row],[math score]:[writing score]])</f>
        <v>239</v>
      </c>
      <c r="K225">
        <f>Table2[[#This Row],[Total score]]/3</f>
        <v>79.666666666666671</v>
      </c>
    </row>
    <row r="226" spans="1:11" x14ac:dyDescent="0.25">
      <c r="A226" t="s">
        <v>253</v>
      </c>
      <c r="B226" t="s">
        <v>8</v>
      </c>
      <c r="C226" t="s">
        <v>14</v>
      </c>
      <c r="D226" t="s">
        <v>22</v>
      </c>
      <c r="E226" t="s">
        <v>11</v>
      </c>
      <c r="F226" t="s">
        <v>17</v>
      </c>
      <c r="G226">
        <v>99</v>
      </c>
      <c r="H226">
        <v>94</v>
      </c>
      <c r="I226">
        <v>97</v>
      </c>
      <c r="J226">
        <f>SUM(Table2[[#This Row],[math score]:[writing score]])</f>
        <v>290</v>
      </c>
      <c r="K226">
        <f>Table2[[#This Row],[Total score]]/3</f>
        <v>96.666666666666671</v>
      </c>
    </row>
    <row r="227" spans="1:11" x14ac:dyDescent="0.25">
      <c r="A227" t="s">
        <v>254</v>
      </c>
      <c r="B227" t="s">
        <v>8</v>
      </c>
      <c r="C227" t="s">
        <v>14</v>
      </c>
      <c r="D227" t="s">
        <v>15</v>
      </c>
      <c r="E227" t="s">
        <v>11</v>
      </c>
      <c r="F227" t="s">
        <v>17</v>
      </c>
      <c r="G227">
        <v>82</v>
      </c>
      <c r="H227">
        <v>69</v>
      </c>
      <c r="I227">
        <v>72</v>
      </c>
      <c r="J227">
        <f>SUM(Table2[[#This Row],[math score]:[writing score]])</f>
        <v>223</v>
      </c>
      <c r="K227">
        <f>Table2[[#This Row],[Total score]]/3</f>
        <v>74.333333333333329</v>
      </c>
    </row>
    <row r="228" spans="1:11" x14ac:dyDescent="0.25">
      <c r="A228" t="s">
        <v>255</v>
      </c>
      <c r="B228" t="s">
        <v>8</v>
      </c>
      <c r="C228" t="s">
        <v>14</v>
      </c>
      <c r="D228" t="s">
        <v>19</v>
      </c>
      <c r="E228" t="s">
        <v>16</v>
      </c>
      <c r="F228" t="s">
        <v>12</v>
      </c>
      <c r="G228">
        <v>35</v>
      </c>
      <c r="H228">
        <v>36</v>
      </c>
      <c r="I228">
        <v>39</v>
      </c>
      <c r="J228">
        <f>SUM(Table2[[#This Row],[math score]:[writing score]])</f>
        <v>110</v>
      </c>
      <c r="K228">
        <f>Table2[[#This Row],[Total score]]/3</f>
        <v>36.666666666666664</v>
      </c>
    </row>
    <row r="229" spans="1:11" x14ac:dyDescent="0.25">
      <c r="A229" t="s">
        <v>256</v>
      </c>
      <c r="B229" t="s">
        <v>13</v>
      </c>
      <c r="C229" t="s">
        <v>14</v>
      </c>
      <c r="D229" t="s">
        <v>22</v>
      </c>
      <c r="E229" t="s">
        <v>16</v>
      </c>
      <c r="F229" t="s">
        <v>17</v>
      </c>
      <c r="G229">
        <v>61</v>
      </c>
      <c r="H229">
        <v>71</v>
      </c>
      <c r="I229">
        <v>73</v>
      </c>
      <c r="J229">
        <f>SUM(Table2[[#This Row],[math score]:[writing score]])</f>
        <v>205</v>
      </c>
      <c r="K229">
        <f>Table2[[#This Row],[Total score]]/3</f>
        <v>68.333333333333329</v>
      </c>
    </row>
    <row r="230" spans="1:11" x14ac:dyDescent="0.25">
      <c r="A230" t="s">
        <v>257</v>
      </c>
      <c r="B230" t="s">
        <v>13</v>
      </c>
      <c r="C230" t="s">
        <v>14</v>
      </c>
      <c r="D230" t="s">
        <v>10</v>
      </c>
      <c r="E230" t="s">
        <v>11</v>
      </c>
      <c r="F230" t="s">
        <v>17</v>
      </c>
      <c r="G230">
        <v>76</v>
      </c>
      <c r="H230">
        <v>80</v>
      </c>
      <c r="I230">
        <v>81</v>
      </c>
      <c r="J230">
        <f>SUM(Table2[[#This Row],[math score]:[writing score]])</f>
        <v>237</v>
      </c>
      <c r="K230">
        <f>Table2[[#This Row],[Total score]]/3</f>
        <v>79</v>
      </c>
    </row>
    <row r="231" spans="1:11" x14ac:dyDescent="0.25">
      <c r="A231" t="s">
        <v>258</v>
      </c>
      <c r="B231" t="s">
        <v>8</v>
      </c>
      <c r="C231" t="s">
        <v>23</v>
      </c>
      <c r="D231" t="s">
        <v>21</v>
      </c>
      <c r="E231" t="s">
        <v>16</v>
      </c>
      <c r="F231" t="s">
        <v>12</v>
      </c>
      <c r="G231">
        <v>94</v>
      </c>
      <c r="H231">
        <v>83</v>
      </c>
      <c r="I231">
        <v>82</v>
      </c>
      <c r="J231">
        <f>SUM(Table2[[#This Row],[math score]:[writing score]])</f>
        <v>259</v>
      </c>
      <c r="K231">
        <f>Table2[[#This Row],[Total score]]/3</f>
        <v>86.333333333333329</v>
      </c>
    </row>
    <row r="232" spans="1:11" x14ac:dyDescent="0.25">
      <c r="A232" t="s">
        <v>259</v>
      </c>
      <c r="B232" t="s">
        <v>13</v>
      </c>
      <c r="C232" t="s">
        <v>23</v>
      </c>
      <c r="D232" t="s">
        <v>10</v>
      </c>
      <c r="E232" t="s">
        <v>11</v>
      </c>
      <c r="F232" t="s">
        <v>17</v>
      </c>
      <c r="G232">
        <v>75</v>
      </c>
      <c r="H232">
        <v>90</v>
      </c>
      <c r="I232">
        <v>78</v>
      </c>
      <c r="J232">
        <f>SUM(Table2[[#This Row],[math score]:[writing score]])</f>
        <v>243</v>
      </c>
      <c r="K232">
        <f>Table2[[#This Row],[Total score]]/3</f>
        <v>81</v>
      </c>
    </row>
    <row r="233" spans="1:11" x14ac:dyDescent="0.25">
      <c r="A233" t="s">
        <v>260</v>
      </c>
      <c r="B233" t="s">
        <v>8</v>
      </c>
      <c r="C233" t="s">
        <v>20</v>
      </c>
      <c r="D233" t="s">
        <v>19</v>
      </c>
      <c r="E233" t="s">
        <v>11</v>
      </c>
      <c r="F233" t="s">
        <v>17</v>
      </c>
      <c r="G233">
        <v>81</v>
      </c>
      <c r="H233">
        <v>75</v>
      </c>
      <c r="I233">
        <v>70</v>
      </c>
      <c r="J233">
        <f>SUM(Table2[[#This Row],[math score]:[writing score]])</f>
        <v>226</v>
      </c>
      <c r="K233">
        <f>Table2[[#This Row],[Total score]]/3</f>
        <v>75.333333333333329</v>
      </c>
    </row>
    <row r="234" spans="1:11" x14ac:dyDescent="0.25">
      <c r="A234" t="s">
        <v>261</v>
      </c>
      <c r="B234" t="s">
        <v>8</v>
      </c>
      <c r="C234" t="s">
        <v>23</v>
      </c>
      <c r="D234" t="s">
        <v>19</v>
      </c>
      <c r="E234" t="s">
        <v>16</v>
      </c>
      <c r="F234" t="s">
        <v>17</v>
      </c>
      <c r="G234">
        <v>35</v>
      </c>
      <c r="H234">
        <v>44</v>
      </c>
      <c r="I234">
        <v>33</v>
      </c>
      <c r="J234">
        <f>SUM(Table2[[#This Row],[math score]:[writing score]])</f>
        <v>112</v>
      </c>
      <c r="K234">
        <f>Table2[[#This Row],[Total score]]/3</f>
        <v>37.333333333333336</v>
      </c>
    </row>
    <row r="235" spans="1:11" x14ac:dyDescent="0.25">
      <c r="A235" t="s">
        <v>262</v>
      </c>
      <c r="B235" t="s">
        <v>8</v>
      </c>
      <c r="C235" t="s">
        <v>23</v>
      </c>
      <c r="D235" t="s">
        <v>19</v>
      </c>
      <c r="E235" t="s">
        <v>11</v>
      </c>
      <c r="F235" t="s">
        <v>17</v>
      </c>
      <c r="G235">
        <v>76</v>
      </c>
      <c r="H235">
        <v>74</v>
      </c>
      <c r="I235">
        <v>72</v>
      </c>
      <c r="J235">
        <f>SUM(Table2[[#This Row],[math score]:[writing score]])</f>
        <v>222</v>
      </c>
      <c r="K235">
        <f>Table2[[#This Row],[Total score]]/3</f>
        <v>74</v>
      </c>
    </row>
    <row r="236" spans="1:11" x14ac:dyDescent="0.25">
      <c r="A236" t="s">
        <v>263</v>
      </c>
      <c r="B236" t="s">
        <v>13</v>
      </c>
      <c r="C236" t="s">
        <v>20</v>
      </c>
      <c r="D236" t="s">
        <v>22</v>
      </c>
      <c r="E236" t="s">
        <v>11</v>
      </c>
      <c r="F236" t="s">
        <v>17</v>
      </c>
      <c r="G236">
        <v>58</v>
      </c>
      <c r="H236">
        <v>79</v>
      </c>
      <c r="I236">
        <v>82</v>
      </c>
      <c r="J236">
        <f>SUM(Table2[[#This Row],[math score]:[writing score]])</f>
        <v>219</v>
      </c>
      <c r="K236">
        <f>Table2[[#This Row],[Total score]]/3</f>
        <v>73</v>
      </c>
    </row>
    <row r="237" spans="1:11" x14ac:dyDescent="0.25">
      <c r="A237" t="s">
        <v>264</v>
      </c>
      <c r="B237" t="s">
        <v>8</v>
      </c>
      <c r="C237" t="s">
        <v>23</v>
      </c>
      <c r="D237" t="s">
        <v>21</v>
      </c>
      <c r="E237" t="s">
        <v>11</v>
      </c>
      <c r="F237" t="s">
        <v>12</v>
      </c>
      <c r="G237">
        <v>100</v>
      </c>
      <c r="H237">
        <v>91</v>
      </c>
      <c r="I237">
        <v>90</v>
      </c>
      <c r="J237">
        <f>SUM(Table2[[#This Row],[math score]:[writing score]])</f>
        <v>281</v>
      </c>
      <c r="K237">
        <f>Table2[[#This Row],[Total score]]/3</f>
        <v>93.666666666666671</v>
      </c>
    </row>
    <row r="238" spans="1:11" x14ac:dyDescent="0.25">
      <c r="A238" t="s">
        <v>265</v>
      </c>
      <c r="B238" t="s">
        <v>13</v>
      </c>
      <c r="C238" t="s">
        <v>23</v>
      </c>
      <c r="D238" t="s">
        <v>22</v>
      </c>
      <c r="E238" t="s">
        <v>11</v>
      </c>
      <c r="F238" t="s">
        <v>17</v>
      </c>
      <c r="G238">
        <v>53</v>
      </c>
      <c r="H238">
        <v>68</v>
      </c>
      <c r="I238">
        <v>64</v>
      </c>
      <c r="J238">
        <f>SUM(Table2[[#This Row],[math score]:[writing score]])</f>
        <v>185</v>
      </c>
      <c r="K238">
        <f>Table2[[#This Row],[Total score]]/3</f>
        <v>61.666666666666664</v>
      </c>
    </row>
    <row r="239" spans="1:11" x14ac:dyDescent="0.25">
      <c r="A239" t="s">
        <v>266</v>
      </c>
      <c r="B239" t="s">
        <v>13</v>
      </c>
      <c r="C239" t="s">
        <v>14</v>
      </c>
      <c r="D239" t="s">
        <v>10</v>
      </c>
      <c r="E239" t="s">
        <v>11</v>
      </c>
      <c r="F239" t="s">
        <v>17</v>
      </c>
      <c r="G239">
        <v>82</v>
      </c>
      <c r="H239">
        <v>95</v>
      </c>
      <c r="I239">
        <v>96</v>
      </c>
      <c r="J239">
        <f>SUM(Table2[[#This Row],[math score]:[writing score]])</f>
        <v>273</v>
      </c>
      <c r="K239">
        <f>Table2[[#This Row],[Total score]]/3</f>
        <v>91</v>
      </c>
    </row>
    <row r="240" spans="1:11" x14ac:dyDescent="0.25">
      <c r="A240" t="s">
        <v>267</v>
      </c>
      <c r="B240" t="s">
        <v>8</v>
      </c>
      <c r="C240" t="s">
        <v>20</v>
      </c>
      <c r="D240" t="s">
        <v>21</v>
      </c>
      <c r="E240" t="s">
        <v>11</v>
      </c>
      <c r="F240" t="s">
        <v>17</v>
      </c>
      <c r="G240">
        <v>76</v>
      </c>
      <c r="H240">
        <v>62</v>
      </c>
      <c r="I240">
        <v>64</v>
      </c>
      <c r="J240">
        <f>SUM(Table2[[#This Row],[math score]:[writing score]])</f>
        <v>202</v>
      </c>
      <c r="K240">
        <f>Table2[[#This Row],[Total score]]/3</f>
        <v>67.333333333333329</v>
      </c>
    </row>
    <row r="241" spans="1:11" x14ac:dyDescent="0.25">
      <c r="A241" t="s">
        <v>268</v>
      </c>
      <c r="B241" t="s">
        <v>8</v>
      </c>
      <c r="C241" t="s">
        <v>23</v>
      </c>
      <c r="D241" t="s">
        <v>22</v>
      </c>
      <c r="E241" t="s">
        <v>11</v>
      </c>
      <c r="F241" t="s">
        <v>12</v>
      </c>
      <c r="G241">
        <v>83</v>
      </c>
      <c r="H241">
        <v>75</v>
      </c>
      <c r="I241">
        <v>75</v>
      </c>
      <c r="J241">
        <f>SUM(Table2[[#This Row],[math score]:[writing score]])</f>
        <v>233</v>
      </c>
      <c r="K241">
        <f>Table2[[#This Row],[Total score]]/3</f>
        <v>77.666666666666671</v>
      </c>
    </row>
    <row r="242" spans="1:11" x14ac:dyDescent="0.25">
      <c r="A242" t="s">
        <v>269</v>
      </c>
      <c r="B242" t="s">
        <v>13</v>
      </c>
      <c r="C242" t="s">
        <v>14</v>
      </c>
      <c r="D242" t="s">
        <v>19</v>
      </c>
      <c r="E242" t="s">
        <v>11</v>
      </c>
      <c r="F242" t="s">
        <v>17</v>
      </c>
      <c r="G242">
        <v>72</v>
      </c>
      <c r="H242">
        <v>84</v>
      </c>
      <c r="I242">
        <v>82</v>
      </c>
      <c r="J242">
        <f>SUM(Table2[[#This Row],[math score]:[writing score]])</f>
        <v>238</v>
      </c>
      <c r="K242">
        <f>Table2[[#This Row],[Total score]]/3</f>
        <v>79.333333333333329</v>
      </c>
    </row>
    <row r="243" spans="1:11" x14ac:dyDescent="0.25">
      <c r="A243" t="s">
        <v>270</v>
      </c>
      <c r="B243" t="s">
        <v>8</v>
      </c>
      <c r="C243" t="s">
        <v>14</v>
      </c>
      <c r="D243" t="s">
        <v>21</v>
      </c>
      <c r="E243" t="s">
        <v>11</v>
      </c>
      <c r="F243" t="s">
        <v>12</v>
      </c>
      <c r="G243">
        <v>76</v>
      </c>
      <c r="H243">
        <v>76</v>
      </c>
      <c r="I243">
        <v>83</v>
      </c>
      <c r="J243">
        <f>SUM(Table2[[#This Row],[math score]:[writing score]])</f>
        <v>235</v>
      </c>
      <c r="K243">
        <f>Table2[[#This Row],[Total score]]/3</f>
        <v>78.333333333333329</v>
      </c>
    </row>
    <row r="244" spans="1:11" x14ac:dyDescent="0.25">
      <c r="A244" t="s">
        <v>271</v>
      </c>
      <c r="B244" t="s">
        <v>8</v>
      </c>
      <c r="C244" t="s">
        <v>14</v>
      </c>
      <c r="D244" t="s">
        <v>15</v>
      </c>
      <c r="E244" t="s">
        <v>11</v>
      </c>
      <c r="F244" t="s">
        <v>17</v>
      </c>
      <c r="G244">
        <v>66</v>
      </c>
      <c r="H244">
        <v>64</v>
      </c>
      <c r="I244">
        <v>58</v>
      </c>
      <c r="J244">
        <f>SUM(Table2[[#This Row],[math score]:[writing score]])</f>
        <v>188</v>
      </c>
      <c r="K244">
        <f>Table2[[#This Row],[Total score]]/3</f>
        <v>62.666666666666664</v>
      </c>
    </row>
    <row r="245" spans="1:11" x14ac:dyDescent="0.25">
      <c r="A245" t="s">
        <v>272</v>
      </c>
      <c r="B245" t="s">
        <v>8</v>
      </c>
      <c r="C245" t="s">
        <v>23</v>
      </c>
      <c r="D245" t="s">
        <v>19</v>
      </c>
      <c r="E245" t="s">
        <v>11</v>
      </c>
      <c r="F245" t="s">
        <v>17</v>
      </c>
      <c r="G245">
        <v>63</v>
      </c>
      <c r="H245">
        <v>65</v>
      </c>
      <c r="I245">
        <v>63</v>
      </c>
      <c r="J245">
        <f>SUM(Table2[[#This Row],[math score]:[writing score]])</f>
        <v>191</v>
      </c>
      <c r="K245">
        <f>Table2[[#This Row],[Total score]]/3</f>
        <v>63.666666666666664</v>
      </c>
    </row>
    <row r="246" spans="1:11" x14ac:dyDescent="0.25">
      <c r="A246" t="s">
        <v>273</v>
      </c>
      <c r="B246" t="s">
        <v>8</v>
      </c>
      <c r="C246" t="s">
        <v>20</v>
      </c>
      <c r="D246" t="s">
        <v>15</v>
      </c>
      <c r="E246" t="s">
        <v>11</v>
      </c>
      <c r="F246" t="s">
        <v>17</v>
      </c>
      <c r="G246">
        <v>36</v>
      </c>
      <c r="H246">
        <v>34</v>
      </c>
      <c r="I246">
        <v>28</v>
      </c>
      <c r="J246">
        <f>SUM(Table2[[#This Row],[math score]:[writing score]])</f>
        <v>98</v>
      </c>
      <c r="K246">
        <f>Table2[[#This Row],[Total score]]/3</f>
        <v>32.666666666666664</v>
      </c>
    </row>
    <row r="247" spans="1:11" x14ac:dyDescent="0.25">
      <c r="A247" t="s">
        <v>274</v>
      </c>
      <c r="B247" t="s">
        <v>8</v>
      </c>
      <c r="C247" t="s">
        <v>23</v>
      </c>
      <c r="D247" t="s">
        <v>10</v>
      </c>
      <c r="E247" t="s">
        <v>11</v>
      </c>
      <c r="F247" t="s">
        <v>17</v>
      </c>
      <c r="G247">
        <v>68</v>
      </c>
      <c r="H247">
        <v>74</v>
      </c>
      <c r="I247">
        <v>71</v>
      </c>
      <c r="J247">
        <f>SUM(Table2[[#This Row],[math score]:[writing score]])</f>
        <v>213</v>
      </c>
      <c r="K247">
        <f>Table2[[#This Row],[Total score]]/3</f>
        <v>71</v>
      </c>
    </row>
    <row r="248" spans="1:11" x14ac:dyDescent="0.25">
      <c r="A248" t="s">
        <v>275</v>
      </c>
      <c r="B248" t="s">
        <v>13</v>
      </c>
      <c r="C248" t="s">
        <v>23</v>
      </c>
      <c r="D248" t="s">
        <v>15</v>
      </c>
      <c r="E248" t="s">
        <v>16</v>
      </c>
      <c r="F248" t="s">
        <v>12</v>
      </c>
      <c r="G248">
        <v>40</v>
      </c>
      <c r="H248">
        <v>52</v>
      </c>
      <c r="I248">
        <v>42</v>
      </c>
      <c r="J248">
        <f>SUM(Table2[[#This Row],[math score]:[writing score]])</f>
        <v>134</v>
      </c>
      <c r="K248">
        <f>Table2[[#This Row],[Total score]]/3</f>
        <v>44.666666666666664</v>
      </c>
    </row>
    <row r="249" spans="1:11" x14ac:dyDescent="0.25">
      <c r="A249" t="s">
        <v>276</v>
      </c>
      <c r="B249" t="s">
        <v>8</v>
      </c>
      <c r="C249" t="s">
        <v>14</v>
      </c>
      <c r="D249" t="s">
        <v>15</v>
      </c>
      <c r="E249" t="s">
        <v>11</v>
      </c>
      <c r="F249" t="s">
        <v>17</v>
      </c>
      <c r="G249">
        <v>68</v>
      </c>
      <c r="H249">
        <v>71</v>
      </c>
      <c r="I249">
        <v>61</v>
      </c>
      <c r="J249">
        <f>SUM(Table2[[#This Row],[math score]:[writing score]])</f>
        <v>200</v>
      </c>
      <c r="K249">
        <f>Table2[[#This Row],[Total score]]/3</f>
        <v>66.666666666666671</v>
      </c>
    </row>
    <row r="250" spans="1:11" x14ac:dyDescent="0.25">
      <c r="A250" t="s">
        <v>277</v>
      </c>
      <c r="B250" t="s">
        <v>8</v>
      </c>
      <c r="C250" t="s">
        <v>23</v>
      </c>
      <c r="D250" t="s">
        <v>21</v>
      </c>
      <c r="E250" t="s">
        <v>11</v>
      </c>
      <c r="F250" t="s">
        <v>12</v>
      </c>
      <c r="G250">
        <v>56</v>
      </c>
      <c r="H250">
        <v>54</v>
      </c>
      <c r="I250">
        <v>52</v>
      </c>
      <c r="J250">
        <f>SUM(Table2[[#This Row],[math score]:[writing score]])</f>
        <v>162</v>
      </c>
      <c r="K250">
        <f>Table2[[#This Row],[Total score]]/3</f>
        <v>54</v>
      </c>
    </row>
    <row r="251" spans="1:11" x14ac:dyDescent="0.25">
      <c r="A251" t="s">
        <v>278</v>
      </c>
      <c r="B251" t="s">
        <v>13</v>
      </c>
      <c r="C251" t="s">
        <v>14</v>
      </c>
      <c r="D251" t="s">
        <v>21</v>
      </c>
      <c r="E251" t="s">
        <v>16</v>
      </c>
      <c r="F251" t="s">
        <v>17</v>
      </c>
      <c r="G251">
        <v>74</v>
      </c>
      <c r="H251">
        <v>83</v>
      </c>
      <c r="I251">
        <v>80</v>
      </c>
      <c r="J251">
        <f>SUM(Table2[[#This Row],[math score]:[writing score]])</f>
        <v>237</v>
      </c>
      <c r="K251">
        <f>Table2[[#This Row],[Total score]]/3</f>
        <v>79</v>
      </c>
    </row>
    <row r="252" spans="1:11" x14ac:dyDescent="0.25">
      <c r="A252" t="s">
        <v>279</v>
      </c>
      <c r="B252" t="s">
        <v>13</v>
      </c>
      <c r="C252" t="s">
        <v>14</v>
      </c>
      <c r="D252" t="s">
        <v>19</v>
      </c>
      <c r="E252" t="s">
        <v>16</v>
      </c>
      <c r="F252" t="s">
        <v>17</v>
      </c>
      <c r="G252">
        <v>53</v>
      </c>
      <c r="H252">
        <v>70</v>
      </c>
      <c r="I252">
        <v>71</v>
      </c>
      <c r="J252">
        <f>SUM(Table2[[#This Row],[math score]:[writing score]])</f>
        <v>194</v>
      </c>
      <c r="K252">
        <f>Table2[[#This Row],[Total score]]/3</f>
        <v>64.666666666666671</v>
      </c>
    </row>
    <row r="253" spans="1:11" x14ac:dyDescent="0.25">
      <c r="A253" t="s">
        <v>280</v>
      </c>
      <c r="B253" t="s">
        <v>8</v>
      </c>
      <c r="C253" t="s">
        <v>20</v>
      </c>
      <c r="D253" t="s">
        <v>15</v>
      </c>
      <c r="E253" t="s">
        <v>11</v>
      </c>
      <c r="F253" t="s">
        <v>17</v>
      </c>
      <c r="G253">
        <v>88</v>
      </c>
      <c r="H253">
        <v>65</v>
      </c>
      <c r="I253">
        <v>70</v>
      </c>
      <c r="J253">
        <f>SUM(Table2[[#This Row],[math score]:[writing score]])</f>
        <v>223</v>
      </c>
      <c r="K253">
        <f>Table2[[#This Row],[Total score]]/3</f>
        <v>74.333333333333329</v>
      </c>
    </row>
    <row r="254" spans="1:11" x14ac:dyDescent="0.25">
      <c r="A254" t="s">
        <v>281</v>
      </c>
      <c r="B254" t="s">
        <v>8</v>
      </c>
      <c r="C254" t="s">
        <v>14</v>
      </c>
      <c r="D254" t="s">
        <v>15</v>
      </c>
      <c r="E254" t="s">
        <v>11</v>
      </c>
      <c r="F254" t="s">
        <v>17</v>
      </c>
      <c r="G254">
        <v>67</v>
      </c>
      <c r="H254">
        <v>63</v>
      </c>
      <c r="I254">
        <v>61</v>
      </c>
      <c r="J254">
        <f>SUM(Table2[[#This Row],[math score]:[writing score]])</f>
        <v>191</v>
      </c>
      <c r="K254">
        <f>Table2[[#This Row],[Total score]]/3</f>
        <v>63.666666666666664</v>
      </c>
    </row>
    <row r="255" spans="1:11" x14ac:dyDescent="0.25">
      <c r="A255" t="s">
        <v>282</v>
      </c>
      <c r="B255" t="s">
        <v>13</v>
      </c>
      <c r="C255" t="s">
        <v>20</v>
      </c>
      <c r="D255" t="s">
        <v>21</v>
      </c>
      <c r="E255" t="s">
        <v>11</v>
      </c>
      <c r="F255" t="s">
        <v>17</v>
      </c>
      <c r="G255">
        <v>60</v>
      </c>
      <c r="H255">
        <v>76</v>
      </c>
      <c r="I255">
        <v>65</v>
      </c>
      <c r="J255">
        <f>SUM(Table2[[#This Row],[math score]:[writing score]])</f>
        <v>201</v>
      </c>
      <c r="K255">
        <f>Table2[[#This Row],[Total score]]/3</f>
        <v>67</v>
      </c>
    </row>
    <row r="256" spans="1:11" x14ac:dyDescent="0.25">
      <c r="A256" t="s">
        <v>283</v>
      </c>
      <c r="B256" t="s">
        <v>13</v>
      </c>
      <c r="C256" t="s">
        <v>23</v>
      </c>
      <c r="D256" t="s">
        <v>10</v>
      </c>
      <c r="E256" t="s">
        <v>16</v>
      </c>
      <c r="F256" t="s">
        <v>17</v>
      </c>
      <c r="G256">
        <v>51</v>
      </c>
      <c r="H256">
        <v>61</v>
      </c>
      <c r="I256">
        <v>54</v>
      </c>
      <c r="J256">
        <f>SUM(Table2[[#This Row],[math score]:[writing score]])</f>
        <v>166</v>
      </c>
      <c r="K256">
        <f>Table2[[#This Row],[Total score]]/3</f>
        <v>55.333333333333336</v>
      </c>
    </row>
    <row r="257" spans="1:11" x14ac:dyDescent="0.25">
      <c r="A257" t="s">
        <v>284</v>
      </c>
      <c r="B257" t="s">
        <v>13</v>
      </c>
      <c r="C257" t="s">
        <v>14</v>
      </c>
      <c r="D257" t="s">
        <v>15</v>
      </c>
      <c r="E257" t="s">
        <v>11</v>
      </c>
      <c r="F257" t="s">
        <v>17</v>
      </c>
      <c r="G257">
        <v>53</v>
      </c>
      <c r="H257">
        <v>66</v>
      </c>
      <c r="I257">
        <v>59</v>
      </c>
      <c r="J257">
        <f>SUM(Table2[[#This Row],[math score]:[writing score]])</f>
        <v>178</v>
      </c>
      <c r="K257">
        <f>Table2[[#This Row],[Total score]]/3</f>
        <v>59.333333333333336</v>
      </c>
    </row>
    <row r="258" spans="1:11" x14ac:dyDescent="0.25">
      <c r="A258" t="s">
        <v>285</v>
      </c>
      <c r="B258" t="s">
        <v>8</v>
      </c>
      <c r="C258" t="s">
        <v>9</v>
      </c>
      <c r="D258" t="s">
        <v>22</v>
      </c>
      <c r="E258" t="s">
        <v>11</v>
      </c>
      <c r="F258" t="s">
        <v>17</v>
      </c>
      <c r="G258">
        <v>80</v>
      </c>
      <c r="H258">
        <v>78</v>
      </c>
      <c r="I258">
        <v>74</v>
      </c>
      <c r="J258">
        <f>SUM(Table2[[#This Row],[math score]:[writing score]])</f>
        <v>232</v>
      </c>
      <c r="K258">
        <f>Table2[[#This Row],[Total score]]/3</f>
        <v>77.333333333333329</v>
      </c>
    </row>
    <row r="259" spans="1:11" x14ac:dyDescent="0.25">
      <c r="A259" t="s">
        <v>286</v>
      </c>
      <c r="B259" t="s">
        <v>13</v>
      </c>
      <c r="C259" t="s">
        <v>18</v>
      </c>
      <c r="D259" t="s">
        <v>15</v>
      </c>
      <c r="E259" t="s">
        <v>11</v>
      </c>
      <c r="F259" t="s">
        <v>17</v>
      </c>
      <c r="G259">
        <v>69</v>
      </c>
      <c r="H259">
        <v>71</v>
      </c>
      <c r="I259">
        <v>67</v>
      </c>
      <c r="J259">
        <f>SUM(Table2[[#This Row],[math score]:[writing score]])</f>
        <v>207</v>
      </c>
      <c r="K259">
        <f>Table2[[#This Row],[Total score]]/3</f>
        <v>69</v>
      </c>
    </row>
    <row r="260" spans="1:11" x14ac:dyDescent="0.25">
      <c r="A260" t="s">
        <v>287</v>
      </c>
      <c r="B260" t="s">
        <v>13</v>
      </c>
      <c r="C260" t="s">
        <v>20</v>
      </c>
      <c r="D260" t="s">
        <v>15</v>
      </c>
      <c r="E260" t="s">
        <v>16</v>
      </c>
      <c r="F260" t="s">
        <v>17</v>
      </c>
      <c r="G260">
        <v>64</v>
      </c>
      <c r="H260">
        <v>79</v>
      </c>
      <c r="I260">
        <v>70</v>
      </c>
      <c r="J260">
        <f>SUM(Table2[[#This Row],[math score]:[writing score]])</f>
        <v>213</v>
      </c>
      <c r="K260">
        <f>Table2[[#This Row],[Total score]]/3</f>
        <v>71</v>
      </c>
    </row>
    <row r="261" spans="1:11" x14ac:dyDescent="0.25">
      <c r="A261" t="s">
        <v>288</v>
      </c>
      <c r="B261" t="s">
        <v>13</v>
      </c>
      <c r="C261" t="s">
        <v>14</v>
      </c>
      <c r="D261" t="s">
        <v>21</v>
      </c>
      <c r="E261" t="s">
        <v>16</v>
      </c>
      <c r="F261" t="s">
        <v>12</v>
      </c>
      <c r="G261">
        <v>80</v>
      </c>
      <c r="H261">
        <v>87</v>
      </c>
      <c r="I261">
        <v>89</v>
      </c>
      <c r="J261">
        <f>SUM(Table2[[#This Row],[math score]:[writing score]])</f>
        <v>256</v>
      </c>
      <c r="K261">
        <f>Table2[[#This Row],[Total score]]/3</f>
        <v>85.333333333333329</v>
      </c>
    </row>
    <row r="262" spans="1:11" x14ac:dyDescent="0.25">
      <c r="A262" t="s">
        <v>289</v>
      </c>
      <c r="B262" t="s">
        <v>13</v>
      </c>
      <c r="C262" t="s">
        <v>9</v>
      </c>
      <c r="D262" t="s">
        <v>15</v>
      </c>
      <c r="E262" t="s">
        <v>11</v>
      </c>
      <c r="F262" t="s">
        <v>17</v>
      </c>
      <c r="G262">
        <v>58</v>
      </c>
      <c r="H262">
        <v>72</v>
      </c>
      <c r="I262">
        <v>62</v>
      </c>
      <c r="J262">
        <f>SUM(Table2[[#This Row],[math score]:[writing score]])</f>
        <v>192</v>
      </c>
      <c r="K262">
        <f>Table2[[#This Row],[Total score]]/3</f>
        <v>64</v>
      </c>
    </row>
    <row r="263" spans="1:11" x14ac:dyDescent="0.25">
      <c r="A263" t="s">
        <v>290</v>
      </c>
      <c r="B263" t="s">
        <v>13</v>
      </c>
      <c r="C263" t="s">
        <v>23</v>
      </c>
      <c r="D263" t="s">
        <v>10</v>
      </c>
      <c r="E263" t="s">
        <v>11</v>
      </c>
      <c r="F263" t="s">
        <v>17</v>
      </c>
      <c r="G263">
        <v>39</v>
      </c>
      <c r="H263">
        <v>46</v>
      </c>
      <c r="I263">
        <v>50</v>
      </c>
      <c r="J263">
        <f>SUM(Table2[[#This Row],[math score]:[writing score]])</f>
        <v>135</v>
      </c>
      <c r="K263">
        <f>Table2[[#This Row],[Total score]]/3</f>
        <v>45</v>
      </c>
    </row>
    <row r="264" spans="1:11" x14ac:dyDescent="0.25">
      <c r="A264" t="s">
        <v>291</v>
      </c>
      <c r="B264" t="s">
        <v>8</v>
      </c>
      <c r="C264" t="s">
        <v>14</v>
      </c>
      <c r="D264" t="s">
        <v>15</v>
      </c>
      <c r="E264" t="s">
        <v>11</v>
      </c>
      <c r="F264" t="s">
        <v>17</v>
      </c>
      <c r="G264">
        <v>64</v>
      </c>
      <c r="H264">
        <v>56</v>
      </c>
      <c r="I264">
        <v>50</v>
      </c>
      <c r="J264">
        <f>SUM(Table2[[#This Row],[math score]:[writing score]])</f>
        <v>170</v>
      </c>
      <c r="K264">
        <f>Table2[[#This Row],[Total score]]/3</f>
        <v>56.666666666666664</v>
      </c>
    </row>
    <row r="265" spans="1:11" x14ac:dyDescent="0.25">
      <c r="A265" t="s">
        <v>292</v>
      </c>
      <c r="B265" t="s">
        <v>8</v>
      </c>
      <c r="C265" t="s">
        <v>14</v>
      </c>
      <c r="D265" t="s">
        <v>21</v>
      </c>
      <c r="E265" t="s">
        <v>11</v>
      </c>
      <c r="F265" t="s">
        <v>17</v>
      </c>
      <c r="G265">
        <v>61</v>
      </c>
      <c r="H265">
        <v>66</v>
      </c>
      <c r="I265">
        <v>63</v>
      </c>
      <c r="J265">
        <f>SUM(Table2[[#This Row],[math score]:[writing score]])</f>
        <v>190</v>
      </c>
      <c r="K265">
        <f>Table2[[#This Row],[Total score]]/3</f>
        <v>63.333333333333336</v>
      </c>
    </row>
    <row r="266" spans="1:11" x14ac:dyDescent="0.25">
      <c r="A266" t="s">
        <v>293</v>
      </c>
      <c r="B266" t="s">
        <v>8</v>
      </c>
      <c r="C266" t="s">
        <v>14</v>
      </c>
      <c r="D266" t="s">
        <v>15</v>
      </c>
      <c r="E266" t="s">
        <v>11</v>
      </c>
      <c r="F266" t="s">
        <v>12</v>
      </c>
      <c r="G266">
        <v>90</v>
      </c>
      <c r="H266">
        <v>82</v>
      </c>
      <c r="I266">
        <v>88</v>
      </c>
      <c r="J266">
        <f>SUM(Table2[[#This Row],[math score]:[writing score]])</f>
        <v>260</v>
      </c>
      <c r="K266">
        <f>Table2[[#This Row],[Total score]]/3</f>
        <v>86.666666666666671</v>
      </c>
    </row>
    <row r="267" spans="1:11" x14ac:dyDescent="0.25">
      <c r="A267" t="s">
        <v>294</v>
      </c>
      <c r="B267" t="s">
        <v>8</v>
      </c>
      <c r="C267" t="s">
        <v>14</v>
      </c>
      <c r="D267" t="s">
        <v>15</v>
      </c>
      <c r="E267" t="s">
        <v>11</v>
      </c>
      <c r="F267" t="s">
        <v>17</v>
      </c>
      <c r="G267">
        <v>73</v>
      </c>
      <c r="H267">
        <v>71</v>
      </c>
      <c r="I267">
        <v>64</v>
      </c>
      <c r="J267">
        <f>SUM(Table2[[#This Row],[math score]:[writing score]])</f>
        <v>208</v>
      </c>
      <c r="K267">
        <f>Table2[[#This Row],[Total score]]/3</f>
        <v>69.333333333333329</v>
      </c>
    </row>
    <row r="268" spans="1:11" x14ac:dyDescent="0.25">
      <c r="A268" t="s">
        <v>295</v>
      </c>
      <c r="B268" t="s">
        <v>8</v>
      </c>
      <c r="C268" t="s">
        <v>23</v>
      </c>
      <c r="D268" t="s">
        <v>21</v>
      </c>
      <c r="E268" t="s">
        <v>11</v>
      </c>
      <c r="F268" t="s">
        <v>17</v>
      </c>
      <c r="G268">
        <v>73</v>
      </c>
      <c r="H268">
        <v>73</v>
      </c>
      <c r="I268">
        <v>70</v>
      </c>
      <c r="J268">
        <f>SUM(Table2[[#This Row],[math score]:[writing score]])</f>
        <v>216</v>
      </c>
      <c r="K268">
        <f>Table2[[#This Row],[Total score]]/3</f>
        <v>72</v>
      </c>
    </row>
    <row r="269" spans="1:11" x14ac:dyDescent="0.25">
      <c r="A269" t="s">
        <v>296</v>
      </c>
      <c r="B269" t="s">
        <v>13</v>
      </c>
      <c r="C269" t="s">
        <v>14</v>
      </c>
      <c r="D269" t="s">
        <v>21</v>
      </c>
      <c r="E269" t="s">
        <v>11</v>
      </c>
      <c r="F269" t="s">
        <v>17</v>
      </c>
      <c r="G269">
        <v>67</v>
      </c>
      <c r="H269">
        <v>76</v>
      </c>
      <c r="I269">
        <v>77</v>
      </c>
      <c r="J269">
        <f>SUM(Table2[[#This Row],[math score]:[writing score]])</f>
        <v>220</v>
      </c>
      <c r="K269">
        <f>Table2[[#This Row],[Total score]]/3</f>
        <v>73.333333333333329</v>
      </c>
    </row>
    <row r="270" spans="1:11" x14ac:dyDescent="0.25">
      <c r="A270" t="s">
        <v>297</v>
      </c>
      <c r="B270" t="s">
        <v>13</v>
      </c>
      <c r="C270" t="s">
        <v>20</v>
      </c>
      <c r="D270" t="s">
        <v>19</v>
      </c>
      <c r="E270" t="s">
        <v>11</v>
      </c>
      <c r="F270" t="s">
        <v>17</v>
      </c>
      <c r="G270">
        <v>57</v>
      </c>
      <c r="H270">
        <v>58</v>
      </c>
      <c r="I270">
        <v>62</v>
      </c>
      <c r="J270">
        <f>SUM(Table2[[#This Row],[math score]:[writing score]])</f>
        <v>177</v>
      </c>
      <c r="K270">
        <f>Table2[[#This Row],[Total score]]/3</f>
        <v>59</v>
      </c>
    </row>
    <row r="271" spans="1:11" x14ac:dyDescent="0.25">
      <c r="A271" t="s">
        <v>298</v>
      </c>
      <c r="B271" t="s">
        <v>13</v>
      </c>
      <c r="C271" t="s">
        <v>18</v>
      </c>
      <c r="D271" t="s">
        <v>19</v>
      </c>
      <c r="E271" t="s">
        <v>11</v>
      </c>
      <c r="F271" t="s">
        <v>17</v>
      </c>
      <c r="G271">
        <v>65</v>
      </c>
      <c r="H271">
        <v>73</v>
      </c>
      <c r="I271">
        <v>72</v>
      </c>
      <c r="J271">
        <f>SUM(Table2[[#This Row],[math score]:[writing score]])</f>
        <v>210</v>
      </c>
      <c r="K271">
        <f>Table2[[#This Row],[Total score]]/3</f>
        <v>70</v>
      </c>
    </row>
    <row r="272" spans="1:11" x14ac:dyDescent="0.25">
      <c r="A272" t="s">
        <v>299</v>
      </c>
      <c r="B272" t="s">
        <v>13</v>
      </c>
      <c r="C272" t="s">
        <v>23</v>
      </c>
      <c r="D272" t="s">
        <v>15</v>
      </c>
      <c r="E272" t="s">
        <v>11</v>
      </c>
      <c r="F272" t="s">
        <v>17</v>
      </c>
      <c r="G272">
        <v>71</v>
      </c>
      <c r="H272">
        <v>72</v>
      </c>
      <c r="I272">
        <v>71</v>
      </c>
      <c r="J272">
        <f>SUM(Table2[[#This Row],[math score]:[writing score]])</f>
        <v>214</v>
      </c>
      <c r="K272">
        <f>Table2[[#This Row],[Total score]]/3</f>
        <v>71.333333333333329</v>
      </c>
    </row>
    <row r="273" spans="1:11" x14ac:dyDescent="0.25">
      <c r="A273" t="s">
        <v>300</v>
      </c>
      <c r="B273" t="s">
        <v>13</v>
      </c>
      <c r="C273" t="s">
        <v>14</v>
      </c>
      <c r="D273" t="s">
        <v>15</v>
      </c>
      <c r="E273" t="s">
        <v>11</v>
      </c>
      <c r="F273" t="s">
        <v>17</v>
      </c>
      <c r="G273">
        <v>59</v>
      </c>
      <c r="H273">
        <v>69</v>
      </c>
      <c r="I273">
        <v>72</v>
      </c>
      <c r="J273">
        <f>SUM(Table2[[#This Row],[math score]:[writing score]])</f>
        <v>200</v>
      </c>
      <c r="K273">
        <f>Table2[[#This Row],[Total score]]/3</f>
        <v>66.666666666666671</v>
      </c>
    </row>
    <row r="274" spans="1:11" x14ac:dyDescent="0.25">
      <c r="A274" t="s">
        <v>301</v>
      </c>
      <c r="B274" t="s">
        <v>8</v>
      </c>
      <c r="C274" t="s">
        <v>20</v>
      </c>
      <c r="D274" t="s">
        <v>10</v>
      </c>
      <c r="E274" t="s">
        <v>11</v>
      </c>
      <c r="F274" t="s">
        <v>12</v>
      </c>
      <c r="G274">
        <v>74</v>
      </c>
      <c r="H274">
        <v>71</v>
      </c>
      <c r="I274">
        <v>65</v>
      </c>
      <c r="J274">
        <f>SUM(Table2[[#This Row],[math score]:[writing score]])</f>
        <v>210</v>
      </c>
      <c r="K274">
        <f>Table2[[#This Row],[Total score]]/3</f>
        <v>70</v>
      </c>
    </row>
    <row r="275" spans="1:11" x14ac:dyDescent="0.25">
      <c r="A275" t="s">
        <v>302</v>
      </c>
      <c r="B275" t="s">
        <v>13</v>
      </c>
      <c r="C275" t="s">
        <v>18</v>
      </c>
      <c r="D275" t="s">
        <v>10</v>
      </c>
      <c r="E275" t="s">
        <v>11</v>
      </c>
      <c r="F275" t="s">
        <v>17</v>
      </c>
      <c r="G275">
        <v>93</v>
      </c>
      <c r="H275">
        <v>100</v>
      </c>
      <c r="I275">
        <v>93</v>
      </c>
      <c r="J275">
        <f>SUM(Table2[[#This Row],[math score]:[writing score]])</f>
        <v>286</v>
      </c>
      <c r="K275">
        <f>Table2[[#This Row],[Total score]]/3</f>
        <v>95.333333333333329</v>
      </c>
    </row>
    <row r="276" spans="1:11" x14ac:dyDescent="0.25">
      <c r="A276" t="s">
        <v>303</v>
      </c>
      <c r="B276" t="s">
        <v>13</v>
      </c>
      <c r="C276" t="s">
        <v>20</v>
      </c>
      <c r="D276" t="s">
        <v>15</v>
      </c>
      <c r="E276" t="s">
        <v>11</v>
      </c>
      <c r="F276" t="s">
        <v>12</v>
      </c>
      <c r="G276">
        <v>85</v>
      </c>
      <c r="H276">
        <v>93</v>
      </c>
      <c r="I276">
        <v>92</v>
      </c>
      <c r="J276">
        <f>SUM(Table2[[#This Row],[math score]:[writing score]])</f>
        <v>270</v>
      </c>
      <c r="K276">
        <f>Table2[[#This Row],[Total score]]/3</f>
        <v>90</v>
      </c>
    </row>
    <row r="277" spans="1:11" x14ac:dyDescent="0.25">
      <c r="A277" t="s">
        <v>304</v>
      </c>
      <c r="B277" t="s">
        <v>13</v>
      </c>
      <c r="C277" t="s">
        <v>18</v>
      </c>
      <c r="D277" t="s">
        <v>15</v>
      </c>
      <c r="E277" t="s">
        <v>11</v>
      </c>
      <c r="F277" t="s">
        <v>17</v>
      </c>
      <c r="G277">
        <v>76</v>
      </c>
      <c r="H277">
        <v>83</v>
      </c>
      <c r="I277">
        <v>79</v>
      </c>
      <c r="J277">
        <f>SUM(Table2[[#This Row],[math score]:[writing score]])</f>
        <v>238</v>
      </c>
      <c r="K277">
        <f>Table2[[#This Row],[Total score]]/3</f>
        <v>79.333333333333329</v>
      </c>
    </row>
    <row r="278" spans="1:11" x14ac:dyDescent="0.25">
      <c r="A278" t="s">
        <v>305</v>
      </c>
      <c r="B278" t="s">
        <v>13</v>
      </c>
      <c r="C278" t="s">
        <v>14</v>
      </c>
      <c r="D278" t="s">
        <v>10</v>
      </c>
      <c r="E278" t="s">
        <v>16</v>
      </c>
      <c r="F278" t="s">
        <v>17</v>
      </c>
      <c r="G278">
        <v>58</v>
      </c>
      <c r="H278">
        <v>72</v>
      </c>
      <c r="I278">
        <v>70</v>
      </c>
      <c r="J278">
        <f>SUM(Table2[[#This Row],[math score]:[writing score]])</f>
        <v>200</v>
      </c>
      <c r="K278">
        <f>Table2[[#This Row],[Total score]]/3</f>
        <v>66.666666666666671</v>
      </c>
    </row>
    <row r="279" spans="1:11" x14ac:dyDescent="0.25">
      <c r="A279" t="s">
        <v>306</v>
      </c>
      <c r="B279" t="s">
        <v>13</v>
      </c>
      <c r="C279" t="s">
        <v>18</v>
      </c>
      <c r="D279" t="s">
        <v>21</v>
      </c>
      <c r="E279" t="s">
        <v>11</v>
      </c>
      <c r="F279" t="s">
        <v>17</v>
      </c>
      <c r="G279">
        <v>72</v>
      </c>
      <c r="H279">
        <v>77</v>
      </c>
      <c r="I279">
        <v>77</v>
      </c>
      <c r="J279">
        <f>SUM(Table2[[#This Row],[math score]:[writing score]])</f>
        <v>226</v>
      </c>
      <c r="K279">
        <f>Table2[[#This Row],[Total score]]/3</f>
        <v>75.333333333333329</v>
      </c>
    </row>
    <row r="280" spans="1:11" x14ac:dyDescent="0.25">
      <c r="A280" t="s">
        <v>307</v>
      </c>
      <c r="B280" t="s">
        <v>13</v>
      </c>
      <c r="C280" t="s">
        <v>20</v>
      </c>
      <c r="D280" t="s">
        <v>10</v>
      </c>
      <c r="E280" t="s">
        <v>11</v>
      </c>
      <c r="F280" t="s">
        <v>17</v>
      </c>
      <c r="G280">
        <v>40</v>
      </c>
      <c r="H280">
        <v>49</v>
      </c>
      <c r="I280">
        <v>47</v>
      </c>
      <c r="J280">
        <f>SUM(Table2[[#This Row],[math score]:[writing score]])</f>
        <v>136</v>
      </c>
      <c r="K280">
        <f>Table2[[#This Row],[Total score]]/3</f>
        <v>45.333333333333336</v>
      </c>
    </row>
    <row r="281" spans="1:11" x14ac:dyDescent="0.25">
      <c r="A281" t="s">
        <v>308</v>
      </c>
      <c r="B281" t="s">
        <v>8</v>
      </c>
      <c r="C281" t="s">
        <v>14</v>
      </c>
      <c r="D281" t="s">
        <v>10</v>
      </c>
      <c r="E281" t="s">
        <v>11</v>
      </c>
      <c r="F281" t="s">
        <v>12</v>
      </c>
      <c r="G281">
        <v>75</v>
      </c>
      <c r="H281">
        <v>73</v>
      </c>
      <c r="I281">
        <v>66</v>
      </c>
      <c r="J281">
        <f>SUM(Table2[[#This Row],[math score]:[writing score]])</f>
        <v>214</v>
      </c>
      <c r="K281">
        <f>Table2[[#This Row],[Total score]]/3</f>
        <v>71.333333333333329</v>
      </c>
    </row>
    <row r="282" spans="1:11" x14ac:dyDescent="0.25">
      <c r="A282" t="s">
        <v>309</v>
      </c>
      <c r="B282" t="s">
        <v>8</v>
      </c>
      <c r="C282" t="s">
        <v>14</v>
      </c>
      <c r="D282" t="s">
        <v>15</v>
      </c>
      <c r="E282" t="s">
        <v>11</v>
      </c>
      <c r="F282" t="s">
        <v>17</v>
      </c>
      <c r="G282">
        <v>85</v>
      </c>
      <c r="H282">
        <v>81</v>
      </c>
      <c r="I282">
        <v>80</v>
      </c>
      <c r="J282">
        <f>SUM(Table2[[#This Row],[math score]:[writing score]])</f>
        <v>246</v>
      </c>
      <c r="K282">
        <f>Table2[[#This Row],[Total score]]/3</f>
        <v>82</v>
      </c>
    </row>
    <row r="283" spans="1:11" x14ac:dyDescent="0.25">
      <c r="A283" t="s">
        <v>310</v>
      </c>
      <c r="B283" t="s">
        <v>8</v>
      </c>
      <c r="C283" t="s">
        <v>18</v>
      </c>
      <c r="D283" t="s">
        <v>21</v>
      </c>
      <c r="E283" t="s">
        <v>11</v>
      </c>
      <c r="F283" t="s">
        <v>12</v>
      </c>
      <c r="G283">
        <v>100</v>
      </c>
      <c r="H283">
        <v>100</v>
      </c>
      <c r="I283">
        <v>100</v>
      </c>
      <c r="J283">
        <f>SUM(Table2[[#This Row],[math score]:[writing score]])</f>
        <v>300</v>
      </c>
      <c r="K283">
        <f>Table2[[#This Row],[Total score]]/3</f>
        <v>100</v>
      </c>
    </row>
    <row r="284" spans="1:11" x14ac:dyDescent="0.25">
      <c r="A284" t="s">
        <v>311</v>
      </c>
      <c r="B284" t="s">
        <v>13</v>
      </c>
      <c r="C284" t="s">
        <v>20</v>
      </c>
      <c r="D284" t="s">
        <v>19</v>
      </c>
      <c r="E284" t="s">
        <v>16</v>
      </c>
      <c r="F284" t="s">
        <v>12</v>
      </c>
      <c r="G284">
        <v>53</v>
      </c>
      <c r="H284">
        <v>65</v>
      </c>
      <c r="I284">
        <v>66</v>
      </c>
      <c r="J284">
        <f>SUM(Table2[[#This Row],[math score]:[writing score]])</f>
        <v>184</v>
      </c>
      <c r="K284">
        <f>Table2[[#This Row],[Total score]]/3</f>
        <v>61.333333333333336</v>
      </c>
    </row>
    <row r="285" spans="1:11" x14ac:dyDescent="0.25">
      <c r="A285" t="s">
        <v>312</v>
      </c>
      <c r="B285" t="s">
        <v>8</v>
      </c>
      <c r="C285" t="s">
        <v>14</v>
      </c>
      <c r="D285" t="s">
        <v>19</v>
      </c>
      <c r="E285" t="s">
        <v>16</v>
      </c>
      <c r="F285" t="s">
        <v>17</v>
      </c>
      <c r="G285">
        <v>40</v>
      </c>
      <c r="H285">
        <v>42</v>
      </c>
      <c r="I285">
        <v>39</v>
      </c>
      <c r="J285">
        <f>SUM(Table2[[#This Row],[math score]:[writing score]])</f>
        <v>121</v>
      </c>
      <c r="K285">
        <f>Table2[[#This Row],[Total score]]/3</f>
        <v>40.333333333333336</v>
      </c>
    </row>
    <row r="286" spans="1:11" x14ac:dyDescent="0.25">
      <c r="A286" t="s">
        <v>313</v>
      </c>
      <c r="B286" t="s">
        <v>8</v>
      </c>
      <c r="C286" t="s">
        <v>20</v>
      </c>
      <c r="D286" t="s">
        <v>22</v>
      </c>
      <c r="E286" t="s">
        <v>16</v>
      </c>
      <c r="F286" t="s">
        <v>17</v>
      </c>
      <c r="G286">
        <v>49</v>
      </c>
      <c r="H286">
        <v>49</v>
      </c>
      <c r="I286">
        <v>49</v>
      </c>
      <c r="J286">
        <f>SUM(Table2[[#This Row],[math score]:[writing score]])</f>
        <v>147</v>
      </c>
      <c r="K286">
        <f>Table2[[#This Row],[Total score]]/3</f>
        <v>49</v>
      </c>
    </row>
    <row r="287" spans="1:11" x14ac:dyDescent="0.25">
      <c r="A287" t="s">
        <v>314</v>
      </c>
      <c r="B287" t="s">
        <v>8</v>
      </c>
      <c r="C287" t="s">
        <v>23</v>
      </c>
      <c r="D287" t="s">
        <v>21</v>
      </c>
      <c r="E287" t="s">
        <v>11</v>
      </c>
      <c r="F287" t="s">
        <v>17</v>
      </c>
      <c r="G287">
        <v>77</v>
      </c>
      <c r="H287">
        <v>80</v>
      </c>
      <c r="I287">
        <v>80</v>
      </c>
      <c r="J287">
        <f>SUM(Table2[[#This Row],[math score]:[writing score]])</f>
        <v>237</v>
      </c>
      <c r="K287">
        <f>Table2[[#This Row],[Total score]]/3</f>
        <v>79</v>
      </c>
    </row>
    <row r="288" spans="1:11" x14ac:dyDescent="0.25">
      <c r="A288" t="s">
        <v>315</v>
      </c>
      <c r="B288" t="s">
        <v>13</v>
      </c>
      <c r="C288" t="s">
        <v>14</v>
      </c>
      <c r="D288" t="s">
        <v>10</v>
      </c>
      <c r="E288" t="s">
        <v>11</v>
      </c>
      <c r="F288" t="s">
        <v>17</v>
      </c>
      <c r="G288">
        <v>82</v>
      </c>
      <c r="H288">
        <v>89</v>
      </c>
      <c r="I288">
        <v>84</v>
      </c>
      <c r="J288">
        <f>SUM(Table2[[#This Row],[math score]:[writing score]])</f>
        <v>255</v>
      </c>
      <c r="K288">
        <f>Table2[[#This Row],[Total score]]/3</f>
        <v>85</v>
      </c>
    </row>
    <row r="289" spans="1:11" x14ac:dyDescent="0.25">
      <c r="A289" t="s">
        <v>316</v>
      </c>
      <c r="B289" t="s">
        <v>8</v>
      </c>
      <c r="C289" t="s">
        <v>23</v>
      </c>
      <c r="D289" t="s">
        <v>19</v>
      </c>
      <c r="E289" t="s">
        <v>11</v>
      </c>
      <c r="F289" t="s">
        <v>17</v>
      </c>
      <c r="G289">
        <v>55</v>
      </c>
      <c r="H289">
        <v>48</v>
      </c>
      <c r="I289">
        <v>42</v>
      </c>
      <c r="J289">
        <f>SUM(Table2[[#This Row],[math score]:[writing score]])</f>
        <v>145</v>
      </c>
      <c r="K289">
        <f>Table2[[#This Row],[Total score]]/3</f>
        <v>48.333333333333336</v>
      </c>
    </row>
    <row r="290" spans="1:11" x14ac:dyDescent="0.25">
      <c r="A290" t="s">
        <v>317</v>
      </c>
      <c r="B290" t="s">
        <v>13</v>
      </c>
      <c r="C290" t="s">
        <v>23</v>
      </c>
      <c r="D290" t="s">
        <v>15</v>
      </c>
      <c r="E290" t="s">
        <v>16</v>
      </c>
      <c r="F290" t="s">
        <v>17</v>
      </c>
      <c r="G290">
        <v>62</v>
      </c>
      <c r="H290">
        <v>71</v>
      </c>
      <c r="I290">
        <v>77</v>
      </c>
      <c r="J290">
        <f>SUM(Table2[[#This Row],[math score]:[writing score]])</f>
        <v>210</v>
      </c>
      <c r="K290">
        <f>Table2[[#This Row],[Total score]]/3</f>
        <v>70</v>
      </c>
    </row>
    <row r="291" spans="1:11" x14ac:dyDescent="0.25">
      <c r="A291" t="s">
        <v>318</v>
      </c>
      <c r="B291" t="s">
        <v>8</v>
      </c>
      <c r="C291" t="s">
        <v>20</v>
      </c>
      <c r="D291" t="s">
        <v>10</v>
      </c>
      <c r="E291" t="s">
        <v>11</v>
      </c>
      <c r="F291" t="s">
        <v>12</v>
      </c>
      <c r="G291">
        <v>69</v>
      </c>
      <c r="H291">
        <v>63</v>
      </c>
      <c r="I291">
        <v>59</v>
      </c>
      <c r="J291">
        <f>SUM(Table2[[#This Row],[math score]:[writing score]])</f>
        <v>191</v>
      </c>
      <c r="K291">
        <f>Table2[[#This Row],[Total score]]/3</f>
        <v>63.666666666666664</v>
      </c>
    </row>
    <row r="292" spans="1:11" x14ac:dyDescent="0.25">
      <c r="A292" t="s">
        <v>319</v>
      </c>
      <c r="B292" t="s">
        <v>8</v>
      </c>
      <c r="C292" t="s">
        <v>23</v>
      </c>
      <c r="D292" t="s">
        <v>21</v>
      </c>
      <c r="E292" t="s">
        <v>11</v>
      </c>
      <c r="F292" t="s">
        <v>17</v>
      </c>
      <c r="G292">
        <v>78</v>
      </c>
      <c r="H292">
        <v>74</v>
      </c>
      <c r="I292">
        <v>76</v>
      </c>
      <c r="J292">
        <f>SUM(Table2[[#This Row],[math score]:[writing score]])</f>
        <v>228</v>
      </c>
      <c r="K292">
        <f>Table2[[#This Row],[Total score]]/3</f>
        <v>76</v>
      </c>
    </row>
    <row r="293" spans="1:11" x14ac:dyDescent="0.25">
      <c r="A293" t="s">
        <v>320</v>
      </c>
      <c r="B293" t="s">
        <v>13</v>
      </c>
      <c r="C293" t="s">
        <v>20</v>
      </c>
      <c r="D293" t="s">
        <v>10</v>
      </c>
      <c r="E293" t="s">
        <v>16</v>
      </c>
      <c r="F293" t="s">
        <v>12</v>
      </c>
      <c r="G293">
        <v>71</v>
      </c>
      <c r="H293">
        <v>77</v>
      </c>
      <c r="I293">
        <v>82</v>
      </c>
      <c r="J293">
        <f>SUM(Table2[[#This Row],[math score]:[writing score]])</f>
        <v>230</v>
      </c>
      <c r="K293">
        <f>Table2[[#This Row],[Total score]]/3</f>
        <v>76.666666666666671</v>
      </c>
    </row>
    <row r="294" spans="1:11" x14ac:dyDescent="0.25">
      <c r="A294" t="s">
        <v>321</v>
      </c>
      <c r="B294" t="s">
        <v>8</v>
      </c>
      <c r="C294" t="s">
        <v>14</v>
      </c>
      <c r="D294" t="s">
        <v>19</v>
      </c>
      <c r="E294" t="s">
        <v>16</v>
      </c>
      <c r="F294" t="s">
        <v>12</v>
      </c>
      <c r="G294">
        <v>59</v>
      </c>
      <c r="H294">
        <v>71</v>
      </c>
      <c r="I294">
        <v>66</v>
      </c>
      <c r="J294">
        <f>SUM(Table2[[#This Row],[math score]:[writing score]])</f>
        <v>196</v>
      </c>
      <c r="K294">
        <f>Table2[[#This Row],[Total score]]/3</f>
        <v>65.333333333333329</v>
      </c>
    </row>
    <row r="295" spans="1:11" x14ac:dyDescent="0.25">
      <c r="A295" t="s">
        <v>322</v>
      </c>
      <c r="B295" t="s">
        <v>13</v>
      </c>
      <c r="C295" t="s">
        <v>14</v>
      </c>
      <c r="D295" t="s">
        <v>10</v>
      </c>
      <c r="E295" t="s">
        <v>16</v>
      </c>
      <c r="F295" t="s">
        <v>17</v>
      </c>
      <c r="G295">
        <v>60</v>
      </c>
      <c r="H295">
        <v>75</v>
      </c>
      <c r="I295">
        <v>70</v>
      </c>
      <c r="J295">
        <f>SUM(Table2[[#This Row],[math score]:[writing score]])</f>
        <v>205</v>
      </c>
      <c r="K295">
        <f>Table2[[#This Row],[Total score]]/3</f>
        <v>68.333333333333329</v>
      </c>
    </row>
    <row r="296" spans="1:11" x14ac:dyDescent="0.25">
      <c r="A296" t="s">
        <v>323</v>
      </c>
      <c r="B296" t="s">
        <v>13</v>
      </c>
      <c r="C296" t="s">
        <v>23</v>
      </c>
      <c r="D296" t="s">
        <v>22</v>
      </c>
      <c r="E296" t="s">
        <v>16</v>
      </c>
      <c r="F296" t="s">
        <v>12</v>
      </c>
      <c r="G296">
        <v>43</v>
      </c>
      <c r="H296">
        <v>60</v>
      </c>
      <c r="I296">
        <v>60</v>
      </c>
      <c r="J296">
        <f>SUM(Table2[[#This Row],[math score]:[writing score]])</f>
        <v>163</v>
      </c>
      <c r="K296">
        <f>Table2[[#This Row],[Total score]]/3</f>
        <v>54.333333333333336</v>
      </c>
    </row>
    <row r="297" spans="1:11" x14ac:dyDescent="0.25">
      <c r="A297" t="s">
        <v>324</v>
      </c>
      <c r="B297" t="s">
        <v>13</v>
      </c>
      <c r="C297" t="s">
        <v>23</v>
      </c>
      <c r="D297" t="s">
        <v>15</v>
      </c>
      <c r="E297" t="s">
        <v>11</v>
      </c>
      <c r="F297" t="s">
        <v>17</v>
      </c>
      <c r="G297">
        <v>77</v>
      </c>
      <c r="H297">
        <v>83</v>
      </c>
      <c r="I297">
        <v>86</v>
      </c>
      <c r="J297">
        <f>SUM(Table2[[#This Row],[math score]:[writing score]])</f>
        <v>246</v>
      </c>
      <c r="K297">
        <f>Table2[[#This Row],[Total score]]/3</f>
        <v>82</v>
      </c>
    </row>
    <row r="298" spans="1:11" x14ac:dyDescent="0.25">
      <c r="A298" t="s">
        <v>325</v>
      </c>
      <c r="B298" t="s">
        <v>8</v>
      </c>
      <c r="C298" t="s">
        <v>14</v>
      </c>
      <c r="D298" t="s">
        <v>15</v>
      </c>
      <c r="E298" t="s">
        <v>16</v>
      </c>
      <c r="F298" t="s">
        <v>17</v>
      </c>
      <c r="G298">
        <v>50</v>
      </c>
      <c r="H298">
        <v>47</v>
      </c>
      <c r="I298">
        <v>46</v>
      </c>
      <c r="J298">
        <f>SUM(Table2[[#This Row],[math score]:[writing score]])</f>
        <v>143</v>
      </c>
      <c r="K298">
        <f>Table2[[#This Row],[Total score]]/3</f>
        <v>47.666666666666664</v>
      </c>
    </row>
    <row r="299" spans="1:11" x14ac:dyDescent="0.25">
      <c r="A299" t="s">
        <v>326</v>
      </c>
      <c r="B299" t="s">
        <v>13</v>
      </c>
      <c r="C299" t="s">
        <v>18</v>
      </c>
      <c r="D299" t="s">
        <v>22</v>
      </c>
      <c r="E299" t="s">
        <v>16</v>
      </c>
      <c r="F299" t="s">
        <v>17</v>
      </c>
      <c r="G299">
        <v>56</v>
      </c>
      <c r="H299">
        <v>58</v>
      </c>
      <c r="I299">
        <v>52</v>
      </c>
      <c r="J299">
        <f>SUM(Table2[[#This Row],[math score]:[writing score]])</f>
        <v>166</v>
      </c>
      <c r="K299">
        <f>Table2[[#This Row],[Total score]]/3</f>
        <v>55.333333333333336</v>
      </c>
    </row>
    <row r="300" spans="1:11" x14ac:dyDescent="0.25">
      <c r="A300" t="s">
        <v>327</v>
      </c>
      <c r="B300" t="s">
        <v>8</v>
      </c>
      <c r="C300" t="s">
        <v>20</v>
      </c>
      <c r="D300" t="s">
        <v>10</v>
      </c>
      <c r="E300" t="s">
        <v>11</v>
      </c>
      <c r="F300" t="s">
        <v>17</v>
      </c>
      <c r="G300">
        <v>69</v>
      </c>
      <c r="H300">
        <v>58</v>
      </c>
      <c r="I300">
        <v>50</v>
      </c>
      <c r="J300">
        <f>SUM(Table2[[#This Row],[math score]:[writing score]])</f>
        <v>177</v>
      </c>
      <c r="K300">
        <f>Table2[[#This Row],[Total score]]/3</f>
        <v>59</v>
      </c>
    </row>
    <row r="301" spans="1:11" x14ac:dyDescent="0.25">
      <c r="A301" t="s">
        <v>328</v>
      </c>
      <c r="B301" t="s">
        <v>8</v>
      </c>
      <c r="C301" t="s">
        <v>14</v>
      </c>
      <c r="D301" t="s">
        <v>10</v>
      </c>
      <c r="E301" t="s">
        <v>11</v>
      </c>
      <c r="F301" t="s">
        <v>17</v>
      </c>
      <c r="G301">
        <v>47</v>
      </c>
      <c r="H301">
        <v>43</v>
      </c>
      <c r="I301">
        <v>39</v>
      </c>
      <c r="J301">
        <f>SUM(Table2[[#This Row],[math score]:[writing score]])</f>
        <v>129</v>
      </c>
      <c r="K301">
        <f>Table2[[#This Row],[Total score]]/3</f>
        <v>43</v>
      </c>
    </row>
    <row r="302" spans="1:11" x14ac:dyDescent="0.25">
      <c r="A302" t="s">
        <v>329</v>
      </c>
      <c r="B302" t="s">
        <v>8</v>
      </c>
      <c r="C302" t="s">
        <v>20</v>
      </c>
      <c r="D302" t="s">
        <v>19</v>
      </c>
      <c r="E302" t="s">
        <v>16</v>
      </c>
      <c r="F302" t="s">
        <v>17</v>
      </c>
      <c r="G302">
        <v>43</v>
      </c>
      <c r="H302">
        <v>28</v>
      </c>
      <c r="I302">
        <v>24</v>
      </c>
      <c r="J302">
        <f>SUM(Table2[[#This Row],[math score]:[writing score]])</f>
        <v>95</v>
      </c>
      <c r="K302">
        <f>Table2[[#This Row],[Total score]]/3</f>
        <v>31.666666666666668</v>
      </c>
    </row>
    <row r="303" spans="1:11" x14ac:dyDescent="0.25">
      <c r="A303" t="s">
        <v>330</v>
      </c>
      <c r="B303" t="s">
        <v>8</v>
      </c>
      <c r="C303" t="s">
        <v>9</v>
      </c>
      <c r="D303" t="s">
        <v>15</v>
      </c>
      <c r="E303" t="s">
        <v>16</v>
      </c>
      <c r="F303" t="s">
        <v>17</v>
      </c>
      <c r="G303">
        <v>48</v>
      </c>
      <c r="H303">
        <v>39</v>
      </c>
      <c r="I303">
        <v>40</v>
      </c>
      <c r="J303">
        <f>SUM(Table2[[#This Row],[math score]:[writing score]])</f>
        <v>127</v>
      </c>
      <c r="K303">
        <f>Table2[[#This Row],[Total score]]/3</f>
        <v>42.333333333333336</v>
      </c>
    </row>
    <row r="304" spans="1:11" x14ac:dyDescent="0.25">
      <c r="A304" t="s">
        <v>331</v>
      </c>
      <c r="B304" t="s">
        <v>8</v>
      </c>
      <c r="C304" t="s">
        <v>23</v>
      </c>
      <c r="D304" t="s">
        <v>10</v>
      </c>
      <c r="E304" t="s">
        <v>16</v>
      </c>
      <c r="F304" t="s">
        <v>17</v>
      </c>
      <c r="G304">
        <v>55</v>
      </c>
      <c r="H304">
        <v>62</v>
      </c>
      <c r="I304">
        <v>49</v>
      </c>
      <c r="J304">
        <f>SUM(Table2[[#This Row],[math score]:[writing score]])</f>
        <v>166</v>
      </c>
      <c r="K304">
        <f>Table2[[#This Row],[Total score]]/3</f>
        <v>55.333333333333336</v>
      </c>
    </row>
    <row r="305" spans="1:11" x14ac:dyDescent="0.25">
      <c r="A305" t="s">
        <v>332</v>
      </c>
      <c r="B305" t="s">
        <v>8</v>
      </c>
      <c r="C305" t="s">
        <v>23</v>
      </c>
      <c r="D305" t="s">
        <v>19</v>
      </c>
      <c r="E305" t="s">
        <v>11</v>
      </c>
      <c r="F305" t="s">
        <v>17</v>
      </c>
      <c r="G305">
        <v>73</v>
      </c>
      <c r="H305">
        <v>68</v>
      </c>
      <c r="I305">
        <v>66</v>
      </c>
      <c r="J305">
        <f>SUM(Table2[[#This Row],[math score]:[writing score]])</f>
        <v>207</v>
      </c>
      <c r="K305">
        <f>Table2[[#This Row],[Total score]]/3</f>
        <v>69</v>
      </c>
    </row>
    <row r="306" spans="1:11" x14ac:dyDescent="0.25">
      <c r="A306" t="s">
        <v>333</v>
      </c>
      <c r="B306" t="s">
        <v>8</v>
      </c>
      <c r="C306" t="s">
        <v>14</v>
      </c>
      <c r="D306" t="s">
        <v>22</v>
      </c>
      <c r="E306" t="s">
        <v>11</v>
      </c>
      <c r="F306" t="s">
        <v>17</v>
      </c>
      <c r="G306">
        <v>71</v>
      </c>
      <c r="H306">
        <v>63</v>
      </c>
      <c r="I306">
        <v>66</v>
      </c>
      <c r="J306">
        <f>SUM(Table2[[#This Row],[math score]:[writing score]])</f>
        <v>200</v>
      </c>
      <c r="K306">
        <f>Table2[[#This Row],[Total score]]/3</f>
        <v>66.666666666666671</v>
      </c>
    </row>
    <row r="307" spans="1:11" x14ac:dyDescent="0.25">
      <c r="A307" t="s">
        <v>334</v>
      </c>
      <c r="B307" t="s">
        <v>13</v>
      </c>
      <c r="C307" t="s">
        <v>20</v>
      </c>
      <c r="D307" t="s">
        <v>19</v>
      </c>
      <c r="E307" t="s">
        <v>11</v>
      </c>
      <c r="F307" t="s">
        <v>17</v>
      </c>
      <c r="G307">
        <v>54</v>
      </c>
      <c r="H307">
        <v>57</v>
      </c>
      <c r="I307">
        <v>60</v>
      </c>
      <c r="J307">
        <f>SUM(Table2[[#This Row],[math score]:[writing score]])</f>
        <v>171</v>
      </c>
      <c r="K307">
        <f>Table2[[#This Row],[Total score]]/3</f>
        <v>57</v>
      </c>
    </row>
    <row r="308" spans="1:11" x14ac:dyDescent="0.25">
      <c r="A308" t="s">
        <v>335</v>
      </c>
      <c r="B308" t="s">
        <v>8</v>
      </c>
      <c r="C308" t="s">
        <v>23</v>
      </c>
      <c r="D308" t="s">
        <v>10</v>
      </c>
      <c r="E308" t="s">
        <v>11</v>
      </c>
      <c r="F308" t="s">
        <v>17</v>
      </c>
      <c r="G308">
        <v>66</v>
      </c>
      <c r="H308">
        <v>61</v>
      </c>
      <c r="I308">
        <v>63</v>
      </c>
      <c r="J308">
        <f>SUM(Table2[[#This Row],[math score]:[writing score]])</f>
        <v>190</v>
      </c>
      <c r="K308">
        <f>Table2[[#This Row],[Total score]]/3</f>
        <v>63.333333333333336</v>
      </c>
    </row>
    <row r="309" spans="1:11" x14ac:dyDescent="0.25">
      <c r="A309" t="s">
        <v>336</v>
      </c>
      <c r="B309" t="s">
        <v>8</v>
      </c>
      <c r="C309" t="s">
        <v>9</v>
      </c>
      <c r="D309" t="s">
        <v>24</v>
      </c>
      <c r="E309" t="s">
        <v>11</v>
      </c>
      <c r="F309" t="s">
        <v>17</v>
      </c>
      <c r="G309">
        <v>63</v>
      </c>
      <c r="H309">
        <v>63</v>
      </c>
      <c r="I309">
        <v>67</v>
      </c>
      <c r="J309">
        <f>SUM(Table2[[#This Row],[math score]:[writing score]])</f>
        <v>193</v>
      </c>
      <c r="K309">
        <f>Table2[[#This Row],[Total score]]/3</f>
        <v>64.333333333333329</v>
      </c>
    </row>
    <row r="310" spans="1:11" x14ac:dyDescent="0.25">
      <c r="A310" t="s">
        <v>337</v>
      </c>
      <c r="B310" t="s">
        <v>13</v>
      </c>
      <c r="C310" t="s">
        <v>14</v>
      </c>
      <c r="D310" t="s">
        <v>22</v>
      </c>
      <c r="E310" t="s">
        <v>11</v>
      </c>
      <c r="F310" t="s">
        <v>17</v>
      </c>
      <c r="G310">
        <v>66</v>
      </c>
      <c r="H310">
        <v>81</v>
      </c>
      <c r="I310">
        <v>73</v>
      </c>
      <c r="J310">
        <f>SUM(Table2[[#This Row],[math score]:[writing score]])</f>
        <v>220</v>
      </c>
      <c r="K310">
        <f>Table2[[#This Row],[Total score]]/3</f>
        <v>73.333333333333329</v>
      </c>
    </row>
    <row r="311" spans="1:11" x14ac:dyDescent="0.25">
      <c r="A311" t="s">
        <v>338</v>
      </c>
      <c r="B311" t="s">
        <v>8</v>
      </c>
      <c r="C311" t="s">
        <v>23</v>
      </c>
      <c r="D311" t="s">
        <v>22</v>
      </c>
      <c r="E311" t="s">
        <v>11</v>
      </c>
      <c r="F311" t="s">
        <v>12</v>
      </c>
      <c r="G311">
        <v>79</v>
      </c>
      <c r="H311">
        <v>80</v>
      </c>
      <c r="I311">
        <v>75</v>
      </c>
      <c r="J311">
        <f>SUM(Table2[[#This Row],[math score]:[writing score]])</f>
        <v>234</v>
      </c>
      <c r="K311">
        <f>Table2[[#This Row],[Total score]]/3</f>
        <v>78</v>
      </c>
    </row>
    <row r="312" spans="1:11" x14ac:dyDescent="0.25">
      <c r="A312" t="s">
        <v>339</v>
      </c>
      <c r="B312" t="s">
        <v>8</v>
      </c>
      <c r="C312" t="s">
        <v>14</v>
      </c>
      <c r="D312" t="s">
        <v>21</v>
      </c>
      <c r="E312" t="s">
        <v>16</v>
      </c>
      <c r="F312" t="s">
        <v>12</v>
      </c>
      <c r="G312">
        <v>73</v>
      </c>
      <c r="H312">
        <v>69</v>
      </c>
      <c r="I312">
        <v>70</v>
      </c>
      <c r="J312">
        <f>SUM(Table2[[#This Row],[math score]:[writing score]])</f>
        <v>212</v>
      </c>
      <c r="K312">
        <f>Table2[[#This Row],[Total score]]/3</f>
        <v>70.666666666666671</v>
      </c>
    </row>
    <row r="313" spans="1:11" x14ac:dyDescent="0.25">
      <c r="A313" t="s">
        <v>340</v>
      </c>
      <c r="B313" t="s">
        <v>13</v>
      </c>
      <c r="C313" t="s">
        <v>23</v>
      </c>
      <c r="D313" t="s">
        <v>15</v>
      </c>
      <c r="E313" t="s">
        <v>11</v>
      </c>
      <c r="F313" t="s">
        <v>17</v>
      </c>
      <c r="G313">
        <v>36</v>
      </c>
      <c r="H313">
        <v>57</v>
      </c>
      <c r="I313">
        <v>53</v>
      </c>
      <c r="J313">
        <f>SUM(Table2[[#This Row],[math score]:[writing score]])</f>
        <v>146</v>
      </c>
      <c r="K313">
        <f>Table2[[#This Row],[Total score]]/3</f>
        <v>48.666666666666664</v>
      </c>
    </row>
    <row r="314" spans="1:11" x14ac:dyDescent="0.25">
      <c r="A314" t="s">
        <v>341</v>
      </c>
      <c r="B314" t="s">
        <v>8</v>
      </c>
      <c r="C314" t="s">
        <v>23</v>
      </c>
      <c r="D314" t="s">
        <v>21</v>
      </c>
      <c r="E314" t="s">
        <v>16</v>
      </c>
      <c r="F314" t="s">
        <v>17</v>
      </c>
      <c r="G314">
        <v>50</v>
      </c>
      <c r="H314">
        <v>48</v>
      </c>
      <c r="I314">
        <v>43</v>
      </c>
      <c r="J314">
        <f>SUM(Table2[[#This Row],[math score]:[writing score]])</f>
        <v>141</v>
      </c>
      <c r="K314">
        <f>Table2[[#This Row],[Total score]]/3</f>
        <v>47</v>
      </c>
    </row>
    <row r="315" spans="1:11" x14ac:dyDescent="0.25">
      <c r="A315" t="s">
        <v>342</v>
      </c>
      <c r="B315" t="s">
        <v>8</v>
      </c>
      <c r="C315" t="s">
        <v>18</v>
      </c>
      <c r="D315" t="s">
        <v>19</v>
      </c>
      <c r="E315" t="s">
        <v>11</v>
      </c>
      <c r="F315" t="s">
        <v>12</v>
      </c>
      <c r="G315">
        <v>87</v>
      </c>
      <c r="H315">
        <v>78</v>
      </c>
      <c r="I315">
        <v>80</v>
      </c>
      <c r="J315">
        <f>SUM(Table2[[#This Row],[math score]:[writing score]])</f>
        <v>245</v>
      </c>
      <c r="K315">
        <f>Table2[[#This Row],[Total score]]/3</f>
        <v>81.666666666666671</v>
      </c>
    </row>
    <row r="316" spans="1:11" x14ac:dyDescent="0.25">
      <c r="A316" t="s">
        <v>343</v>
      </c>
      <c r="B316" t="s">
        <v>8</v>
      </c>
      <c r="C316" t="s">
        <v>23</v>
      </c>
      <c r="D316" t="s">
        <v>21</v>
      </c>
      <c r="E316" t="s">
        <v>11</v>
      </c>
      <c r="F316" t="s">
        <v>17</v>
      </c>
      <c r="G316">
        <v>71</v>
      </c>
      <c r="H316">
        <v>68</v>
      </c>
      <c r="I316">
        <v>63</v>
      </c>
      <c r="J316">
        <f>SUM(Table2[[#This Row],[math score]:[writing score]])</f>
        <v>202</v>
      </c>
      <c r="K316">
        <f>Table2[[#This Row],[Total score]]/3</f>
        <v>67.333333333333329</v>
      </c>
    </row>
    <row r="317" spans="1:11" x14ac:dyDescent="0.25">
      <c r="A317" t="s">
        <v>344</v>
      </c>
      <c r="B317" t="s">
        <v>13</v>
      </c>
      <c r="C317" t="s">
        <v>23</v>
      </c>
      <c r="D317" t="s">
        <v>21</v>
      </c>
      <c r="E317" t="s">
        <v>11</v>
      </c>
      <c r="F317" t="s">
        <v>12</v>
      </c>
      <c r="G317">
        <v>85</v>
      </c>
      <c r="H317">
        <v>87</v>
      </c>
      <c r="I317">
        <v>94</v>
      </c>
      <c r="J317">
        <f>SUM(Table2[[#This Row],[math score]:[writing score]])</f>
        <v>266</v>
      </c>
      <c r="K317">
        <f>Table2[[#This Row],[Total score]]/3</f>
        <v>88.666666666666671</v>
      </c>
    </row>
    <row r="318" spans="1:11" x14ac:dyDescent="0.25">
      <c r="A318" t="s">
        <v>345</v>
      </c>
      <c r="B318" t="s">
        <v>13</v>
      </c>
      <c r="C318" t="s">
        <v>23</v>
      </c>
      <c r="D318" t="s">
        <v>10</v>
      </c>
      <c r="E318" t="s">
        <v>11</v>
      </c>
      <c r="F318" t="s">
        <v>12</v>
      </c>
      <c r="G318">
        <v>58</v>
      </c>
      <c r="H318">
        <v>67</v>
      </c>
      <c r="I318">
        <v>64</v>
      </c>
      <c r="J318">
        <f>SUM(Table2[[#This Row],[math score]:[writing score]])</f>
        <v>189</v>
      </c>
      <c r="K318">
        <f>Table2[[#This Row],[Total score]]/3</f>
        <v>63</v>
      </c>
    </row>
    <row r="319" spans="1:11" x14ac:dyDescent="0.25">
      <c r="A319" t="s">
        <v>346</v>
      </c>
      <c r="B319" t="s">
        <v>8</v>
      </c>
      <c r="C319" t="s">
        <v>23</v>
      </c>
      <c r="D319" t="s">
        <v>19</v>
      </c>
      <c r="E319" t="s">
        <v>11</v>
      </c>
      <c r="F319" t="s">
        <v>17</v>
      </c>
      <c r="G319">
        <v>86</v>
      </c>
      <c r="H319">
        <v>83</v>
      </c>
      <c r="I319">
        <v>81</v>
      </c>
      <c r="J319">
        <f>SUM(Table2[[#This Row],[math score]:[writing score]])</f>
        <v>250</v>
      </c>
      <c r="K319">
        <f>Table2[[#This Row],[Total score]]/3</f>
        <v>83.333333333333329</v>
      </c>
    </row>
    <row r="320" spans="1:11" x14ac:dyDescent="0.25">
      <c r="A320" t="s">
        <v>347</v>
      </c>
      <c r="B320" t="s">
        <v>13</v>
      </c>
      <c r="C320" t="s">
        <v>14</v>
      </c>
      <c r="D320" t="s">
        <v>15</v>
      </c>
      <c r="E320" t="s">
        <v>16</v>
      </c>
      <c r="F320" t="s">
        <v>17</v>
      </c>
      <c r="G320">
        <v>64</v>
      </c>
      <c r="H320">
        <v>86</v>
      </c>
      <c r="I320">
        <v>89</v>
      </c>
      <c r="J320">
        <f>SUM(Table2[[#This Row],[math score]:[writing score]])</f>
        <v>239</v>
      </c>
      <c r="K320">
        <f>Table2[[#This Row],[Total score]]/3</f>
        <v>79.666666666666671</v>
      </c>
    </row>
    <row r="321" spans="1:11" x14ac:dyDescent="0.25">
      <c r="A321" t="s">
        <v>348</v>
      </c>
      <c r="B321" t="s">
        <v>8</v>
      </c>
      <c r="C321" t="s">
        <v>14</v>
      </c>
      <c r="D321" t="s">
        <v>19</v>
      </c>
      <c r="E321" t="s">
        <v>11</v>
      </c>
      <c r="F321" t="s">
        <v>17</v>
      </c>
      <c r="G321">
        <v>83</v>
      </c>
      <c r="H321">
        <v>85</v>
      </c>
      <c r="I321">
        <v>79</v>
      </c>
      <c r="J321">
        <f>SUM(Table2[[#This Row],[math score]:[writing score]])</f>
        <v>247</v>
      </c>
      <c r="K321">
        <f>Table2[[#This Row],[Total score]]/3</f>
        <v>82.333333333333329</v>
      </c>
    </row>
    <row r="322" spans="1:11" x14ac:dyDescent="0.25">
      <c r="A322" t="s">
        <v>349</v>
      </c>
      <c r="B322" t="s">
        <v>8</v>
      </c>
      <c r="C322" t="s">
        <v>18</v>
      </c>
      <c r="D322" t="s">
        <v>10</v>
      </c>
      <c r="E322" t="s">
        <v>16</v>
      </c>
      <c r="F322" t="s">
        <v>12</v>
      </c>
      <c r="G322">
        <v>58</v>
      </c>
      <c r="H322">
        <v>56</v>
      </c>
      <c r="I322">
        <v>49</v>
      </c>
      <c r="J322">
        <f>SUM(Table2[[#This Row],[math score]:[writing score]])</f>
        <v>163</v>
      </c>
      <c r="K322">
        <f>Table2[[#This Row],[Total score]]/3</f>
        <v>54.333333333333336</v>
      </c>
    </row>
    <row r="323" spans="1:11" x14ac:dyDescent="0.25">
      <c r="A323" t="s">
        <v>350</v>
      </c>
      <c r="B323" t="s">
        <v>13</v>
      </c>
      <c r="C323" t="s">
        <v>23</v>
      </c>
      <c r="D323" t="s">
        <v>19</v>
      </c>
      <c r="E323" t="s">
        <v>16</v>
      </c>
      <c r="F323" t="s">
        <v>12</v>
      </c>
      <c r="G323">
        <v>59</v>
      </c>
      <c r="H323">
        <v>83</v>
      </c>
      <c r="I323">
        <v>81</v>
      </c>
      <c r="J323">
        <f>SUM(Table2[[#This Row],[math score]:[writing score]])</f>
        <v>223</v>
      </c>
      <c r="K323">
        <f>Table2[[#This Row],[Total score]]/3</f>
        <v>74.333333333333329</v>
      </c>
    </row>
    <row r="324" spans="1:11" x14ac:dyDescent="0.25">
      <c r="A324" t="s">
        <v>351</v>
      </c>
      <c r="B324" t="s">
        <v>13</v>
      </c>
      <c r="C324" t="s">
        <v>23</v>
      </c>
      <c r="D324" t="s">
        <v>10</v>
      </c>
      <c r="E324" t="s">
        <v>11</v>
      </c>
      <c r="F324" t="s">
        <v>17</v>
      </c>
      <c r="G324">
        <v>40</v>
      </c>
      <c r="H324">
        <v>58</v>
      </c>
      <c r="I324">
        <v>54</v>
      </c>
      <c r="J324">
        <f>SUM(Table2[[#This Row],[math score]:[writing score]])</f>
        <v>152</v>
      </c>
      <c r="K324">
        <f>Table2[[#This Row],[Total score]]/3</f>
        <v>50.666666666666664</v>
      </c>
    </row>
    <row r="325" spans="1:11" x14ac:dyDescent="0.25">
      <c r="A325" t="s">
        <v>352</v>
      </c>
      <c r="B325" t="s">
        <v>8</v>
      </c>
      <c r="C325" t="s">
        <v>14</v>
      </c>
      <c r="D325" t="s">
        <v>21</v>
      </c>
      <c r="E325" t="s">
        <v>11</v>
      </c>
      <c r="F325" t="s">
        <v>12</v>
      </c>
      <c r="G325">
        <v>82</v>
      </c>
      <c r="H325">
        <v>83</v>
      </c>
      <c r="I325">
        <v>85</v>
      </c>
      <c r="J325">
        <f>SUM(Table2[[#This Row],[math score]:[writing score]])</f>
        <v>250</v>
      </c>
      <c r="K325">
        <f>Table2[[#This Row],[Total score]]/3</f>
        <v>83.333333333333329</v>
      </c>
    </row>
    <row r="326" spans="1:11" x14ac:dyDescent="0.25">
      <c r="A326" t="s">
        <v>353</v>
      </c>
      <c r="B326" t="s">
        <v>8</v>
      </c>
      <c r="C326" t="s">
        <v>18</v>
      </c>
      <c r="D326" t="s">
        <v>15</v>
      </c>
      <c r="E326" t="s">
        <v>11</v>
      </c>
      <c r="F326" t="s">
        <v>17</v>
      </c>
      <c r="G326">
        <v>87</v>
      </c>
      <c r="H326">
        <v>84</v>
      </c>
      <c r="I326">
        <v>80</v>
      </c>
      <c r="J326">
        <f>SUM(Table2[[#This Row],[math score]:[writing score]])</f>
        <v>251</v>
      </c>
      <c r="K326">
        <f>Table2[[#This Row],[Total score]]/3</f>
        <v>83.666666666666671</v>
      </c>
    </row>
    <row r="327" spans="1:11" x14ac:dyDescent="0.25">
      <c r="A327" t="s">
        <v>354</v>
      </c>
      <c r="B327" t="s">
        <v>13</v>
      </c>
      <c r="C327" t="s">
        <v>23</v>
      </c>
      <c r="D327" t="s">
        <v>15</v>
      </c>
      <c r="E327" t="s">
        <v>11</v>
      </c>
      <c r="F327" t="s">
        <v>17</v>
      </c>
      <c r="G327">
        <v>62</v>
      </c>
      <c r="H327">
        <v>65</v>
      </c>
      <c r="I327">
        <v>64</v>
      </c>
      <c r="J327">
        <f>SUM(Table2[[#This Row],[math score]:[writing score]])</f>
        <v>191</v>
      </c>
      <c r="K327">
        <f>Table2[[#This Row],[Total score]]/3</f>
        <v>63.666666666666664</v>
      </c>
    </row>
    <row r="328" spans="1:11" x14ac:dyDescent="0.25">
      <c r="A328" t="s">
        <v>355</v>
      </c>
      <c r="B328" t="s">
        <v>8</v>
      </c>
      <c r="C328" t="s">
        <v>20</v>
      </c>
      <c r="D328" t="s">
        <v>21</v>
      </c>
      <c r="E328" t="s">
        <v>16</v>
      </c>
      <c r="F328" t="s">
        <v>12</v>
      </c>
      <c r="G328">
        <v>76</v>
      </c>
      <c r="H328">
        <v>80</v>
      </c>
      <c r="I328">
        <v>78</v>
      </c>
      <c r="J328">
        <f>SUM(Table2[[#This Row],[math score]:[writing score]])</f>
        <v>234</v>
      </c>
      <c r="K328">
        <f>Table2[[#This Row],[Total score]]/3</f>
        <v>78</v>
      </c>
    </row>
    <row r="329" spans="1:11" x14ac:dyDescent="0.25">
      <c r="A329" t="s">
        <v>356</v>
      </c>
      <c r="B329" t="s">
        <v>13</v>
      </c>
      <c r="C329" t="s">
        <v>9</v>
      </c>
      <c r="D329" t="s">
        <v>10</v>
      </c>
      <c r="E329" t="s">
        <v>11</v>
      </c>
      <c r="F329" t="s">
        <v>17</v>
      </c>
      <c r="G329">
        <v>63</v>
      </c>
      <c r="H329">
        <v>69</v>
      </c>
      <c r="I329">
        <v>60</v>
      </c>
      <c r="J329">
        <f>SUM(Table2[[#This Row],[math score]:[writing score]])</f>
        <v>192</v>
      </c>
      <c r="K329">
        <f>Table2[[#This Row],[Total score]]/3</f>
        <v>64</v>
      </c>
    </row>
    <row r="330" spans="1:11" x14ac:dyDescent="0.25">
      <c r="A330" t="s">
        <v>357</v>
      </c>
      <c r="B330" t="s">
        <v>8</v>
      </c>
      <c r="C330" t="s">
        <v>14</v>
      </c>
      <c r="D330" t="s">
        <v>19</v>
      </c>
      <c r="E330" t="s">
        <v>16</v>
      </c>
      <c r="F330" t="s">
        <v>12</v>
      </c>
      <c r="G330">
        <v>58</v>
      </c>
      <c r="H330">
        <v>60</v>
      </c>
      <c r="I330">
        <v>59</v>
      </c>
      <c r="J330">
        <f>SUM(Table2[[#This Row],[math score]:[writing score]])</f>
        <v>177</v>
      </c>
      <c r="K330">
        <f>Table2[[#This Row],[Total score]]/3</f>
        <v>59</v>
      </c>
    </row>
    <row r="331" spans="1:11" x14ac:dyDescent="0.25">
      <c r="A331" t="s">
        <v>358</v>
      </c>
      <c r="B331" t="s">
        <v>8</v>
      </c>
      <c r="C331" t="s">
        <v>14</v>
      </c>
      <c r="D331" t="s">
        <v>21</v>
      </c>
      <c r="E331" t="s">
        <v>11</v>
      </c>
      <c r="F331" t="s">
        <v>12</v>
      </c>
      <c r="G331">
        <v>61</v>
      </c>
      <c r="H331">
        <v>63</v>
      </c>
      <c r="I331">
        <v>65</v>
      </c>
      <c r="J331">
        <f>SUM(Table2[[#This Row],[math score]:[writing score]])</f>
        <v>189</v>
      </c>
      <c r="K331">
        <f>Table2[[#This Row],[Total score]]/3</f>
        <v>63</v>
      </c>
    </row>
    <row r="332" spans="1:11" x14ac:dyDescent="0.25">
      <c r="A332" t="s">
        <v>359</v>
      </c>
      <c r="B332" t="s">
        <v>8</v>
      </c>
      <c r="C332" t="s">
        <v>23</v>
      </c>
      <c r="D332" t="s">
        <v>19</v>
      </c>
      <c r="E332" t="s">
        <v>11</v>
      </c>
      <c r="F332" t="s">
        <v>17</v>
      </c>
      <c r="G332">
        <v>78</v>
      </c>
      <c r="H332">
        <v>69</v>
      </c>
      <c r="I332">
        <v>71</v>
      </c>
      <c r="J332">
        <f>SUM(Table2[[#This Row],[math score]:[writing score]])</f>
        <v>218</v>
      </c>
      <c r="K332">
        <f>Table2[[#This Row],[Total score]]/3</f>
        <v>72.666666666666671</v>
      </c>
    </row>
    <row r="333" spans="1:11" x14ac:dyDescent="0.25">
      <c r="A333" t="s">
        <v>360</v>
      </c>
      <c r="B333" t="s">
        <v>13</v>
      </c>
      <c r="C333" t="s">
        <v>23</v>
      </c>
      <c r="D333" t="s">
        <v>22</v>
      </c>
      <c r="E333" t="s">
        <v>16</v>
      </c>
      <c r="F333" t="s">
        <v>12</v>
      </c>
      <c r="G333">
        <v>78</v>
      </c>
      <c r="H333">
        <v>90</v>
      </c>
      <c r="I333">
        <v>81</v>
      </c>
      <c r="J333">
        <f>SUM(Table2[[#This Row],[math score]:[writing score]])</f>
        <v>249</v>
      </c>
      <c r="K333">
        <f>Table2[[#This Row],[Total score]]/3</f>
        <v>83</v>
      </c>
    </row>
    <row r="334" spans="1:11" x14ac:dyDescent="0.25">
      <c r="A334" t="s">
        <v>361</v>
      </c>
      <c r="B334" t="s">
        <v>8</v>
      </c>
      <c r="C334" t="s">
        <v>23</v>
      </c>
      <c r="D334" t="s">
        <v>19</v>
      </c>
      <c r="E334" t="s">
        <v>11</v>
      </c>
      <c r="F334" t="s">
        <v>17</v>
      </c>
      <c r="G334">
        <v>56</v>
      </c>
      <c r="H334">
        <v>54</v>
      </c>
      <c r="I334">
        <v>43</v>
      </c>
      <c r="J334">
        <f>SUM(Table2[[#This Row],[math score]:[writing score]])</f>
        <v>153</v>
      </c>
      <c r="K334">
        <f>Table2[[#This Row],[Total score]]/3</f>
        <v>51</v>
      </c>
    </row>
    <row r="335" spans="1:11" x14ac:dyDescent="0.25">
      <c r="A335" t="s">
        <v>362</v>
      </c>
      <c r="B335" t="s">
        <v>8</v>
      </c>
      <c r="C335" t="s">
        <v>14</v>
      </c>
      <c r="D335" t="s">
        <v>15</v>
      </c>
      <c r="E335" t="s">
        <v>11</v>
      </c>
      <c r="F335" t="s">
        <v>17</v>
      </c>
      <c r="G335">
        <v>96</v>
      </c>
      <c r="H335">
        <v>83</v>
      </c>
      <c r="I335">
        <v>82</v>
      </c>
      <c r="J335">
        <f>SUM(Table2[[#This Row],[math score]:[writing score]])</f>
        <v>261</v>
      </c>
      <c r="K335">
        <f>Table2[[#This Row],[Total score]]/3</f>
        <v>87</v>
      </c>
    </row>
    <row r="336" spans="1:11" x14ac:dyDescent="0.25">
      <c r="A336" t="s">
        <v>363</v>
      </c>
      <c r="B336" t="s">
        <v>8</v>
      </c>
      <c r="C336" t="s">
        <v>23</v>
      </c>
      <c r="D336" t="s">
        <v>10</v>
      </c>
      <c r="E336" t="s">
        <v>11</v>
      </c>
      <c r="F336" t="s">
        <v>17</v>
      </c>
      <c r="G336">
        <v>48</v>
      </c>
      <c r="H336">
        <v>43</v>
      </c>
      <c r="I336">
        <v>40</v>
      </c>
      <c r="J336">
        <f>SUM(Table2[[#This Row],[math score]:[writing score]])</f>
        <v>131</v>
      </c>
      <c r="K336">
        <f>Table2[[#This Row],[Total score]]/3</f>
        <v>43.666666666666664</v>
      </c>
    </row>
    <row r="337" spans="1:11" x14ac:dyDescent="0.25">
      <c r="A337" t="s">
        <v>364</v>
      </c>
      <c r="B337" t="s">
        <v>8</v>
      </c>
      <c r="C337" t="s">
        <v>23</v>
      </c>
      <c r="D337" t="s">
        <v>21</v>
      </c>
      <c r="E337" t="s">
        <v>11</v>
      </c>
      <c r="F337" t="s">
        <v>12</v>
      </c>
      <c r="G337">
        <v>70</v>
      </c>
      <c r="H337">
        <v>76</v>
      </c>
      <c r="I337">
        <v>72</v>
      </c>
      <c r="J337">
        <f>SUM(Table2[[#This Row],[math score]:[writing score]])</f>
        <v>218</v>
      </c>
      <c r="K337">
        <f>Table2[[#This Row],[Total score]]/3</f>
        <v>72.666666666666671</v>
      </c>
    </row>
    <row r="338" spans="1:11" x14ac:dyDescent="0.25">
      <c r="A338" t="s">
        <v>365</v>
      </c>
      <c r="B338" t="s">
        <v>8</v>
      </c>
      <c r="C338" t="s">
        <v>14</v>
      </c>
      <c r="D338" t="s">
        <v>19</v>
      </c>
      <c r="E338" t="s">
        <v>16</v>
      </c>
      <c r="F338" t="s">
        <v>17</v>
      </c>
      <c r="G338">
        <v>43</v>
      </c>
      <c r="H338">
        <v>68</v>
      </c>
      <c r="I338">
        <v>58</v>
      </c>
      <c r="J338">
        <f>SUM(Table2[[#This Row],[math score]:[writing score]])</f>
        <v>169</v>
      </c>
      <c r="K338">
        <f>Table2[[#This Row],[Total score]]/3</f>
        <v>56.333333333333336</v>
      </c>
    </row>
    <row r="339" spans="1:11" x14ac:dyDescent="0.25">
      <c r="A339" t="s">
        <v>366</v>
      </c>
      <c r="B339" t="s">
        <v>13</v>
      </c>
      <c r="C339" t="s">
        <v>18</v>
      </c>
      <c r="D339" t="s">
        <v>10</v>
      </c>
      <c r="E339" t="s">
        <v>16</v>
      </c>
      <c r="F339" t="s">
        <v>17</v>
      </c>
      <c r="G339">
        <v>45</v>
      </c>
      <c r="H339">
        <v>46</v>
      </c>
      <c r="I339">
        <v>49</v>
      </c>
      <c r="J339">
        <f>SUM(Table2[[#This Row],[math score]:[writing score]])</f>
        <v>140</v>
      </c>
      <c r="K339">
        <f>Table2[[#This Row],[Total score]]/3</f>
        <v>46.666666666666664</v>
      </c>
    </row>
    <row r="340" spans="1:11" x14ac:dyDescent="0.25">
      <c r="A340" t="s">
        <v>367</v>
      </c>
      <c r="B340" t="s">
        <v>13</v>
      </c>
      <c r="C340" t="s">
        <v>23</v>
      </c>
      <c r="D340" t="s">
        <v>21</v>
      </c>
      <c r="E340" t="s">
        <v>11</v>
      </c>
      <c r="F340" t="s">
        <v>17</v>
      </c>
      <c r="G340">
        <v>58</v>
      </c>
      <c r="H340">
        <v>68</v>
      </c>
      <c r="I340">
        <v>62</v>
      </c>
      <c r="J340">
        <f>SUM(Table2[[#This Row],[math score]:[writing score]])</f>
        <v>188</v>
      </c>
      <c r="K340">
        <f>Table2[[#This Row],[Total score]]/3</f>
        <v>62.666666666666664</v>
      </c>
    </row>
    <row r="341" spans="1:11" x14ac:dyDescent="0.25">
      <c r="A341" t="s">
        <v>368</v>
      </c>
      <c r="B341" t="s">
        <v>13</v>
      </c>
      <c r="C341" t="s">
        <v>9</v>
      </c>
      <c r="D341" t="s">
        <v>10</v>
      </c>
      <c r="E341" t="s">
        <v>11</v>
      </c>
      <c r="F341" t="s">
        <v>12</v>
      </c>
      <c r="G341">
        <v>70</v>
      </c>
      <c r="H341">
        <v>73</v>
      </c>
      <c r="I341">
        <v>80</v>
      </c>
      <c r="J341">
        <f>SUM(Table2[[#This Row],[math score]:[writing score]])</f>
        <v>223</v>
      </c>
      <c r="K341">
        <f>Table2[[#This Row],[Total score]]/3</f>
        <v>74.333333333333329</v>
      </c>
    </row>
    <row r="342" spans="1:11" x14ac:dyDescent="0.25">
      <c r="A342" t="s">
        <v>369</v>
      </c>
      <c r="B342" t="s">
        <v>13</v>
      </c>
      <c r="C342" t="s">
        <v>18</v>
      </c>
      <c r="D342" t="s">
        <v>15</v>
      </c>
      <c r="E342" t="s">
        <v>11</v>
      </c>
      <c r="F342" t="s">
        <v>17</v>
      </c>
      <c r="G342">
        <v>60</v>
      </c>
      <c r="H342">
        <v>61</v>
      </c>
      <c r="I342">
        <v>58</v>
      </c>
      <c r="J342">
        <f>SUM(Table2[[#This Row],[math score]:[writing score]])</f>
        <v>179</v>
      </c>
      <c r="K342">
        <f>Table2[[#This Row],[Total score]]/3</f>
        <v>59.666666666666664</v>
      </c>
    </row>
    <row r="343" spans="1:11" x14ac:dyDescent="0.25">
      <c r="A343" t="s">
        <v>370</v>
      </c>
      <c r="B343" t="s">
        <v>8</v>
      </c>
      <c r="C343" t="s">
        <v>23</v>
      </c>
      <c r="D343" t="s">
        <v>15</v>
      </c>
      <c r="E343" t="s">
        <v>16</v>
      </c>
      <c r="F343" t="s">
        <v>17</v>
      </c>
      <c r="G343">
        <v>52</v>
      </c>
      <c r="H343">
        <v>53</v>
      </c>
      <c r="I343">
        <v>47</v>
      </c>
      <c r="J343">
        <f>SUM(Table2[[#This Row],[math score]:[writing score]])</f>
        <v>152</v>
      </c>
      <c r="K343">
        <f>Table2[[#This Row],[Total score]]/3</f>
        <v>50.666666666666664</v>
      </c>
    </row>
    <row r="344" spans="1:11" x14ac:dyDescent="0.25">
      <c r="A344" t="s">
        <v>371</v>
      </c>
      <c r="B344" t="s">
        <v>8</v>
      </c>
      <c r="C344" t="s">
        <v>23</v>
      </c>
      <c r="D344" t="s">
        <v>21</v>
      </c>
      <c r="E344" t="s">
        <v>16</v>
      </c>
      <c r="F344" t="s">
        <v>17</v>
      </c>
      <c r="G344">
        <v>61</v>
      </c>
      <c r="H344">
        <v>62</v>
      </c>
      <c r="I344">
        <v>54</v>
      </c>
      <c r="J344">
        <f>SUM(Table2[[#This Row],[math score]:[writing score]])</f>
        <v>177</v>
      </c>
      <c r="K344">
        <f>Table2[[#This Row],[Total score]]/3</f>
        <v>59</v>
      </c>
    </row>
    <row r="345" spans="1:11" x14ac:dyDescent="0.25">
      <c r="A345" t="s">
        <v>372</v>
      </c>
      <c r="B345" t="s">
        <v>13</v>
      </c>
      <c r="C345" t="s">
        <v>14</v>
      </c>
      <c r="D345" t="s">
        <v>15</v>
      </c>
      <c r="E345" t="s">
        <v>11</v>
      </c>
      <c r="F345" t="s">
        <v>17</v>
      </c>
      <c r="G345">
        <v>55</v>
      </c>
      <c r="H345">
        <v>70</v>
      </c>
      <c r="I345">
        <v>61</v>
      </c>
      <c r="J345">
        <f>SUM(Table2[[#This Row],[math score]:[writing score]])</f>
        <v>186</v>
      </c>
      <c r="K345">
        <f>Table2[[#This Row],[Total score]]/3</f>
        <v>62</v>
      </c>
    </row>
    <row r="346" spans="1:11" x14ac:dyDescent="0.25">
      <c r="A346" t="s">
        <v>373</v>
      </c>
      <c r="B346" t="s">
        <v>8</v>
      </c>
      <c r="C346" t="s">
        <v>20</v>
      </c>
      <c r="D346" t="s">
        <v>10</v>
      </c>
      <c r="E346" t="s">
        <v>11</v>
      </c>
      <c r="F346" t="s">
        <v>12</v>
      </c>
      <c r="G346">
        <v>80</v>
      </c>
      <c r="H346">
        <v>80</v>
      </c>
      <c r="I346">
        <v>79</v>
      </c>
      <c r="J346">
        <f>SUM(Table2[[#This Row],[math score]:[writing score]])</f>
        <v>239</v>
      </c>
      <c r="K346">
        <f>Table2[[#This Row],[Total score]]/3</f>
        <v>79.666666666666671</v>
      </c>
    </row>
    <row r="347" spans="1:11" x14ac:dyDescent="0.25">
      <c r="A347" t="s">
        <v>374</v>
      </c>
      <c r="B347" t="s">
        <v>8</v>
      </c>
      <c r="C347" t="s">
        <v>14</v>
      </c>
      <c r="D347" t="s">
        <v>19</v>
      </c>
      <c r="E347" t="s">
        <v>16</v>
      </c>
      <c r="F347" t="s">
        <v>17</v>
      </c>
      <c r="G347">
        <v>63</v>
      </c>
      <c r="H347">
        <v>60</v>
      </c>
      <c r="I347">
        <v>54</v>
      </c>
      <c r="J347">
        <f>SUM(Table2[[#This Row],[math score]:[writing score]])</f>
        <v>177</v>
      </c>
      <c r="K347">
        <f>Table2[[#This Row],[Total score]]/3</f>
        <v>59</v>
      </c>
    </row>
    <row r="348" spans="1:11" x14ac:dyDescent="0.25">
      <c r="A348" t="s">
        <v>375</v>
      </c>
      <c r="B348" t="s">
        <v>13</v>
      </c>
      <c r="C348" t="s">
        <v>20</v>
      </c>
      <c r="D348" t="s">
        <v>24</v>
      </c>
      <c r="E348" t="s">
        <v>11</v>
      </c>
      <c r="F348" t="s">
        <v>17</v>
      </c>
      <c r="G348">
        <v>79</v>
      </c>
      <c r="H348">
        <v>79</v>
      </c>
      <c r="I348">
        <v>87</v>
      </c>
      <c r="J348">
        <f>SUM(Table2[[#This Row],[math score]:[writing score]])</f>
        <v>245</v>
      </c>
      <c r="K348">
        <f>Table2[[#This Row],[Total score]]/3</f>
        <v>81.666666666666671</v>
      </c>
    </row>
    <row r="349" spans="1:11" x14ac:dyDescent="0.25">
      <c r="A349" t="s">
        <v>376</v>
      </c>
      <c r="B349" t="s">
        <v>8</v>
      </c>
      <c r="C349" t="s">
        <v>9</v>
      </c>
      <c r="D349" t="s">
        <v>21</v>
      </c>
      <c r="E349" t="s">
        <v>11</v>
      </c>
      <c r="F349" t="s">
        <v>17</v>
      </c>
      <c r="G349">
        <v>74</v>
      </c>
      <c r="H349">
        <v>78</v>
      </c>
      <c r="I349">
        <v>72</v>
      </c>
      <c r="J349">
        <f>SUM(Table2[[#This Row],[math score]:[writing score]])</f>
        <v>224</v>
      </c>
      <c r="K349">
        <f>Table2[[#This Row],[Total score]]/3</f>
        <v>74.666666666666671</v>
      </c>
    </row>
    <row r="350" spans="1:11" x14ac:dyDescent="0.25">
      <c r="A350" t="s">
        <v>377</v>
      </c>
      <c r="B350" t="s">
        <v>13</v>
      </c>
      <c r="C350" t="s">
        <v>20</v>
      </c>
      <c r="D350" t="s">
        <v>19</v>
      </c>
      <c r="E350" t="s">
        <v>16</v>
      </c>
      <c r="F350" t="s">
        <v>12</v>
      </c>
      <c r="G350">
        <v>46</v>
      </c>
      <c r="H350">
        <v>58</v>
      </c>
      <c r="I350">
        <v>64</v>
      </c>
      <c r="J350">
        <f>SUM(Table2[[#This Row],[math score]:[writing score]])</f>
        <v>168</v>
      </c>
      <c r="K350">
        <f>Table2[[#This Row],[Total score]]/3</f>
        <v>56</v>
      </c>
    </row>
    <row r="351" spans="1:11" x14ac:dyDescent="0.25">
      <c r="A351" t="s">
        <v>378</v>
      </c>
      <c r="B351" t="s">
        <v>13</v>
      </c>
      <c r="C351" t="s">
        <v>20</v>
      </c>
      <c r="D351" t="s">
        <v>15</v>
      </c>
      <c r="E351" t="s">
        <v>11</v>
      </c>
      <c r="F351" t="s">
        <v>12</v>
      </c>
      <c r="G351">
        <v>72</v>
      </c>
      <c r="H351">
        <v>88</v>
      </c>
      <c r="I351">
        <v>92</v>
      </c>
      <c r="J351">
        <f>SUM(Table2[[#This Row],[math score]:[writing score]])</f>
        <v>252</v>
      </c>
      <c r="K351">
        <f>Table2[[#This Row],[Total score]]/3</f>
        <v>84</v>
      </c>
    </row>
    <row r="352" spans="1:11" x14ac:dyDescent="0.25">
      <c r="A352" t="s">
        <v>379</v>
      </c>
      <c r="B352" t="s">
        <v>13</v>
      </c>
      <c r="C352" t="s">
        <v>18</v>
      </c>
      <c r="D352" t="s">
        <v>15</v>
      </c>
      <c r="E352" t="s">
        <v>16</v>
      </c>
      <c r="F352" t="s">
        <v>17</v>
      </c>
      <c r="G352">
        <v>58</v>
      </c>
      <c r="H352">
        <v>64</v>
      </c>
      <c r="I352">
        <v>64</v>
      </c>
      <c r="J352">
        <f>SUM(Table2[[#This Row],[math score]:[writing score]])</f>
        <v>186</v>
      </c>
      <c r="K352">
        <f>Table2[[#This Row],[Total score]]/3</f>
        <v>62</v>
      </c>
    </row>
    <row r="353" spans="1:11" x14ac:dyDescent="0.25">
      <c r="A353" t="s">
        <v>380</v>
      </c>
      <c r="B353" t="s">
        <v>13</v>
      </c>
      <c r="C353" t="s">
        <v>18</v>
      </c>
      <c r="D353" t="s">
        <v>24</v>
      </c>
      <c r="E353" t="s">
        <v>11</v>
      </c>
      <c r="F353" t="s">
        <v>17</v>
      </c>
      <c r="G353">
        <v>47</v>
      </c>
      <c r="H353">
        <v>50</v>
      </c>
      <c r="I353">
        <v>47</v>
      </c>
      <c r="J353">
        <f>SUM(Table2[[#This Row],[math score]:[writing score]])</f>
        <v>144</v>
      </c>
      <c r="K353">
        <f>Table2[[#This Row],[Total score]]/3</f>
        <v>48</v>
      </c>
    </row>
    <row r="354" spans="1:11" x14ac:dyDescent="0.25">
      <c r="A354" t="s">
        <v>381</v>
      </c>
      <c r="B354" t="s">
        <v>13</v>
      </c>
      <c r="C354" t="s">
        <v>14</v>
      </c>
      <c r="D354" t="s">
        <v>22</v>
      </c>
      <c r="E354" t="s">
        <v>11</v>
      </c>
      <c r="F354" t="s">
        <v>12</v>
      </c>
      <c r="G354">
        <v>68</v>
      </c>
      <c r="H354">
        <v>78</v>
      </c>
      <c r="I354">
        <v>84</v>
      </c>
      <c r="J354">
        <f>SUM(Table2[[#This Row],[math score]:[writing score]])</f>
        <v>230</v>
      </c>
      <c r="K354">
        <f>Table2[[#This Row],[Total score]]/3</f>
        <v>76.666666666666671</v>
      </c>
    </row>
    <row r="355" spans="1:11" x14ac:dyDescent="0.25">
      <c r="A355" t="s">
        <v>382</v>
      </c>
      <c r="B355" t="s">
        <v>8</v>
      </c>
      <c r="C355" t="s">
        <v>14</v>
      </c>
      <c r="D355" t="s">
        <v>22</v>
      </c>
      <c r="E355" t="s">
        <v>16</v>
      </c>
      <c r="F355" t="s">
        <v>12</v>
      </c>
      <c r="G355">
        <v>68</v>
      </c>
      <c r="H355">
        <v>71</v>
      </c>
      <c r="I355">
        <v>67</v>
      </c>
      <c r="J355">
        <f>SUM(Table2[[#This Row],[math score]:[writing score]])</f>
        <v>206</v>
      </c>
      <c r="K355">
        <f>Table2[[#This Row],[Total score]]/3</f>
        <v>68.666666666666671</v>
      </c>
    </row>
    <row r="356" spans="1:11" x14ac:dyDescent="0.25">
      <c r="A356" t="s">
        <v>383</v>
      </c>
      <c r="B356" t="s">
        <v>13</v>
      </c>
      <c r="C356" t="s">
        <v>14</v>
      </c>
      <c r="D356" t="s">
        <v>10</v>
      </c>
      <c r="E356" t="s">
        <v>11</v>
      </c>
      <c r="F356" t="s">
        <v>17</v>
      </c>
      <c r="G356">
        <v>65</v>
      </c>
      <c r="H356">
        <v>75</v>
      </c>
      <c r="I356">
        <v>68</v>
      </c>
      <c r="J356">
        <f>SUM(Table2[[#This Row],[math score]:[writing score]])</f>
        <v>208</v>
      </c>
      <c r="K356">
        <f>Table2[[#This Row],[Total score]]/3</f>
        <v>69.333333333333329</v>
      </c>
    </row>
    <row r="357" spans="1:11" x14ac:dyDescent="0.25">
      <c r="A357" t="s">
        <v>384</v>
      </c>
      <c r="B357" t="s">
        <v>13</v>
      </c>
      <c r="C357" t="s">
        <v>20</v>
      </c>
      <c r="D357" t="s">
        <v>21</v>
      </c>
      <c r="E357" t="s">
        <v>11</v>
      </c>
      <c r="F357" t="s">
        <v>17</v>
      </c>
      <c r="G357">
        <v>50</v>
      </c>
      <c r="H357">
        <v>54</v>
      </c>
      <c r="I357">
        <v>51</v>
      </c>
      <c r="J357">
        <f>SUM(Table2[[#This Row],[math score]:[writing score]])</f>
        <v>155</v>
      </c>
      <c r="K357">
        <f>Table2[[#This Row],[Total score]]/3</f>
        <v>51.666666666666664</v>
      </c>
    </row>
    <row r="358" spans="1:11" x14ac:dyDescent="0.25">
      <c r="A358" t="s">
        <v>385</v>
      </c>
      <c r="B358" t="s">
        <v>13</v>
      </c>
      <c r="C358" t="s">
        <v>20</v>
      </c>
      <c r="D358" t="s">
        <v>10</v>
      </c>
      <c r="E358" t="s">
        <v>16</v>
      </c>
      <c r="F358" t="s">
        <v>12</v>
      </c>
      <c r="G358">
        <v>48</v>
      </c>
      <c r="H358">
        <v>71</v>
      </c>
      <c r="I358">
        <v>68</v>
      </c>
      <c r="J358">
        <f>SUM(Table2[[#This Row],[math score]:[writing score]])</f>
        <v>187</v>
      </c>
      <c r="K358">
        <f>Table2[[#This Row],[Total score]]/3</f>
        <v>62.333333333333336</v>
      </c>
    </row>
    <row r="359" spans="1:11" x14ac:dyDescent="0.25">
      <c r="A359" t="s">
        <v>386</v>
      </c>
      <c r="B359" t="s">
        <v>13</v>
      </c>
      <c r="C359" t="s">
        <v>20</v>
      </c>
      <c r="D359" t="s">
        <v>22</v>
      </c>
      <c r="E359" t="s">
        <v>11</v>
      </c>
      <c r="F359" t="s">
        <v>17</v>
      </c>
      <c r="G359">
        <v>58</v>
      </c>
      <c r="H359">
        <v>60</v>
      </c>
      <c r="I359">
        <v>64</v>
      </c>
      <c r="J359">
        <f>SUM(Table2[[#This Row],[math score]:[writing score]])</f>
        <v>182</v>
      </c>
      <c r="K359">
        <f>Table2[[#This Row],[Total score]]/3</f>
        <v>60.666666666666664</v>
      </c>
    </row>
    <row r="360" spans="1:11" x14ac:dyDescent="0.25">
      <c r="A360" t="s">
        <v>387</v>
      </c>
      <c r="B360" t="s">
        <v>8</v>
      </c>
      <c r="C360" t="s">
        <v>23</v>
      </c>
      <c r="D360" t="s">
        <v>15</v>
      </c>
      <c r="E360" t="s">
        <v>16</v>
      </c>
      <c r="F360" t="s">
        <v>12</v>
      </c>
      <c r="G360">
        <v>71</v>
      </c>
      <c r="H360">
        <v>74</v>
      </c>
      <c r="I360">
        <v>68</v>
      </c>
      <c r="J360">
        <f>SUM(Table2[[#This Row],[math score]:[writing score]])</f>
        <v>213</v>
      </c>
      <c r="K360">
        <f>Table2[[#This Row],[Total score]]/3</f>
        <v>71</v>
      </c>
    </row>
    <row r="361" spans="1:11" x14ac:dyDescent="0.25">
      <c r="A361" t="s">
        <v>388</v>
      </c>
      <c r="B361" t="s">
        <v>8</v>
      </c>
      <c r="C361" t="s">
        <v>14</v>
      </c>
      <c r="D361" t="s">
        <v>15</v>
      </c>
      <c r="E361" t="s">
        <v>16</v>
      </c>
      <c r="F361" t="s">
        <v>12</v>
      </c>
      <c r="G361">
        <v>58</v>
      </c>
      <c r="H361">
        <v>52</v>
      </c>
      <c r="I361">
        <v>48</v>
      </c>
      <c r="J361">
        <f>SUM(Table2[[#This Row],[math score]:[writing score]])</f>
        <v>158</v>
      </c>
      <c r="K361">
        <f>Table2[[#This Row],[Total score]]/3</f>
        <v>52.666666666666664</v>
      </c>
    </row>
    <row r="362" spans="1:11" x14ac:dyDescent="0.25">
      <c r="A362" t="s">
        <v>389</v>
      </c>
      <c r="B362" t="s">
        <v>13</v>
      </c>
      <c r="C362" t="s">
        <v>9</v>
      </c>
      <c r="D362" t="s">
        <v>19</v>
      </c>
      <c r="E362" t="s">
        <v>16</v>
      </c>
      <c r="F362" t="s">
        <v>17</v>
      </c>
      <c r="G362">
        <v>66</v>
      </c>
      <c r="H362">
        <v>90</v>
      </c>
      <c r="I362">
        <v>83</v>
      </c>
      <c r="J362">
        <f>SUM(Table2[[#This Row],[math score]:[writing score]])</f>
        <v>239</v>
      </c>
      <c r="K362">
        <f>Table2[[#This Row],[Total score]]/3</f>
        <v>79.666666666666671</v>
      </c>
    </row>
    <row r="363" spans="1:11" x14ac:dyDescent="0.25">
      <c r="A363" t="s">
        <v>390</v>
      </c>
      <c r="B363" t="s">
        <v>8</v>
      </c>
      <c r="C363" t="s">
        <v>23</v>
      </c>
      <c r="D363" t="s">
        <v>19</v>
      </c>
      <c r="E363" t="s">
        <v>16</v>
      </c>
      <c r="F363" t="s">
        <v>17</v>
      </c>
      <c r="G363">
        <v>44</v>
      </c>
      <c r="H363">
        <v>53</v>
      </c>
      <c r="I363">
        <v>43</v>
      </c>
      <c r="J363">
        <f>SUM(Table2[[#This Row],[math score]:[writing score]])</f>
        <v>140</v>
      </c>
      <c r="K363">
        <f>Table2[[#This Row],[Total score]]/3</f>
        <v>46.666666666666664</v>
      </c>
    </row>
    <row r="364" spans="1:11" x14ac:dyDescent="0.25">
      <c r="A364" t="s">
        <v>391</v>
      </c>
      <c r="B364" t="s">
        <v>13</v>
      </c>
      <c r="C364" t="s">
        <v>20</v>
      </c>
      <c r="D364" t="s">
        <v>15</v>
      </c>
      <c r="E364" t="s">
        <v>11</v>
      </c>
      <c r="F364" t="s">
        <v>12</v>
      </c>
      <c r="G364">
        <v>51</v>
      </c>
      <c r="H364">
        <v>63</v>
      </c>
      <c r="I364">
        <v>66</v>
      </c>
      <c r="J364">
        <f>SUM(Table2[[#This Row],[math score]:[writing score]])</f>
        <v>180</v>
      </c>
      <c r="K364">
        <f>Table2[[#This Row],[Total score]]/3</f>
        <v>60</v>
      </c>
    </row>
    <row r="365" spans="1:11" x14ac:dyDescent="0.25">
      <c r="A365" t="s">
        <v>392</v>
      </c>
      <c r="B365" t="s">
        <v>8</v>
      </c>
      <c r="C365" t="s">
        <v>9</v>
      </c>
      <c r="D365" t="s">
        <v>19</v>
      </c>
      <c r="E365" t="s">
        <v>11</v>
      </c>
      <c r="F365" t="s">
        <v>12</v>
      </c>
      <c r="G365">
        <v>78</v>
      </c>
      <c r="H365">
        <v>83</v>
      </c>
      <c r="I365">
        <v>77</v>
      </c>
      <c r="J365">
        <f>SUM(Table2[[#This Row],[math score]:[writing score]])</f>
        <v>238</v>
      </c>
      <c r="K365">
        <f>Table2[[#This Row],[Total score]]/3</f>
        <v>79.333333333333329</v>
      </c>
    </row>
    <row r="366" spans="1:11" x14ac:dyDescent="0.25">
      <c r="A366" t="s">
        <v>393</v>
      </c>
      <c r="B366" t="s">
        <v>8</v>
      </c>
      <c r="C366" t="s">
        <v>23</v>
      </c>
      <c r="D366" t="s">
        <v>10</v>
      </c>
      <c r="E366" t="s">
        <v>11</v>
      </c>
      <c r="F366" t="s">
        <v>17</v>
      </c>
      <c r="G366">
        <v>72</v>
      </c>
      <c r="H366">
        <v>71</v>
      </c>
      <c r="I366">
        <v>65</v>
      </c>
      <c r="J366">
        <f>SUM(Table2[[#This Row],[math score]:[writing score]])</f>
        <v>208</v>
      </c>
      <c r="K366">
        <f>Table2[[#This Row],[Total score]]/3</f>
        <v>69.333333333333329</v>
      </c>
    </row>
    <row r="367" spans="1:11" x14ac:dyDescent="0.25">
      <c r="A367" t="s">
        <v>394</v>
      </c>
      <c r="B367" t="s">
        <v>13</v>
      </c>
      <c r="C367" t="s">
        <v>14</v>
      </c>
      <c r="D367" t="s">
        <v>21</v>
      </c>
      <c r="E367" t="s">
        <v>11</v>
      </c>
      <c r="F367" t="s">
        <v>17</v>
      </c>
      <c r="G367">
        <v>60</v>
      </c>
      <c r="H367">
        <v>64</v>
      </c>
      <c r="I367">
        <v>67</v>
      </c>
      <c r="J367">
        <f>SUM(Table2[[#This Row],[math score]:[writing score]])</f>
        <v>191</v>
      </c>
      <c r="K367">
        <f>Table2[[#This Row],[Total score]]/3</f>
        <v>63.666666666666664</v>
      </c>
    </row>
    <row r="368" spans="1:11" x14ac:dyDescent="0.25">
      <c r="A368" t="s">
        <v>395</v>
      </c>
      <c r="B368" t="s">
        <v>13</v>
      </c>
      <c r="C368" t="s">
        <v>23</v>
      </c>
      <c r="D368" t="s">
        <v>21</v>
      </c>
      <c r="E368" t="s">
        <v>16</v>
      </c>
      <c r="F368" t="s">
        <v>17</v>
      </c>
      <c r="G368">
        <v>55</v>
      </c>
      <c r="H368">
        <v>61</v>
      </c>
      <c r="I368">
        <v>60</v>
      </c>
      <c r="J368">
        <f>SUM(Table2[[#This Row],[math score]:[writing score]])</f>
        <v>176</v>
      </c>
      <c r="K368">
        <f>Table2[[#This Row],[Total score]]/3</f>
        <v>58.666666666666664</v>
      </c>
    </row>
    <row r="369" spans="1:11" x14ac:dyDescent="0.25">
      <c r="A369" t="s">
        <v>396</v>
      </c>
      <c r="B369" t="s">
        <v>8</v>
      </c>
      <c r="C369" t="s">
        <v>20</v>
      </c>
      <c r="D369" t="s">
        <v>15</v>
      </c>
      <c r="E369" t="s">
        <v>11</v>
      </c>
      <c r="F369" t="s">
        <v>17</v>
      </c>
      <c r="G369">
        <v>64</v>
      </c>
      <c r="H369">
        <v>67</v>
      </c>
      <c r="I369">
        <v>64</v>
      </c>
      <c r="J369">
        <f>SUM(Table2[[#This Row],[math score]:[writing score]])</f>
        <v>195</v>
      </c>
      <c r="K369">
        <f>Table2[[#This Row],[Total score]]/3</f>
        <v>65</v>
      </c>
    </row>
    <row r="370" spans="1:11" x14ac:dyDescent="0.25">
      <c r="A370" t="s">
        <v>397</v>
      </c>
      <c r="B370" t="s">
        <v>13</v>
      </c>
      <c r="C370" t="s">
        <v>23</v>
      </c>
      <c r="D370" t="s">
        <v>15</v>
      </c>
      <c r="E370" t="s">
        <v>16</v>
      </c>
      <c r="F370" t="s">
        <v>17</v>
      </c>
      <c r="G370">
        <v>57</v>
      </c>
      <c r="H370">
        <v>64</v>
      </c>
      <c r="I370">
        <v>60</v>
      </c>
      <c r="J370">
        <f>SUM(Table2[[#This Row],[math score]:[writing score]])</f>
        <v>181</v>
      </c>
      <c r="K370">
        <f>Table2[[#This Row],[Total score]]/3</f>
        <v>60.333333333333336</v>
      </c>
    </row>
    <row r="371" spans="1:11" x14ac:dyDescent="0.25">
      <c r="A371" t="s">
        <v>398</v>
      </c>
      <c r="B371" t="s">
        <v>13</v>
      </c>
      <c r="C371" t="s">
        <v>9</v>
      </c>
      <c r="D371" t="s">
        <v>10</v>
      </c>
      <c r="E371" t="s">
        <v>11</v>
      </c>
      <c r="F371" t="s">
        <v>17</v>
      </c>
      <c r="G371">
        <v>70</v>
      </c>
      <c r="H371">
        <v>75</v>
      </c>
      <c r="I371">
        <v>74</v>
      </c>
      <c r="J371">
        <f>SUM(Table2[[#This Row],[math score]:[writing score]])</f>
        <v>219</v>
      </c>
      <c r="K371">
        <f>Table2[[#This Row],[Total score]]/3</f>
        <v>73</v>
      </c>
    </row>
    <row r="372" spans="1:11" x14ac:dyDescent="0.25">
      <c r="A372" t="s">
        <v>399</v>
      </c>
      <c r="B372" t="s">
        <v>8</v>
      </c>
      <c r="C372" t="s">
        <v>14</v>
      </c>
      <c r="D372" t="s">
        <v>15</v>
      </c>
      <c r="E372" t="s">
        <v>11</v>
      </c>
      <c r="F372" t="s">
        <v>12</v>
      </c>
      <c r="G372">
        <v>84</v>
      </c>
      <c r="H372">
        <v>72</v>
      </c>
      <c r="I372">
        <v>76</v>
      </c>
      <c r="J372">
        <f>SUM(Table2[[#This Row],[math score]:[writing score]])</f>
        <v>232</v>
      </c>
      <c r="K372">
        <f>Table2[[#This Row],[Total score]]/3</f>
        <v>77.333333333333329</v>
      </c>
    </row>
    <row r="373" spans="1:11" x14ac:dyDescent="0.25">
      <c r="A373" t="s">
        <v>400</v>
      </c>
      <c r="B373" t="s">
        <v>13</v>
      </c>
      <c r="C373" t="s">
        <v>20</v>
      </c>
      <c r="D373" t="s">
        <v>19</v>
      </c>
      <c r="E373" t="s">
        <v>11</v>
      </c>
      <c r="F373" t="s">
        <v>12</v>
      </c>
      <c r="G373">
        <v>66</v>
      </c>
      <c r="H373">
        <v>71</v>
      </c>
      <c r="I373">
        <v>76</v>
      </c>
      <c r="J373">
        <f>SUM(Table2[[#This Row],[math score]:[writing score]])</f>
        <v>213</v>
      </c>
      <c r="K373">
        <f>Table2[[#This Row],[Total score]]/3</f>
        <v>71</v>
      </c>
    </row>
    <row r="374" spans="1:11" x14ac:dyDescent="0.25">
      <c r="A374" t="s">
        <v>401</v>
      </c>
      <c r="B374" t="s">
        <v>13</v>
      </c>
      <c r="C374" t="s">
        <v>23</v>
      </c>
      <c r="D374" t="s">
        <v>22</v>
      </c>
      <c r="E374" t="s">
        <v>16</v>
      </c>
      <c r="F374" t="s">
        <v>12</v>
      </c>
      <c r="G374">
        <v>56</v>
      </c>
      <c r="H374">
        <v>65</v>
      </c>
      <c r="I374">
        <v>73</v>
      </c>
      <c r="J374">
        <f>SUM(Table2[[#This Row],[math score]:[writing score]])</f>
        <v>194</v>
      </c>
      <c r="K374">
        <f>Table2[[#This Row],[Total score]]/3</f>
        <v>64.666666666666671</v>
      </c>
    </row>
    <row r="375" spans="1:11" x14ac:dyDescent="0.25">
      <c r="A375" t="s">
        <v>402</v>
      </c>
      <c r="B375" t="s">
        <v>8</v>
      </c>
      <c r="C375" t="s">
        <v>18</v>
      </c>
      <c r="D375" t="s">
        <v>19</v>
      </c>
      <c r="E375" t="s">
        <v>16</v>
      </c>
      <c r="F375" t="s">
        <v>12</v>
      </c>
      <c r="G375">
        <v>59</v>
      </c>
      <c r="H375">
        <v>53</v>
      </c>
      <c r="I375">
        <v>56</v>
      </c>
      <c r="J375">
        <f>SUM(Table2[[#This Row],[math score]:[writing score]])</f>
        <v>168</v>
      </c>
      <c r="K375">
        <f>Table2[[#This Row],[Total score]]/3</f>
        <v>56</v>
      </c>
    </row>
    <row r="376" spans="1:11" x14ac:dyDescent="0.25">
      <c r="A376" t="s">
        <v>403</v>
      </c>
      <c r="B376" t="s">
        <v>13</v>
      </c>
      <c r="C376" t="s">
        <v>18</v>
      </c>
      <c r="D376" t="s">
        <v>22</v>
      </c>
      <c r="E376" t="s">
        <v>11</v>
      </c>
      <c r="F376" t="s">
        <v>17</v>
      </c>
      <c r="G376">
        <v>87</v>
      </c>
      <c r="H376">
        <v>89</v>
      </c>
      <c r="I376">
        <v>84</v>
      </c>
      <c r="J376">
        <f>SUM(Table2[[#This Row],[math score]:[writing score]])</f>
        <v>260</v>
      </c>
      <c r="K376">
        <f>Table2[[#This Row],[Total score]]/3</f>
        <v>86.666666666666671</v>
      </c>
    </row>
    <row r="377" spans="1:11" x14ac:dyDescent="0.25">
      <c r="A377" t="s">
        <v>404</v>
      </c>
      <c r="B377" t="s">
        <v>8</v>
      </c>
      <c r="C377" t="s">
        <v>18</v>
      </c>
      <c r="D377" t="s">
        <v>10</v>
      </c>
      <c r="E377" t="s">
        <v>16</v>
      </c>
      <c r="F377" t="s">
        <v>17</v>
      </c>
      <c r="G377">
        <v>73</v>
      </c>
      <c r="H377">
        <v>75</v>
      </c>
      <c r="I377">
        <v>64</v>
      </c>
      <c r="J377">
        <f>SUM(Table2[[#This Row],[math score]:[writing score]])</f>
        <v>212</v>
      </c>
      <c r="K377">
        <f>Table2[[#This Row],[Total score]]/3</f>
        <v>70.666666666666671</v>
      </c>
    </row>
    <row r="378" spans="1:11" x14ac:dyDescent="0.25">
      <c r="A378" t="s">
        <v>405</v>
      </c>
      <c r="B378" t="s">
        <v>13</v>
      </c>
      <c r="C378" t="s">
        <v>9</v>
      </c>
      <c r="D378" t="s">
        <v>10</v>
      </c>
      <c r="E378" t="s">
        <v>11</v>
      </c>
      <c r="F378" t="s">
        <v>17</v>
      </c>
      <c r="G378">
        <v>85</v>
      </c>
      <c r="H378">
        <v>91</v>
      </c>
      <c r="I378">
        <v>89</v>
      </c>
      <c r="J378">
        <f>SUM(Table2[[#This Row],[math score]:[writing score]])</f>
        <v>265</v>
      </c>
      <c r="K378">
        <f>Table2[[#This Row],[Total score]]/3</f>
        <v>88.333333333333329</v>
      </c>
    </row>
    <row r="379" spans="1:11" x14ac:dyDescent="0.25">
      <c r="A379" t="s">
        <v>406</v>
      </c>
      <c r="B379" t="s">
        <v>8</v>
      </c>
      <c r="C379" t="s">
        <v>20</v>
      </c>
      <c r="D379" t="s">
        <v>19</v>
      </c>
      <c r="E379" t="s">
        <v>16</v>
      </c>
      <c r="F379" t="s">
        <v>17</v>
      </c>
      <c r="G379">
        <v>49</v>
      </c>
      <c r="H379">
        <v>54</v>
      </c>
      <c r="I379">
        <v>42</v>
      </c>
      <c r="J379">
        <f>SUM(Table2[[#This Row],[math score]:[writing score]])</f>
        <v>145</v>
      </c>
      <c r="K379">
        <f>Table2[[#This Row],[Total score]]/3</f>
        <v>48.333333333333336</v>
      </c>
    </row>
    <row r="380" spans="1:11" x14ac:dyDescent="0.25">
      <c r="A380" t="s">
        <v>407</v>
      </c>
      <c r="B380" t="s">
        <v>13</v>
      </c>
      <c r="C380" t="s">
        <v>23</v>
      </c>
      <c r="D380" t="s">
        <v>22</v>
      </c>
      <c r="E380" t="s">
        <v>11</v>
      </c>
      <c r="F380" t="s">
        <v>12</v>
      </c>
      <c r="G380">
        <v>82</v>
      </c>
      <c r="H380">
        <v>87</v>
      </c>
      <c r="I380">
        <v>90</v>
      </c>
      <c r="J380">
        <f>SUM(Table2[[#This Row],[math score]:[writing score]])</f>
        <v>259</v>
      </c>
      <c r="K380">
        <f>Table2[[#This Row],[Total score]]/3</f>
        <v>86.333333333333329</v>
      </c>
    </row>
    <row r="381" spans="1:11" x14ac:dyDescent="0.25">
      <c r="A381" t="s">
        <v>408</v>
      </c>
      <c r="B381" t="s">
        <v>13</v>
      </c>
      <c r="C381" t="s">
        <v>14</v>
      </c>
      <c r="D381" t="s">
        <v>19</v>
      </c>
      <c r="E381" t="s">
        <v>11</v>
      </c>
      <c r="F381" t="s">
        <v>17</v>
      </c>
      <c r="G381">
        <v>80</v>
      </c>
      <c r="H381">
        <v>90</v>
      </c>
      <c r="I381">
        <v>90</v>
      </c>
      <c r="J381">
        <f>SUM(Table2[[#This Row],[math score]:[writing score]])</f>
        <v>260</v>
      </c>
      <c r="K381">
        <f>Table2[[#This Row],[Total score]]/3</f>
        <v>86.666666666666671</v>
      </c>
    </row>
    <row r="382" spans="1:11" x14ac:dyDescent="0.25">
      <c r="A382" t="s">
        <v>409</v>
      </c>
      <c r="B382" t="s">
        <v>13</v>
      </c>
      <c r="C382" t="s">
        <v>18</v>
      </c>
      <c r="D382" t="s">
        <v>10</v>
      </c>
      <c r="E382" t="s">
        <v>11</v>
      </c>
      <c r="F382" t="s">
        <v>17</v>
      </c>
      <c r="G382">
        <v>48</v>
      </c>
      <c r="H382">
        <v>51</v>
      </c>
      <c r="I382">
        <v>43</v>
      </c>
      <c r="J382">
        <f>SUM(Table2[[#This Row],[math score]:[writing score]])</f>
        <v>142</v>
      </c>
      <c r="K382">
        <f>Table2[[#This Row],[Total score]]/3</f>
        <v>47.333333333333336</v>
      </c>
    </row>
    <row r="383" spans="1:11" x14ac:dyDescent="0.25">
      <c r="A383" t="s">
        <v>410</v>
      </c>
      <c r="B383" t="s">
        <v>13</v>
      </c>
      <c r="C383" t="s">
        <v>14</v>
      </c>
      <c r="D383" t="s">
        <v>10</v>
      </c>
      <c r="E383" t="s">
        <v>11</v>
      </c>
      <c r="F383" t="s">
        <v>12</v>
      </c>
      <c r="G383">
        <v>85</v>
      </c>
      <c r="H383">
        <v>83</v>
      </c>
      <c r="I383">
        <v>94</v>
      </c>
      <c r="J383">
        <f>SUM(Table2[[#This Row],[math score]:[writing score]])</f>
        <v>262</v>
      </c>
      <c r="K383">
        <f>Table2[[#This Row],[Total score]]/3</f>
        <v>87.333333333333329</v>
      </c>
    </row>
    <row r="384" spans="1:11" x14ac:dyDescent="0.25">
      <c r="A384" t="s">
        <v>411</v>
      </c>
      <c r="B384" t="s">
        <v>13</v>
      </c>
      <c r="C384" t="s">
        <v>18</v>
      </c>
      <c r="D384" t="s">
        <v>15</v>
      </c>
      <c r="E384" t="s">
        <v>11</v>
      </c>
      <c r="F384" t="s">
        <v>12</v>
      </c>
      <c r="G384">
        <v>70</v>
      </c>
      <c r="H384">
        <v>78</v>
      </c>
      <c r="I384">
        <v>76</v>
      </c>
      <c r="J384">
        <f>SUM(Table2[[#This Row],[math score]:[writing score]])</f>
        <v>224</v>
      </c>
      <c r="K384">
        <f>Table2[[#This Row],[Total score]]/3</f>
        <v>74.666666666666671</v>
      </c>
    </row>
    <row r="385" spans="1:11" x14ac:dyDescent="0.25">
      <c r="A385" t="s">
        <v>412</v>
      </c>
      <c r="B385" t="s">
        <v>8</v>
      </c>
      <c r="C385" t="s">
        <v>18</v>
      </c>
      <c r="D385" t="s">
        <v>21</v>
      </c>
      <c r="E385" t="s">
        <v>11</v>
      </c>
      <c r="F385" t="s">
        <v>12</v>
      </c>
      <c r="G385">
        <v>89</v>
      </c>
      <c r="H385">
        <v>84</v>
      </c>
      <c r="I385">
        <v>81</v>
      </c>
      <c r="J385">
        <f>SUM(Table2[[#This Row],[math score]:[writing score]])</f>
        <v>254</v>
      </c>
      <c r="K385">
        <f>Table2[[#This Row],[Total score]]/3</f>
        <v>84.666666666666671</v>
      </c>
    </row>
    <row r="386" spans="1:11" x14ac:dyDescent="0.25">
      <c r="A386" t="s">
        <v>413</v>
      </c>
      <c r="B386" t="s">
        <v>13</v>
      </c>
      <c r="C386" t="s">
        <v>14</v>
      </c>
      <c r="D386" t="s">
        <v>10</v>
      </c>
      <c r="E386" t="s">
        <v>11</v>
      </c>
      <c r="F386" t="s">
        <v>12</v>
      </c>
      <c r="G386">
        <v>72</v>
      </c>
      <c r="H386">
        <v>86</v>
      </c>
      <c r="I386">
        <v>79</v>
      </c>
      <c r="J386">
        <f>SUM(Table2[[#This Row],[math score]:[writing score]])</f>
        <v>237</v>
      </c>
      <c r="K386">
        <f>Table2[[#This Row],[Total score]]/3</f>
        <v>79</v>
      </c>
    </row>
    <row r="387" spans="1:11" x14ac:dyDescent="0.25">
      <c r="A387" t="s">
        <v>414</v>
      </c>
      <c r="B387" t="s">
        <v>13</v>
      </c>
      <c r="C387" t="s">
        <v>14</v>
      </c>
      <c r="D387" t="s">
        <v>15</v>
      </c>
      <c r="E387" t="s">
        <v>16</v>
      </c>
      <c r="F387" t="s">
        <v>17</v>
      </c>
      <c r="G387">
        <v>80</v>
      </c>
      <c r="H387">
        <v>86</v>
      </c>
      <c r="I387">
        <v>87</v>
      </c>
      <c r="J387">
        <f>SUM(Table2[[#This Row],[math score]:[writing score]])</f>
        <v>253</v>
      </c>
      <c r="K387">
        <f>Table2[[#This Row],[Total score]]/3</f>
        <v>84.333333333333329</v>
      </c>
    </row>
    <row r="388" spans="1:11" x14ac:dyDescent="0.25">
      <c r="A388" t="s">
        <v>415</v>
      </c>
      <c r="B388" t="s">
        <v>13</v>
      </c>
      <c r="C388" t="s">
        <v>14</v>
      </c>
      <c r="D388" t="s">
        <v>15</v>
      </c>
      <c r="E388" t="s">
        <v>16</v>
      </c>
      <c r="F388" t="s">
        <v>17</v>
      </c>
      <c r="G388">
        <v>43</v>
      </c>
      <c r="H388">
        <v>57</v>
      </c>
      <c r="I388">
        <v>50</v>
      </c>
      <c r="J388">
        <f>SUM(Table2[[#This Row],[math score]:[writing score]])</f>
        <v>150</v>
      </c>
      <c r="K388">
        <f>Table2[[#This Row],[Total score]]/3</f>
        <v>50</v>
      </c>
    </row>
    <row r="389" spans="1:11" x14ac:dyDescent="0.25">
      <c r="A389" t="s">
        <v>416</v>
      </c>
      <c r="B389" t="s">
        <v>8</v>
      </c>
      <c r="C389" t="s">
        <v>23</v>
      </c>
      <c r="D389" t="s">
        <v>15</v>
      </c>
      <c r="E389" t="s">
        <v>16</v>
      </c>
      <c r="F389" t="s">
        <v>12</v>
      </c>
      <c r="G389">
        <v>54</v>
      </c>
      <c r="H389">
        <v>61</v>
      </c>
      <c r="I389">
        <v>61</v>
      </c>
      <c r="J389">
        <f>SUM(Table2[[#This Row],[math score]:[writing score]])</f>
        <v>176</v>
      </c>
      <c r="K389">
        <f>Table2[[#This Row],[Total score]]/3</f>
        <v>58.666666666666664</v>
      </c>
    </row>
    <row r="390" spans="1:11" x14ac:dyDescent="0.25">
      <c r="A390" t="s">
        <v>417</v>
      </c>
      <c r="B390" t="s">
        <v>8</v>
      </c>
      <c r="C390" t="s">
        <v>9</v>
      </c>
      <c r="D390" t="s">
        <v>21</v>
      </c>
      <c r="E390" t="s">
        <v>16</v>
      </c>
      <c r="F390" t="s">
        <v>12</v>
      </c>
      <c r="G390">
        <v>82</v>
      </c>
      <c r="H390">
        <v>82</v>
      </c>
      <c r="I390">
        <v>78</v>
      </c>
      <c r="J390">
        <f>SUM(Table2[[#This Row],[math score]:[writing score]])</f>
        <v>242</v>
      </c>
      <c r="K390">
        <f>Table2[[#This Row],[Total score]]/3</f>
        <v>80.666666666666671</v>
      </c>
    </row>
    <row r="391" spans="1:11" x14ac:dyDescent="0.25">
      <c r="A391" t="s">
        <v>418</v>
      </c>
      <c r="B391" t="s">
        <v>8</v>
      </c>
      <c r="C391" t="s">
        <v>23</v>
      </c>
      <c r="D391" t="s">
        <v>22</v>
      </c>
      <c r="E391" t="s">
        <v>16</v>
      </c>
      <c r="F391" t="s">
        <v>17</v>
      </c>
      <c r="G391">
        <v>74</v>
      </c>
      <c r="H391">
        <v>80</v>
      </c>
      <c r="I391">
        <v>78</v>
      </c>
      <c r="J391">
        <f>SUM(Table2[[#This Row],[math score]:[writing score]])</f>
        <v>232</v>
      </c>
      <c r="K391">
        <f>Table2[[#This Row],[Total score]]/3</f>
        <v>77.333333333333329</v>
      </c>
    </row>
    <row r="392" spans="1:11" x14ac:dyDescent="0.25">
      <c r="A392" t="s">
        <v>419</v>
      </c>
      <c r="B392" t="s">
        <v>13</v>
      </c>
      <c r="C392" t="s">
        <v>23</v>
      </c>
      <c r="D392" t="s">
        <v>19</v>
      </c>
      <c r="E392" t="s">
        <v>11</v>
      </c>
      <c r="F392" t="s">
        <v>17</v>
      </c>
      <c r="G392">
        <v>63</v>
      </c>
      <c r="H392">
        <v>62</v>
      </c>
      <c r="I392">
        <v>64</v>
      </c>
      <c r="J392">
        <f>SUM(Table2[[#This Row],[math score]:[writing score]])</f>
        <v>189</v>
      </c>
      <c r="K392">
        <f>Table2[[#This Row],[Total score]]/3</f>
        <v>63</v>
      </c>
    </row>
    <row r="393" spans="1:11" x14ac:dyDescent="0.25">
      <c r="A393" t="s">
        <v>420</v>
      </c>
      <c r="B393" t="s">
        <v>13</v>
      </c>
      <c r="C393" t="s">
        <v>23</v>
      </c>
      <c r="D393" t="s">
        <v>10</v>
      </c>
      <c r="E393" t="s">
        <v>16</v>
      </c>
      <c r="F393" t="s">
        <v>17</v>
      </c>
      <c r="G393">
        <v>47</v>
      </c>
      <c r="H393">
        <v>56</v>
      </c>
      <c r="I393">
        <v>51</v>
      </c>
      <c r="J393">
        <f>SUM(Table2[[#This Row],[math score]:[writing score]])</f>
        <v>154</v>
      </c>
      <c r="K393">
        <f>Table2[[#This Row],[Total score]]/3</f>
        <v>51.333333333333336</v>
      </c>
    </row>
    <row r="394" spans="1:11" x14ac:dyDescent="0.25">
      <c r="A394" t="s">
        <v>421</v>
      </c>
      <c r="B394" t="s">
        <v>13</v>
      </c>
      <c r="C394" t="s">
        <v>23</v>
      </c>
      <c r="D394" t="s">
        <v>19</v>
      </c>
      <c r="E394" t="s">
        <v>16</v>
      </c>
      <c r="F394" t="s">
        <v>17</v>
      </c>
      <c r="G394">
        <v>13</v>
      </c>
      <c r="H394">
        <v>29</v>
      </c>
      <c r="I394">
        <v>23</v>
      </c>
      <c r="J394">
        <f>SUM(Table2[[#This Row],[math score]:[writing score]])</f>
        <v>65</v>
      </c>
      <c r="K394">
        <f>Table2[[#This Row],[Total score]]/3</f>
        <v>21.666666666666668</v>
      </c>
    </row>
    <row r="395" spans="1:11" x14ac:dyDescent="0.25">
      <c r="A395" t="s">
        <v>422</v>
      </c>
      <c r="B395" t="s">
        <v>8</v>
      </c>
      <c r="C395" t="s">
        <v>14</v>
      </c>
      <c r="D395" t="s">
        <v>19</v>
      </c>
      <c r="E395" t="s">
        <v>16</v>
      </c>
      <c r="F395" t="s">
        <v>17</v>
      </c>
      <c r="G395">
        <v>67</v>
      </c>
      <c r="H395">
        <v>58</v>
      </c>
      <c r="I395">
        <v>56</v>
      </c>
      <c r="J395">
        <f>SUM(Table2[[#This Row],[math score]:[writing score]])</f>
        <v>181</v>
      </c>
      <c r="K395">
        <f>Table2[[#This Row],[Total score]]/3</f>
        <v>60.333333333333336</v>
      </c>
    </row>
    <row r="396" spans="1:11" x14ac:dyDescent="0.25">
      <c r="A396" t="s">
        <v>423</v>
      </c>
      <c r="B396" t="s">
        <v>8</v>
      </c>
      <c r="C396" t="s">
        <v>23</v>
      </c>
      <c r="D396" t="s">
        <v>15</v>
      </c>
      <c r="E396" t="s">
        <v>11</v>
      </c>
      <c r="F396" t="s">
        <v>17</v>
      </c>
      <c r="G396">
        <v>57</v>
      </c>
      <c r="H396">
        <v>59</v>
      </c>
      <c r="I396">
        <v>54</v>
      </c>
      <c r="J396">
        <f>SUM(Table2[[#This Row],[math score]:[writing score]])</f>
        <v>170</v>
      </c>
      <c r="K396">
        <f>Table2[[#This Row],[Total score]]/3</f>
        <v>56.666666666666664</v>
      </c>
    </row>
    <row r="397" spans="1:11" x14ac:dyDescent="0.25">
      <c r="A397" t="s">
        <v>424</v>
      </c>
      <c r="B397" t="s">
        <v>13</v>
      </c>
      <c r="C397" t="s">
        <v>20</v>
      </c>
      <c r="D397" t="s">
        <v>15</v>
      </c>
      <c r="E397" t="s">
        <v>11</v>
      </c>
      <c r="F397" t="s">
        <v>17</v>
      </c>
      <c r="G397">
        <v>64</v>
      </c>
      <c r="H397">
        <v>78</v>
      </c>
      <c r="I397">
        <v>83</v>
      </c>
      <c r="J397">
        <f>SUM(Table2[[#This Row],[math score]:[writing score]])</f>
        <v>225</v>
      </c>
      <c r="K397">
        <f>Table2[[#This Row],[Total score]]/3</f>
        <v>75</v>
      </c>
    </row>
    <row r="398" spans="1:11" x14ac:dyDescent="0.25">
      <c r="A398" t="s">
        <v>425</v>
      </c>
      <c r="B398" t="s">
        <v>13</v>
      </c>
      <c r="C398" t="s">
        <v>14</v>
      </c>
      <c r="D398" t="s">
        <v>21</v>
      </c>
      <c r="E398" t="s">
        <v>11</v>
      </c>
      <c r="F398" t="s">
        <v>17</v>
      </c>
      <c r="G398">
        <v>85</v>
      </c>
      <c r="H398">
        <v>100</v>
      </c>
      <c r="I398">
        <v>100</v>
      </c>
      <c r="J398">
        <f>SUM(Table2[[#This Row],[math score]:[writing score]])</f>
        <v>285</v>
      </c>
      <c r="K398">
        <f>Table2[[#This Row],[Total score]]/3</f>
        <v>95</v>
      </c>
    </row>
    <row r="399" spans="1:11" x14ac:dyDescent="0.25">
      <c r="A399" t="s">
        <v>426</v>
      </c>
      <c r="B399" t="s">
        <v>13</v>
      </c>
      <c r="C399" t="s">
        <v>20</v>
      </c>
      <c r="D399" t="s">
        <v>21</v>
      </c>
      <c r="E399" t="s">
        <v>11</v>
      </c>
      <c r="F399" t="s">
        <v>12</v>
      </c>
      <c r="G399">
        <v>70</v>
      </c>
      <c r="H399">
        <v>80</v>
      </c>
      <c r="I399">
        <v>86</v>
      </c>
      <c r="J399">
        <f>SUM(Table2[[#This Row],[math score]:[writing score]])</f>
        <v>236</v>
      </c>
      <c r="K399">
        <f>Table2[[#This Row],[Total score]]/3</f>
        <v>78.666666666666671</v>
      </c>
    </row>
    <row r="400" spans="1:11" x14ac:dyDescent="0.25">
      <c r="A400" t="s">
        <v>427</v>
      </c>
      <c r="B400" t="s">
        <v>8</v>
      </c>
      <c r="C400" t="s">
        <v>20</v>
      </c>
      <c r="D400" t="s">
        <v>22</v>
      </c>
      <c r="E400" t="s">
        <v>11</v>
      </c>
      <c r="F400" t="s">
        <v>12</v>
      </c>
      <c r="G400">
        <v>90</v>
      </c>
      <c r="H400">
        <v>73</v>
      </c>
      <c r="I400">
        <v>83</v>
      </c>
      <c r="J400">
        <f>SUM(Table2[[#This Row],[math score]:[writing score]])</f>
        <v>246</v>
      </c>
      <c r="K400">
        <f>Table2[[#This Row],[Total score]]/3</f>
        <v>82</v>
      </c>
    </row>
    <row r="401" spans="1:11" x14ac:dyDescent="0.25">
      <c r="A401" t="s">
        <v>428</v>
      </c>
      <c r="B401" t="s">
        <v>13</v>
      </c>
      <c r="C401" t="s">
        <v>9</v>
      </c>
      <c r="D401" t="s">
        <v>19</v>
      </c>
      <c r="E401" t="s">
        <v>16</v>
      </c>
      <c r="F401" t="s">
        <v>12</v>
      </c>
      <c r="G401">
        <v>53</v>
      </c>
      <c r="H401">
        <v>70</v>
      </c>
      <c r="I401">
        <v>69</v>
      </c>
      <c r="J401">
        <f>SUM(Table2[[#This Row],[math score]:[writing score]])</f>
        <v>192</v>
      </c>
      <c r="K401">
        <f>Table2[[#This Row],[Total score]]/3</f>
        <v>64</v>
      </c>
    </row>
    <row r="402" spans="1:11" x14ac:dyDescent="0.25">
      <c r="A402" t="s">
        <v>429</v>
      </c>
      <c r="B402" t="s">
        <v>8</v>
      </c>
      <c r="C402" t="s">
        <v>23</v>
      </c>
      <c r="D402" t="s">
        <v>19</v>
      </c>
      <c r="E402" t="s">
        <v>11</v>
      </c>
      <c r="F402" t="s">
        <v>12</v>
      </c>
      <c r="G402">
        <v>74</v>
      </c>
      <c r="H402">
        <v>73</v>
      </c>
      <c r="I402">
        <v>75</v>
      </c>
      <c r="J402">
        <f>SUM(Table2[[#This Row],[math score]:[writing score]])</f>
        <v>222</v>
      </c>
      <c r="K402">
        <f>Table2[[#This Row],[Total score]]/3</f>
        <v>74</v>
      </c>
    </row>
    <row r="403" spans="1:11" x14ac:dyDescent="0.25">
      <c r="A403" t="s">
        <v>430</v>
      </c>
      <c r="B403" t="s">
        <v>8</v>
      </c>
      <c r="C403" t="s">
        <v>9</v>
      </c>
      <c r="D403" t="s">
        <v>21</v>
      </c>
      <c r="E403" t="s">
        <v>11</v>
      </c>
      <c r="F403" t="s">
        <v>12</v>
      </c>
      <c r="G403">
        <v>61</v>
      </c>
      <c r="H403">
        <v>71</v>
      </c>
      <c r="I403">
        <v>67</v>
      </c>
      <c r="J403">
        <f>SUM(Table2[[#This Row],[math score]:[writing score]])</f>
        <v>199</v>
      </c>
      <c r="K403">
        <f>Table2[[#This Row],[Total score]]/3</f>
        <v>66.333333333333329</v>
      </c>
    </row>
    <row r="404" spans="1:11" x14ac:dyDescent="0.25">
      <c r="A404" t="s">
        <v>431</v>
      </c>
      <c r="B404" t="s">
        <v>13</v>
      </c>
      <c r="C404" t="s">
        <v>23</v>
      </c>
      <c r="D404" t="s">
        <v>15</v>
      </c>
      <c r="E404" t="s">
        <v>11</v>
      </c>
      <c r="F404" t="s">
        <v>12</v>
      </c>
      <c r="G404">
        <v>55</v>
      </c>
      <c r="H404">
        <v>74</v>
      </c>
      <c r="I404">
        <v>73</v>
      </c>
      <c r="J404">
        <f>SUM(Table2[[#This Row],[math score]:[writing score]])</f>
        <v>202</v>
      </c>
      <c r="K404">
        <f>Table2[[#This Row],[Total score]]/3</f>
        <v>67.333333333333329</v>
      </c>
    </row>
    <row r="405" spans="1:11" x14ac:dyDescent="0.25">
      <c r="A405" t="s">
        <v>432</v>
      </c>
      <c r="B405" t="s">
        <v>13</v>
      </c>
      <c r="C405" t="s">
        <v>20</v>
      </c>
      <c r="D405" t="s">
        <v>19</v>
      </c>
      <c r="E405" t="s">
        <v>11</v>
      </c>
      <c r="F405" t="s">
        <v>12</v>
      </c>
      <c r="G405">
        <v>65</v>
      </c>
      <c r="H405">
        <v>63</v>
      </c>
      <c r="I405">
        <v>66</v>
      </c>
      <c r="J405">
        <f>SUM(Table2[[#This Row],[math score]:[writing score]])</f>
        <v>194</v>
      </c>
      <c r="K405">
        <f>Table2[[#This Row],[Total score]]/3</f>
        <v>64.666666666666671</v>
      </c>
    </row>
    <row r="406" spans="1:11" x14ac:dyDescent="0.25">
      <c r="A406" t="s">
        <v>433</v>
      </c>
      <c r="B406" t="s">
        <v>13</v>
      </c>
      <c r="C406" t="s">
        <v>9</v>
      </c>
      <c r="D406" t="s">
        <v>10</v>
      </c>
      <c r="E406" t="s">
        <v>11</v>
      </c>
      <c r="F406" t="s">
        <v>17</v>
      </c>
      <c r="G406">
        <v>77</v>
      </c>
      <c r="H406">
        <v>77</v>
      </c>
      <c r="I406">
        <v>79</v>
      </c>
      <c r="J406">
        <f>SUM(Table2[[#This Row],[math score]:[writing score]])</f>
        <v>233</v>
      </c>
      <c r="K406">
        <f>Table2[[#This Row],[Total score]]/3</f>
        <v>77.666666666666671</v>
      </c>
    </row>
    <row r="407" spans="1:11" x14ac:dyDescent="0.25">
      <c r="A407" t="s">
        <v>434</v>
      </c>
      <c r="B407" t="s">
        <v>8</v>
      </c>
      <c r="C407" t="s">
        <v>23</v>
      </c>
      <c r="D407" t="s">
        <v>21</v>
      </c>
      <c r="E407" t="s">
        <v>11</v>
      </c>
      <c r="F407" t="s">
        <v>17</v>
      </c>
      <c r="G407">
        <v>74</v>
      </c>
      <c r="H407">
        <v>61</v>
      </c>
      <c r="I407">
        <v>56</v>
      </c>
      <c r="J407">
        <f>SUM(Table2[[#This Row],[math score]:[writing score]])</f>
        <v>191</v>
      </c>
      <c r="K407">
        <f>Table2[[#This Row],[Total score]]/3</f>
        <v>63.666666666666664</v>
      </c>
    </row>
    <row r="408" spans="1:11" x14ac:dyDescent="0.25">
      <c r="A408" t="s">
        <v>435</v>
      </c>
      <c r="B408" t="s">
        <v>8</v>
      </c>
      <c r="C408" t="s">
        <v>14</v>
      </c>
      <c r="D408" t="s">
        <v>19</v>
      </c>
      <c r="E408" t="s">
        <v>11</v>
      </c>
      <c r="F408" t="s">
        <v>17</v>
      </c>
      <c r="G408">
        <v>94</v>
      </c>
      <c r="H408">
        <v>92</v>
      </c>
      <c r="I408">
        <v>85</v>
      </c>
      <c r="J408">
        <f>SUM(Table2[[#This Row],[math score]:[writing score]])</f>
        <v>271</v>
      </c>
      <c r="K408">
        <f>Table2[[#This Row],[Total score]]/3</f>
        <v>90.333333333333329</v>
      </c>
    </row>
    <row r="409" spans="1:11" x14ac:dyDescent="0.25">
      <c r="A409" t="s">
        <v>436</v>
      </c>
      <c r="B409" t="s">
        <v>13</v>
      </c>
      <c r="C409" t="s">
        <v>20</v>
      </c>
      <c r="D409" t="s">
        <v>21</v>
      </c>
      <c r="E409" t="s">
        <v>11</v>
      </c>
      <c r="F409" t="s">
        <v>12</v>
      </c>
      <c r="G409">
        <v>54</v>
      </c>
      <c r="H409">
        <v>64</v>
      </c>
      <c r="I409">
        <v>68</v>
      </c>
      <c r="J409">
        <f>SUM(Table2[[#This Row],[math score]:[writing score]])</f>
        <v>186</v>
      </c>
      <c r="K409">
        <f>Table2[[#This Row],[Total score]]/3</f>
        <v>62</v>
      </c>
    </row>
    <row r="410" spans="1:11" x14ac:dyDescent="0.25">
      <c r="A410" t="s">
        <v>437</v>
      </c>
      <c r="B410" t="s">
        <v>8</v>
      </c>
      <c r="C410" t="s">
        <v>9</v>
      </c>
      <c r="D410" t="s">
        <v>10</v>
      </c>
      <c r="E410" t="s">
        <v>11</v>
      </c>
      <c r="F410" t="s">
        <v>17</v>
      </c>
      <c r="G410">
        <v>52</v>
      </c>
      <c r="H410">
        <v>49</v>
      </c>
      <c r="I410">
        <v>43</v>
      </c>
      <c r="J410">
        <f>SUM(Table2[[#This Row],[math score]:[writing score]])</f>
        <v>144</v>
      </c>
      <c r="K410">
        <f>Table2[[#This Row],[Total score]]/3</f>
        <v>48</v>
      </c>
    </row>
    <row r="411" spans="1:11" x14ac:dyDescent="0.25">
      <c r="A411" t="s">
        <v>438</v>
      </c>
      <c r="B411" t="s">
        <v>8</v>
      </c>
      <c r="C411" t="s">
        <v>14</v>
      </c>
      <c r="D411" t="s">
        <v>19</v>
      </c>
      <c r="E411" t="s">
        <v>11</v>
      </c>
      <c r="F411" t="s">
        <v>17</v>
      </c>
      <c r="G411">
        <v>73</v>
      </c>
      <c r="H411">
        <v>75</v>
      </c>
      <c r="I411">
        <v>71</v>
      </c>
      <c r="J411">
        <f>SUM(Table2[[#This Row],[math score]:[writing score]])</f>
        <v>219</v>
      </c>
      <c r="K411">
        <f>Table2[[#This Row],[Total score]]/3</f>
        <v>73</v>
      </c>
    </row>
    <row r="412" spans="1:11" x14ac:dyDescent="0.25">
      <c r="A412" t="s">
        <v>439</v>
      </c>
      <c r="B412" t="s">
        <v>8</v>
      </c>
      <c r="C412" t="s">
        <v>23</v>
      </c>
      <c r="D412" t="s">
        <v>10</v>
      </c>
      <c r="E412" t="s">
        <v>11</v>
      </c>
      <c r="F412" t="s">
        <v>17</v>
      </c>
      <c r="G412">
        <v>81</v>
      </c>
      <c r="H412">
        <v>72</v>
      </c>
      <c r="I412">
        <v>58</v>
      </c>
      <c r="J412">
        <f>SUM(Table2[[#This Row],[math score]:[writing score]])</f>
        <v>211</v>
      </c>
      <c r="K412">
        <f>Table2[[#This Row],[Total score]]/3</f>
        <v>70.333333333333329</v>
      </c>
    </row>
    <row r="413" spans="1:11" x14ac:dyDescent="0.25">
      <c r="A413" t="s">
        <v>440</v>
      </c>
      <c r="B413" t="s">
        <v>13</v>
      </c>
      <c r="C413" t="s">
        <v>20</v>
      </c>
      <c r="D413" t="s">
        <v>22</v>
      </c>
      <c r="E413" t="s">
        <v>16</v>
      </c>
      <c r="F413" t="s">
        <v>17</v>
      </c>
      <c r="G413">
        <v>62</v>
      </c>
      <c r="H413">
        <v>75</v>
      </c>
      <c r="I413">
        <v>72</v>
      </c>
      <c r="J413">
        <f>SUM(Table2[[#This Row],[math score]:[writing score]])</f>
        <v>209</v>
      </c>
      <c r="K413">
        <f>Table2[[#This Row],[Total score]]/3</f>
        <v>69.666666666666671</v>
      </c>
    </row>
    <row r="414" spans="1:11" x14ac:dyDescent="0.25">
      <c r="A414" t="s">
        <v>441</v>
      </c>
      <c r="B414" t="s">
        <v>13</v>
      </c>
      <c r="C414" t="s">
        <v>23</v>
      </c>
      <c r="D414" t="s">
        <v>24</v>
      </c>
      <c r="E414" t="s">
        <v>16</v>
      </c>
      <c r="F414" t="s">
        <v>17</v>
      </c>
      <c r="G414">
        <v>55</v>
      </c>
      <c r="H414">
        <v>60</v>
      </c>
      <c r="I414">
        <v>61</v>
      </c>
      <c r="J414">
        <f>SUM(Table2[[#This Row],[math score]:[writing score]])</f>
        <v>176</v>
      </c>
      <c r="K414">
        <f>Table2[[#This Row],[Total score]]/3</f>
        <v>58.666666666666664</v>
      </c>
    </row>
    <row r="415" spans="1:11" x14ac:dyDescent="0.25">
      <c r="A415" t="s">
        <v>442</v>
      </c>
      <c r="B415" t="s">
        <v>8</v>
      </c>
      <c r="C415" t="s">
        <v>23</v>
      </c>
      <c r="D415" t="s">
        <v>15</v>
      </c>
      <c r="E415" t="s">
        <v>16</v>
      </c>
      <c r="F415" t="s">
        <v>12</v>
      </c>
      <c r="G415">
        <v>55</v>
      </c>
      <c r="H415">
        <v>61</v>
      </c>
      <c r="I415">
        <v>61</v>
      </c>
      <c r="J415">
        <f>SUM(Table2[[#This Row],[math score]:[writing score]])</f>
        <v>177</v>
      </c>
      <c r="K415">
        <f>Table2[[#This Row],[Total score]]/3</f>
        <v>59</v>
      </c>
    </row>
    <row r="416" spans="1:11" x14ac:dyDescent="0.25">
      <c r="A416" t="s">
        <v>443</v>
      </c>
      <c r="B416" t="s">
        <v>13</v>
      </c>
      <c r="C416" t="s">
        <v>14</v>
      </c>
      <c r="D416" t="s">
        <v>15</v>
      </c>
      <c r="E416" t="s">
        <v>11</v>
      </c>
      <c r="F416" t="s">
        <v>17</v>
      </c>
      <c r="G416">
        <v>61</v>
      </c>
      <c r="H416">
        <v>62</v>
      </c>
      <c r="I416">
        <v>61</v>
      </c>
      <c r="J416">
        <f>SUM(Table2[[#This Row],[math score]:[writing score]])</f>
        <v>184</v>
      </c>
      <c r="K416">
        <f>Table2[[#This Row],[Total score]]/3</f>
        <v>61.333333333333336</v>
      </c>
    </row>
    <row r="417" spans="1:11" x14ac:dyDescent="0.25">
      <c r="A417" t="s">
        <v>444</v>
      </c>
      <c r="B417" t="s">
        <v>8</v>
      </c>
      <c r="C417" t="s">
        <v>18</v>
      </c>
      <c r="D417" t="s">
        <v>10</v>
      </c>
      <c r="E417" t="s">
        <v>11</v>
      </c>
      <c r="F417" t="s">
        <v>17</v>
      </c>
      <c r="G417">
        <v>75</v>
      </c>
      <c r="H417">
        <v>70</v>
      </c>
      <c r="I417">
        <v>64</v>
      </c>
      <c r="J417">
        <f>SUM(Table2[[#This Row],[math score]:[writing score]])</f>
        <v>209</v>
      </c>
      <c r="K417">
        <f>Table2[[#This Row],[Total score]]/3</f>
        <v>69.666666666666671</v>
      </c>
    </row>
    <row r="418" spans="1:11" x14ac:dyDescent="0.25">
      <c r="A418" t="s">
        <v>445</v>
      </c>
      <c r="B418" t="s">
        <v>8</v>
      </c>
      <c r="C418" t="s">
        <v>18</v>
      </c>
      <c r="D418" t="s">
        <v>19</v>
      </c>
      <c r="E418" t="s">
        <v>16</v>
      </c>
      <c r="F418" t="s">
        <v>17</v>
      </c>
      <c r="G418">
        <v>79</v>
      </c>
      <c r="H418">
        <v>65</v>
      </c>
      <c r="I418">
        <v>59</v>
      </c>
      <c r="J418">
        <f>SUM(Table2[[#This Row],[math score]:[writing score]])</f>
        <v>203</v>
      </c>
      <c r="K418">
        <f>Table2[[#This Row],[Total score]]/3</f>
        <v>67.666666666666671</v>
      </c>
    </row>
    <row r="419" spans="1:11" x14ac:dyDescent="0.25">
      <c r="A419" t="s">
        <v>446</v>
      </c>
      <c r="B419" t="s">
        <v>13</v>
      </c>
      <c r="C419" t="s">
        <v>23</v>
      </c>
      <c r="D419" t="s">
        <v>15</v>
      </c>
      <c r="E419" t="s">
        <v>11</v>
      </c>
      <c r="F419" t="s">
        <v>17</v>
      </c>
      <c r="G419">
        <v>70</v>
      </c>
      <c r="H419">
        <v>70</v>
      </c>
      <c r="I419">
        <v>68</v>
      </c>
      <c r="J419">
        <f>SUM(Table2[[#This Row],[math score]:[writing score]])</f>
        <v>208</v>
      </c>
      <c r="K419">
        <f>Table2[[#This Row],[Total score]]/3</f>
        <v>69.333333333333329</v>
      </c>
    </row>
    <row r="420" spans="1:11" x14ac:dyDescent="0.25">
      <c r="A420" t="s">
        <v>447</v>
      </c>
      <c r="B420" t="s">
        <v>8</v>
      </c>
      <c r="C420" t="s">
        <v>9</v>
      </c>
      <c r="D420" t="s">
        <v>19</v>
      </c>
      <c r="E420" t="s">
        <v>11</v>
      </c>
      <c r="F420" t="s">
        <v>17</v>
      </c>
      <c r="G420">
        <v>72</v>
      </c>
      <c r="H420">
        <v>65</v>
      </c>
      <c r="I420">
        <v>59</v>
      </c>
      <c r="J420">
        <f>SUM(Table2[[#This Row],[math score]:[writing score]])</f>
        <v>196</v>
      </c>
      <c r="K420">
        <f>Table2[[#This Row],[Total score]]/3</f>
        <v>65.333333333333329</v>
      </c>
    </row>
    <row r="421" spans="1:11" x14ac:dyDescent="0.25">
      <c r="A421" t="s">
        <v>448</v>
      </c>
      <c r="B421" t="s">
        <v>13</v>
      </c>
      <c r="C421" t="s">
        <v>23</v>
      </c>
      <c r="D421" t="s">
        <v>15</v>
      </c>
      <c r="E421" t="s">
        <v>16</v>
      </c>
      <c r="F421" t="s">
        <v>17</v>
      </c>
      <c r="G421">
        <v>38</v>
      </c>
      <c r="H421">
        <v>46</v>
      </c>
      <c r="I421">
        <v>33</v>
      </c>
      <c r="J421">
        <f>SUM(Table2[[#This Row],[math score]:[writing score]])</f>
        <v>117</v>
      </c>
      <c r="K421">
        <f>Table2[[#This Row],[Total score]]/3</f>
        <v>39</v>
      </c>
    </row>
    <row r="422" spans="1:11" x14ac:dyDescent="0.25">
      <c r="A422" t="s">
        <v>449</v>
      </c>
      <c r="B422" t="s">
        <v>13</v>
      </c>
      <c r="C422" t="s">
        <v>9</v>
      </c>
      <c r="D422" t="s">
        <v>22</v>
      </c>
      <c r="E422" t="s">
        <v>11</v>
      </c>
      <c r="F422" t="s">
        <v>17</v>
      </c>
      <c r="G422">
        <v>57</v>
      </c>
      <c r="H422">
        <v>71</v>
      </c>
      <c r="I422">
        <v>63</v>
      </c>
      <c r="J422">
        <f>SUM(Table2[[#This Row],[math score]:[writing score]])</f>
        <v>191</v>
      </c>
      <c r="K422">
        <f>Table2[[#This Row],[Total score]]/3</f>
        <v>63.666666666666664</v>
      </c>
    </row>
    <row r="423" spans="1:11" x14ac:dyDescent="0.25">
      <c r="A423" t="s">
        <v>450</v>
      </c>
      <c r="B423" t="s">
        <v>8</v>
      </c>
      <c r="C423" t="s">
        <v>14</v>
      </c>
      <c r="D423" t="s">
        <v>15</v>
      </c>
      <c r="E423" t="s">
        <v>11</v>
      </c>
      <c r="F423" t="s">
        <v>17</v>
      </c>
      <c r="G423">
        <v>76</v>
      </c>
      <c r="H423">
        <v>71</v>
      </c>
      <c r="I423">
        <v>70</v>
      </c>
      <c r="J423">
        <f>SUM(Table2[[#This Row],[math score]:[writing score]])</f>
        <v>217</v>
      </c>
      <c r="K423">
        <f>Table2[[#This Row],[Total score]]/3</f>
        <v>72.333333333333329</v>
      </c>
    </row>
    <row r="424" spans="1:11" x14ac:dyDescent="0.25">
      <c r="A424" t="s">
        <v>451</v>
      </c>
      <c r="B424" t="s">
        <v>8</v>
      </c>
      <c r="C424" t="s">
        <v>23</v>
      </c>
      <c r="D424" t="s">
        <v>19</v>
      </c>
      <c r="E424" t="s">
        <v>16</v>
      </c>
      <c r="F424" t="s">
        <v>17</v>
      </c>
      <c r="G424">
        <v>45</v>
      </c>
      <c r="H424">
        <v>45</v>
      </c>
      <c r="I424">
        <v>38</v>
      </c>
      <c r="J424">
        <f>SUM(Table2[[#This Row],[math score]:[writing score]])</f>
        <v>128</v>
      </c>
      <c r="K424">
        <f>Table2[[#This Row],[Total score]]/3</f>
        <v>42.666666666666664</v>
      </c>
    </row>
    <row r="425" spans="1:11" x14ac:dyDescent="0.25">
      <c r="A425" t="s">
        <v>452</v>
      </c>
      <c r="B425" t="s">
        <v>8</v>
      </c>
      <c r="C425" t="s">
        <v>14</v>
      </c>
      <c r="D425" t="s">
        <v>21</v>
      </c>
      <c r="E425" t="s">
        <v>11</v>
      </c>
      <c r="F425" t="s">
        <v>17</v>
      </c>
      <c r="G425">
        <v>77</v>
      </c>
      <c r="H425">
        <v>73</v>
      </c>
      <c r="I425">
        <v>74</v>
      </c>
      <c r="J425">
        <f>SUM(Table2[[#This Row],[math score]:[writing score]])</f>
        <v>224</v>
      </c>
      <c r="K425">
        <f>Table2[[#This Row],[Total score]]/3</f>
        <v>74.666666666666671</v>
      </c>
    </row>
    <row r="426" spans="1:11" x14ac:dyDescent="0.25">
      <c r="A426" t="s">
        <v>453</v>
      </c>
      <c r="B426" t="s">
        <v>8</v>
      </c>
      <c r="C426" t="s">
        <v>23</v>
      </c>
      <c r="D426" t="s">
        <v>10</v>
      </c>
      <c r="E426" t="s">
        <v>11</v>
      </c>
      <c r="F426" t="s">
        <v>17</v>
      </c>
      <c r="G426">
        <v>40</v>
      </c>
      <c r="H426">
        <v>39</v>
      </c>
      <c r="I426">
        <v>30</v>
      </c>
      <c r="J426">
        <f>SUM(Table2[[#This Row],[math score]:[writing score]])</f>
        <v>109</v>
      </c>
      <c r="K426">
        <f>Table2[[#This Row],[Total score]]/3</f>
        <v>36.333333333333336</v>
      </c>
    </row>
    <row r="427" spans="1:11" x14ac:dyDescent="0.25">
      <c r="A427" t="s">
        <v>454</v>
      </c>
      <c r="B427" t="s">
        <v>13</v>
      </c>
      <c r="C427" t="s">
        <v>18</v>
      </c>
      <c r="D427" t="s">
        <v>19</v>
      </c>
      <c r="E427" t="s">
        <v>11</v>
      </c>
      <c r="F427" t="s">
        <v>17</v>
      </c>
      <c r="G427">
        <v>78</v>
      </c>
      <c r="H427">
        <v>83</v>
      </c>
      <c r="I427">
        <v>78</v>
      </c>
      <c r="J427">
        <f>SUM(Table2[[#This Row],[math score]:[writing score]])</f>
        <v>239</v>
      </c>
      <c r="K427">
        <f>Table2[[#This Row],[Total score]]/3</f>
        <v>79.666666666666671</v>
      </c>
    </row>
    <row r="428" spans="1:11" x14ac:dyDescent="0.25">
      <c r="A428" t="s">
        <v>455</v>
      </c>
      <c r="B428" t="s">
        <v>13</v>
      </c>
      <c r="C428" t="s">
        <v>9</v>
      </c>
      <c r="D428" t="s">
        <v>24</v>
      </c>
      <c r="E428" t="s">
        <v>16</v>
      </c>
      <c r="F428" t="s">
        <v>17</v>
      </c>
      <c r="G428">
        <v>63</v>
      </c>
      <c r="H428">
        <v>65</v>
      </c>
      <c r="I428">
        <v>66</v>
      </c>
      <c r="J428">
        <f>SUM(Table2[[#This Row],[math score]:[writing score]])</f>
        <v>194</v>
      </c>
      <c r="K428">
        <f>Table2[[#This Row],[Total score]]/3</f>
        <v>64.666666666666671</v>
      </c>
    </row>
    <row r="429" spans="1:11" x14ac:dyDescent="0.25">
      <c r="A429" t="s">
        <v>456</v>
      </c>
      <c r="B429" t="s">
        <v>8</v>
      </c>
      <c r="C429" t="s">
        <v>23</v>
      </c>
      <c r="D429" t="s">
        <v>21</v>
      </c>
      <c r="E429" t="s">
        <v>11</v>
      </c>
      <c r="F429" t="s">
        <v>17</v>
      </c>
      <c r="G429">
        <v>83</v>
      </c>
      <c r="H429">
        <v>70</v>
      </c>
      <c r="I429">
        <v>73</v>
      </c>
      <c r="J429">
        <f>SUM(Table2[[#This Row],[math score]:[writing score]])</f>
        <v>226</v>
      </c>
      <c r="K429">
        <f>Table2[[#This Row],[Total score]]/3</f>
        <v>75.333333333333329</v>
      </c>
    </row>
    <row r="430" spans="1:11" x14ac:dyDescent="0.25">
      <c r="A430" t="s">
        <v>457</v>
      </c>
      <c r="B430" t="s">
        <v>8</v>
      </c>
      <c r="C430" t="s">
        <v>23</v>
      </c>
      <c r="D430" t="s">
        <v>21</v>
      </c>
      <c r="E430" t="s">
        <v>16</v>
      </c>
      <c r="F430" t="s">
        <v>17</v>
      </c>
      <c r="G430">
        <v>55</v>
      </c>
      <c r="H430">
        <v>52</v>
      </c>
      <c r="I430">
        <v>47</v>
      </c>
      <c r="J430">
        <f>SUM(Table2[[#This Row],[math score]:[writing score]])</f>
        <v>154</v>
      </c>
      <c r="K430">
        <f>Table2[[#This Row],[Total score]]/3</f>
        <v>51.333333333333336</v>
      </c>
    </row>
    <row r="431" spans="1:11" x14ac:dyDescent="0.25">
      <c r="A431" t="s">
        <v>458</v>
      </c>
      <c r="B431" t="s">
        <v>8</v>
      </c>
      <c r="C431" t="s">
        <v>20</v>
      </c>
      <c r="D431" t="s">
        <v>19</v>
      </c>
      <c r="E431" t="s">
        <v>11</v>
      </c>
      <c r="F431" t="s">
        <v>12</v>
      </c>
      <c r="G431">
        <v>88</v>
      </c>
      <c r="H431">
        <v>78</v>
      </c>
      <c r="I431">
        <v>76</v>
      </c>
      <c r="J431">
        <f>SUM(Table2[[#This Row],[math score]:[writing score]])</f>
        <v>242</v>
      </c>
      <c r="K431">
        <f>Table2[[#This Row],[Total score]]/3</f>
        <v>80.666666666666671</v>
      </c>
    </row>
    <row r="432" spans="1:11" x14ac:dyDescent="0.25">
      <c r="A432" t="s">
        <v>459</v>
      </c>
      <c r="B432" t="s">
        <v>8</v>
      </c>
      <c r="C432" t="s">
        <v>23</v>
      </c>
      <c r="D432" t="s">
        <v>22</v>
      </c>
      <c r="E432" t="s">
        <v>11</v>
      </c>
      <c r="F432" t="s">
        <v>17</v>
      </c>
      <c r="G432">
        <v>82</v>
      </c>
      <c r="H432">
        <v>83</v>
      </c>
      <c r="I432">
        <v>85</v>
      </c>
      <c r="J432">
        <f>SUM(Table2[[#This Row],[math score]:[writing score]])</f>
        <v>250</v>
      </c>
      <c r="K432">
        <f>Table2[[#This Row],[Total score]]/3</f>
        <v>83.333333333333329</v>
      </c>
    </row>
    <row r="433" spans="1:11" x14ac:dyDescent="0.25">
      <c r="A433" t="s">
        <v>460</v>
      </c>
      <c r="B433" t="s">
        <v>8</v>
      </c>
      <c r="C433" t="s">
        <v>18</v>
      </c>
      <c r="D433" t="s">
        <v>22</v>
      </c>
      <c r="E433" t="s">
        <v>11</v>
      </c>
      <c r="F433" t="s">
        <v>17</v>
      </c>
      <c r="G433">
        <v>86</v>
      </c>
      <c r="H433">
        <v>71</v>
      </c>
      <c r="I433">
        <v>71</v>
      </c>
      <c r="J433">
        <f>SUM(Table2[[#This Row],[math score]:[writing score]])</f>
        <v>228</v>
      </c>
      <c r="K433">
        <f>Table2[[#This Row],[Total score]]/3</f>
        <v>76</v>
      </c>
    </row>
    <row r="434" spans="1:11" x14ac:dyDescent="0.25">
      <c r="A434" t="s">
        <v>461</v>
      </c>
      <c r="B434" t="s">
        <v>13</v>
      </c>
      <c r="C434" t="s">
        <v>23</v>
      </c>
      <c r="D434" t="s">
        <v>21</v>
      </c>
      <c r="E434" t="s">
        <v>16</v>
      </c>
      <c r="F434" t="s">
        <v>17</v>
      </c>
      <c r="G434">
        <v>61</v>
      </c>
      <c r="H434">
        <v>74</v>
      </c>
      <c r="I434">
        <v>72</v>
      </c>
      <c r="J434">
        <f>SUM(Table2[[#This Row],[math score]:[writing score]])</f>
        <v>207</v>
      </c>
      <c r="K434">
        <f>Table2[[#This Row],[Total score]]/3</f>
        <v>69</v>
      </c>
    </row>
    <row r="435" spans="1:11" x14ac:dyDescent="0.25">
      <c r="A435" t="s">
        <v>462</v>
      </c>
      <c r="B435" t="s">
        <v>13</v>
      </c>
      <c r="C435" t="s">
        <v>14</v>
      </c>
      <c r="D435" t="s">
        <v>19</v>
      </c>
      <c r="E435" t="s">
        <v>11</v>
      </c>
      <c r="F435" t="s">
        <v>12</v>
      </c>
      <c r="G435">
        <v>78</v>
      </c>
      <c r="H435">
        <v>85</v>
      </c>
      <c r="I435">
        <v>93</v>
      </c>
      <c r="J435">
        <f>SUM(Table2[[#This Row],[math score]:[writing score]])</f>
        <v>256</v>
      </c>
      <c r="K435">
        <f>Table2[[#This Row],[Total score]]/3</f>
        <v>85.333333333333329</v>
      </c>
    </row>
    <row r="436" spans="1:11" x14ac:dyDescent="0.25">
      <c r="A436" t="s">
        <v>463</v>
      </c>
      <c r="B436" t="s">
        <v>8</v>
      </c>
      <c r="C436" t="s">
        <v>23</v>
      </c>
      <c r="D436" t="s">
        <v>21</v>
      </c>
      <c r="E436" t="s">
        <v>11</v>
      </c>
      <c r="F436" t="s">
        <v>17</v>
      </c>
      <c r="G436">
        <v>67</v>
      </c>
      <c r="H436">
        <v>63</v>
      </c>
      <c r="I436">
        <v>66</v>
      </c>
      <c r="J436">
        <f>SUM(Table2[[#This Row],[math score]:[writing score]])</f>
        <v>196</v>
      </c>
      <c r="K436">
        <f>Table2[[#This Row],[Total score]]/3</f>
        <v>65.333333333333329</v>
      </c>
    </row>
    <row r="437" spans="1:11" x14ac:dyDescent="0.25">
      <c r="A437" t="s">
        <v>464</v>
      </c>
      <c r="B437" t="s">
        <v>13</v>
      </c>
      <c r="C437" t="s">
        <v>18</v>
      </c>
      <c r="D437" t="s">
        <v>15</v>
      </c>
      <c r="E437" t="s">
        <v>11</v>
      </c>
      <c r="F437" t="s">
        <v>17</v>
      </c>
      <c r="G437">
        <v>83</v>
      </c>
      <c r="H437">
        <v>87</v>
      </c>
      <c r="I437">
        <v>83</v>
      </c>
      <c r="J437">
        <f>SUM(Table2[[#This Row],[math score]:[writing score]])</f>
        <v>253</v>
      </c>
      <c r="K437">
        <f>Table2[[#This Row],[Total score]]/3</f>
        <v>84.333333333333329</v>
      </c>
    </row>
    <row r="438" spans="1:11" x14ac:dyDescent="0.25">
      <c r="A438" t="s">
        <v>465</v>
      </c>
      <c r="B438" t="s">
        <v>8</v>
      </c>
      <c r="C438" t="s">
        <v>23</v>
      </c>
      <c r="D438" t="s">
        <v>15</v>
      </c>
      <c r="E438" t="s">
        <v>11</v>
      </c>
      <c r="F438" t="s">
        <v>17</v>
      </c>
      <c r="G438">
        <v>68</v>
      </c>
      <c r="H438">
        <v>74</v>
      </c>
      <c r="I438">
        <v>69</v>
      </c>
      <c r="J438">
        <f>SUM(Table2[[#This Row],[math score]:[writing score]])</f>
        <v>211</v>
      </c>
      <c r="K438">
        <f>Table2[[#This Row],[Total score]]/3</f>
        <v>70.333333333333329</v>
      </c>
    </row>
    <row r="439" spans="1:11" x14ac:dyDescent="0.25">
      <c r="A439" t="s">
        <v>466</v>
      </c>
      <c r="B439" t="s">
        <v>8</v>
      </c>
      <c r="C439" t="s">
        <v>23</v>
      </c>
      <c r="D439" t="s">
        <v>19</v>
      </c>
      <c r="E439" t="s">
        <v>11</v>
      </c>
      <c r="F439" t="s">
        <v>17</v>
      </c>
      <c r="G439">
        <v>53</v>
      </c>
      <c r="H439">
        <v>52</v>
      </c>
      <c r="I439">
        <v>44</v>
      </c>
      <c r="J439">
        <f>SUM(Table2[[#This Row],[math score]:[writing score]])</f>
        <v>149</v>
      </c>
      <c r="K439">
        <f>Table2[[#This Row],[Total score]]/3</f>
        <v>49.666666666666664</v>
      </c>
    </row>
    <row r="440" spans="1:11" x14ac:dyDescent="0.25">
      <c r="A440" t="s">
        <v>467</v>
      </c>
      <c r="B440" t="s">
        <v>8</v>
      </c>
      <c r="C440" t="s">
        <v>14</v>
      </c>
      <c r="D440" t="s">
        <v>21</v>
      </c>
      <c r="E440" t="s">
        <v>11</v>
      </c>
      <c r="F440" t="s">
        <v>17</v>
      </c>
      <c r="G440">
        <v>91</v>
      </c>
      <c r="H440">
        <v>88</v>
      </c>
      <c r="I440">
        <v>90</v>
      </c>
      <c r="J440">
        <f>SUM(Table2[[#This Row],[math score]:[writing score]])</f>
        <v>269</v>
      </c>
      <c r="K440">
        <f>Table2[[#This Row],[Total score]]/3</f>
        <v>89.666666666666671</v>
      </c>
    </row>
    <row r="441" spans="1:11" x14ac:dyDescent="0.25">
      <c r="A441" t="s">
        <v>468</v>
      </c>
      <c r="B441" t="s">
        <v>8</v>
      </c>
      <c r="C441" t="s">
        <v>20</v>
      </c>
      <c r="D441" t="s">
        <v>21</v>
      </c>
      <c r="E441" t="s">
        <v>16</v>
      </c>
      <c r="F441" t="s">
        <v>17</v>
      </c>
      <c r="G441">
        <v>67</v>
      </c>
      <c r="H441">
        <v>66</v>
      </c>
      <c r="I441">
        <v>66</v>
      </c>
      <c r="J441">
        <f>SUM(Table2[[#This Row],[math score]:[writing score]])</f>
        <v>199</v>
      </c>
      <c r="K441">
        <f>Table2[[#This Row],[Total score]]/3</f>
        <v>66.333333333333329</v>
      </c>
    </row>
    <row r="442" spans="1:11" x14ac:dyDescent="0.25">
      <c r="A442" t="s">
        <v>469</v>
      </c>
      <c r="B442" t="s">
        <v>13</v>
      </c>
      <c r="C442" t="s">
        <v>23</v>
      </c>
      <c r="D442" t="s">
        <v>10</v>
      </c>
      <c r="E442" t="s">
        <v>11</v>
      </c>
      <c r="F442" t="s">
        <v>12</v>
      </c>
      <c r="G442">
        <v>53</v>
      </c>
      <c r="H442">
        <v>64</v>
      </c>
      <c r="I442">
        <v>62</v>
      </c>
      <c r="J442">
        <f>SUM(Table2[[#This Row],[math score]:[writing score]])</f>
        <v>179</v>
      </c>
      <c r="K442">
        <f>Table2[[#This Row],[Total score]]/3</f>
        <v>59.666666666666664</v>
      </c>
    </row>
    <row r="443" spans="1:11" x14ac:dyDescent="0.25">
      <c r="A443" t="s">
        <v>470</v>
      </c>
      <c r="B443" t="s">
        <v>13</v>
      </c>
      <c r="C443" t="s">
        <v>23</v>
      </c>
      <c r="D443" t="s">
        <v>24</v>
      </c>
      <c r="E443" t="s">
        <v>11</v>
      </c>
      <c r="F443" t="s">
        <v>12</v>
      </c>
      <c r="G443">
        <v>86</v>
      </c>
      <c r="H443">
        <v>100</v>
      </c>
      <c r="I443">
        <v>100</v>
      </c>
      <c r="J443">
        <f>SUM(Table2[[#This Row],[math score]:[writing score]])</f>
        <v>286</v>
      </c>
      <c r="K443">
        <f>Table2[[#This Row],[Total score]]/3</f>
        <v>95.333333333333329</v>
      </c>
    </row>
    <row r="444" spans="1:11" x14ac:dyDescent="0.25">
      <c r="A444" t="s">
        <v>471</v>
      </c>
      <c r="B444" t="s">
        <v>8</v>
      </c>
      <c r="C444" t="s">
        <v>18</v>
      </c>
      <c r="D444" t="s">
        <v>15</v>
      </c>
      <c r="E444" t="s">
        <v>16</v>
      </c>
      <c r="F444" t="s">
        <v>12</v>
      </c>
      <c r="G444">
        <v>75</v>
      </c>
      <c r="H444">
        <v>70</v>
      </c>
      <c r="I444">
        <v>61</v>
      </c>
      <c r="J444">
        <f>SUM(Table2[[#This Row],[math score]:[writing score]])</f>
        <v>206</v>
      </c>
      <c r="K444">
        <f>Table2[[#This Row],[Total score]]/3</f>
        <v>68.666666666666671</v>
      </c>
    </row>
    <row r="445" spans="1:11" x14ac:dyDescent="0.25">
      <c r="A445" t="s">
        <v>472</v>
      </c>
      <c r="B445" t="s">
        <v>8</v>
      </c>
      <c r="C445" t="s">
        <v>23</v>
      </c>
      <c r="D445" t="s">
        <v>19</v>
      </c>
      <c r="E445" t="s">
        <v>11</v>
      </c>
      <c r="F445" t="s">
        <v>17</v>
      </c>
      <c r="G445">
        <v>55</v>
      </c>
      <c r="H445">
        <v>38</v>
      </c>
      <c r="I445">
        <v>35</v>
      </c>
      <c r="J445">
        <f>SUM(Table2[[#This Row],[math score]:[writing score]])</f>
        <v>128</v>
      </c>
      <c r="K445">
        <f>Table2[[#This Row],[Total score]]/3</f>
        <v>42.666666666666664</v>
      </c>
    </row>
    <row r="446" spans="1:11" x14ac:dyDescent="0.25">
      <c r="A446" t="s">
        <v>473</v>
      </c>
      <c r="B446" t="s">
        <v>8</v>
      </c>
      <c r="C446" t="s">
        <v>14</v>
      </c>
      <c r="D446" t="s">
        <v>22</v>
      </c>
      <c r="E446" t="s">
        <v>11</v>
      </c>
      <c r="F446" t="s">
        <v>12</v>
      </c>
      <c r="G446">
        <v>93</v>
      </c>
      <c r="H446">
        <v>86</v>
      </c>
      <c r="I446">
        <v>95</v>
      </c>
      <c r="J446">
        <f>SUM(Table2[[#This Row],[math score]:[writing score]])</f>
        <v>274</v>
      </c>
      <c r="K446">
        <f>Table2[[#This Row],[Total score]]/3</f>
        <v>91.333333333333329</v>
      </c>
    </row>
    <row r="447" spans="1:11" x14ac:dyDescent="0.25">
      <c r="A447" t="s">
        <v>474</v>
      </c>
      <c r="B447" t="s">
        <v>13</v>
      </c>
      <c r="C447" t="s">
        <v>18</v>
      </c>
      <c r="D447" t="s">
        <v>10</v>
      </c>
      <c r="E447" t="s">
        <v>11</v>
      </c>
      <c r="F447" t="s">
        <v>17</v>
      </c>
      <c r="G447">
        <v>62</v>
      </c>
      <c r="H447">
        <v>71</v>
      </c>
      <c r="I447">
        <v>66</v>
      </c>
      <c r="J447">
        <f>SUM(Table2[[#This Row],[math score]:[writing score]])</f>
        <v>199</v>
      </c>
      <c r="K447">
        <f>Table2[[#This Row],[Total score]]/3</f>
        <v>66.333333333333329</v>
      </c>
    </row>
    <row r="448" spans="1:11" x14ac:dyDescent="0.25">
      <c r="A448" t="s">
        <v>475</v>
      </c>
      <c r="B448" t="s">
        <v>8</v>
      </c>
      <c r="C448" t="s">
        <v>23</v>
      </c>
      <c r="D448" t="s">
        <v>19</v>
      </c>
      <c r="E448" t="s">
        <v>16</v>
      </c>
      <c r="F448" t="s">
        <v>17</v>
      </c>
      <c r="G448">
        <v>83</v>
      </c>
      <c r="H448">
        <v>76</v>
      </c>
      <c r="I448">
        <v>71</v>
      </c>
      <c r="J448">
        <f>SUM(Table2[[#This Row],[math score]:[writing score]])</f>
        <v>230</v>
      </c>
      <c r="K448">
        <f>Table2[[#This Row],[Total score]]/3</f>
        <v>76.666666666666671</v>
      </c>
    </row>
    <row r="449" spans="1:11" x14ac:dyDescent="0.25">
      <c r="A449" t="s">
        <v>476</v>
      </c>
      <c r="B449" t="s">
        <v>8</v>
      </c>
      <c r="C449" t="s">
        <v>14</v>
      </c>
      <c r="D449" t="s">
        <v>15</v>
      </c>
      <c r="E449" t="s">
        <v>11</v>
      </c>
      <c r="F449" t="s">
        <v>17</v>
      </c>
      <c r="G449">
        <v>73</v>
      </c>
      <c r="H449">
        <v>72</v>
      </c>
      <c r="I449">
        <v>64</v>
      </c>
      <c r="J449">
        <f>SUM(Table2[[#This Row],[math score]:[writing score]])</f>
        <v>209</v>
      </c>
      <c r="K449">
        <f>Table2[[#This Row],[Total score]]/3</f>
        <v>69.666666666666671</v>
      </c>
    </row>
    <row r="450" spans="1:11" x14ac:dyDescent="0.25">
      <c r="A450" t="s">
        <v>477</v>
      </c>
      <c r="B450" t="s">
        <v>13</v>
      </c>
      <c r="C450" t="s">
        <v>23</v>
      </c>
      <c r="D450" t="s">
        <v>10</v>
      </c>
      <c r="E450" t="s">
        <v>16</v>
      </c>
      <c r="F450" t="s">
        <v>17</v>
      </c>
      <c r="G450">
        <v>57</v>
      </c>
      <c r="H450">
        <v>52</v>
      </c>
      <c r="I450">
        <v>53</v>
      </c>
      <c r="J450">
        <f>SUM(Table2[[#This Row],[math score]:[writing score]])</f>
        <v>162</v>
      </c>
      <c r="K450">
        <f>Table2[[#This Row],[Total score]]/3</f>
        <v>54</v>
      </c>
    </row>
    <row r="451" spans="1:11" x14ac:dyDescent="0.25">
      <c r="A451" t="s">
        <v>478</v>
      </c>
      <c r="B451" t="s">
        <v>13</v>
      </c>
      <c r="C451" t="s">
        <v>23</v>
      </c>
      <c r="D451" t="s">
        <v>19</v>
      </c>
      <c r="E451" t="s">
        <v>11</v>
      </c>
      <c r="F451" t="s">
        <v>17</v>
      </c>
      <c r="G451">
        <v>70</v>
      </c>
      <c r="H451">
        <v>75</v>
      </c>
      <c r="I451">
        <v>75</v>
      </c>
      <c r="J451">
        <f>SUM(Table2[[#This Row],[math score]:[writing score]])</f>
        <v>220</v>
      </c>
      <c r="K451">
        <f>Table2[[#This Row],[Total score]]/3</f>
        <v>73.333333333333329</v>
      </c>
    </row>
    <row r="452" spans="1:11" x14ac:dyDescent="0.25">
      <c r="A452" t="s">
        <v>479</v>
      </c>
      <c r="B452" t="s">
        <v>13</v>
      </c>
      <c r="C452" t="s">
        <v>20</v>
      </c>
      <c r="D452" t="s">
        <v>10</v>
      </c>
      <c r="E452" t="s">
        <v>11</v>
      </c>
      <c r="F452" t="s">
        <v>12</v>
      </c>
      <c r="G452">
        <v>55</v>
      </c>
      <c r="H452">
        <v>62</v>
      </c>
      <c r="I452">
        <v>64</v>
      </c>
      <c r="J452">
        <f>SUM(Table2[[#This Row],[math score]:[writing score]])</f>
        <v>181</v>
      </c>
      <c r="K452">
        <f>Table2[[#This Row],[Total score]]/3</f>
        <v>60.333333333333336</v>
      </c>
    </row>
    <row r="453" spans="1:11" x14ac:dyDescent="0.25">
      <c r="A453" t="s">
        <v>480</v>
      </c>
      <c r="B453" t="s">
        <v>8</v>
      </c>
      <c r="C453" t="s">
        <v>23</v>
      </c>
      <c r="D453" t="s">
        <v>10</v>
      </c>
      <c r="E453" t="s">
        <v>11</v>
      </c>
      <c r="F453" t="s">
        <v>17</v>
      </c>
      <c r="G453">
        <v>65</v>
      </c>
      <c r="H453">
        <v>56</v>
      </c>
      <c r="I453">
        <v>51</v>
      </c>
      <c r="J453">
        <f>SUM(Table2[[#This Row],[math score]:[writing score]])</f>
        <v>172</v>
      </c>
      <c r="K453">
        <f>Table2[[#This Row],[Total score]]/3</f>
        <v>57.333333333333336</v>
      </c>
    </row>
    <row r="454" spans="1:11" x14ac:dyDescent="0.25">
      <c r="A454" t="s">
        <v>481</v>
      </c>
      <c r="B454" t="s">
        <v>13</v>
      </c>
      <c r="C454" t="s">
        <v>23</v>
      </c>
      <c r="D454" t="s">
        <v>15</v>
      </c>
      <c r="E454" t="s">
        <v>11</v>
      </c>
      <c r="F454" t="s">
        <v>12</v>
      </c>
      <c r="G454">
        <v>76</v>
      </c>
      <c r="H454">
        <v>85</v>
      </c>
      <c r="I454">
        <v>88</v>
      </c>
      <c r="J454">
        <f>SUM(Table2[[#This Row],[math score]:[writing score]])</f>
        <v>249</v>
      </c>
      <c r="K454">
        <f>Table2[[#This Row],[Total score]]/3</f>
        <v>83</v>
      </c>
    </row>
    <row r="455" spans="1:11" x14ac:dyDescent="0.25">
      <c r="A455" t="s">
        <v>482</v>
      </c>
      <c r="B455" t="s">
        <v>8</v>
      </c>
      <c r="C455" t="s">
        <v>23</v>
      </c>
      <c r="D455" t="s">
        <v>24</v>
      </c>
      <c r="E455" t="s">
        <v>16</v>
      </c>
      <c r="F455" t="s">
        <v>17</v>
      </c>
      <c r="G455">
        <v>59</v>
      </c>
      <c r="H455">
        <v>47</v>
      </c>
      <c r="I455">
        <v>46</v>
      </c>
      <c r="J455">
        <f>SUM(Table2[[#This Row],[math score]:[writing score]])</f>
        <v>152</v>
      </c>
      <c r="K455">
        <f>Table2[[#This Row],[Total score]]/3</f>
        <v>50.666666666666664</v>
      </c>
    </row>
    <row r="456" spans="1:11" x14ac:dyDescent="0.25">
      <c r="A456" t="s">
        <v>483</v>
      </c>
      <c r="B456" t="s">
        <v>8</v>
      </c>
      <c r="C456" t="s">
        <v>23</v>
      </c>
      <c r="D456" t="s">
        <v>21</v>
      </c>
      <c r="E456" t="s">
        <v>11</v>
      </c>
      <c r="F456" t="s">
        <v>12</v>
      </c>
      <c r="G456">
        <v>74</v>
      </c>
      <c r="H456">
        <v>73</v>
      </c>
      <c r="I456">
        <v>77</v>
      </c>
      <c r="J456">
        <f>SUM(Table2[[#This Row],[math score]:[writing score]])</f>
        <v>224</v>
      </c>
      <c r="K456">
        <f>Table2[[#This Row],[Total score]]/3</f>
        <v>74.666666666666671</v>
      </c>
    </row>
    <row r="457" spans="1:11" x14ac:dyDescent="0.25">
      <c r="A457" t="s">
        <v>484</v>
      </c>
      <c r="B457" t="s">
        <v>8</v>
      </c>
      <c r="C457" t="s">
        <v>20</v>
      </c>
      <c r="D457" t="s">
        <v>15</v>
      </c>
      <c r="E457" t="s">
        <v>11</v>
      </c>
      <c r="F457" t="s">
        <v>17</v>
      </c>
      <c r="G457">
        <v>65</v>
      </c>
      <c r="H457">
        <v>59</v>
      </c>
      <c r="I457">
        <v>60</v>
      </c>
      <c r="J457">
        <f>SUM(Table2[[#This Row],[math score]:[writing score]])</f>
        <v>184</v>
      </c>
      <c r="K457">
        <f>Table2[[#This Row],[Total score]]/3</f>
        <v>61.333333333333336</v>
      </c>
    </row>
    <row r="458" spans="1:11" x14ac:dyDescent="0.25">
      <c r="A458" t="s">
        <v>485</v>
      </c>
      <c r="B458" t="s">
        <v>8</v>
      </c>
      <c r="C458" t="s">
        <v>20</v>
      </c>
      <c r="D458" t="s">
        <v>19</v>
      </c>
      <c r="E458" t="s">
        <v>11</v>
      </c>
      <c r="F458" t="s">
        <v>12</v>
      </c>
      <c r="G458">
        <v>89</v>
      </c>
      <c r="H458">
        <v>87</v>
      </c>
      <c r="I458">
        <v>89</v>
      </c>
      <c r="J458">
        <f>SUM(Table2[[#This Row],[math score]:[writing score]])</f>
        <v>265</v>
      </c>
      <c r="K458">
        <f>Table2[[#This Row],[Total score]]/3</f>
        <v>88.333333333333329</v>
      </c>
    </row>
    <row r="459" spans="1:11" x14ac:dyDescent="0.25">
      <c r="A459" t="s">
        <v>486</v>
      </c>
      <c r="B459" t="s">
        <v>13</v>
      </c>
      <c r="C459" t="s">
        <v>20</v>
      </c>
      <c r="D459" t="s">
        <v>24</v>
      </c>
      <c r="E459" t="s">
        <v>11</v>
      </c>
      <c r="F459" t="s">
        <v>17</v>
      </c>
      <c r="G459">
        <v>71</v>
      </c>
      <c r="H459">
        <v>82</v>
      </c>
      <c r="I459">
        <v>82</v>
      </c>
      <c r="J459">
        <f>SUM(Table2[[#This Row],[math score]:[writing score]])</f>
        <v>235</v>
      </c>
      <c r="K459">
        <f>Table2[[#This Row],[Total score]]/3</f>
        <v>78.333333333333329</v>
      </c>
    </row>
    <row r="460" spans="1:11" x14ac:dyDescent="0.25">
      <c r="A460" t="s">
        <v>487</v>
      </c>
      <c r="B460" t="s">
        <v>8</v>
      </c>
      <c r="C460" t="s">
        <v>23</v>
      </c>
      <c r="D460" t="s">
        <v>19</v>
      </c>
      <c r="E460" t="s">
        <v>16</v>
      </c>
      <c r="F460" t="s">
        <v>12</v>
      </c>
      <c r="G460">
        <v>63</v>
      </c>
      <c r="H460">
        <v>69</v>
      </c>
      <c r="I460">
        <v>59</v>
      </c>
      <c r="J460">
        <f>SUM(Table2[[#This Row],[math score]:[writing score]])</f>
        <v>191</v>
      </c>
      <c r="K460">
        <f>Table2[[#This Row],[Total score]]/3</f>
        <v>63.666666666666664</v>
      </c>
    </row>
    <row r="461" spans="1:11" x14ac:dyDescent="0.25">
      <c r="A461" t="s">
        <v>488</v>
      </c>
      <c r="B461" t="s">
        <v>8</v>
      </c>
      <c r="C461" t="s">
        <v>23</v>
      </c>
      <c r="D461" t="s">
        <v>15</v>
      </c>
      <c r="E461" t="s">
        <v>11</v>
      </c>
      <c r="F461" t="s">
        <v>12</v>
      </c>
      <c r="G461">
        <v>57</v>
      </c>
      <c r="H461">
        <v>55</v>
      </c>
      <c r="I461">
        <v>60</v>
      </c>
      <c r="J461">
        <f>SUM(Table2[[#This Row],[math score]:[writing score]])</f>
        <v>172</v>
      </c>
      <c r="K461">
        <f>Table2[[#This Row],[Total score]]/3</f>
        <v>57.333333333333336</v>
      </c>
    </row>
    <row r="462" spans="1:11" x14ac:dyDescent="0.25">
      <c r="A462" t="s">
        <v>489</v>
      </c>
      <c r="B462" t="s">
        <v>8</v>
      </c>
      <c r="C462" t="s">
        <v>20</v>
      </c>
      <c r="D462" t="s">
        <v>19</v>
      </c>
      <c r="E462" t="s">
        <v>16</v>
      </c>
      <c r="F462" t="s">
        <v>12</v>
      </c>
      <c r="G462">
        <v>56</v>
      </c>
      <c r="H462">
        <v>67</v>
      </c>
      <c r="I462">
        <v>56</v>
      </c>
      <c r="J462">
        <f>SUM(Table2[[#This Row],[math score]:[writing score]])</f>
        <v>179</v>
      </c>
      <c r="K462">
        <f>Table2[[#This Row],[Total score]]/3</f>
        <v>59.666666666666664</v>
      </c>
    </row>
    <row r="463" spans="1:11" x14ac:dyDescent="0.25">
      <c r="A463" t="s">
        <v>490</v>
      </c>
      <c r="B463" t="s">
        <v>8</v>
      </c>
      <c r="C463" t="s">
        <v>9</v>
      </c>
      <c r="D463" t="s">
        <v>15</v>
      </c>
      <c r="E463" t="s">
        <v>16</v>
      </c>
      <c r="F463" t="s">
        <v>12</v>
      </c>
      <c r="G463">
        <v>49</v>
      </c>
      <c r="H463">
        <v>44</v>
      </c>
      <c r="I463">
        <v>41</v>
      </c>
      <c r="J463">
        <f>SUM(Table2[[#This Row],[math score]:[writing score]])</f>
        <v>134</v>
      </c>
      <c r="K463">
        <f>Table2[[#This Row],[Total score]]/3</f>
        <v>44.666666666666664</v>
      </c>
    </row>
    <row r="464" spans="1:11" x14ac:dyDescent="0.25">
      <c r="A464" t="s">
        <v>491</v>
      </c>
      <c r="B464" t="s">
        <v>13</v>
      </c>
      <c r="C464" t="s">
        <v>23</v>
      </c>
      <c r="D464" t="s">
        <v>19</v>
      </c>
      <c r="E464" t="s">
        <v>16</v>
      </c>
      <c r="F464" t="s">
        <v>12</v>
      </c>
      <c r="G464">
        <v>28</v>
      </c>
      <c r="H464">
        <v>44</v>
      </c>
      <c r="I464">
        <v>50</v>
      </c>
      <c r="J464">
        <f>SUM(Table2[[#This Row],[math score]:[writing score]])</f>
        <v>122</v>
      </c>
      <c r="K464">
        <f>Table2[[#This Row],[Total score]]/3</f>
        <v>40.666666666666664</v>
      </c>
    </row>
    <row r="465" spans="1:11" x14ac:dyDescent="0.25">
      <c r="A465" t="s">
        <v>492</v>
      </c>
      <c r="B465" t="s">
        <v>13</v>
      </c>
      <c r="C465" t="s">
        <v>23</v>
      </c>
      <c r="D465" t="s">
        <v>22</v>
      </c>
      <c r="E465" t="s">
        <v>16</v>
      </c>
      <c r="F465" t="s">
        <v>17</v>
      </c>
      <c r="G465">
        <v>69</v>
      </c>
      <c r="H465">
        <v>73</v>
      </c>
      <c r="I465">
        <v>71</v>
      </c>
      <c r="J465">
        <f>SUM(Table2[[#This Row],[math score]:[writing score]])</f>
        <v>213</v>
      </c>
      <c r="K465">
        <f>Table2[[#This Row],[Total score]]/3</f>
        <v>71</v>
      </c>
    </row>
    <row r="466" spans="1:11" x14ac:dyDescent="0.25">
      <c r="A466" t="s">
        <v>493</v>
      </c>
      <c r="B466" t="s">
        <v>13</v>
      </c>
      <c r="C466" t="s">
        <v>14</v>
      </c>
      <c r="D466" t="s">
        <v>15</v>
      </c>
      <c r="E466" t="s">
        <v>16</v>
      </c>
      <c r="F466" t="s">
        <v>17</v>
      </c>
      <c r="G466">
        <v>49</v>
      </c>
      <c r="H466">
        <v>62</v>
      </c>
      <c r="I466">
        <v>60</v>
      </c>
      <c r="J466">
        <f>SUM(Table2[[#This Row],[math score]:[writing score]])</f>
        <v>171</v>
      </c>
      <c r="K466">
        <f>Table2[[#This Row],[Total score]]/3</f>
        <v>57</v>
      </c>
    </row>
    <row r="467" spans="1:11" x14ac:dyDescent="0.25">
      <c r="A467" t="s">
        <v>494</v>
      </c>
      <c r="B467" t="s">
        <v>8</v>
      </c>
      <c r="C467" t="s">
        <v>20</v>
      </c>
      <c r="D467" t="s">
        <v>15</v>
      </c>
      <c r="E467" t="s">
        <v>11</v>
      </c>
      <c r="F467" t="s">
        <v>12</v>
      </c>
      <c r="G467">
        <v>67</v>
      </c>
      <c r="H467">
        <v>62</v>
      </c>
      <c r="I467">
        <v>58</v>
      </c>
      <c r="J467">
        <f>SUM(Table2[[#This Row],[math score]:[writing score]])</f>
        <v>187</v>
      </c>
      <c r="K467">
        <f>Table2[[#This Row],[Total score]]/3</f>
        <v>62.333333333333336</v>
      </c>
    </row>
    <row r="468" spans="1:11" x14ac:dyDescent="0.25">
      <c r="A468" t="s">
        <v>495</v>
      </c>
      <c r="B468" t="s">
        <v>13</v>
      </c>
      <c r="C468" t="s">
        <v>20</v>
      </c>
      <c r="D468" t="s">
        <v>19</v>
      </c>
      <c r="E468" t="s">
        <v>16</v>
      </c>
      <c r="F468" t="s">
        <v>12</v>
      </c>
      <c r="G468">
        <v>74</v>
      </c>
      <c r="H468">
        <v>85</v>
      </c>
      <c r="I468">
        <v>82</v>
      </c>
      <c r="J468">
        <f>SUM(Table2[[#This Row],[math score]:[writing score]])</f>
        <v>241</v>
      </c>
      <c r="K468">
        <f>Table2[[#This Row],[Total score]]/3</f>
        <v>80.333333333333329</v>
      </c>
    </row>
    <row r="469" spans="1:11" x14ac:dyDescent="0.25">
      <c r="A469" t="s">
        <v>496</v>
      </c>
      <c r="B469" t="s">
        <v>13</v>
      </c>
      <c r="C469" t="s">
        <v>23</v>
      </c>
      <c r="D469" t="s">
        <v>22</v>
      </c>
      <c r="E469" t="s">
        <v>11</v>
      </c>
      <c r="F469" t="s">
        <v>12</v>
      </c>
      <c r="G469">
        <v>47</v>
      </c>
      <c r="H469">
        <v>67</v>
      </c>
      <c r="I469">
        <v>63</v>
      </c>
      <c r="J469">
        <f>SUM(Table2[[#This Row],[math score]:[writing score]])</f>
        <v>177</v>
      </c>
      <c r="K469">
        <f>Table2[[#This Row],[Total score]]/3</f>
        <v>59</v>
      </c>
    </row>
    <row r="470" spans="1:11" x14ac:dyDescent="0.25">
      <c r="A470" t="s">
        <v>497</v>
      </c>
      <c r="B470" t="s">
        <v>13</v>
      </c>
      <c r="C470" t="s">
        <v>23</v>
      </c>
      <c r="D470" t="s">
        <v>19</v>
      </c>
      <c r="E470" t="s">
        <v>11</v>
      </c>
      <c r="F470" t="s">
        <v>17</v>
      </c>
      <c r="G470">
        <v>63</v>
      </c>
      <c r="H470">
        <v>63</v>
      </c>
      <c r="I470">
        <v>69</v>
      </c>
      <c r="J470">
        <f>SUM(Table2[[#This Row],[math score]:[writing score]])</f>
        <v>195</v>
      </c>
      <c r="K470">
        <f>Table2[[#This Row],[Total score]]/3</f>
        <v>65</v>
      </c>
    </row>
    <row r="471" spans="1:11" x14ac:dyDescent="0.25">
      <c r="A471" t="s">
        <v>498</v>
      </c>
      <c r="B471" t="s">
        <v>8</v>
      </c>
      <c r="C471" t="s">
        <v>23</v>
      </c>
      <c r="D471" t="s">
        <v>19</v>
      </c>
      <c r="E471" t="s">
        <v>11</v>
      </c>
      <c r="F471" t="s">
        <v>17</v>
      </c>
      <c r="G471">
        <v>73</v>
      </c>
      <c r="H471">
        <v>51</v>
      </c>
      <c r="I471">
        <v>53</v>
      </c>
      <c r="J471">
        <f>SUM(Table2[[#This Row],[math score]:[writing score]])</f>
        <v>177</v>
      </c>
      <c r="K471">
        <f>Table2[[#This Row],[Total score]]/3</f>
        <v>59</v>
      </c>
    </row>
    <row r="472" spans="1:11" x14ac:dyDescent="0.25">
      <c r="A472" t="s">
        <v>499</v>
      </c>
      <c r="B472" t="s">
        <v>13</v>
      </c>
      <c r="C472" t="s">
        <v>14</v>
      </c>
      <c r="D472" t="s">
        <v>19</v>
      </c>
      <c r="E472" t="s">
        <v>11</v>
      </c>
      <c r="F472" t="s">
        <v>17</v>
      </c>
      <c r="G472">
        <v>91</v>
      </c>
      <c r="H472">
        <v>94</v>
      </c>
      <c r="I472">
        <v>96</v>
      </c>
      <c r="J472">
        <f>SUM(Table2[[#This Row],[math score]:[writing score]])</f>
        <v>281</v>
      </c>
      <c r="K472">
        <f>Table2[[#This Row],[Total score]]/3</f>
        <v>93.666666666666671</v>
      </c>
    </row>
    <row r="473" spans="1:11" x14ac:dyDescent="0.25">
      <c r="A473" t="s">
        <v>500</v>
      </c>
      <c r="B473" t="s">
        <v>8</v>
      </c>
      <c r="C473" t="s">
        <v>20</v>
      </c>
      <c r="D473" t="s">
        <v>19</v>
      </c>
      <c r="E473" t="s">
        <v>11</v>
      </c>
      <c r="F473" t="s">
        <v>17</v>
      </c>
      <c r="G473">
        <v>80</v>
      </c>
      <c r="H473">
        <v>87</v>
      </c>
      <c r="I473">
        <v>79</v>
      </c>
      <c r="J473">
        <f>SUM(Table2[[#This Row],[math score]:[writing score]])</f>
        <v>246</v>
      </c>
      <c r="K473">
        <f>Table2[[#This Row],[Total score]]/3</f>
        <v>82</v>
      </c>
    </row>
    <row r="474" spans="1:11" x14ac:dyDescent="0.25">
      <c r="A474" t="s">
        <v>501</v>
      </c>
      <c r="B474" t="s">
        <v>13</v>
      </c>
      <c r="C474" t="s">
        <v>23</v>
      </c>
      <c r="D474" t="s">
        <v>21</v>
      </c>
      <c r="E474" t="s">
        <v>11</v>
      </c>
      <c r="F474" t="s">
        <v>17</v>
      </c>
      <c r="G474">
        <v>66</v>
      </c>
      <c r="H474">
        <v>73</v>
      </c>
      <c r="I474">
        <v>68</v>
      </c>
      <c r="J474">
        <f>SUM(Table2[[#This Row],[math score]:[writing score]])</f>
        <v>207</v>
      </c>
      <c r="K474">
        <f>Table2[[#This Row],[Total score]]/3</f>
        <v>69</v>
      </c>
    </row>
    <row r="475" spans="1:11" x14ac:dyDescent="0.25">
      <c r="A475" t="s">
        <v>502</v>
      </c>
      <c r="B475" t="s">
        <v>8</v>
      </c>
      <c r="C475" t="s">
        <v>20</v>
      </c>
      <c r="D475" t="s">
        <v>19</v>
      </c>
      <c r="E475" t="s">
        <v>11</v>
      </c>
      <c r="F475" t="s">
        <v>17</v>
      </c>
      <c r="G475">
        <v>52</v>
      </c>
      <c r="H475">
        <v>48</v>
      </c>
      <c r="I475">
        <v>43</v>
      </c>
      <c r="J475">
        <f>SUM(Table2[[#This Row],[math score]:[writing score]])</f>
        <v>143</v>
      </c>
      <c r="K475">
        <f>Table2[[#This Row],[Total score]]/3</f>
        <v>47.666666666666664</v>
      </c>
    </row>
    <row r="476" spans="1:11" x14ac:dyDescent="0.25">
      <c r="A476" t="s">
        <v>503</v>
      </c>
      <c r="B476" t="s">
        <v>13</v>
      </c>
      <c r="C476" t="s">
        <v>20</v>
      </c>
      <c r="D476" t="s">
        <v>19</v>
      </c>
      <c r="E476" t="s">
        <v>11</v>
      </c>
      <c r="F476" t="s">
        <v>17</v>
      </c>
      <c r="G476">
        <v>65</v>
      </c>
      <c r="H476">
        <v>71</v>
      </c>
      <c r="I476">
        <v>65</v>
      </c>
      <c r="J476">
        <f>SUM(Table2[[#This Row],[math score]:[writing score]])</f>
        <v>201</v>
      </c>
      <c r="K476">
        <f>Table2[[#This Row],[Total score]]/3</f>
        <v>67</v>
      </c>
    </row>
    <row r="477" spans="1:11" x14ac:dyDescent="0.25">
      <c r="A477" t="s">
        <v>504</v>
      </c>
      <c r="B477" t="s">
        <v>8</v>
      </c>
      <c r="C477" t="s">
        <v>14</v>
      </c>
      <c r="D477" t="s">
        <v>19</v>
      </c>
      <c r="E477" t="s">
        <v>11</v>
      </c>
      <c r="F477" t="s">
        <v>12</v>
      </c>
      <c r="G477">
        <v>83</v>
      </c>
      <c r="H477">
        <v>75</v>
      </c>
      <c r="I477">
        <v>71</v>
      </c>
      <c r="J477">
        <f>SUM(Table2[[#This Row],[math score]:[writing score]])</f>
        <v>229</v>
      </c>
      <c r="K477">
        <f>Table2[[#This Row],[Total score]]/3</f>
        <v>76.333333333333329</v>
      </c>
    </row>
    <row r="478" spans="1:11" x14ac:dyDescent="0.25">
      <c r="A478" t="s">
        <v>505</v>
      </c>
      <c r="B478" t="s">
        <v>13</v>
      </c>
      <c r="C478" t="s">
        <v>23</v>
      </c>
      <c r="D478" t="s">
        <v>15</v>
      </c>
      <c r="E478" t="s">
        <v>16</v>
      </c>
      <c r="F478" t="s">
        <v>17</v>
      </c>
      <c r="G478">
        <v>80</v>
      </c>
      <c r="H478">
        <v>85</v>
      </c>
      <c r="I478">
        <v>78</v>
      </c>
      <c r="J478">
        <f>SUM(Table2[[#This Row],[math score]:[writing score]])</f>
        <v>243</v>
      </c>
      <c r="K478">
        <f>Table2[[#This Row],[Total score]]/3</f>
        <v>81</v>
      </c>
    </row>
    <row r="479" spans="1:11" x14ac:dyDescent="0.25">
      <c r="A479" t="s">
        <v>506</v>
      </c>
      <c r="B479" t="s">
        <v>8</v>
      </c>
      <c r="C479" t="s">
        <v>18</v>
      </c>
      <c r="D479" t="s">
        <v>22</v>
      </c>
      <c r="E479" t="s">
        <v>16</v>
      </c>
      <c r="F479" t="s">
        <v>17</v>
      </c>
      <c r="G479">
        <v>68</v>
      </c>
      <c r="H479">
        <v>68</v>
      </c>
      <c r="I479">
        <v>59</v>
      </c>
      <c r="J479">
        <f>SUM(Table2[[#This Row],[math score]:[writing score]])</f>
        <v>195</v>
      </c>
      <c r="K479">
        <f>Table2[[#This Row],[Total score]]/3</f>
        <v>65</v>
      </c>
    </row>
    <row r="480" spans="1:11" x14ac:dyDescent="0.25">
      <c r="A480" t="s">
        <v>507</v>
      </c>
      <c r="B480" t="s">
        <v>8</v>
      </c>
      <c r="C480" t="s">
        <v>23</v>
      </c>
      <c r="D480" t="s">
        <v>19</v>
      </c>
      <c r="E480" t="s">
        <v>16</v>
      </c>
      <c r="F480" t="s">
        <v>12</v>
      </c>
      <c r="G480">
        <v>68</v>
      </c>
      <c r="H480">
        <v>73</v>
      </c>
      <c r="I480">
        <v>68</v>
      </c>
      <c r="J480">
        <f>SUM(Table2[[#This Row],[math score]:[writing score]])</f>
        <v>209</v>
      </c>
      <c r="K480">
        <f>Table2[[#This Row],[Total score]]/3</f>
        <v>69.666666666666671</v>
      </c>
    </row>
    <row r="481" spans="1:11" x14ac:dyDescent="0.25">
      <c r="A481" t="s">
        <v>508</v>
      </c>
      <c r="B481" t="s">
        <v>8</v>
      </c>
      <c r="C481" t="s">
        <v>23</v>
      </c>
      <c r="D481" t="s">
        <v>21</v>
      </c>
      <c r="E481" t="s">
        <v>16</v>
      </c>
      <c r="F481" t="s">
        <v>17</v>
      </c>
      <c r="G481">
        <v>62</v>
      </c>
      <c r="H481">
        <v>43</v>
      </c>
      <c r="I481">
        <v>45</v>
      </c>
      <c r="J481">
        <f>SUM(Table2[[#This Row],[math score]:[writing score]])</f>
        <v>150</v>
      </c>
      <c r="K481">
        <f>Table2[[#This Row],[Total score]]/3</f>
        <v>50</v>
      </c>
    </row>
    <row r="482" spans="1:11" x14ac:dyDescent="0.25">
      <c r="A482" t="s">
        <v>509</v>
      </c>
      <c r="B482" t="s">
        <v>13</v>
      </c>
      <c r="C482" t="s">
        <v>20</v>
      </c>
      <c r="D482" t="s">
        <v>15</v>
      </c>
      <c r="E482" t="s">
        <v>11</v>
      </c>
      <c r="F482" t="s">
        <v>17</v>
      </c>
      <c r="G482">
        <v>76</v>
      </c>
      <c r="H482">
        <v>88</v>
      </c>
      <c r="I482">
        <v>84</v>
      </c>
      <c r="J482">
        <f>SUM(Table2[[#This Row],[math score]:[writing score]])</f>
        <v>248</v>
      </c>
      <c r="K482">
        <f>Table2[[#This Row],[Total score]]/3</f>
        <v>82.666666666666671</v>
      </c>
    </row>
    <row r="483" spans="1:11" x14ac:dyDescent="0.25">
      <c r="A483" t="s">
        <v>510</v>
      </c>
      <c r="B483" t="s">
        <v>13</v>
      </c>
      <c r="C483" t="s">
        <v>23</v>
      </c>
      <c r="D483" t="s">
        <v>22</v>
      </c>
      <c r="E483" t="s">
        <v>16</v>
      </c>
      <c r="F483" t="s">
        <v>17</v>
      </c>
      <c r="G483">
        <v>77</v>
      </c>
      <c r="H483">
        <v>79</v>
      </c>
      <c r="I483">
        <v>83</v>
      </c>
      <c r="J483">
        <f>SUM(Table2[[#This Row],[math score]:[writing score]])</f>
        <v>239</v>
      </c>
      <c r="K483">
        <f>Table2[[#This Row],[Total score]]/3</f>
        <v>79.666666666666671</v>
      </c>
    </row>
    <row r="484" spans="1:11" x14ac:dyDescent="0.25">
      <c r="A484" t="s">
        <v>511</v>
      </c>
      <c r="B484" t="s">
        <v>13</v>
      </c>
      <c r="C484" t="s">
        <v>18</v>
      </c>
      <c r="D484" t="s">
        <v>24</v>
      </c>
      <c r="E484" t="s">
        <v>16</v>
      </c>
      <c r="F484" t="s">
        <v>17</v>
      </c>
      <c r="G484">
        <v>83</v>
      </c>
      <c r="H484">
        <v>81</v>
      </c>
      <c r="I484">
        <v>83</v>
      </c>
      <c r="J484">
        <f>SUM(Table2[[#This Row],[math score]:[writing score]])</f>
        <v>247</v>
      </c>
      <c r="K484">
        <f>Table2[[#This Row],[Total score]]/3</f>
        <v>82.333333333333329</v>
      </c>
    </row>
    <row r="485" spans="1:11" x14ac:dyDescent="0.25">
      <c r="A485" t="s">
        <v>512</v>
      </c>
      <c r="B485" t="s">
        <v>13</v>
      </c>
      <c r="C485" t="s">
        <v>23</v>
      </c>
      <c r="D485" t="s">
        <v>19</v>
      </c>
      <c r="E485" t="s">
        <v>16</v>
      </c>
      <c r="F485" t="s">
        <v>17</v>
      </c>
      <c r="G485">
        <v>71</v>
      </c>
      <c r="H485">
        <v>78</v>
      </c>
      <c r="I485">
        <v>82</v>
      </c>
      <c r="J485">
        <f>SUM(Table2[[#This Row],[math score]:[writing score]])</f>
        <v>231</v>
      </c>
      <c r="K485">
        <f>Table2[[#This Row],[Total score]]/3</f>
        <v>77</v>
      </c>
    </row>
    <row r="486" spans="1:11" x14ac:dyDescent="0.25">
      <c r="A486" t="s">
        <v>513</v>
      </c>
      <c r="B486" t="s">
        <v>8</v>
      </c>
      <c r="C486" t="s">
        <v>14</v>
      </c>
      <c r="D486" t="s">
        <v>19</v>
      </c>
      <c r="E486" t="s">
        <v>16</v>
      </c>
      <c r="F486" t="s">
        <v>12</v>
      </c>
      <c r="G486">
        <v>86</v>
      </c>
      <c r="H486">
        <v>91</v>
      </c>
      <c r="I486">
        <v>89</v>
      </c>
      <c r="J486">
        <f>SUM(Table2[[#This Row],[math score]:[writing score]])</f>
        <v>266</v>
      </c>
      <c r="K486">
        <f>Table2[[#This Row],[Total score]]/3</f>
        <v>88.666666666666671</v>
      </c>
    </row>
    <row r="487" spans="1:11" x14ac:dyDescent="0.25">
      <c r="A487" t="s">
        <v>514</v>
      </c>
      <c r="B487" t="s">
        <v>8</v>
      </c>
      <c r="C487" t="s">
        <v>20</v>
      </c>
      <c r="D487" t="s">
        <v>24</v>
      </c>
      <c r="E487" t="s">
        <v>11</v>
      </c>
      <c r="F487" t="s">
        <v>17</v>
      </c>
      <c r="G487">
        <v>93</v>
      </c>
      <c r="H487">
        <v>96</v>
      </c>
      <c r="I487">
        <v>96</v>
      </c>
      <c r="J487">
        <f>SUM(Table2[[#This Row],[math score]:[writing score]])</f>
        <v>285</v>
      </c>
      <c r="K487">
        <f>Table2[[#This Row],[Total score]]/3</f>
        <v>95</v>
      </c>
    </row>
    <row r="488" spans="1:11" x14ac:dyDescent="0.25">
      <c r="A488" t="s">
        <v>515</v>
      </c>
      <c r="B488" t="s">
        <v>13</v>
      </c>
      <c r="C488" t="s">
        <v>20</v>
      </c>
      <c r="D488" t="s">
        <v>21</v>
      </c>
      <c r="E488" t="s">
        <v>16</v>
      </c>
      <c r="F488" t="s">
        <v>17</v>
      </c>
      <c r="G488">
        <v>60</v>
      </c>
      <c r="H488">
        <v>64</v>
      </c>
      <c r="I488">
        <v>60</v>
      </c>
      <c r="J488">
        <f>SUM(Table2[[#This Row],[math score]:[writing score]])</f>
        <v>184</v>
      </c>
      <c r="K488">
        <f>Table2[[#This Row],[Total score]]/3</f>
        <v>61.333333333333336</v>
      </c>
    </row>
    <row r="489" spans="1:11" x14ac:dyDescent="0.25">
      <c r="A489" t="s">
        <v>516</v>
      </c>
      <c r="B489" t="s">
        <v>13</v>
      </c>
      <c r="C489" t="s">
        <v>14</v>
      </c>
      <c r="D489" t="s">
        <v>15</v>
      </c>
      <c r="E489" t="s">
        <v>11</v>
      </c>
      <c r="F489" t="s">
        <v>17</v>
      </c>
      <c r="G489">
        <v>57</v>
      </c>
      <c r="H489">
        <v>56</v>
      </c>
      <c r="I489">
        <v>58</v>
      </c>
      <c r="J489">
        <f>SUM(Table2[[#This Row],[math score]:[writing score]])</f>
        <v>171</v>
      </c>
      <c r="K489">
        <f>Table2[[#This Row],[Total score]]/3</f>
        <v>57</v>
      </c>
    </row>
    <row r="490" spans="1:11" x14ac:dyDescent="0.25">
      <c r="A490" t="s">
        <v>517</v>
      </c>
      <c r="B490" t="s">
        <v>8</v>
      </c>
      <c r="C490" t="s">
        <v>23</v>
      </c>
      <c r="D490" t="s">
        <v>22</v>
      </c>
      <c r="E490" t="s">
        <v>11</v>
      </c>
      <c r="F490" t="s">
        <v>17</v>
      </c>
      <c r="G490">
        <v>84</v>
      </c>
      <c r="H490">
        <v>79</v>
      </c>
      <c r="I490">
        <v>74</v>
      </c>
      <c r="J490">
        <f>SUM(Table2[[#This Row],[math score]:[writing score]])</f>
        <v>237</v>
      </c>
      <c r="K490">
        <f>Table2[[#This Row],[Total score]]/3</f>
        <v>79</v>
      </c>
    </row>
    <row r="491" spans="1:11" x14ac:dyDescent="0.25">
      <c r="A491" t="s">
        <v>518</v>
      </c>
      <c r="B491" t="s">
        <v>13</v>
      </c>
      <c r="C491" t="s">
        <v>14</v>
      </c>
      <c r="D491" t="s">
        <v>22</v>
      </c>
      <c r="E491" t="s">
        <v>11</v>
      </c>
      <c r="F491" t="s">
        <v>17</v>
      </c>
      <c r="G491">
        <v>66</v>
      </c>
      <c r="H491">
        <v>71</v>
      </c>
      <c r="I491">
        <v>75</v>
      </c>
      <c r="J491">
        <f>SUM(Table2[[#This Row],[math score]:[writing score]])</f>
        <v>212</v>
      </c>
      <c r="K491">
        <f>Table2[[#This Row],[Total score]]/3</f>
        <v>70.666666666666671</v>
      </c>
    </row>
    <row r="492" spans="1:11" x14ac:dyDescent="0.25">
      <c r="A492" t="s">
        <v>519</v>
      </c>
      <c r="B492" t="s">
        <v>8</v>
      </c>
      <c r="C492" t="s">
        <v>14</v>
      </c>
      <c r="D492" t="s">
        <v>24</v>
      </c>
      <c r="E492" t="s">
        <v>11</v>
      </c>
      <c r="F492" t="s">
        <v>17</v>
      </c>
      <c r="G492">
        <v>85</v>
      </c>
      <c r="H492">
        <v>69</v>
      </c>
      <c r="I492">
        <v>74</v>
      </c>
      <c r="J492">
        <f>SUM(Table2[[#This Row],[math score]:[writing score]])</f>
        <v>228</v>
      </c>
      <c r="K492">
        <f>Table2[[#This Row],[Total score]]/3</f>
        <v>76</v>
      </c>
    </row>
    <row r="493" spans="1:11" x14ac:dyDescent="0.25">
      <c r="A493" t="s">
        <v>520</v>
      </c>
      <c r="B493" t="s">
        <v>13</v>
      </c>
      <c r="C493" t="s">
        <v>14</v>
      </c>
      <c r="D493" t="s">
        <v>24</v>
      </c>
      <c r="E493" t="s">
        <v>11</v>
      </c>
      <c r="F493" t="s">
        <v>12</v>
      </c>
      <c r="G493">
        <v>57</v>
      </c>
      <c r="H493">
        <v>68</v>
      </c>
      <c r="I493">
        <v>76</v>
      </c>
      <c r="J493">
        <f>SUM(Table2[[#This Row],[math score]:[writing score]])</f>
        <v>201</v>
      </c>
      <c r="K493">
        <f>Table2[[#This Row],[Total score]]/3</f>
        <v>67</v>
      </c>
    </row>
    <row r="494" spans="1:11" x14ac:dyDescent="0.25">
      <c r="A494" t="s">
        <v>521</v>
      </c>
      <c r="B494" t="s">
        <v>13</v>
      </c>
      <c r="C494" t="s">
        <v>23</v>
      </c>
      <c r="D494" t="s">
        <v>15</v>
      </c>
      <c r="E494" t="s">
        <v>11</v>
      </c>
      <c r="F494" t="s">
        <v>17</v>
      </c>
      <c r="G494">
        <v>41</v>
      </c>
      <c r="H494">
        <v>49</v>
      </c>
      <c r="I494">
        <v>49</v>
      </c>
      <c r="J494">
        <f>SUM(Table2[[#This Row],[math score]:[writing score]])</f>
        <v>139</v>
      </c>
      <c r="K494">
        <f>Table2[[#This Row],[Total score]]/3</f>
        <v>46.333333333333336</v>
      </c>
    </row>
    <row r="495" spans="1:11" x14ac:dyDescent="0.25">
      <c r="A495" t="s">
        <v>522</v>
      </c>
      <c r="B495" t="s">
        <v>13</v>
      </c>
      <c r="C495" t="s">
        <v>23</v>
      </c>
      <c r="D495" t="s">
        <v>15</v>
      </c>
      <c r="E495" t="s">
        <v>11</v>
      </c>
      <c r="F495" t="s">
        <v>17</v>
      </c>
      <c r="G495">
        <v>75</v>
      </c>
      <c r="H495">
        <v>76</v>
      </c>
      <c r="I495">
        <v>76</v>
      </c>
      <c r="J495">
        <f>SUM(Table2[[#This Row],[math score]:[writing score]])</f>
        <v>227</v>
      </c>
      <c r="K495">
        <f>Table2[[#This Row],[Total score]]/3</f>
        <v>75.666666666666671</v>
      </c>
    </row>
    <row r="496" spans="1:11" x14ac:dyDescent="0.25">
      <c r="A496" t="s">
        <v>523</v>
      </c>
      <c r="B496" t="s">
        <v>8</v>
      </c>
      <c r="C496" t="s">
        <v>14</v>
      </c>
      <c r="D496" t="s">
        <v>10</v>
      </c>
      <c r="E496" t="s">
        <v>16</v>
      </c>
      <c r="F496" t="s">
        <v>17</v>
      </c>
      <c r="G496">
        <v>65</v>
      </c>
      <c r="H496">
        <v>63</v>
      </c>
      <c r="I496">
        <v>60</v>
      </c>
      <c r="J496">
        <f>SUM(Table2[[#This Row],[math score]:[writing score]])</f>
        <v>188</v>
      </c>
      <c r="K496">
        <f>Table2[[#This Row],[Total score]]/3</f>
        <v>62.666666666666664</v>
      </c>
    </row>
    <row r="497" spans="1:11" x14ac:dyDescent="0.25">
      <c r="A497" t="s">
        <v>524</v>
      </c>
      <c r="B497" t="s">
        <v>8</v>
      </c>
      <c r="C497" t="s">
        <v>18</v>
      </c>
      <c r="D497" t="s">
        <v>19</v>
      </c>
      <c r="E497" t="s">
        <v>11</v>
      </c>
      <c r="F497" t="s">
        <v>17</v>
      </c>
      <c r="G497">
        <v>78</v>
      </c>
      <c r="H497">
        <v>65</v>
      </c>
      <c r="I497">
        <v>60</v>
      </c>
      <c r="J497">
        <f>SUM(Table2[[#This Row],[math score]:[writing score]])</f>
        <v>203</v>
      </c>
      <c r="K497">
        <f>Table2[[#This Row],[Total score]]/3</f>
        <v>67.666666666666671</v>
      </c>
    </row>
    <row r="498" spans="1:11" x14ac:dyDescent="0.25">
      <c r="A498" t="s">
        <v>525</v>
      </c>
      <c r="B498" t="s">
        <v>13</v>
      </c>
      <c r="C498" t="s">
        <v>20</v>
      </c>
      <c r="D498" t="s">
        <v>15</v>
      </c>
      <c r="E498" t="s">
        <v>16</v>
      </c>
      <c r="F498" t="s">
        <v>17</v>
      </c>
      <c r="G498">
        <v>26</v>
      </c>
      <c r="H498">
        <v>34</v>
      </c>
      <c r="I498">
        <v>28</v>
      </c>
      <c r="J498">
        <f>SUM(Table2[[#This Row],[math score]:[writing score]])</f>
        <v>88</v>
      </c>
      <c r="K498">
        <f>Table2[[#This Row],[Total score]]/3</f>
        <v>29.333333333333332</v>
      </c>
    </row>
    <row r="499" spans="1:11" x14ac:dyDescent="0.25">
      <c r="A499" t="s">
        <v>526</v>
      </c>
      <c r="B499" t="s">
        <v>8</v>
      </c>
      <c r="C499" t="s">
        <v>18</v>
      </c>
      <c r="D499" t="s">
        <v>19</v>
      </c>
      <c r="E499" t="s">
        <v>16</v>
      </c>
      <c r="F499" t="s">
        <v>17</v>
      </c>
      <c r="G499">
        <v>71</v>
      </c>
      <c r="H499">
        <v>64</v>
      </c>
      <c r="I499">
        <v>66</v>
      </c>
      <c r="J499">
        <f>SUM(Table2[[#This Row],[math score]:[writing score]])</f>
        <v>201</v>
      </c>
      <c r="K499">
        <f>Table2[[#This Row],[Total score]]/3</f>
        <v>67</v>
      </c>
    </row>
    <row r="500" spans="1:11" x14ac:dyDescent="0.25">
      <c r="A500" t="s">
        <v>527</v>
      </c>
      <c r="B500" t="s">
        <v>8</v>
      </c>
      <c r="C500" t="s">
        <v>20</v>
      </c>
      <c r="D500" t="s">
        <v>22</v>
      </c>
      <c r="E500" t="s">
        <v>11</v>
      </c>
      <c r="F500" t="s">
        <v>12</v>
      </c>
      <c r="G500">
        <v>86</v>
      </c>
      <c r="H500">
        <v>92</v>
      </c>
      <c r="I500">
        <v>93</v>
      </c>
      <c r="J500">
        <f>SUM(Table2[[#This Row],[math score]:[writing score]])</f>
        <v>271</v>
      </c>
      <c r="K500">
        <f>Table2[[#This Row],[Total score]]/3</f>
        <v>90.333333333333329</v>
      </c>
    </row>
    <row r="501" spans="1:11" x14ac:dyDescent="0.25">
      <c r="A501" t="s">
        <v>528</v>
      </c>
      <c r="B501" t="s">
        <v>8</v>
      </c>
      <c r="C501" t="s">
        <v>20</v>
      </c>
      <c r="D501" t="s">
        <v>21</v>
      </c>
      <c r="E501" t="s">
        <v>11</v>
      </c>
      <c r="F501" t="s">
        <v>12</v>
      </c>
      <c r="G501">
        <v>89</v>
      </c>
      <c r="H501">
        <v>84</v>
      </c>
      <c r="I501">
        <v>81</v>
      </c>
      <c r="J501">
        <f>SUM(Table2[[#This Row],[math score]:[writing score]])</f>
        <v>254</v>
      </c>
      <c r="K501">
        <f>Table2[[#This Row],[Total score]]/3</f>
        <v>84.666666666666671</v>
      </c>
    </row>
    <row r="502" spans="1:11" x14ac:dyDescent="0.25">
      <c r="A502" t="s">
        <v>529</v>
      </c>
      <c r="B502" t="s">
        <v>13</v>
      </c>
      <c r="C502" t="s">
        <v>20</v>
      </c>
      <c r="D502" t="s">
        <v>10</v>
      </c>
      <c r="E502" t="s">
        <v>16</v>
      </c>
      <c r="F502" t="s">
        <v>17</v>
      </c>
      <c r="G502">
        <v>53</v>
      </c>
      <c r="H502">
        <v>64</v>
      </c>
      <c r="I502">
        <v>63</v>
      </c>
      <c r="J502">
        <f>SUM(Table2[[#This Row],[math score]:[writing score]])</f>
        <v>180</v>
      </c>
      <c r="K502">
        <f>Table2[[#This Row],[Total score]]/3</f>
        <v>60</v>
      </c>
    </row>
    <row r="503" spans="1:11" x14ac:dyDescent="0.25">
      <c r="A503" t="s">
        <v>530</v>
      </c>
      <c r="B503" t="s">
        <v>13</v>
      </c>
      <c r="C503" t="s">
        <v>23</v>
      </c>
      <c r="D503" t="s">
        <v>21</v>
      </c>
      <c r="E503" t="s">
        <v>11</v>
      </c>
      <c r="F503" t="s">
        <v>17</v>
      </c>
      <c r="G503">
        <v>87</v>
      </c>
      <c r="H503">
        <v>87</v>
      </c>
      <c r="I503">
        <v>92</v>
      </c>
      <c r="J503">
        <f>SUM(Table2[[#This Row],[math score]:[writing score]])</f>
        <v>266</v>
      </c>
      <c r="K503">
        <f>Table2[[#This Row],[Total score]]/3</f>
        <v>88.666666666666671</v>
      </c>
    </row>
    <row r="504" spans="1:11" x14ac:dyDescent="0.25">
      <c r="A504" t="s">
        <v>531</v>
      </c>
      <c r="B504" t="s">
        <v>8</v>
      </c>
      <c r="C504" t="s">
        <v>14</v>
      </c>
      <c r="D504" t="s">
        <v>21</v>
      </c>
      <c r="E504" t="s">
        <v>11</v>
      </c>
      <c r="F504" t="s">
        <v>17</v>
      </c>
      <c r="G504">
        <v>71</v>
      </c>
      <c r="H504">
        <v>57</v>
      </c>
      <c r="I504">
        <v>59</v>
      </c>
      <c r="J504">
        <f>SUM(Table2[[#This Row],[math score]:[writing score]])</f>
        <v>187</v>
      </c>
      <c r="K504">
        <f>Table2[[#This Row],[Total score]]/3</f>
        <v>62.333333333333336</v>
      </c>
    </row>
    <row r="505" spans="1:11" x14ac:dyDescent="0.25">
      <c r="A505" t="s">
        <v>532</v>
      </c>
      <c r="B505" t="s">
        <v>8</v>
      </c>
      <c r="C505" t="s">
        <v>14</v>
      </c>
      <c r="D505" t="s">
        <v>10</v>
      </c>
      <c r="E505" t="s">
        <v>11</v>
      </c>
      <c r="F505" t="s">
        <v>17</v>
      </c>
      <c r="G505">
        <v>77</v>
      </c>
      <c r="H505">
        <v>80</v>
      </c>
      <c r="I505">
        <v>72</v>
      </c>
      <c r="J505">
        <f>SUM(Table2[[#This Row],[math score]:[writing score]])</f>
        <v>229</v>
      </c>
      <c r="K505">
        <f>Table2[[#This Row],[Total score]]/3</f>
        <v>76.333333333333329</v>
      </c>
    </row>
    <row r="506" spans="1:11" x14ac:dyDescent="0.25">
      <c r="A506" t="s">
        <v>533</v>
      </c>
      <c r="B506" t="s">
        <v>13</v>
      </c>
      <c r="C506" t="s">
        <v>23</v>
      </c>
      <c r="D506" t="s">
        <v>10</v>
      </c>
      <c r="E506" t="s">
        <v>16</v>
      </c>
      <c r="F506" t="s">
        <v>12</v>
      </c>
      <c r="G506">
        <v>43</v>
      </c>
      <c r="H506">
        <v>48</v>
      </c>
      <c r="I506">
        <v>53</v>
      </c>
      <c r="J506">
        <f>SUM(Table2[[#This Row],[math score]:[writing score]])</f>
        <v>144</v>
      </c>
      <c r="K506">
        <f>Table2[[#This Row],[Total score]]/3</f>
        <v>48</v>
      </c>
    </row>
    <row r="507" spans="1:11" x14ac:dyDescent="0.25">
      <c r="A507" t="s">
        <v>534</v>
      </c>
      <c r="B507" t="s">
        <v>13</v>
      </c>
      <c r="C507" t="s">
        <v>23</v>
      </c>
      <c r="D507" t="s">
        <v>21</v>
      </c>
      <c r="E507" t="s">
        <v>11</v>
      </c>
      <c r="F507" t="s">
        <v>17</v>
      </c>
      <c r="G507">
        <v>88</v>
      </c>
      <c r="H507">
        <v>91</v>
      </c>
      <c r="I507">
        <v>86</v>
      </c>
      <c r="J507">
        <f>SUM(Table2[[#This Row],[math score]:[writing score]])</f>
        <v>265</v>
      </c>
      <c r="K507">
        <f>Table2[[#This Row],[Total score]]/3</f>
        <v>88.333333333333329</v>
      </c>
    </row>
    <row r="508" spans="1:11" x14ac:dyDescent="0.25">
      <c r="A508" t="s">
        <v>535</v>
      </c>
      <c r="B508" t="s">
        <v>8</v>
      </c>
      <c r="C508" t="s">
        <v>18</v>
      </c>
      <c r="D508" t="s">
        <v>15</v>
      </c>
      <c r="E508" t="s">
        <v>11</v>
      </c>
      <c r="F508" t="s">
        <v>17</v>
      </c>
      <c r="G508">
        <v>86</v>
      </c>
      <c r="H508">
        <v>76</v>
      </c>
      <c r="I508">
        <v>63</v>
      </c>
      <c r="J508">
        <f>SUM(Table2[[#This Row],[math score]:[writing score]])</f>
        <v>225</v>
      </c>
      <c r="K508">
        <f>Table2[[#This Row],[Total score]]/3</f>
        <v>75</v>
      </c>
    </row>
    <row r="509" spans="1:11" x14ac:dyDescent="0.25">
      <c r="A509" t="s">
        <v>536</v>
      </c>
      <c r="B509" t="s">
        <v>13</v>
      </c>
      <c r="C509" t="s">
        <v>18</v>
      </c>
      <c r="D509" t="s">
        <v>15</v>
      </c>
      <c r="E509" t="s">
        <v>16</v>
      </c>
      <c r="F509" t="s">
        <v>12</v>
      </c>
      <c r="G509">
        <v>45</v>
      </c>
      <c r="H509">
        <v>56</v>
      </c>
      <c r="I509">
        <v>55</v>
      </c>
      <c r="J509">
        <f>SUM(Table2[[#This Row],[math score]:[writing score]])</f>
        <v>156</v>
      </c>
      <c r="K509">
        <f>Table2[[#This Row],[Total score]]/3</f>
        <v>52</v>
      </c>
    </row>
    <row r="510" spans="1:11" x14ac:dyDescent="0.25">
      <c r="A510" t="s">
        <v>537</v>
      </c>
      <c r="B510" t="s">
        <v>8</v>
      </c>
      <c r="C510" t="s">
        <v>23</v>
      </c>
      <c r="D510" t="s">
        <v>19</v>
      </c>
      <c r="E510" t="s">
        <v>11</v>
      </c>
      <c r="F510" t="s">
        <v>17</v>
      </c>
      <c r="G510">
        <v>69</v>
      </c>
      <c r="H510">
        <v>56</v>
      </c>
      <c r="I510">
        <v>57</v>
      </c>
      <c r="J510">
        <f>SUM(Table2[[#This Row],[math score]:[writing score]])</f>
        <v>182</v>
      </c>
      <c r="K510">
        <f>Table2[[#This Row],[Total score]]/3</f>
        <v>60.666666666666664</v>
      </c>
    </row>
    <row r="511" spans="1:11" x14ac:dyDescent="0.25">
      <c r="A511" t="s">
        <v>538</v>
      </c>
      <c r="B511" t="s">
        <v>13</v>
      </c>
      <c r="C511" t="s">
        <v>14</v>
      </c>
      <c r="D511" t="s">
        <v>10</v>
      </c>
      <c r="E511" t="s">
        <v>11</v>
      </c>
      <c r="F511" t="s">
        <v>17</v>
      </c>
      <c r="G511">
        <v>65</v>
      </c>
      <c r="H511">
        <v>70</v>
      </c>
      <c r="I511">
        <v>72</v>
      </c>
      <c r="J511">
        <f>SUM(Table2[[#This Row],[math score]:[writing score]])</f>
        <v>207</v>
      </c>
      <c r="K511">
        <f>Table2[[#This Row],[Total score]]/3</f>
        <v>69</v>
      </c>
    </row>
    <row r="512" spans="1:11" x14ac:dyDescent="0.25">
      <c r="A512" t="s">
        <v>539</v>
      </c>
      <c r="B512" t="s">
        <v>8</v>
      </c>
      <c r="C512" t="s">
        <v>18</v>
      </c>
      <c r="D512" t="s">
        <v>19</v>
      </c>
      <c r="E512" t="s">
        <v>16</v>
      </c>
      <c r="F512" t="s">
        <v>17</v>
      </c>
      <c r="G512">
        <v>81</v>
      </c>
      <c r="H512">
        <v>79</v>
      </c>
      <c r="I512">
        <v>71</v>
      </c>
      <c r="J512">
        <f>SUM(Table2[[#This Row],[math score]:[writing score]])</f>
        <v>231</v>
      </c>
      <c r="K512">
        <f>Table2[[#This Row],[Total score]]/3</f>
        <v>77</v>
      </c>
    </row>
    <row r="513" spans="1:11" x14ac:dyDescent="0.25">
      <c r="A513" t="s">
        <v>540</v>
      </c>
      <c r="B513" t="s">
        <v>13</v>
      </c>
      <c r="C513" t="s">
        <v>9</v>
      </c>
      <c r="D513" t="s">
        <v>15</v>
      </c>
      <c r="E513" t="s">
        <v>11</v>
      </c>
      <c r="F513" t="s">
        <v>17</v>
      </c>
      <c r="G513">
        <v>90</v>
      </c>
      <c r="H513">
        <v>88</v>
      </c>
      <c r="I513">
        <v>86</v>
      </c>
      <c r="J513">
        <f>SUM(Table2[[#This Row],[math score]:[writing score]])</f>
        <v>264</v>
      </c>
      <c r="K513">
        <f>Table2[[#This Row],[Total score]]/3</f>
        <v>88</v>
      </c>
    </row>
    <row r="514" spans="1:11" x14ac:dyDescent="0.25">
      <c r="A514" t="s">
        <v>541</v>
      </c>
      <c r="B514" t="s">
        <v>13</v>
      </c>
      <c r="C514" t="s">
        <v>18</v>
      </c>
      <c r="D514" t="s">
        <v>21</v>
      </c>
      <c r="E514" t="s">
        <v>11</v>
      </c>
      <c r="F514" t="s">
        <v>17</v>
      </c>
      <c r="G514">
        <v>78</v>
      </c>
      <c r="H514">
        <v>72</v>
      </c>
      <c r="I514">
        <v>71</v>
      </c>
      <c r="J514">
        <f>SUM(Table2[[#This Row],[math score]:[writing score]])</f>
        <v>221</v>
      </c>
      <c r="K514">
        <f>Table2[[#This Row],[Total score]]/3</f>
        <v>73.666666666666671</v>
      </c>
    </row>
    <row r="515" spans="1:11" x14ac:dyDescent="0.25">
      <c r="A515" t="s">
        <v>542</v>
      </c>
      <c r="B515" t="s">
        <v>13</v>
      </c>
      <c r="C515" t="s">
        <v>23</v>
      </c>
      <c r="D515" t="s">
        <v>24</v>
      </c>
      <c r="E515" t="s">
        <v>11</v>
      </c>
      <c r="F515" t="s">
        <v>12</v>
      </c>
      <c r="G515">
        <v>71</v>
      </c>
      <c r="H515">
        <v>79</v>
      </c>
      <c r="I515">
        <v>89</v>
      </c>
      <c r="J515">
        <f>SUM(Table2[[#This Row],[math score]:[writing score]])</f>
        <v>239</v>
      </c>
      <c r="K515">
        <f>Table2[[#This Row],[Total score]]/3</f>
        <v>79.666666666666671</v>
      </c>
    </row>
    <row r="516" spans="1:11" x14ac:dyDescent="0.25">
      <c r="A516" t="s">
        <v>543</v>
      </c>
      <c r="B516" t="s">
        <v>13</v>
      </c>
      <c r="C516" t="s">
        <v>23</v>
      </c>
      <c r="D516" t="s">
        <v>15</v>
      </c>
      <c r="E516" t="s">
        <v>11</v>
      </c>
      <c r="F516" t="s">
        <v>17</v>
      </c>
      <c r="G516">
        <v>75</v>
      </c>
      <c r="H516">
        <v>80</v>
      </c>
      <c r="I516">
        <v>72</v>
      </c>
      <c r="J516">
        <f>SUM(Table2[[#This Row],[math score]:[writing score]])</f>
        <v>227</v>
      </c>
      <c r="K516">
        <f>Table2[[#This Row],[Total score]]/3</f>
        <v>75.666666666666671</v>
      </c>
    </row>
    <row r="517" spans="1:11" x14ac:dyDescent="0.25">
      <c r="A517" t="s">
        <v>544</v>
      </c>
      <c r="B517" t="s">
        <v>8</v>
      </c>
      <c r="C517" t="s">
        <v>23</v>
      </c>
      <c r="D517" t="s">
        <v>22</v>
      </c>
      <c r="E517" t="s">
        <v>16</v>
      </c>
      <c r="F517" t="s">
        <v>17</v>
      </c>
      <c r="G517">
        <v>70</v>
      </c>
      <c r="H517">
        <v>60</v>
      </c>
      <c r="I517">
        <v>56</v>
      </c>
      <c r="J517">
        <f>SUM(Table2[[#This Row],[math score]:[writing score]])</f>
        <v>186</v>
      </c>
      <c r="K517">
        <f>Table2[[#This Row],[Total score]]/3</f>
        <v>62</v>
      </c>
    </row>
    <row r="518" spans="1:11" x14ac:dyDescent="0.25">
      <c r="A518" t="s">
        <v>545</v>
      </c>
      <c r="B518" t="s">
        <v>8</v>
      </c>
      <c r="C518" t="s">
        <v>20</v>
      </c>
      <c r="D518" t="s">
        <v>21</v>
      </c>
      <c r="E518" t="s">
        <v>11</v>
      </c>
      <c r="F518" t="s">
        <v>17</v>
      </c>
      <c r="G518">
        <v>54</v>
      </c>
      <c r="H518">
        <v>52</v>
      </c>
      <c r="I518">
        <v>48</v>
      </c>
      <c r="J518">
        <f>SUM(Table2[[#This Row],[math score]:[writing score]])</f>
        <v>154</v>
      </c>
      <c r="K518">
        <f>Table2[[#This Row],[Total score]]/3</f>
        <v>51.333333333333336</v>
      </c>
    </row>
    <row r="519" spans="1:11" x14ac:dyDescent="0.25">
      <c r="A519" t="s">
        <v>546</v>
      </c>
      <c r="B519" t="s">
        <v>8</v>
      </c>
      <c r="C519" t="s">
        <v>20</v>
      </c>
      <c r="D519" t="s">
        <v>10</v>
      </c>
      <c r="E519" t="s">
        <v>11</v>
      </c>
      <c r="F519" t="s">
        <v>17</v>
      </c>
      <c r="G519">
        <v>49</v>
      </c>
      <c r="H519">
        <v>36</v>
      </c>
      <c r="I519">
        <v>32</v>
      </c>
      <c r="J519">
        <f>SUM(Table2[[#This Row],[math score]:[writing score]])</f>
        <v>117</v>
      </c>
      <c r="K519">
        <f>Table2[[#This Row],[Total score]]/3</f>
        <v>39</v>
      </c>
    </row>
    <row r="520" spans="1:11" x14ac:dyDescent="0.25">
      <c r="A520" t="s">
        <v>547</v>
      </c>
      <c r="B520" t="s">
        <v>8</v>
      </c>
      <c r="C520" t="s">
        <v>20</v>
      </c>
      <c r="D520" t="s">
        <v>21</v>
      </c>
      <c r="E520" t="s">
        <v>16</v>
      </c>
      <c r="F520" t="s">
        <v>12</v>
      </c>
      <c r="G520">
        <v>80</v>
      </c>
      <c r="H520">
        <v>82</v>
      </c>
      <c r="I520">
        <v>82</v>
      </c>
      <c r="J520">
        <f>SUM(Table2[[#This Row],[math score]:[writing score]])</f>
        <v>244</v>
      </c>
      <c r="K520">
        <f>Table2[[#This Row],[Total score]]/3</f>
        <v>81.333333333333329</v>
      </c>
    </row>
    <row r="521" spans="1:11" x14ac:dyDescent="0.25">
      <c r="A521" t="s">
        <v>548</v>
      </c>
      <c r="B521" t="s">
        <v>13</v>
      </c>
      <c r="C521" t="s">
        <v>18</v>
      </c>
      <c r="D521" t="s">
        <v>22</v>
      </c>
      <c r="E521" t="s">
        <v>11</v>
      </c>
      <c r="F521" t="s">
        <v>17</v>
      </c>
      <c r="G521">
        <v>78</v>
      </c>
      <c r="H521">
        <v>89</v>
      </c>
      <c r="I521">
        <v>93</v>
      </c>
      <c r="J521">
        <f>SUM(Table2[[#This Row],[math score]:[writing score]])</f>
        <v>260</v>
      </c>
      <c r="K521">
        <f>Table2[[#This Row],[Total score]]/3</f>
        <v>86.666666666666671</v>
      </c>
    </row>
    <row r="522" spans="1:11" x14ac:dyDescent="0.25">
      <c r="A522" t="s">
        <v>549</v>
      </c>
      <c r="B522" t="s">
        <v>8</v>
      </c>
      <c r="C522" t="s">
        <v>23</v>
      </c>
      <c r="D522" t="s">
        <v>22</v>
      </c>
      <c r="E522" t="s">
        <v>11</v>
      </c>
      <c r="F522" t="s">
        <v>17</v>
      </c>
      <c r="G522">
        <v>89</v>
      </c>
      <c r="H522">
        <v>77</v>
      </c>
      <c r="I522">
        <v>82</v>
      </c>
      <c r="J522">
        <f>SUM(Table2[[#This Row],[math score]:[writing score]])</f>
        <v>248</v>
      </c>
      <c r="K522">
        <f>Table2[[#This Row],[Total score]]/3</f>
        <v>82.666666666666671</v>
      </c>
    </row>
    <row r="523" spans="1:11" x14ac:dyDescent="0.25">
      <c r="A523" t="s">
        <v>550</v>
      </c>
      <c r="B523" t="s">
        <v>13</v>
      </c>
      <c r="C523" t="s">
        <v>23</v>
      </c>
      <c r="D523" t="s">
        <v>22</v>
      </c>
      <c r="E523" t="s">
        <v>11</v>
      </c>
      <c r="F523" t="s">
        <v>12</v>
      </c>
      <c r="G523">
        <v>65</v>
      </c>
      <c r="H523">
        <v>83</v>
      </c>
      <c r="I523">
        <v>82</v>
      </c>
      <c r="J523">
        <f>SUM(Table2[[#This Row],[math score]:[writing score]])</f>
        <v>230</v>
      </c>
      <c r="K523">
        <f>Table2[[#This Row],[Total score]]/3</f>
        <v>76.666666666666671</v>
      </c>
    </row>
    <row r="524" spans="1:11" x14ac:dyDescent="0.25">
      <c r="A524" t="s">
        <v>551</v>
      </c>
      <c r="B524" t="s">
        <v>8</v>
      </c>
      <c r="C524" t="s">
        <v>14</v>
      </c>
      <c r="D524" t="s">
        <v>21</v>
      </c>
      <c r="E524" t="s">
        <v>11</v>
      </c>
      <c r="F524" t="s">
        <v>17</v>
      </c>
      <c r="G524">
        <v>78</v>
      </c>
      <c r="H524">
        <v>74</v>
      </c>
      <c r="I524">
        <v>71</v>
      </c>
      <c r="J524">
        <f>SUM(Table2[[#This Row],[math score]:[writing score]])</f>
        <v>223</v>
      </c>
      <c r="K524">
        <f>Table2[[#This Row],[Total score]]/3</f>
        <v>74.333333333333329</v>
      </c>
    </row>
    <row r="525" spans="1:11" x14ac:dyDescent="0.25">
      <c r="A525" t="s">
        <v>552</v>
      </c>
      <c r="B525" t="s">
        <v>13</v>
      </c>
      <c r="C525" t="s">
        <v>14</v>
      </c>
      <c r="D525" t="s">
        <v>10</v>
      </c>
      <c r="E525" t="s">
        <v>11</v>
      </c>
      <c r="F525" t="s">
        <v>17</v>
      </c>
      <c r="G525">
        <v>69</v>
      </c>
      <c r="H525">
        <v>85</v>
      </c>
      <c r="I525">
        <v>78</v>
      </c>
      <c r="J525">
        <f>SUM(Table2[[#This Row],[math score]:[writing score]])</f>
        <v>232</v>
      </c>
      <c r="K525">
        <f>Table2[[#This Row],[Total score]]/3</f>
        <v>77.333333333333329</v>
      </c>
    </row>
    <row r="526" spans="1:11" x14ac:dyDescent="0.25">
      <c r="A526" t="s">
        <v>553</v>
      </c>
      <c r="B526" t="s">
        <v>8</v>
      </c>
      <c r="C526" t="s">
        <v>14</v>
      </c>
      <c r="D526" t="s">
        <v>19</v>
      </c>
      <c r="E526" t="s">
        <v>16</v>
      </c>
      <c r="F526" t="s">
        <v>17</v>
      </c>
      <c r="G526">
        <v>49</v>
      </c>
      <c r="H526">
        <v>47</v>
      </c>
      <c r="I526">
        <v>48</v>
      </c>
      <c r="J526">
        <f>SUM(Table2[[#This Row],[math score]:[writing score]])</f>
        <v>144</v>
      </c>
      <c r="K526">
        <f>Table2[[#This Row],[Total score]]/3</f>
        <v>48</v>
      </c>
    </row>
    <row r="527" spans="1:11" x14ac:dyDescent="0.25">
      <c r="A527" t="s">
        <v>554</v>
      </c>
      <c r="B527" t="s">
        <v>13</v>
      </c>
      <c r="C527" t="s">
        <v>14</v>
      </c>
      <c r="D527" t="s">
        <v>24</v>
      </c>
      <c r="E527" t="s">
        <v>16</v>
      </c>
      <c r="F527" t="s">
        <v>17</v>
      </c>
      <c r="G527">
        <v>50</v>
      </c>
      <c r="H527">
        <v>64</v>
      </c>
      <c r="I527">
        <v>66</v>
      </c>
      <c r="J527">
        <f>SUM(Table2[[#This Row],[math score]:[writing score]])</f>
        <v>180</v>
      </c>
      <c r="K527">
        <f>Table2[[#This Row],[Total score]]/3</f>
        <v>60</v>
      </c>
    </row>
    <row r="528" spans="1:11" x14ac:dyDescent="0.25">
      <c r="A528" t="s">
        <v>555</v>
      </c>
      <c r="B528" t="s">
        <v>13</v>
      </c>
      <c r="C528" t="s">
        <v>18</v>
      </c>
      <c r="D528" t="s">
        <v>19</v>
      </c>
      <c r="E528" t="s">
        <v>11</v>
      </c>
      <c r="F528" t="s">
        <v>17</v>
      </c>
      <c r="G528">
        <v>79</v>
      </c>
      <c r="H528">
        <v>76</v>
      </c>
      <c r="I528">
        <v>71</v>
      </c>
      <c r="J528">
        <f>SUM(Table2[[#This Row],[math score]:[writing score]])</f>
        <v>226</v>
      </c>
      <c r="K528">
        <f>Table2[[#This Row],[Total score]]/3</f>
        <v>75.333333333333329</v>
      </c>
    </row>
    <row r="529" spans="1:11" x14ac:dyDescent="0.25">
      <c r="A529" t="s">
        <v>556</v>
      </c>
      <c r="B529" t="s">
        <v>13</v>
      </c>
      <c r="C529" t="s">
        <v>14</v>
      </c>
      <c r="D529" t="s">
        <v>19</v>
      </c>
      <c r="E529" t="s">
        <v>11</v>
      </c>
      <c r="F529" t="s">
        <v>12</v>
      </c>
      <c r="G529">
        <v>89</v>
      </c>
      <c r="H529">
        <v>92</v>
      </c>
      <c r="I529">
        <v>97</v>
      </c>
      <c r="J529">
        <f>SUM(Table2[[#This Row],[math score]:[writing score]])</f>
        <v>278</v>
      </c>
      <c r="K529">
        <f>Table2[[#This Row],[Total score]]/3</f>
        <v>92.666666666666671</v>
      </c>
    </row>
    <row r="530" spans="1:11" x14ac:dyDescent="0.25">
      <c r="A530" t="s">
        <v>557</v>
      </c>
      <c r="B530" t="s">
        <v>8</v>
      </c>
      <c r="C530" t="s">
        <v>9</v>
      </c>
      <c r="D530" t="s">
        <v>21</v>
      </c>
      <c r="E530" t="s">
        <v>16</v>
      </c>
      <c r="F530" t="s">
        <v>12</v>
      </c>
      <c r="G530">
        <v>48</v>
      </c>
      <c r="H530">
        <v>61</v>
      </c>
      <c r="I530">
        <v>59</v>
      </c>
      <c r="J530">
        <f>SUM(Table2[[#This Row],[math score]:[writing score]])</f>
        <v>168</v>
      </c>
      <c r="K530">
        <f>Table2[[#This Row],[Total score]]/3</f>
        <v>56</v>
      </c>
    </row>
    <row r="531" spans="1:11" x14ac:dyDescent="0.25">
      <c r="A531" t="s">
        <v>558</v>
      </c>
      <c r="B531" t="s">
        <v>13</v>
      </c>
      <c r="C531" t="s">
        <v>9</v>
      </c>
      <c r="D531" t="s">
        <v>22</v>
      </c>
      <c r="E531" t="s">
        <v>11</v>
      </c>
      <c r="F531" t="s">
        <v>17</v>
      </c>
      <c r="G531">
        <v>63</v>
      </c>
      <c r="H531">
        <v>67</v>
      </c>
      <c r="I531">
        <v>71</v>
      </c>
      <c r="J531">
        <f>SUM(Table2[[#This Row],[math score]:[writing score]])</f>
        <v>201</v>
      </c>
      <c r="K531">
        <f>Table2[[#This Row],[Total score]]/3</f>
        <v>67</v>
      </c>
    </row>
    <row r="532" spans="1:11" x14ac:dyDescent="0.25">
      <c r="A532" t="s">
        <v>559</v>
      </c>
      <c r="B532" t="s">
        <v>13</v>
      </c>
      <c r="C532" t="s">
        <v>23</v>
      </c>
      <c r="D532" t="s">
        <v>19</v>
      </c>
      <c r="E532" t="s">
        <v>11</v>
      </c>
      <c r="F532" t="s">
        <v>17</v>
      </c>
      <c r="G532">
        <v>88</v>
      </c>
      <c r="H532">
        <v>100</v>
      </c>
      <c r="I532">
        <v>88</v>
      </c>
      <c r="J532">
        <f>SUM(Table2[[#This Row],[math score]:[writing score]])</f>
        <v>276</v>
      </c>
      <c r="K532">
        <f>Table2[[#This Row],[Total score]]/3</f>
        <v>92</v>
      </c>
    </row>
    <row r="533" spans="1:11" x14ac:dyDescent="0.25">
      <c r="A533" t="s">
        <v>560</v>
      </c>
      <c r="B533" t="s">
        <v>13</v>
      </c>
      <c r="C533" t="s">
        <v>14</v>
      </c>
      <c r="D533" t="s">
        <v>21</v>
      </c>
      <c r="E533" t="s">
        <v>11</v>
      </c>
      <c r="F533" t="s">
        <v>17</v>
      </c>
      <c r="G533">
        <v>66</v>
      </c>
      <c r="H533">
        <v>73</v>
      </c>
      <c r="I533">
        <v>73</v>
      </c>
      <c r="J533">
        <f>SUM(Table2[[#This Row],[math score]:[writing score]])</f>
        <v>212</v>
      </c>
      <c r="K533">
        <f>Table2[[#This Row],[Total score]]/3</f>
        <v>70.666666666666671</v>
      </c>
    </row>
    <row r="534" spans="1:11" x14ac:dyDescent="0.25">
      <c r="A534" t="s">
        <v>561</v>
      </c>
      <c r="B534" t="s">
        <v>13</v>
      </c>
      <c r="C534" t="s">
        <v>20</v>
      </c>
      <c r="D534" t="s">
        <v>19</v>
      </c>
      <c r="E534" t="s">
        <v>16</v>
      </c>
      <c r="F534" t="s">
        <v>17</v>
      </c>
      <c r="G534">
        <v>45</v>
      </c>
      <c r="H534">
        <v>59</v>
      </c>
      <c r="I534">
        <v>56</v>
      </c>
      <c r="J534">
        <f>SUM(Table2[[#This Row],[math score]:[writing score]])</f>
        <v>160</v>
      </c>
      <c r="K534">
        <f>Table2[[#This Row],[Total score]]/3</f>
        <v>53.333333333333336</v>
      </c>
    </row>
    <row r="535" spans="1:11" x14ac:dyDescent="0.25">
      <c r="A535" t="s">
        <v>562</v>
      </c>
      <c r="B535" t="s">
        <v>13</v>
      </c>
      <c r="C535" t="s">
        <v>18</v>
      </c>
      <c r="D535" t="s">
        <v>15</v>
      </c>
      <c r="E535" t="s">
        <v>11</v>
      </c>
      <c r="F535" t="s">
        <v>12</v>
      </c>
      <c r="G535">
        <v>62</v>
      </c>
      <c r="H535">
        <v>78</v>
      </c>
      <c r="I535">
        <v>73</v>
      </c>
      <c r="J535">
        <f>SUM(Table2[[#This Row],[math score]:[writing score]])</f>
        <v>213</v>
      </c>
      <c r="K535">
        <f>Table2[[#This Row],[Total score]]/3</f>
        <v>71</v>
      </c>
    </row>
    <row r="536" spans="1:11" x14ac:dyDescent="0.25">
      <c r="A536" t="s">
        <v>563</v>
      </c>
      <c r="B536" t="s">
        <v>8</v>
      </c>
      <c r="C536" t="s">
        <v>14</v>
      </c>
      <c r="D536" t="s">
        <v>19</v>
      </c>
      <c r="E536" t="s">
        <v>16</v>
      </c>
      <c r="F536" t="s">
        <v>12</v>
      </c>
      <c r="G536">
        <v>74</v>
      </c>
      <c r="H536">
        <v>80</v>
      </c>
      <c r="I536">
        <v>86</v>
      </c>
      <c r="J536">
        <f>SUM(Table2[[#This Row],[math score]:[writing score]])</f>
        <v>240</v>
      </c>
      <c r="K536">
        <f>Table2[[#This Row],[Total score]]/3</f>
        <v>80</v>
      </c>
    </row>
    <row r="537" spans="1:11" x14ac:dyDescent="0.25">
      <c r="A537" t="s">
        <v>564</v>
      </c>
      <c r="B537" t="s">
        <v>13</v>
      </c>
      <c r="C537" t="s">
        <v>14</v>
      </c>
      <c r="D537" t="s">
        <v>22</v>
      </c>
      <c r="E537" t="s">
        <v>16</v>
      </c>
      <c r="F537" t="s">
        <v>17</v>
      </c>
      <c r="G537">
        <v>82</v>
      </c>
      <c r="H537">
        <v>87</v>
      </c>
      <c r="I537">
        <v>90</v>
      </c>
      <c r="J537">
        <f>SUM(Table2[[#This Row],[math score]:[writing score]])</f>
        <v>259</v>
      </c>
      <c r="K537">
        <f>Table2[[#This Row],[Total score]]/3</f>
        <v>86.333333333333329</v>
      </c>
    </row>
    <row r="538" spans="1:11" x14ac:dyDescent="0.25">
      <c r="A538" t="s">
        <v>565</v>
      </c>
      <c r="B538" t="s">
        <v>8</v>
      </c>
      <c r="C538" t="s">
        <v>18</v>
      </c>
      <c r="D538" t="s">
        <v>19</v>
      </c>
      <c r="E538" t="s">
        <v>16</v>
      </c>
      <c r="F538" t="s">
        <v>12</v>
      </c>
      <c r="G538">
        <v>83</v>
      </c>
      <c r="H538">
        <v>63</v>
      </c>
      <c r="I538">
        <v>63</v>
      </c>
      <c r="J538">
        <f>SUM(Table2[[#This Row],[math score]:[writing score]])</f>
        <v>209</v>
      </c>
      <c r="K538">
        <f>Table2[[#This Row],[Total score]]/3</f>
        <v>69.666666666666671</v>
      </c>
    </row>
    <row r="539" spans="1:11" x14ac:dyDescent="0.25">
      <c r="A539" t="s">
        <v>566</v>
      </c>
      <c r="B539" t="s">
        <v>13</v>
      </c>
      <c r="C539" t="s">
        <v>14</v>
      </c>
      <c r="D539" t="s">
        <v>15</v>
      </c>
      <c r="E539" t="s">
        <v>16</v>
      </c>
      <c r="F539" t="s">
        <v>12</v>
      </c>
      <c r="G539">
        <v>60</v>
      </c>
      <c r="H539">
        <v>72</v>
      </c>
      <c r="I539">
        <v>76</v>
      </c>
      <c r="J539">
        <f>SUM(Table2[[#This Row],[math score]:[writing score]])</f>
        <v>208</v>
      </c>
      <c r="K539">
        <f>Table2[[#This Row],[Total score]]/3</f>
        <v>69.333333333333329</v>
      </c>
    </row>
    <row r="540" spans="1:11" x14ac:dyDescent="0.25">
      <c r="A540" t="s">
        <v>567</v>
      </c>
      <c r="B540" t="s">
        <v>13</v>
      </c>
      <c r="C540" t="s">
        <v>14</v>
      </c>
      <c r="D540" t="s">
        <v>10</v>
      </c>
      <c r="E540" t="s">
        <v>11</v>
      </c>
      <c r="F540" t="s">
        <v>17</v>
      </c>
      <c r="G540">
        <v>66</v>
      </c>
      <c r="H540">
        <v>73</v>
      </c>
      <c r="I540">
        <v>72</v>
      </c>
      <c r="J540">
        <f>SUM(Table2[[#This Row],[math score]:[writing score]])</f>
        <v>211</v>
      </c>
      <c r="K540">
        <f>Table2[[#This Row],[Total score]]/3</f>
        <v>70.333333333333329</v>
      </c>
    </row>
    <row r="541" spans="1:11" x14ac:dyDescent="0.25">
      <c r="A541" t="s">
        <v>568</v>
      </c>
      <c r="B541" t="s">
        <v>8</v>
      </c>
      <c r="C541" t="s">
        <v>23</v>
      </c>
      <c r="D541" t="s">
        <v>22</v>
      </c>
      <c r="E541" t="s">
        <v>16</v>
      </c>
      <c r="F541" t="s">
        <v>17</v>
      </c>
      <c r="G541">
        <v>76</v>
      </c>
      <c r="H541">
        <v>66</v>
      </c>
      <c r="I541">
        <v>68</v>
      </c>
      <c r="J541">
        <f>SUM(Table2[[#This Row],[math score]:[writing score]])</f>
        <v>210</v>
      </c>
      <c r="K541">
        <f>Table2[[#This Row],[Total score]]/3</f>
        <v>70</v>
      </c>
    </row>
    <row r="542" spans="1:11" x14ac:dyDescent="0.25">
      <c r="A542" t="s">
        <v>569</v>
      </c>
      <c r="B542" t="s">
        <v>8</v>
      </c>
      <c r="C542" t="s">
        <v>20</v>
      </c>
      <c r="D542" t="s">
        <v>21</v>
      </c>
      <c r="E542" t="s">
        <v>11</v>
      </c>
      <c r="F542" t="s">
        <v>12</v>
      </c>
      <c r="G542">
        <v>75</v>
      </c>
      <c r="H542">
        <v>74</v>
      </c>
      <c r="I542">
        <v>76</v>
      </c>
      <c r="J542">
        <f>SUM(Table2[[#This Row],[math score]:[writing score]])</f>
        <v>225</v>
      </c>
      <c r="K542">
        <f>Table2[[#This Row],[Total score]]/3</f>
        <v>75</v>
      </c>
    </row>
    <row r="543" spans="1:11" x14ac:dyDescent="0.25">
      <c r="A543" t="s">
        <v>570</v>
      </c>
      <c r="B543" t="s">
        <v>8</v>
      </c>
      <c r="C543" t="s">
        <v>20</v>
      </c>
      <c r="D543" t="s">
        <v>19</v>
      </c>
      <c r="E543" t="s">
        <v>11</v>
      </c>
      <c r="F543" t="s">
        <v>12</v>
      </c>
      <c r="G543">
        <v>77</v>
      </c>
      <c r="H543">
        <v>72</v>
      </c>
      <c r="I543">
        <v>79</v>
      </c>
      <c r="J543">
        <f>SUM(Table2[[#This Row],[math score]:[writing score]])</f>
        <v>228</v>
      </c>
      <c r="K543">
        <f>Table2[[#This Row],[Total score]]/3</f>
        <v>76</v>
      </c>
    </row>
    <row r="544" spans="1:11" x14ac:dyDescent="0.25">
      <c r="A544" t="s">
        <v>571</v>
      </c>
      <c r="B544" t="s">
        <v>13</v>
      </c>
      <c r="C544" t="s">
        <v>18</v>
      </c>
      <c r="D544" t="s">
        <v>19</v>
      </c>
      <c r="E544" t="s">
        <v>16</v>
      </c>
      <c r="F544" t="s">
        <v>17</v>
      </c>
      <c r="G544">
        <v>82</v>
      </c>
      <c r="H544">
        <v>88</v>
      </c>
      <c r="I544">
        <v>86</v>
      </c>
      <c r="J544">
        <f>SUM(Table2[[#This Row],[math score]:[writing score]])</f>
        <v>256</v>
      </c>
      <c r="K544">
        <f>Table2[[#This Row],[Total score]]/3</f>
        <v>85.333333333333329</v>
      </c>
    </row>
    <row r="545" spans="1:11" x14ac:dyDescent="0.25">
      <c r="A545" t="s">
        <v>572</v>
      </c>
      <c r="B545" t="s">
        <v>8</v>
      </c>
      <c r="C545" t="s">
        <v>23</v>
      </c>
      <c r="D545" t="s">
        <v>21</v>
      </c>
      <c r="E545" t="s">
        <v>11</v>
      </c>
      <c r="F545" t="s">
        <v>12</v>
      </c>
      <c r="G545">
        <v>63</v>
      </c>
      <c r="H545">
        <v>59</v>
      </c>
      <c r="I545">
        <v>60</v>
      </c>
      <c r="J545">
        <f>SUM(Table2[[#This Row],[math score]:[writing score]])</f>
        <v>182</v>
      </c>
      <c r="K545">
        <f>Table2[[#This Row],[Total score]]/3</f>
        <v>60.666666666666664</v>
      </c>
    </row>
    <row r="546" spans="1:11" x14ac:dyDescent="0.25">
      <c r="A546" t="s">
        <v>573</v>
      </c>
      <c r="B546" t="s">
        <v>13</v>
      </c>
      <c r="C546" t="s">
        <v>14</v>
      </c>
      <c r="D546" t="s">
        <v>10</v>
      </c>
      <c r="E546" t="s">
        <v>11</v>
      </c>
      <c r="F546" t="s">
        <v>17</v>
      </c>
      <c r="G546">
        <v>70</v>
      </c>
      <c r="H546">
        <v>85</v>
      </c>
      <c r="I546">
        <v>85</v>
      </c>
      <c r="J546">
        <f>SUM(Table2[[#This Row],[math score]:[writing score]])</f>
        <v>240</v>
      </c>
      <c r="K546">
        <f>Table2[[#This Row],[Total score]]/3</f>
        <v>80</v>
      </c>
    </row>
    <row r="547" spans="1:11" x14ac:dyDescent="0.25">
      <c r="A547" t="s">
        <v>574</v>
      </c>
      <c r="B547" t="s">
        <v>8</v>
      </c>
      <c r="C547" t="s">
        <v>14</v>
      </c>
      <c r="D547" t="s">
        <v>21</v>
      </c>
      <c r="E547" t="s">
        <v>11</v>
      </c>
      <c r="F547" t="s">
        <v>12</v>
      </c>
      <c r="G547">
        <v>84</v>
      </c>
      <c r="H547">
        <v>71</v>
      </c>
      <c r="I547">
        <v>76</v>
      </c>
      <c r="J547">
        <f>SUM(Table2[[#This Row],[math score]:[writing score]])</f>
        <v>231</v>
      </c>
      <c r="K547">
        <f>Table2[[#This Row],[Total score]]/3</f>
        <v>77</v>
      </c>
    </row>
    <row r="548" spans="1:11" x14ac:dyDescent="0.25">
      <c r="A548" t="s">
        <v>575</v>
      </c>
      <c r="B548" t="s">
        <v>8</v>
      </c>
      <c r="C548" t="s">
        <v>23</v>
      </c>
      <c r="D548" t="s">
        <v>10</v>
      </c>
      <c r="E548" t="s">
        <v>11</v>
      </c>
      <c r="F548" t="s">
        <v>12</v>
      </c>
      <c r="G548">
        <v>68</v>
      </c>
      <c r="H548">
        <v>60</v>
      </c>
      <c r="I548">
        <v>63</v>
      </c>
      <c r="J548">
        <f>SUM(Table2[[#This Row],[math score]:[writing score]])</f>
        <v>191</v>
      </c>
      <c r="K548">
        <f>Table2[[#This Row],[Total score]]/3</f>
        <v>63.666666666666664</v>
      </c>
    </row>
    <row r="549" spans="1:11" x14ac:dyDescent="0.25">
      <c r="A549" t="s">
        <v>576</v>
      </c>
      <c r="B549" t="s">
        <v>8</v>
      </c>
      <c r="C549" t="s">
        <v>23</v>
      </c>
      <c r="D549" t="s">
        <v>19</v>
      </c>
      <c r="E549" t="s">
        <v>16</v>
      </c>
      <c r="F549" t="s">
        <v>17</v>
      </c>
      <c r="G549">
        <v>56</v>
      </c>
      <c r="H549">
        <v>58</v>
      </c>
      <c r="I549">
        <v>50</v>
      </c>
      <c r="J549">
        <f>SUM(Table2[[#This Row],[math score]:[writing score]])</f>
        <v>164</v>
      </c>
      <c r="K549">
        <f>Table2[[#This Row],[Total score]]/3</f>
        <v>54.666666666666664</v>
      </c>
    </row>
    <row r="550" spans="1:11" x14ac:dyDescent="0.25">
      <c r="A550" t="s">
        <v>577</v>
      </c>
      <c r="B550" t="s">
        <v>13</v>
      </c>
      <c r="C550" t="s">
        <v>23</v>
      </c>
      <c r="D550" t="s">
        <v>21</v>
      </c>
      <c r="E550" t="s">
        <v>16</v>
      </c>
      <c r="F550" t="s">
        <v>17</v>
      </c>
      <c r="G550">
        <v>37</v>
      </c>
      <c r="H550">
        <v>46</v>
      </c>
      <c r="I550">
        <v>43</v>
      </c>
      <c r="J550">
        <f>SUM(Table2[[#This Row],[math score]:[writing score]])</f>
        <v>126</v>
      </c>
      <c r="K550">
        <f>Table2[[#This Row],[Total score]]/3</f>
        <v>42</v>
      </c>
    </row>
    <row r="551" spans="1:11" x14ac:dyDescent="0.25">
      <c r="A551" t="s">
        <v>578</v>
      </c>
      <c r="B551" t="s">
        <v>13</v>
      </c>
      <c r="C551" t="s">
        <v>14</v>
      </c>
      <c r="D551" t="s">
        <v>15</v>
      </c>
      <c r="E551" t="s">
        <v>11</v>
      </c>
      <c r="F551" t="s">
        <v>17</v>
      </c>
      <c r="G551">
        <v>49</v>
      </c>
      <c r="H551">
        <v>56</v>
      </c>
      <c r="I551">
        <v>53</v>
      </c>
      <c r="J551">
        <f>SUM(Table2[[#This Row],[math score]:[writing score]])</f>
        <v>158</v>
      </c>
      <c r="K551">
        <f>Table2[[#This Row],[Total score]]/3</f>
        <v>52.666666666666664</v>
      </c>
    </row>
    <row r="552" spans="1:11" x14ac:dyDescent="0.25">
      <c r="A552" t="s">
        <v>579</v>
      </c>
      <c r="B552" t="s">
        <v>13</v>
      </c>
      <c r="C552" t="s">
        <v>18</v>
      </c>
      <c r="D552" t="s">
        <v>19</v>
      </c>
      <c r="E552" t="s">
        <v>11</v>
      </c>
      <c r="F552" t="s">
        <v>12</v>
      </c>
      <c r="G552">
        <v>100</v>
      </c>
      <c r="H552">
        <v>100</v>
      </c>
      <c r="I552">
        <v>100</v>
      </c>
      <c r="J552">
        <f>SUM(Table2[[#This Row],[math score]:[writing score]])</f>
        <v>300</v>
      </c>
      <c r="K552">
        <f>Table2[[#This Row],[Total score]]/3</f>
        <v>100</v>
      </c>
    </row>
    <row r="553" spans="1:11" x14ac:dyDescent="0.25">
      <c r="A553" t="s">
        <v>580</v>
      </c>
      <c r="B553" t="s">
        <v>8</v>
      </c>
      <c r="C553" t="s">
        <v>14</v>
      </c>
      <c r="D553" t="s">
        <v>19</v>
      </c>
      <c r="E553" t="s">
        <v>11</v>
      </c>
      <c r="F553" t="s">
        <v>17</v>
      </c>
      <c r="G553">
        <v>83</v>
      </c>
      <c r="H553">
        <v>68</v>
      </c>
      <c r="I553">
        <v>65</v>
      </c>
      <c r="J553">
        <f>SUM(Table2[[#This Row],[math score]:[writing score]])</f>
        <v>216</v>
      </c>
      <c r="K553">
        <f>Table2[[#This Row],[Total score]]/3</f>
        <v>72</v>
      </c>
    </row>
    <row r="554" spans="1:11" x14ac:dyDescent="0.25">
      <c r="A554" t="s">
        <v>581</v>
      </c>
      <c r="B554" t="s">
        <v>13</v>
      </c>
      <c r="C554" t="s">
        <v>18</v>
      </c>
      <c r="D554" t="s">
        <v>24</v>
      </c>
      <c r="E554" t="s">
        <v>16</v>
      </c>
      <c r="F554" t="s">
        <v>12</v>
      </c>
      <c r="G554">
        <v>92</v>
      </c>
      <c r="H554">
        <v>100</v>
      </c>
      <c r="I554">
        <v>98</v>
      </c>
      <c r="J554">
        <f>SUM(Table2[[#This Row],[math score]:[writing score]])</f>
        <v>290</v>
      </c>
      <c r="K554">
        <f>Table2[[#This Row],[Total score]]/3</f>
        <v>96.666666666666671</v>
      </c>
    </row>
    <row r="555" spans="1:11" x14ac:dyDescent="0.25">
      <c r="A555" t="s">
        <v>582</v>
      </c>
      <c r="B555" t="s">
        <v>8</v>
      </c>
      <c r="C555" t="s">
        <v>18</v>
      </c>
      <c r="D555" t="s">
        <v>24</v>
      </c>
      <c r="E555" t="s">
        <v>16</v>
      </c>
      <c r="F555" t="s">
        <v>17</v>
      </c>
      <c r="G555">
        <v>71</v>
      </c>
      <c r="H555">
        <v>62</v>
      </c>
      <c r="I555">
        <v>66</v>
      </c>
      <c r="J555">
        <f>SUM(Table2[[#This Row],[math score]:[writing score]])</f>
        <v>199</v>
      </c>
      <c r="K555">
        <f>Table2[[#This Row],[Total score]]/3</f>
        <v>66.333333333333329</v>
      </c>
    </row>
    <row r="556" spans="1:11" x14ac:dyDescent="0.25">
      <c r="A556" t="s">
        <v>583</v>
      </c>
      <c r="B556" t="s">
        <v>8</v>
      </c>
      <c r="C556" t="s">
        <v>14</v>
      </c>
      <c r="D556" t="s">
        <v>21</v>
      </c>
      <c r="E556" t="s">
        <v>16</v>
      </c>
      <c r="F556" t="s">
        <v>12</v>
      </c>
      <c r="G556">
        <v>72</v>
      </c>
      <c r="H556">
        <v>76</v>
      </c>
      <c r="I556">
        <v>73</v>
      </c>
      <c r="J556">
        <f>SUM(Table2[[#This Row],[math score]:[writing score]])</f>
        <v>221</v>
      </c>
      <c r="K556">
        <f>Table2[[#This Row],[Total score]]/3</f>
        <v>73.666666666666671</v>
      </c>
    </row>
    <row r="557" spans="1:11" x14ac:dyDescent="0.25">
      <c r="A557" t="s">
        <v>584</v>
      </c>
      <c r="B557" t="s">
        <v>13</v>
      </c>
      <c r="C557" t="s">
        <v>14</v>
      </c>
      <c r="D557" t="s">
        <v>22</v>
      </c>
      <c r="E557" t="s">
        <v>16</v>
      </c>
      <c r="F557" t="s">
        <v>17</v>
      </c>
      <c r="G557">
        <v>37</v>
      </c>
      <c r="H557">
        <v>53</v>
      </c>
      <c r="I557">
        <v>48</v>
      </c>
      <c r="J557">
        <f>SUM(Table2[[#This Row],[math score]:[writing score]])</f>
        <v>138</v>
      </c>
      <c r="K557">
        <f>Table2[[#This Row],[Total score]]/3</f>
        <v>46</v>
      </c>
    </row>
    <row r="558" spans="1:11" x14ac:dyDescent="0.25">
      <c r="A558" t="s">
        <v>585</v>
      </c>
      <c r="B558" t="s">
        <v>8</v>
      </c>
      <c r="C558" t="s">
        <v>23</v>
      </c>
      <c r="D558" t="s">
        <v>22</v>
      </c>
      <c r="E558" t="s">
        <v>16</v>
      </c>
      <c r="F558" t="s">
        <v>17</v>
      </c>
      <c r="G558">
        <v>35</v>
      </c>
      <c r="H558">
        <v>43</v>
      </c>
      <c r="I558">
        <v>35</v>
      </c>
      <c r="J558">
        <f>SUM(Table2[[#This Row],[math score]:[writing score]])</f>
        <v>113</v>
      </c>
      <c r="K558">
        <f>Table2[[#This Row],[Total score]]/3</f>
        <v>37.666666666666664</v>
      </c>
    </row>
    <row r="559" spans="1:11" x14ac:dyDescent="0.25">
      <c r="A559" t="s">
        <v>586</v>
      </c>
      <c r="B559" t="s">
        <v>8</v>
      </c>
      <c r="C559" t="s">
        <v>23</v>
      </c>
      <c r="D559" t="s">
        <v>19</v>
      </c>
      <c r="E559" t="s">
        <v>16</v>
      </c>
      <c r="F559" t="s">
        <v>17</v>
      </c>
      <c r="G559">
        <v>69</v>
      </c>
      <c r="H559">
        <v>68</v>
      </c>
      <c r="I559">
        <v>62</v>
      </c>
      <c r="J559">
        <f>SUM(Table2[[#This Row],[math score]:[writing score]])</f>
        <v>199</v>
      </c>
      <c r="K559">
        <f>Table2[[#This Row],[Total score]]/3</f>
        <v>66.333333333333329</v>
      </c>
    </row>
    <row r="560" spans="1:11" x14ac:dyDescent="0.25">
      <c r="A560" t="s">
        <v>587</v>
      </c>
      <c r="B560" t="s">
        <v>13</v>
      </c>
      <c r="C560" t="s">
        <v>23</v>
      </c>
      <c r="D560" t="s">
        <v>22</v>
      </c>
      <c r="E560" t="s">
        <v>11</v>
      </c>
      <c r="F560" t="s">
        <v>17</v>
      </c>
      <c r="G560">
        <v>65</v>
      </c>
      <c r="H560">
        <v>73</v>
      </c>
      <c r="I560">
        <v>81</v>
      </c>
      <c r="J560">
        <f>SUM(Table2[[#This Row],[math score]:[writing score]])</f>
        <v>219</v>
      </c>
      <c r="K560">
        <f>Table2[[#This Row],[Total score]]/3</f>
        <v>73</v>
      </c>
    </row>
    <row r="561" spans="1:11" x14ac:dyDescent="0.25">
      <c r="A561" t="s">
        <v>588</v>
      </c>
      <c r="B561" t="s">
        <v>8</v>
      </c>
      <c r="C561" t="s">
        <v>18</v>
      </c>
      <c r="D561" t="s">
        <v>10</v>
      </c>
      <c r="E561" t="s">
        <v>16</v>
      </c>
      <c r="F561" t="s">
        <v>17</v>
      </c>
      <c r="G561">
        <v>56</v>
      </c>
      <c r="H561">
        <v>48</v>
      </c>
      <c r="I561">
        <v>36</v>
      </c>
      <c r="J561">
        <f>SUM(Table2[[#This Row],[math score]:[writing score]])</f>
        <v>140</v>
      </c>
      <c r="K561">
        <f>Table2[[#This Row],[Total score]]/3</f>
        <v>46.666666666666664</v>
      </c>
    </row>
    <row r="562" spans="1:11" x14ac:dyDescent="0.25">
      <c r="A562" t="s">
        <v>589</v>
      </c>
      <c r="B562" t="s">
        <v>13</v>
      </c>
      <c r="C562" t="s">
        <v>14</v>
      </c>
      <c r="D562" t="s">
        <v>10</v>
      </c>
      <c r="E562" t="s">
        <v>11</v>
      </c>
      <c r="F562" t="s">
        <v>17</v>
      </c>
      <c r="G562">
        <v>40</v>
      </c>
      <c r="H562">
        <v>46</v>
      </c>
      <c r="I562">
        <v>57</v>
      </c>
      <c r="J562">
        <f>SUM(Table2[[#This Row],[math score]:[writing score]])</f>
        <v>143</v>
      </c>
      <c r="K562">
        <f>Table2[[#This Row],[Total score]]/3</f>
        <v>47.666666666666664</v>
      </c>
    </row>
    <row r="563" spans="1:11" x14ac:dyDescent="0.25">
      <c r="A563" t="s">
        <v>590</v>
      </c>
      <c r="B563" t="s">
        <v>13</v>
      </c>
      <c r="C563" t="s">
        <v>18</v>
      </c>
      <c r="D563" t="s">
        <v>10</v>
      </c>
      <c r="E563" t="s">
        <v>11</v>
      </c>
      <c r="F563" t="s">
        <v>17</v>
      </c>
      <c r="G563">
        <v>60</v>
      </c>
      <c r="H563">
        <v>62</v>
      </c>
      <c r="I563">
        <v>60</v>
      </c>
      <c r="J563">
        <f>SUM(Table2[[#This Row],[math score]:[writing score]])</f>
        <v>182</v>
      </c>
      <c r="K563">
        <f>Table2[[#This Row],[Total score]]/3</f>
        <v>60.666666666666664</v>
      </c>
    </row>
    <row r="564" spans="1:11" x14ac:dyDescent="0.25">
      <c r="A564" t="s">
        <v>591</v>
      </c>
      <c r="B564" t="s">
        <v>13</v>
      </c>
      <c r="C564" t="s">
        <v>23</v>
      </c>
      <c r="D564" t="s">
        <v>15</v>
      </c>
      <c r="E564" t="s">
        <v>11</v>
      </c>
      <c r="F564" t="s">
        <v>17</v>
      </c>
      <c r="G564">
        <v>57</v>
      </c>
      <c r="H564">
        <v>66</v>
      </c>
      <c r="I564">
        <v>73</v>
      </c>
      <c r="J564">
        <f>SUM(Table2[[#This Row],[math score]:[writing score]])</f>
        <v>196</v>
      </c>
      <c r="K564">
        <f>Table2[[#This Row],[Total score]]/3</f>
        <v>65.333333333333329</v>
      </c>
    </row>
    <row r="565" spans="1:11" x14ac:dyDescent="0.25">
      <c r="A565" t="s">
        <v>592</v>
      </c>
      <c r="B565" t="s">
        <v>13</v>
      </c>
      <c r="C565" t="s">
        <v>23</v>
      </c>
      <c r="D565" t="s">
        <v>15</v>
      </c>
      <c r="E565" t="s">
        <v>16</v>
      </c>
      <c r="F565" t="s">
        <v>12</v>
      </c>
      <c r="G565">
        <v>58</v>
      </c>
      <c r="H565">
        <v>62</v>
      </c>
      <c r="I565">
        <v>66</v>
      </c>
      <c r="J565">
        <f>SUM(Table2[[#This Row],[math score]:[writing score]])</f>
        <v>186</v>
      </c>
      <c r="K565">
        <f>Table2[[#This Row],[Total score]]/3</f>
        <v>62</v>
      </c>
    </row>
    <row r="566" spans="1:11" x14ac:dyDescent="0.25">
      <c r="A566" t="s">
        <v>593</v>
      </c>
      <c r="B566" t="s">
        <v>13</v>
      </c>
      <c r="C566" t="s">
        <v>14</v>
      </c>
      <c r="D566" t="s">
        <v>19</v>
      </c>
      <c r="E566" t="s">
        <v>11</v>
      </c>
      <c r="F566" t="s">
        <v>12</v>
      </c>
      <c r="G566">
        <v>74</v>
      </c>
      <c r="H566">
        <v>95</v>
      </c>
      <c r="I566">
        <v>94</v>
      </c>
      <c r="J566">
        <f>SUM(Table2[[#This Row],[math score]:[writing score]])</f>
        <v>263</v>
      </c>
      <c r="K566">
        <f>Table2[[#This Row],[Total score]]/3</f>
        <v>87.666666666666671</v>
      </c>
    </row>
    <row r="567" spans="1:11" x14ac:dyDescent="0.25">
      <c r="A567" t="s">
        <v>594</v>
      </c>
      <c r="B567" t="s">
        <v>13</v>
      </c>
      <c r="C567" t="s">
        <v>20</v>
      </c>
      <c r="D567" t="s">
        <v>19</v>
      </c>
      <c r="E567" t="s">
        <v>11</v>
      </c>
      <c r="F567" t="s">
        <v>17</v>
      </c>
      <c r="G567">
        <v>77</v>
      </c>
      <c r="H567">
        <v>77</v>
      </c>
      <c r="I567">
        <v>83</v>
      </c>
      <c r="J567">
        <f>SUM(Table2[[#This Row],[math score]:[writing score]])</f>
        <v>237</v>
      </c>
      <c r="K567">
        <f>Table2[[#This Row],[Total score]]/3</f>
        <v>79</v>
      </c>
    </row>
    <row r="568" spans="1:11" x14ac:dyDescent="0.25">
      <c r="A568" t="s">
        <v>595</v>
      </c>
      <c r="B568" t="s">
        <v>8</v>
      </c>
      <c r="C568" t="s">
        <v>18</v>
      </c>
      <c r="D568" t="s">
        <v>19</v>
      </c>
      <c r="E568" t="s">
        <v>16</v>
      </c>
      <c r="F568" t="s">
        <v>17</v>
      </c>
      <c r="G568">
        <v>66</v>
      </c>
      <c r="H568">
        <v>57</v>
      </c>
      <c r="I568">
        <v>53</v>
      </c>
      <c r="J568">
        <f>SUM(Table2[[#This Row],[math score]:[writing score]])</f>
        <v>176</v>
      </c>
      <c r="K568">
        <f>Table2[[#This Row],[Total score]]/3</f>
        <v>58.666666666666664</v>
      </c>
    </row>
    <row r="569" spans="1:11" x14ac:dyDescent="0.25">
      <c r="A569" t="s">
        <v>596</v>
      </c>
      <c r="B569" t="s">
        <v>13</v>
      </c>
      <c r="C569" t="s">
        <v>14</v>
      </c>
      <c r="D569" t="s">
        <v>19</v>
      </c>
      <c r="E569" t="s">
        <v>11</v>
      </c>
      <c r="F569" t="s">
        <v>12</v>
      </c>
      <c r="G569">
        <v>62</v>
      </c>
      <c r="H569">
        <v>79</v>
      </c>
      <c r="I569">
        <v>87</v>
      </c>
      <c r="J569">
        <f>SUM(Table2[[#This Row],[math score]:[writing score]])</f>
        <v>228</v>
      </c>
      <c r="K569">
        <f>Table2[[#This Row],[Total score]]/3</f>
        <v>76</v>
      </c>
    </row>
    <row r="570" spans="1:11" x14ac:dyDescent="0.25">
      <c r="A570" t="s">
        <v>597</v>
      </c>
      <c r="B570" t="s">
        <v>8</v>
      </c>
      <c r="C570" t="s">
        <v>23</v>
      </c>
      <c r="D570" t="s">
        <v>10</v>
      </c>
      <c r="E570" t="s">
        <v>16</v>
      </c>
      <c r="F570" t="s">
        <v>17</v>
      </c>
      <c r="G570">
        <v>29</v>
      </c>
      <c r="H570">
        <v>38</v>
      </c>
      <c r="I570">
        <v>27</v>
      </c>
      <c r="J570">
        <f>SUM(Table2[[#This Row],[math score]:[writing score]])</f>
        <v>94</v>
      </c>
      <c r="K570">
        <f>Table2[[#This Row],[Total score]]/3</f>
        <v>31.333333333333332</v>
      </c>
    </row>
    <row r="571" spans="1:11" x14ac:dyDescent="0.25">
      <c r="A571" t="s">
        <v>598</v>
      </c>
      <c r="B571" t="s">
        <v>13</v>
      </c>
      <c r="C571" t="s">
        <v>20</v>
      </c>
      <c r="D571" t="s">
        <v>19</v>
      </c>
      <c r="E571" t="s">
        <v>11</v>
      </c>
      <c r="F571" t="s">
        <v>17</v>
      </c>
      <c r="G571">
        <v>70</v>
      </c>
      <c r="H571">
        <v>73</v>
      </c>
      <c r="I571">
        <v>66</v>
      </c>
      <c r="J571">
        <f>SUM(Table2[[#This Row],[math score]:[writing score]])</f>
        <v>209</v>
      </c>
      <c r="K571">
        <f>Table2[[#This Row],[Total score]]/3</f>
        <v>69.666666666666671</v>
      </c>
    </row>
    <row r="572" spans="1:11" x14ac:dyDescent="0.25">
      <c r="A572" t="s">
        <v>599</v>
      </c>
      <c r="B572" t="s">
        <v>8</v>
      </c>
      <c r="C572" t="s">
        <v>9</v>
      </c>
      <c r="D572" t="s">
        <v>21</v>
      </c>
      <c r="E572" t="s">
        <v>16</v>
      </c>
      <c r="F572" t="s">
        <v>17</v>
      </c>
      <c r="G572">
        <v>67</v>
      </c>
      <c r="H572">
        <v>64</v>
      </c>
      <c r="I572">
        <v>60</v>
      </c>
      <c r="J572">
        <f>SUM(Table2[[#This Row],[math score]:[writing score]])</f>
        <v>191</v>
      </c>
      <c r="K572">
        <f>Table2[[#This Row],[Total score]]/3</f>
        <v>63.666666666666664</v>
      </c>
    </row>
    <row r="573" spans="1:11" x14ac:dyDescent="0.25">
      <c r="A573" t="s">
        <v>600</v>
      </c>
      <c r="B573" t="s">
        <v>13</v>
      </c>
      <c r="C573" t="s">
        <v>23</v>
      </c>
      <c r="D573" t="s">
        <v>10</v>
      </c>
      <c r="E573" t="s">
        <v>11</v>
      </c>
      <c r="F573" t="s">
        <v>12</v>
      </c>
      <c r="G573">
        <v>81</v>
      </c>
      <c r="H573">
        <v>91</v>
      </c>
      <c r="I573">
        <v>94</v>
      </c>
      <c r="J573">
        <f>SUM(Table2[[#This Row],[math score]:[writing score]])</f>
        <v>266</v>
      </c>
      <c r="K573">
        <f>Table2[[#This Row],[Total score]]/3</f>
        <v>88.666666666666671</v>
      </c>
    </row>
    <row r="574" spans="1:11" x14ac:dyDescent="0.25">
      <c r="A574" t="s">
        <v>601</v>
      </c>
      <c r="B574" t="s">
        <v>8</v>
      </c>
      <c r="C574" t="s">
        <v>23</v>
      </c>
      <c r="D574" t="s">
        <v>21</v>
      </c>
      <c r="E574" t="s">
        <v>16</v>
      </c>
      <c r="F574" t="s">
        <v>17</v>
      </c>
      <c r="G574">
        <v>56</v>
      </c>
      <c r="H574">
        <v>50</v>
      </c>
      <c r="I574">
        <v>43</v>
      </c>
      <c r="J574">
        <f>SUM(Table2[[#This Row],[math score]:[writing score]])</f>
        <v>149</v>
      </c>
      <c r="K574">
        <f>Table2[[#This Row],[Total score]]/3</f>
        <v>49.666666666666664</v>
      </c>
    </row>
    <row r="575" spans="1:11" x14ac:dyDescent="0.25">
      <c r="A575" t="s">
        <v>602</v>
      </c>
      <c r="B575" t="s">
        <v>13</v>
      </c>
      <c r="C575" t="s">
        <v>14</v>
      </c>
      <c r="D575" t="s">
        <v>19</v>
      </c>
      <c r="E575" t="s">
        <v>16</v>
      </c>
      <c r="F575" t="s">
        <v>17</v>
      </c>
      <c r="G575">
        <v>61</v>
      </c>
      <c r="H575">
        <v>79</v>
      </c>
      <c r="I575">
        <v>76</v>
      </c>
      <c r="J575">
        <f>SUM(Table2[[#This Row],[math score]:[writing score]])</f>
        <v>216</v>
      </c>
      <c r="K575">
        <f>Table2[[#This Row],[Total score]]/3</f>
        <v>72</v>
      </c>
    </row>
    <row r="576" spans="1:11" x14ac:dyDescent="0.25">
      <c r="A576" t="s">
        <v>603</v>
      </c>
      <c r="B576" t="s">
        <v>13</v>
      </c>
      <c r="C576" t="s">
        <v>14</v>
      </c>
      <c r="D576" t="s">
        <v>10</v>
      </c>
      <c r="E576" t="s">
        <v>16</v>
      </c>
      <c r="F576" t="s">
        <v>12</v>
      </c>
      <c r="G576">
        <v>47</v>
      </c>
      <c r="H576">
        <v>54</v>
      </c>
      <c r="I576">
        <v>56</v>
      </c>
      <c r="J576">
        <f>SUM(Table2[[#This Row],[math score]:[writing score]])</f>
        <v>157</v>
      </c>
      <c r="K576">
        <f>Table2[[#This Row],[Total score]]/3</f>
        <v>52.333333333333336</v>
      </c>
    </row>
    <row r="577" spans="1:11" x14ac:dyDescent="0.25">
      <c r="A577" t="s">
        <v>604</v>
      </c>
      <c r="B577" t="s">
        <v>8</v>
      </c>
      <c r="C577" t="s">
        <v>9</v>
      </c>
      <c r="D577" t="s">
        <v>22</v>
      </c>
      <c r="E577" t="s">
        <v>11</v>
      </c>
      <c r="F577" t="s">
        <v>12</v>
      </c>
      <c r="G577">
        <v>88</v>
      </c>
      <c r="H577">
        <v>87</v>
      </c>
      <c r="I577">
        <v>94</v>
      </c>
      <c r="J577">
        <f>SUM(Table2[[#This Row],[math score]:[writing score]])</f>
        <v>269</v>
      </c>
      <c r="K577">
        <f>Table2[[#This Row],[Total score]]/3</f>
        <v>89.666666666666671</v>
      </c>
    </row>
    <row r="578" spans="1:11" x14ac:dyDescent="0.25">
      <c r="A578" t="s">
        <v>605</v>
      </c>
      <c r="B578" t="s">
        <v>8</v>
      </c>
      <c r="C578" t="s">
        <v>23</v>
      </c>
      <c r="D578" t="s">
        <v>19</v>
      </c>
      <c r="E578" t="s">
        <v>11</v>
      </c>
      <c r="F578" t="s">
        <v>12</v>
      </c>
      <c r="G578">
        <v>51</v>
      </c>
      <c r="H578">
        <v>52</v>
      </c>
      <c r="I578">
        <v>52</v>
      </c>
      <c r="J578">
        <f>SUM(Table2[[#This Row],[math score]:[writing score]])</f>
        <v>155</v>
      </c>
      <c r="K578">
        <f>Table2[[#This Row],[Total score]]/3</f>
        <v>51.666666666666664</v>
      </c>
    </row>
    <row r="579" spans="1:11" x14ac:dyDescent="0.25">
      <c r="A579" t="s">
        <v>606</v>
      </c>
      <c r="B579" t="s">
        <v>8</v>
      </c>
      <c r="C579" t="s">
        <v>23</v>
      </c>
      <c r="D579" t="s">
        <v>24</v>
      </c>
      <c r="E579" t="s">
        <v>11</v>
      </c>
      <c r="F579" t="s">
        <v>17</v>
      </c>
      <c r="G579">
        <v>68</v>
      </c>
      <c r="H579">
        <v>60</v>
      </c>
      <c r="I579">
        <v>62</v>
      </c>
      <c r="J579">
        <f>SUM(Table2[[#This Row],[math score]:[writing score]])</f>
        <v>190</v>
      </c>
      <c r="K579">
        <f>Table2[[#This Row],[Total score]]/3</f>
        <v>63.333333333333336</v>
      </c>
    </row>
    <row r="580" spans="1:11" x14ac:dyDescent="0.25">
      <c r="A580" t="s">
        <v>607</v>
      </c>
      <c r="B580" t="s">
        <v>13</v>
      </c>
      <c r="C580" t="s">
        <v>20</v>
      </c>
      <c r="D580" t="s">
        <v>21</v>
      </c>
      <c r="E580" t="s">
        <v>11</v>
      </c>
      <c r="F580" t="s">
        <v>17</v>
      </c>
      <c r="G580">
        <v>68</v>
      </c>
      <c r="H580">
        <v>71</v>
      </c>
      <c r="I580">
        <v>71</v>
      </c>
      <c r="J580">
        <f>SUM(Table2[[#This Row],[math score]:[writing score]])</f>
        <v>210</v>
      </c>
      <c r="K580">
        <f>Table2[[#This Row],[Total score]]/3</f>
        <v>70</v>
      </c>
    </row>
    <row r="581" spans="1:11" x14ac:dyDescent="0.25">
      <c r="A581" t="s">
        <v>608</v>
      </c>
      <c r="B581" t="s">
        <v>13</v>
      </c>
      <c r="C581" t="s">
        <v>20</v>
      </c>
      <c r="D581" t="s">
        <v>10</v>
      </c>
      <c r="E581" t="s">
        <v>16</v>
      </c>
      <c r="F581" t="s">
        <v>17</v>
      </c>
      <c r="G581">
        <v>47</v>
      </c>
      <c r="H581">
        <v>49</v>
      </c>
      <c r="I581">
        <v>50</v>
      </c>
      <c r="J581">
        <f>SUM(Table2[[#This Row],[math score]:[writing score]])</f>
        <v>146</v>
      </c>
      <c r="K581">
        <f>Table2[[#This Row],[Total score]]/3</f>
        <v>48.666666666666664</v>
      </c>
    </row>
    <row r="582" spans="1:11" x14ac:dyDescent="0.25">
      <c r="A582" t="s">
        <v>609</v>
      </c>
      <c r="B582" t="s">
        <v>8</v>
      </c>
      <c r="C582" t="s">
        <v>18</v>
      </c>
      <c r="D582" t="s">
        <v>24</v>
      </c>
      <c r="E582" t="s">
        <v>16</v>
      </c>
      <c r="F582" t="s">
        <v>12</v>
      </c>
      <c r="G582">
        <v>84</v>
      </c>
      <c r="H582">
        <v>77</v>
      </c>
      <c r="I582">
        <v>82</v>
      </c>
      <c r="J582">
        <f>SUM(Table2[[#This Row],[math score]:[writing score]])</f>
        <v>243</v>
      </c>
      <c r="K582">
        <f>Table2[[#This Row],[Total score]]/3</f>
        <v>81</v>
      </c>
    </row>
    <row r="583" spans="1:11" x14ac:dyDescent="0.25">
      <c r="A583" t="s">
        <v>610</v>
      </c>
      <c r="B583" t="s">
        <v>8</v>
      </c>
      <c r="C583" t="s">
        <v>20</v>
      </c>
      <c r="D583" t="s">
        <v>19</v>
      </c>
      <c r="E583" t="s">
        <v>16</v>
      </c>
      <c r="F583" t="s">
        <v>17</v>
      </c>
      <c r="G583">
        <v>69</v>
      </c>
      <c r="H583">
        <v>72</v>
      </c>
      <c r="I583">
        <v>68</v>
      </c>
      <c r="J583">
        <f>SUM(Table2[[#This Row],[math score]:[writing score]])</f>
        <v>209</v>
      </c>
      <c r="K583">
        <f>Table2[[#This Row],[Total score]]/3</f>
        <v>69.666666666666671</v>
      </c>
    </row>
    <row r="584" spans="1:11" x14ac:dyDescent="0.25">
      <c r="A584" t="s">
        <v>611</v>
      </c>
      <c r="B584" t="s">
        <v>13</v>
      </c>
      <c r="C584" t="s">
        <v>14</v>
      </c>
      <c r="D584" t="s">
        <v>22</v>
      </c>
      <c r="E584" t="s">
        <v>11</v>
      </c>
      <c r="F584" t="s">
        <v>12</v>
      </c>
      <c r="G584">
        <v>52</v>
      </c>
      <c r="H584">
        <v>69</v>
      </c>
      <c r="I584">
        <v>75</v>
      </c>
      <c r="J584">
        <f>SUM(Table2[[#This Row],[math score]:[writing score]])</f>
        <v>196</v>
      </c>
      <c r="K584">
        <f>Table2[[#This Row],[Total score]]/3</f>
        <v>65.333333333333329</v>
      </c>
    </row>
    <row r="585" spans="1:11" x14ac:dyDescent="0.25">
      <c r="A585" t="s">
        <v>612</v>
      </c>
      <c r="B585" t="s">
        <v>8</v>
      </c>
      <c r="C585" t="s">
        <v>20</v>
      </c>
      <c r="D585" t="s">
        <v>21</v>
      </c>
      <c r="E585" t="s">
        <v>11</v>
      </c>
      <c r="F585" t="s">
        <v>17</v>
      </c>
      <c r="G585">
        <v>80</v>
      </c>
      <c r="H585">
        <v>79</v>
      </c>
      <c r="I585">
        <v>79</v>
      </c>
      <c r="J585">
        <f>SUM(Table2[[#This Row],[math score]:[writing score]])</f>
        <v>238</v>
      </c>
      <c r="K585">
        <f>Table2[[#This Row],[Total score]]/3</f>
        <v>79.333333333333329</v>
      </c>
    </row>
    <row r="586" spans="1:11" x14ac:dyDescent="0.25">
      <c r="A586" t="s">
        <v>613</v>
      </c>
      <c r="B586" t="s">
        <v>8</v>
      </c>
      <c r="C586" t="s">
        <v>23</v>
      </c>
      <c r="D586" t="s">
        <v>22</v>
      </c>
      <c r="E586" t="s">
        <v>11</v>
      </c>
      <c r="F586" t="s">
        <v>17</v>
      </c>
      <c r="G586">
        <v>100</v>
      </c>
      <c r="H586">
        <v>84</v>
      </c>
      <c r="I586">
        <v>88</v>
      </c>
      <c r="J586">
        <f>SUM(Table2[[#This Row],[math score]:[writing score]])</f>
        <v>272</v>
      </c>
      <c r="K586">
        <f>Table2[[#This Row],[Total score]]/3</f>
        <v>90.666666666666671</v>
      </c>
    </row>
    <row r="587" spans="1:11" x14ac:dyDescent="0.25">
      <c r="A587" t="s">
        <v>614</v>
      </c>
      <c r="B587" t="s">
        <v>8</v>
      </c>
      <c r="C587" t="s">
        <v>23</v>
      </c>
      <c r="D587" t="s">
        <v>10</v>
      </c>
      <c r="E587" t="s">
        <v>11</v>
      </c>
      <c r="F587" t="s">
        <v>12</v>
      </c>
      <c r="G587">
        <v>53</v>
      </c>
      <c r="H587">
        <v>59</v>
      </c>
      <c r="I587">
        <v>64</v>
      </c>
      <c r="J587">
        <f>SUM(Table2[[#This Row],[math score]:[writing score]])</f>
        <v>176</v>
      </c>
      <c r="K587">
        <f>Table2[[#This Row],[Total score]]/3</f>
        <v>58.666666666666664</v>
      </c>
    </row>
    <row r="588" spans="1:11" x14ac:dyDescent="0.25">
      <c r="A588" t="s">
        <v>615</v>
      </c>
      <c r="B588" t="s">
        <v>13</v>
      </c>
      <c r="C588" t="s">
        <v>20</v>
      </c>
      <c r="D588" t="s">
        <v>24</v>
      </c>
      <c r="E588" t="s">
        <v>11</v>
      </c>
      <c r="F588" t="s">
        <v>12</v>
      </c>
      <c r="G588">
        <v>59</v>
      </c>
      <c r="H588">
        <v>73</v>
      </c>
      <c r="I588">
        <v>74</v>
      </c>
      <c r="J588">
        <f>SUM(Table2[[#This Row],[math score]:[writing score]])</f>
        <v>206</v>
      </c>
      <c r="K588">
        <f>Table2[[#This Row],[Total score]]/3</f>
        <v>68.666666666666671</v>
      </c>
    </row>
    <row r="589" spans="1:11" x14ac:dyDescent="0.25">
      <c r="A589" t="s">
        <v>616</v>
      </c>
      <c r="B589" t="s">
        <v>13</v>
      </c>
      <c r="C589" t="s">
        <v>20</v>
      </c>
      <c r="D589" t="s">
        <v>19</v>
      </c>
      <c r="E589" t="s">
        <v>11</v>
      </c>
      <c r="F589" t="s">
        <v>17</v>
      </c>
      <c r="G589">
        <v>78</v>
      </c>
      <c r="H589">
        <v>96</v>
      </c>
      <c r="I589">
        <v>89</v>
      </c>
      <c r="J589">
        <f>SUM(Table2[[#This Row],[math score]:[writing score]])</f>
        <v>263</v>
      </c>
      <c r="K589">
        <f>Table2[[#This Row],[Total score]]/3</f>
        <v>87.666666666666671</v>
      </c>
    </row>
    <row r="590" spans="1:11" x14ac:dyDescent="0.25">
      <c r="A590" t="s">
        <v>617</v>
      </c>
      <c r="B590" t="s">
        <v>13</v>
      </c>
      <c r="C590" t="s">
        <v>20</v>
      </c>
      <c r="D590" t="s">
        <v>21</v>
      </c>
      <c r="E590" t="s">
        <v>11</v>
      </c>
      <c r="F590" t="s">
        <v>17</v>
      </c>
      <c r="G590">
        <v>84</v>
      </c>
      <c r="H590">
        <v>87</v>
      </c>
      <c r="I590">
        <v>89</v>
      </c>
      <c r="J590">
        <f>SUM(Table2[[#This Row],[math score]:[writing score]])</f>
        <v>260</v>
      </c>
      <c r="K590">
        <f>Table2[[#This Row],[Total score]]/3</f>
        <v>86.666666666666671</v>
      </c>
    </row>
    <row r="591" spans="1:11" x14ac:dyDescent="0.25">
      <c r="A591" t="s">
        <v>618</v>
      </c>
      <c r="B591" t="s">
        <v>13</v>
      </c>
      <c r="C591" t="s">
        <v>23</v>
      </c>
      <c r="D591" t="s">
        <v>10</v>
      </c>
      <c r="E591" t="s">
        <v>16</v>
      </c>
      <c r="F591" t="s">
        <v>17</v>
      </c>
      <c r="G591">
        <v>52</v>
      </c>
      <c r="H591">
        <v>72</v>
      </c>
      <c r="I591">
        <v>71</v>
      </c>
      <c r="J591">
        <f>SUM(Table2[[#This Row],[math score]:[writing score]])</f>
        <v>195</v>
      </c>
      <c r="K591">
        <f>Table2[[#This Row],[Total score]]/3</f>
        <v>65</v>
      </c>
    </row>
    <row r="592" spans="1:11" x14ac:dyDescent="0.25">
      <c r="A592" t="s">
        <v>619</v>
      </c>
      <c r="B592" t="s">
        <v>8</v>
      </c>
      <c r="C592" t="s">
        <v>23</v>
      </c>
      <c r="D592" t="s">
        <v>21</v>
      </c>
      <c r="E592" t="s">
        <v>16</v>
      </c>
      <c r="F592" t="s">
        <v>17</v>
      </c>
      <c r="G592">
        <v>81</v>
      </c>
      <c r="H592">
        <v>78</v>
      </c>
      <c r="I592">
        <v>75</v>
      </c>
      <c r="J592">
        <f>SUM(Table2[[#This Row],[math score]:[writing score]])</f>
        <v>234</v>
      </c>
      <c r="K592">
        <f>Table2[[#This Row],[Total score]]/3</f>
        <v>78</v>
      </c>
    </row>
    <row r="593" spans="1:11" x14ac:dyDescent="0.25">
      <c r="A593" t="s">
        <v>620</v>
      </c>
      <c r="B593" t="s">
        <v>13</v>
      </c>
      <c r="C593" t="s">
        <v>23</v>
      </c>
      <c r="D593" t="s">
        <v>21</v>
      </c>
      <c r="E593" t="s">
        <v>11</v>
      </c>
      <c r="F593" t="s">
        <v>12</v>
      </c>
      <c r="G593">
        <v>90</v>
      </c>
      <c r="H593">
        <v>95</v>
      </c>
      <c r="I593">
        <v>100</v>
      </c>
      <c r="J593">
        <f>SUM(Table2[[#This Row],[math score]:[writing score]])</f>
        <v>285</v>
      </c>
      <c r="K593">
        <f>Table2[[#This Row],[Total score]]/3</f>
        <v>95</v>
      </c>
    </row>
    <row r="594" spans="1:11" x14ac:dyDescent="0.25">
      <c r="A594" t="s">
        <v>621</v>
      </c>
      <c r="B594" t="s">
        <v>13</v>
      </c>
      <c r="C594" t="s">
        <v>9</v>
      </c>
      <c r="D594" t="s">
        <v>10</v>
      </c>
      <c r="E594" t="s">
        <v>11</v>
      </c>
      <c r="F594" t="s">
        <v>17</v>
      </c>
      <c r="G594">
        <v>63</v>
      </c>
      <c r="H594">
        <v>73</v>
      </c>
      <c r="I594">
        <v>66</v>
      </c>
      <c r="J594">
        <f>SUM(Table2[[#This Row],[math score]:[writing score]])</f>
        <v>202</v>
      </c>
      <c r="K594">
        <f>Table2[[#This Row],[Total score]]/3</f>
        <v>67.333333333333329</v>
      </c>
    </row>
    <row r="595" spans="1:11" x14ac:dyDescent="0.25">
      <c r="A595" t="s">
        <v>622</v>
      </c>
      <c r="B595" t="s">
        <v>8</v>
      </c>
      <c r="C595" t="s">
        <v>14</v>
      </c>
      <c r="D595" t="s">
        <v>22</v>
      </c>
      <c r="E595" t="s">
        <v>11</v>
      </c>
      <c r="F595" t="s">
        <v>12</v>
      </c>
      <c r="G595">
        <v>100</v>
      </c>
      <c r="H595">
        <v>97</v>
      </c>
      <c r="I595">
        <v>100</v>
      </c>
      <c r="J595">
        <f>SUM(Table2[[#This Row],[math score]:[writing score]])</f>
        <v>297</v>
      </c>
      <c r="K595">
        <f>Table2[[#This Row],[Total score]]/3</f>
        <v>99</v>
      </c>
    </row>
    <row r="596" spans="1:11" x14ac:dyDescent="0.25">
      <c r="A596" t="s">
        <v>623</v>
      </c>
      <c r="B596" t="s">
        <v>13</v>
      </c>
      <c r="C596" t="s">
        <v>20</v>
      </c>
      <c r="D596" t="s">
        <v>19</v>
      </c>
      <c r="E596" t="s">
        <v>11</v>
      </c>
      <c r="F596" t="s">
        <v>17</v>
      </c>
      <c r="G596">
        <v>56</v>
      </c>
      <c r="H596">
        <v>63</v>
      </c>
      <c r="I596">
        <v>62</v>
      </c>
      <c r="J596">
        <f>SUM(Table2[[#This Row],[math score]:[writing score]])</f>
        <v>181</v>
      </c>
      <c r="K596">
        <f>Table2[[#This Row],[Total score]]/3</f>
        <v>60.333333333333336</v>
      </c>
    </row>
    <row r="597" spans="1:11" x14ac:dyDescent="0.25">
      <c r="A597" t="s">
        <v>624</v>
      </c>
      <c r="B597" t="s">
        <v>13</v>
      </c>
      <c r="C597" t="s">
        <v>20</v>
      </c>
      <c r="D597" t="s">
        <v>19</v>
      </c>
      <c r="E597" t="s">
        <v>11</v>
      </c>
      <c r="F597" t="s">
        <v>17</v>
      </c>
      <c r="G597">
        <v>46</v>
      </c>
      <c r="H597">
        <v>54</v>
      </c>
      <c r="I597">
        <v>54</v>
      </c>
      <c r="J597">
        <f>SUM(Table2[[#This Row],[math score]:[writing score]])</f>
        <v>154</v>
      </c>
      <c r="K597">
        <f>Table2[[#This Row],[Total score]]/3</f>
        <v>51.333333333333336</v>
      </c>
    </row>
    <row r="598" spans="1:11" x14ac:dyDescent="0.25">
      <c r="A598" t="s">
        <v>625</v>
      </c>
      <c r="B598" t="s">
        <v>13</v>
      </c>
      <c r="C598" t="s">
        <v>20</v>
      </c>
      <c r="D598" t="s">
        <v>10</v>
      </c>
      <c r="E598" t="s">
        <v>16</v>
      </c>
      <c r="F598" t="s">
        <v>12</v>
      </c>
      <c r="G598">
        <v>75</v>
      </c>
      <c r="H598">
        <v>85</v>
      </c>
      <c r="I598">
        <v>90</v>
      </c>
      <c r="J598">
        <f>SUM(Table2[[#This Row],[math score]:[writing score]])</f>
        <v>250</v>
      </c>
      <c r="K598">
        <f>Table2[[#This Row],[Total score]]/3</f>
        <v>83.333333333333329</v>
      </c>
    </row>
    <row r="599" spans="1:11" x14ac:dyDescent="0.25">
      <c r="A599" t="s">
        <v>626</v>
      </c>
      <c r="B599" t="s">
        <v>13</v>
      </c>
      <c r="C599" t="s">
        <v>9</v>
      </c>
      <c r="D599" t="s">
        <v>19</v>
      </c>
      <c r="E599" t="s">
        <v>11</v>
      </c>
      <c r="F599" t="s">
        <v>17</v>
      </c>
      <c r="G599">
        <v>46</v>
      </c>
      <c r="H599">
        <v>51</v>
      </c>
      <c r="I599">
        <v>54</v>
      </c>
      <c r="J599">
        <f>SUM(Table2[[#This Row],[math score]:[writing score]])</f>
        <v>151</v>
      </c>
      <c r="K599">
        <f>Table2[[#This Row],[Total score]]/3</f>
        <v>50.333333333333336</v>
      </c>
    </row>
    <row r="600" spans="1:11" x14ac:dyDescent="0.25">
      <c r="A600" t="s">
        <v>627</v>
      </c>
      <c r="B600" t="s">
        <v>8</v>
      </c>
      <c r="C600" t="s">
        <v>9</v>
      </c>
      <c r="D600" t="s">
        <v>15</v>
      </c>
      <c r="E600" t="s">
        <v>16</v>
      </c>
      <c r="F600" t="s">
        <v>17</v>
      </c>
      <c r="G600">
        <v>42</v>
      </c>
      <c r="H600">
        <v>40</v>
      </c>
      <c r="I600">
        <v>40</v>
      </c>
      <c r="J600">
        <f>SUM(Table2[[#This Row],[math score]:[writing score]])</f>
        <v>122</v>
      </c>
      <c r="K600">
        <f>Table2[[#This Row],[Total score]]/3</f>
        <v>40.666666666666664</v>
      </c>
    </row>
    <row r="601" spans="1:11" x14ac:dyDescent="0.25">
      <c r="A601" t="s">
        <v>628</v>
      </c>
      <c r="B601" t="s">
        <v>13</v>
      </c>
      <c r="C601" t="s">
        <v>23</v>
      </c>
      <c r="D601" t="s">
        <v>15</v>
      </c>
      <c r="E601" t="s">
        <v>11</v>
      </c>
      <c r="F601" t="s">
        <v>12</v>
      </c>
      <c r="G601">
        <v>77</v>
      </c>
      <c r="H601">
        <v>86</v>
      </c>
      <c r="I601">
        <v>90</v>
      </c>
      <c r="J601">
        <f>SUM(Table2[[#This Row],[math score]:[writing score]])</f>
        <v>253</v>
      </c>
      <c r="K601">
        <f>Table2[[#This Row],[Total score]]/3</f>
        <v>84.333333333333329</v>
      </c>
    </row>
    <row r="602" spans="1:11" x14ac:dyDescent="0.25">
      <c r="A602" t="s">
        <v>629</v>
      </c>
      <c r="B602" t="s">
        <v>13</v>
      </c>
      <c r="C602" t="s">
        <v>23</v>
      </c>
      <c r="D602" t="s">
        <v>19</v>
      </c>
      <c r="E602" t="s">
        <v>16</v>
      </c>
      <c r="F602" t="s">
        <v>17</v>
      </c>
      <c r="G602">
        <v>40</v>
      </c>
      <c r="H602">
        <v>63</v>
      </c>
      <c r="I602">
        <v>56</v>
      </c>
      <c r="J602">
        <f>SUM(Table2[[#This Row],[math score]:[writing score]])</f>
        <v>159</v>
      </c>
      <c r="K602">
        <f>Table2[[#This Row],[Total score]]/3</f>
        <v>53</v>
      </c>
    </row>
    <row r="603" spans="1:11" x14ac:dyDescent="0.25">
      <c r="A603" t="s">
        <v>630</v>
      </c>
      <c r="B603" t="s">
        <v>13</v>
      </c>
      <c r="C603" t="s">
        <v>14</v>
      </c>
      <c r="D603" t="s">
        <v>10</v>
      </c>
      <c r="E603" t="s">
        <v>11</v>
      </c>
      <c r="F603" t="s">
        <v>17</v>
      </c>
      <c r="G603">
        <v>69</v>
      </c>
      <c r="H603">
        <v>71</v>
      </c>
      <c r="I603">
        <v>76</v>
      </c>
      <c r="J603">
        <f>SUM(Table2[[#This Row],[math score]:[writing score]])</f>
        <v>216</v>
      </c>
      <c r="K603">
        <f>Table2[[#This Row],[Total score]]/3</f>
        <v>72</v>
      </c>
    </row>
    <row r="604" spans="1:11" x14ac:dyDescent="0.25">
      <c r="A604" t="s">
        <v>631</v>
      </c>
      <c r="B604" t="s">
        <v>8</v>
      </c>
      <c r="C604" t="s">
        <v>23</v>
      </c>
      <c r="D604" t="s">
        <v>10</v>
      </c>
      <c r="E604" t="s">
        <v>11</v>
      </c>
      <c r="F604" t="s">
        <v>17</v>
      </c>
      <c r="G604">
        <v>43</v>
      </c>
      <c r="H604">
        <v>50</v>
      </c>
      <c r="I604">
        <v>45</v>
      </c>
      <c r="J604">
        <f>SUM(Table2[[#This Row],[math score]:[writing score]])</f>
        <v>138</v>
      </c>
      <c r="K604">
        <f>Table2[[#This Row],[Total score]]/3</f>
        <v>46</v>
      </c>
    </row>
    <row r="605" spans="1:11" x14ac:dyDescent="0.25">
      <c r="A605" t="s">
        <v>632</v>
      </c>
      <c r="B605" t="s">
        <v>13</v>
      </c>
      <c r="C605" t="s">
        <v>23</v>
      </c>
      <c r="D605" t="s">
        <v>21</v>
      </c>
      <c r="E605" t="s">
        <v>11</v>
      </c>
      <c r="F605" t="s">
        <v>12</v>
      </c>
      <c r="G605">
        <v>69</v>
      </c>
      <c r="H605">
        <v>75</v>
      </c>
      <c r="I605">
        <v>71</v>
      </c>
      <c r="J605">
        <f>SUM(Table2[[#This Row],[math score]:[writing score]])</f>
        <v>215</v>
      </c>
      <c r="K605">
        <f>Table2[[#This Row],[Total score]]/3</f>
        <v>71.666666666666671</v>
      </c>
    </row>
    <row r="606" spans="1:11" x14ac:dyDescent="0.25">
      <c r="A606" t="s">
        <v>633</v>
      </c>
      <c r="B606" t="s">
        <v>13</v>
      </c>
      <c r="C606" t="s">
        <v>14</v>
      </c>
      <c r="D606" t="s">
        <v>22</v>
      </c>
      <c r="E606" t="s">
        <v>11</v>
      </c>
      <c r="F606" t="s">
        <v>12</v>
      </c>
      <c r="G606">
        <v>89</v>
      </c>
      <c r="H606">
        <v>93</v>
      </c>
      <c r="I606">
        <v>100</v>
      </c>
      <c r="J606">
        <f>SUM(Table2[[#This Row],[math score]:[writing score]])</f>
        <v>282</v>
      </c>
      <c r="K606">
        <f>Table2[[#This Row],[Total score]]/3</f>
        <v>94</v>
      </c>
    </row>
    <row r="607" spans="1:11" x14ac:dyDescent="0.25">
      <c r="A607" t="s">
        <v>634</v>
      </c>
      <c r="B607" t="s">
        <v>8</v>
      </c>
      <c r="C607" t="s">
        <v>20</v>
      </c>
      <c r="D607" t="s">
        <v>21</v>
      </c>
      <c r="E607" t="s">
        <v>11</v>
      </c>
      <c r="F607" t="s">
        <v>17</v>
      </c>
      <c r="G607">
        <v>44</v>
      </c>
      <c r="H607">
        <v>34</v>
      </c>
      <c r="I607">
        <v>36</v>
      </c>
      <c r="J607">
        <f>SUM(Table2[[#This Row],[math score]:[writing score]])</f>
        <v>114</v>
      </c>
      <c r="K607">
        <f>Table2[[#This Row],[Total score]]/3</f>
        <v>38</v>
      </c>
    </row>
    <row r="608" spans="1:11" x14ac:dyDescent="0.25">
      <c r="A608" t="s">
        <v>635</v>
      </c>
      <c r="B608" t="s">
        <v>8</v>
      </c>
      <c r="C608" t="s">
        <v>14</v>
      </c>
      <c r="D608" t="s">
        <v>10</v>
      </c>
      <c r="E608" t="s">
        <v>16</v>
      </c>
      <c r="F608" t="s">
        <v>12</v>
      </c>
      <c r="G608">
        <v>82</v>
      </c>
      <c r="H608">
        <v>83</v>
      </c>
      <c r="I608">
        <v>77</v>
      </c>
      <c r="J608">
        <f>SUM(Table2[[#This Row],[math score]:[writing score]])</f>
        <v>242</v>
      </c>
      <c r="K608">
        <f>Table2[[#This Row],[Total score]]/3</f>
        <v>80.666666666666671</v>
      </c>
    </row>
    <row r="609" spans="1:11" x14ac:dyDescent="0.25">
      <c r="A609" t="s">
        <v>636</v>
      </c>
      <c r="B609" t="s">
        <v>8</v>
      </c>
      <c r="C609" t="s">
        <v>14</v>
      </c>
      <c r="D609" t="s">
        <v>21</v>
      </c>
      <c r="E609" t="s">
        <v>16</v>
      </c>
      <c r="F609" t="s">
        <v>17</v>
      </c>
      <c r="G609">
        <v>72</v>
      </c>
      <c r="H609">
        <v>72</v>
      </c>
      <c r="I609">
        <v>65</v>
      </c>
      <c r="J609">
        <f>SUM(Table2[[#This Row],[math score]:[writing score]])</f>
        <v>209</v>
      </c>
      <c r="K609">
        <f>Table2[[#This Row],[Total score]]/3</f>
        <v>69.666666666666671</v>
      </c>
    </row>
    <row r="610" spans="1:11" x14ac:dyDescent="0.25">
      <c r="A610" t="s">
        <v>637</v>
      </c>
      <c r="B610" t="s">
        <v>8</v>
      </c>
      <c r="C610" t="s">
        <v>23</v>
      </c>
      <c r="D610" t="s">
        <v>22</v>
      </c>
      <c r="E610" t="s">
        <v>11</v>
      </c>
      <c r="F610" t="s">
        <v>17</v>
      </c>
      <c r="G610">
        <v>64</v>
      </c>
      <c r="H610">
        <v>53</v>
      </c>
      <c r="I610">
        <v>50</v>
      </c>
      <c r="J610">
        <f>SUM(Table2[[#This Row],[math score]:[writing score]])</f>
        <v>167</v>
      </c>
      <c r="K610">
        <f>Table2[[#This Row],[Total score]]/3</f>
        <v>55.666666666666664</v>
      </c>
    </row>
    <row r="611" spans="1:11" x14ac:dyDescent="0.25">
      <c r="A611" t="s">
        <v>638</v>
      </c>
      <c r="B611" t="s">
        <v>8</v>
      </c>
      <c r="C611" t="s">
        <v>14</v>
      </c>
      <c r="D611" t="s">
        <v>15</v>
      </c>
      <c r="E611" t="s">
        <v>11</v>
      </c>
      <c r="F611" t="s">
        <v>17</v>
      </c>
      <c r="G611">
        <v>89</v>
      </c>
      <c r="H611">
        <v>73</v>
      </c>
      <c r="I611">
        <v>70</v>
      </c>
      <c r="J611">
        <f>SUM(Table2[[#This Row],[math score]:[writing score]])</f>
        <v>232</v>
      </c>
      <c r="K611">
        <f>Table2[[#This Row],[Total score]]/3</f>
        <v>77.333333333333329</v>
      </c>
    </row>
    <row r="612" spans="1:11" x14ac:dyDescent="0.25">
      <c r="A612" t="s">
        <v>639</v>
      </c>
      <c r="B612" t="s">
        <v>8</v>
      </c>
      <c r="C612" t="s">
        <v>18</v>
      </c>
      <c r="D612" t="s">
        <v>21</v>
      </c>
      <c r="E612" t="s">
        <v>16</v>
      </c>
      <c r="F612" t="s">
        <v>17</v>
      </c>
      <c r="G612">
        <v>58</v>
      </c>
      <c r="H612">
        <v>53</v>
      </c>
      <c r="I612">
        <v>54</v>
      </c>
      <c r="J612">
        <f>SUM(Table2[[#This Row],[math score]:[writing score]])</f>
        <v>165</v>
      </c>
      <c r="K612">
        <f>Table2[[#This Row],[Total score]]/3</f>
        <v>55</v>
      </c>
    </row>
    <row r="613" spans="1:11" x14ac:dyDescent="0.25">
      <c r="A613" t="s">
        <v>640</v>
      </c>
      <c r="B613" t="s">
        <v>13</v>
      </c>
      <c r="C613" t="s">
        <v>9</v>
      </c>
      <c r="D613" t="s">
        <v>10</v>
      </c>
      <c r="E613" t="s">
        <v>11</v>
      </c>
      <c r="F613" t="s">
        <v>12</v>
      </c>
      <c r="G613">
        <v>63</v>
      </c>
      <c r="H613">
        <v>81</v>
      </c>
      <c r="I613">
        <v>78</v>
      </c>
      <c r="J613">
        <f>SUM(Table2[[#This Row],[math score]:[writing score]])</f>
        <v>222</v>
      </c>
      <c r="K613">
        <f>Table2[[#This Row],[Total score]]/3</f>
        <v>74</v>
      </c>
    </row>
    <row r="614" spans="1:11" x14ac:dyDescent="0.25">
      <c r="A614" t="s">
        <v>641</v>
      </c>
      <c r="B614" t="s">
        <v>13</v>
      </c>
      <c r="C614" t="s">
        <v>9</v>
      </c>
      <c r="D614" t="s">
        <v>22</v>
      </c>
      <c r="E614" t="s">
        <v>11</v>
      </c>
      <c r="F614" t="s">
        <v>17</v>
      </c>
      <c r="G614">
        <v>54</v>
      </c>
      <c r="H614">
        <v>66</v>
      </c>
      <c r="I614">
        <v>69</v>
      </c>
      <c r="J614">
        <f>SUM(Table2[[#This Row],[math score]:[writing score]])</f>
        <v>189</v>
      </c>
      <c r="K614">
        <f>Table2[[#This Row],[Total score]]/3</f>
        <v>63</v>
      </c>
    </row>
    <row r="615" spans="1:11" x14ac:dyDescent="0.25">
      <c r="A615" t="s">
        <v>642</v>
      </c>
      <c r="B615" t="s">
        <v>8</v>
      </c>
      <c r="C615" t="s">
        <v>23</v>
      </c>
      <c r="D615" t="s">
        <v>10</v>
      </c>
      <c r="E615" t="s">
        <v>16</v>
      </c>
      <c r="F615" t="s">
        <v>12</v>
      </c>
      <c r="G615">
        <v>83</v>
      </c>
      <c r="H615">
        <v>78</v>
      </c>
      <c r="I615">
        <v>82</v>
      </c>
      <c r="J615">
        <f>SUM(Table2[[#This Row],[math score]:[writing score]])</f>
        <v>243</v>
      </c>
      <c r="K615">
        <f>Table2[[#This Row],[Total score]]/3</f>
        <v>81</v>
      </c>
    </row>
    <row r="616" spans="1:11" x14ac:dyDescent="0.25">
      <c r="A616" t="s">
        <v>643</v>
      </c>
      <c r="B616" t="s">
        <v>13</v>
      </c>
      <c r="C616" t="s">
        <v>23</v>
      </c>
      <c r="D616" t="s">
        <v>10</v>
      </c>
      <c r="E616" t="s">
        <v>11</v>
      </c>
      <c r="F616" t="s">
        <v>17</v>
      </c>
      <c r="G616">
        <v>57</v>
      </c>
      <c r="H616">
        <v>74</v>
      </c>
      <c r="I616">
        <v>64</v>
      </c>
      <c r="J616">
        <f>SUM(Table2[[#This Row],[math score]:[writing score]])</f>
        <v>195</v>
      </c>
      <c r="K616">
        <f>Table2[[#This Row],[Total score]]/3</f>
        <v>65</v>
      </c>
    </row>
    <row r="617" spans="1:11" x14ac:dyDescent="0.25">
      <c r="A617" t="s">
        <v>644</v>
      </c>
      <c r="B617" t="s">
        <v>13</v>
      </c>
      <c r="C617" t="s">
        <v>23</v>
      </c>
      <c r="D617" t="s">
        <v>10</v>
      </c>
      <c r="E617" t="s">
        <v>11</v>
      </c>
      <c r="F617" t="s">
        <v>17</v>
      </c>
      <c r="G617">
        <v>52</v>
      </c>
      <c r="H617">
        <v>47</v>
      </c>
      <c r="I617">
        <v>48</v>
      </c>
      <c r="J617">
        <f>SUM(Table2[[#This Row],[math score]:[writing score]])</f>
        <v>147</v>
      </c>
      <c r="K617">
        <f>Table2[[#This Row],[Total score]]/3</f>
        <v>49</v>
      </c>
    </row>
    <row r="618" spans="1:11" x14ac:dyDescent="0.25">
      <c r="A618" t="s">
        <v>645</v>
      </c>
      <c r="B618" t="s">
        <v>13</v>
      </c>
      <c r="C618" t="s">
        <v>14</v>
      </c>
      <c r="D618" t="s">
        <v>10</v>
      </c>
      <c r="E618" t="s">
        <v>11</v>
      </c>
      <c r="F618" t="s">
        <v>12</v>
      </c>
      <c r="G618">
        <v>75</v>
      </c>
      <c r="H618">
        <v>93</v>
      </c>
      <c r="I618">
        <v>97</v>
      </c>
      <c r="J618">
        <f>SUM(Table2[[#This Row],[math score]:[writing score]])</f>
        <v>265</v>
      </c>
      <c r="K618">
        <f>Table2[[#This Row],[Total score]]/3</f>
        <v>88.333333333333329</v>
      </c>
    </row>
    <row r="619" spans="1:11" x14ac:dyDescent="0.25">
      <c r="A619" t="s">
        <v>646</v>
      </c>
      <c r="B619" t="s">
        <v>8</v>
      </c>
      <c r="C619" t="s">
        <v>18</v>
      </c>
      <c r="D619" t="s">
        <v>10</v>
      </c>
      <c r="E619" t="s">
        <v>16</v>
      </c>
      <c r="F619" t="s">
        <v>12</v>
      </c>
      <c r="G619">
        <v>67</v>
      </c>
      <c r="H619">
        <v>66</v>
      </c>
      <c r="I619">
        <v>64</v>
      </c>
      <c r="J619">
        <f>SUM(Table2[[#This Row],[math score]:[writing score]])</f>
        <v>197</v>
      </c>
      <c r="K619">
        <f>Table2[[#This Row],[Total score]]/3</f>
        <v>65.666666666666671</v>
      </c>
    </row>
    <row r="620" spans="1:11" x14ac:dyDescent="0.25">
      <c r="A620" t="s">
        <v>647</v>
      </c>
      <c r="B620" t="s">
        <v>8</v>
      </c>
      <c r="C620" t="s">
        <v>20</v>
      </c>
      <c r="D620" t="s">
        <v>15</v>
      </c>
      <c r="E620" t="s">
        <v>11</v>
      </c>
      <c r="F620" t="s">
        <v>17</v>
      </c>
      <c r="G620">
        <v>58</v>
      </c>
      <c r="H620">
        <v>60</v>
      </c>
      <c r="I620">
        <v>53</v>
      </c>
      <c r="J620">
        <f>SUM(Table2[[#This Row],[math score]:[writing score]])</f>
        <v>171</v>
      </c>
      <c r="K620">
        <f>Table2[[#This Row],[Total score]]/3</f>
        <v>57</v>
      </c>
    </row>
    <row r="621" spans="1:11" x14ac:dyDescent="0.25">
      <c r="A621" t="s">
        <v>648</v>
      </c>
      <c r="B621" t="s">
        <v>13</v>
      </c>
      <c r="C621" t="s">
        <v>20</v>
      </c>
      <c r="D621" t="s">
        <v>22</v>
      </c>
      <c r="E621" t="s">
        <v>16</v>
      </c>
      <c r="F621" t="s">
        <v>17</v>
      </c>
      <c r="G621">
        <v>63</v>
      </c>
      <c r="H621">
        <v>66</v>
      </c>
      <c r="I621">
        <v>68</v>
      </c>
      <c r="J621">
        <f>SUM(Table2[[#This Row],[math score]:[writing score]])</f>
        <v>197</v>
      </c>
      <c r="K621">
        <f>Table2[[#This Row],[Total score]]/3</f>
        <v>65.666666666666671</v>
      </c>
    </row>
    <row r="622" spans="1:11" x14ac:dyDescent="0.25">
      <c r="A622" t="s">
        <v>649</v>
      </c>
      <c r="B622" t="s">
        <v>13</v>
      </c>
      <c r="C622" t="s">
        <v>14</v>
      </c>
      <c r="D622" t="s">
        <v>15</v>
      </c>
      <c r="E622" t="s">
        <v>16</v>
      </c>
      <c r="F622" t="s">
        <v>17</v>
      </c>
      <c r="G622">
        <v>49</v>
      </c>
      <c r="H622">
        <v>64</v>
      </c>
      <c r="I622">
        <v>57</v>
      </c>
      <c r="J622">
        <f>SUM(Table2[[#This Row],[math score]:[writing score]])</f>
        <v>170</v>
      </c>
      <c r="K622">
        <f>Table2[[#This Row],[Total score]]/3</f>
        <v>56.666666666666664</v>
      </c>
    </row>
    <row r="623" spans="1:11" x14ac:dyDescent="0.25">
      <c r="A623" t="s">
        <v>650</v>
      </c>
      <c r="B623" t="s">
        <v>13</v>
      </c>
      <c r="C623" t="s">
        <v>14</v>
      </c>
      <c r="D623" t="s">
        <v>19</v>
      </c>
      <c r="E623" t="s">
        <v>16</v>
      </c>
      <c r="F623" t="s">
        <v>17</v>
      </c>
      <c r="G623">
        <v>38</v>
      </c>
      <c r="H623">
        <v>47</v>
      </c>
      <c r="I623">
        <v>52</v>
      </c>
      <c r="J623">
        <f>SUM(Table2[[#This Row],[math score]:[writing score]])</f>
        <v>137</v>
      </c>
      <c r="K623">
        <f>Table2[[#This Row],[Total score]]/3</f>
        <v>45.666666666666664</v>
      </c>
    </row>
    <row r="624" spans="1:11" x14ac:dyDescent="0.25">
      <c r="A624" t="s">
        <v>651</v>
      </c>
      <c r="B624" t="s">
        <v>13</v>
      </c>
      <c r="C624" t="s">
        <v>20</v>
      </c>
      <c r="D624" t="s">
        <v>19</v>
      </c>
      <c r="E624" t="s">
        <v>11</v>
      </c>
      <c r="F624" t="s">
        <v>12</v>
      </c>
      <c r="G624">
        <v>74</v>
      </c>
      <c r="H624">
        <v>85</v>
      </c>
      <c r="I624">
        <v>84</v>
      </c>
      <c r="J624">
        <f>SUM(Table2[[#This Row],[math score]:[writing score]])</f>
        <v>243</v>
      </c>
      <c r="K624">
        <f>Table2[[#This Row],[Total score]]/3</f>
        <v>81</v>
      </c>
    </row>
    <row r="625" spans="1:11" x14ac:dyDescent="0.25">
      <c r="A625" t="s">
        <v>652</v>
      </c>
      <c r="B625" t="s">
        <v>8</v>
      </c>
      <c r="C625" t="s">
        <v>23</v>
      </c>
      <c r="D625" t="s">
        <v>21</v>
      </c>
      <c r="E625" t="s">
        <v>16</v>
      </c>
      <c r="F625" t="s">
        <v>12</v>
      </c>
      <c r="G625">
        <v>69</v>
      </c>
      <c r="H625">
        <v>84</v>
      </c>
      <c r="I625">
        <v>82</v>
      </c>
      <c r="J625">
        <f>SUM(Table2[[#This Row],[math score]:[writing score]])</f>
        <v>235</v>
      </c>
      <c r="K625">
        <f>Table2[[#This Row],[Total score]]/3</f>
        <v>78.333333333333329</v>
      </c>
    </row>
    <row r="626" spans="1:11" x14ac:dyDescent="0.25">
      <c r="A626" t="s">
        <v>653</v>
      </c>
      <c r="B626" t="s">
        <v>13</v>
      </c>
      <c r="C626" t="s">
        <v>14</v>
      </c>
      <c r="D626" t="s">
        <v>21</v>
      </c>
      <c r="E626" t="s">
        <v>11</v>
      </c>
      <c r="F626" t="s">
        <v>17</v>
      </c>
      <c r="G626">
        <v>77</v>
      </c>
      <c r="H626">
        <v>82</v>
      </c>
      <c r="I626">
        <v>80</v>
      </c>
      <c r="J626">
        <f>SUM(Table2[[#This Row],[math score]:[writing score]])</f>
        <v>239</v>
      </c>
      <c r="K626">
        <f>Table2[[#This Row],[Total score]]/3</f>
        <v>79.666666666666671</v>
      </c>
    </row>
    <row r="627" spans="1:11" x14ac:dyDescent="0.25">
      <c r="A627" t="s">
        <v>654</v>
      </c>
      <c r="B627" t="s">
        <v>13</v>
      </c>
      <c r="C627" t="s">
        <v>9</v>
      </c>
      <c r="D627" t="s">
        <v>24</v>
      </c>
      <c r="E627" t="s">
        <v>16</v>
      </c>
      <c r="F627" t="s">
        <v>17</v>
      </c>
      <c r="G627">
        <v>40</v>
      </c>
      <c r="H627">
        <v>59</v>
      </c>
      <c r="I627">
        <v>59</v>
      </c>
      <c r="J627">
        <f>SUM(Table2[[#This Row],[math score]:[writing score]])</f>
        <v>158</v>
      </c>
      <c r="K627">
        <f>Table2[[#This Row],[Total score]]/3</f>
        <v>52.666666666666664</v>
      </c>
    </row>
    <row r="628" spans="1:11" x14ac:dyDescent="0.25">
      <c r="A628" t="s">
        <v>655</v>
      </c>
      <c r="B628" t="s">
        <v>13</v>
      </c>
      <c r="C628" t="s">
        <v>20</v>
      </c>
      <c r="D628" t="s">
        <v>24</v>
      </c>
      <c r="E628" t="s">
        <v>11</v>
      </c>
      <c r="F628" t="s">
        <v>12</v>
      </c>
      <c r="G628">
        <v>96</v>
      </c>
      <c r="H628">
        <v>98</v>
      </c>
      <c r="I628">
        <v>100</v>
      </c>
      <c r="J628">
        <f>SUM(Table2[[#This Row],[math score]:[writing score]])</f>
        <v>294</v>
      </c>
      <c r="K628">
        <f>Table2[[#This Row],[Total score]]/3</f>
        <v>98</v>
      </c>
    </row>
    <row r="629" spans="1:11" x14ac:dyDescent="0.25">
      <c r="A629" t="s">
        <v>656</v>
      </c>
      <c r="B629" t="s">
        <v>13</v>
      </c>
      <c r="C629" t="s">
        <v>20</v>
      </c>
      <c r="D629" t="s">
        <v>22</v>
      </c>
      <c r="E629" t="s">
        <v>11</v>
      </c>
      <c r="F629" t="s">
        <v>17</v>
      </c>
      <c r="G629">
        <v>85</v>
      </c>
      <c r="H629">
        <v>86</v>
      </c>
      <c r="I629">
        <v>85</v>
      </c>
      <c r="J629">
        <f>SUM(Table2[[#This Row],[math score]:[writing score]])</f>
        <v>256</v>
      </c>
      <c r="K629">
        <f>Table2[[#This Row],[Total score]]/3</f>
        <v>85.333333333333329</v>
      </c>
    </row>
    <row r="630" spans="1:11" x14ac:dyDescent="0.25">
      <c r="A630" t="s">
        <v>657</v>
      </c>
      <c r="B630" t="s">
        <v>8</v>
      </c>
      <c r="C630" t="s">
        <v>14</v>
      </c>
      <c r="D630" t="s">
        <v>21</v>
      </c>
      <c r="E630" t="s">
        <v>11</v>
      </c>
      <c r="F630" t="s">
        <v>17</v>
      </c>
      <c r="G630">
        <v>85</v>
      </c>
      <c r="H630">
        <v>77</v>
      </c>
      <c r="I630">
        <v>76</v>
      </c>
      <c r="J630">
        <f>SUM(Table2[[#This Row],[math score]:[writing score]])</f>
        <v>238</v>
      </c>
      <c r="K630">
        <f>Table2[[#This Row],[Total score]]/3</f>
        <v>79.333333333333329</v>
      </c>
    </row>
    <row r="631" spans="1:11" x14ac:dyDescent="0.25">
      <c r="A631" t="s">
        <v>658</v>
      </c>
      <c r="B631" t="s">
        <v>8</v>
      </c>
      <c r="C631" t="s">
        <v>23</v>
      </c>
      <c r="D631" t="s">
        <v>10</v>
      </c>
      <c r="E631" t="s">
        <v>11</v>
      </c>
      <c r="F631" t="s">
        <v>17</v>
      </c>
      <c r="G631">
        <v>72</v>
      </c>
      <c r="H631">
        <v>59</v>
      </c>
      <c r="I631">
        <v>54</v>
      </c>
      <c r="J631">
        <f>SUM(Table2[[#This Row],[math score]:[writing score]])</f>
        <v>185</v>
      </c>
      <c r="K631">
        <f>Table2[[#This Row],[Total score]]/3</f>
        <v>61.666666666666664</v>
      </c>
    </row>
    <row r="632" spans="1:11" x14ac:dyDescent="0.25">
      <c r="A632" t="s">
        <v>659</v>
      </c>
      <c r="B632" t="s">
        <v>13</v>
      </c>
      <c r="C632" t="s">
        <v>20</v>
      </c>
      <c r="D632" t="s">
        <v>21</v>
      </c>
      <c r="E632" t="s">
        <v>16</v>
      </c>
      <c r="F632" t="s">
        <v>17</v>
      </c>
      <c r="G632">
        <v>63</v>
      </c>
      <c r="H632">
        <v>78</v>
      </c>
      <c r="I632">
        <v>73</v>
      </c>
      <c r="J632">
        <f>SUM(Table2[[#This Row],[math score]:[writing score]])</f>
        <v>214</v>
      </c>
      <c r="K632">
        <f>Table2[[#This Row],[Total score]]/3</f>
        <v>71.333333333333329</v>
      </c>
    </row>
    <row r="633" spans="1:11" x14ac:dyDescent="0.25">
      <c r="A633" t="s">
        <v>660</v>
      </c>
      <c r="B633" t="s">
        <v>8</v>
      </c>
      <c r="C633" t="s">
        <v>20</v>
      </c>
      <c r="D633" t="s">
        <v>15</v>
      </c>
      <c r="E633" t="s">
        <v>11</v>
      </c>
      <c r="F633" t="s">
        <v>17</v>
      </c>
      <c r="G633">
        <v>58</v>
      </c>
      <c r="H633">
        <v>67</v>
      </c>
      <c r="I633">
        <v>58</v>
      </c>
      <c r="J633">
        <f>SUM(Table2[[#This Row],[math score]:[writing score]])</f>
        <v>183</v>
      </c>
      <c r="K633">
        <f>Table2[[#This Row],[Total score]]/3</f>
        <v>61</v>
      </c>
    </row>
    <row r="634" spans="1:11" x14ac:dyDescent="0.25">
      <c r="A634" t="s">
        <v>661</v>
      </c>
      <c r="B634" t="s">
        <v>8</v>
      </c>
      <c r="C634" t="s">
        <v>20</v>
      </c>
      <c r="D634" t="s">
        <v>22</v>
      </c>
      <c r="E634" t="s">
        <v>16</v>
      </c>
      <c r="F634" t="s">
        <v>17</v>
      </c>
      <c r="G634">
        <v>58</v>
      </c>
      <c r="H634">
        <v>64</v>
      </c>
      <c r="I634">
        <v>54</v>
      </c>
      <c r="J634">
        <f>SUM(Table2[[#This Row],[math score]:[writing score]])</f>
        <v>176</v>
      </c>
      <c r="K634">
        <f>Table2[[#This Row],[Total score]]/3</f>
        <v>58.666666666666664</v>
      </c>
    </row>
    <row r="635" spans="1:11" x14ac:dyDescent="0.25">
      <c r="A635" t="s">
        <v>662</v>
      </c>
      <c r="B635" t="s">
        <v>8</v>
      </c>
      <c r="C635" t="s">
        <v>23</v>
      </c>
      <c r="D635" t="s">
        <v>10</v>
      </c>
      <c r="E635" t="s">
        <v>16</v>
      </c>
      <c r="F635" t="s">
        <v>17</v>
      </c>
      <c r="G635">
        <v>51</v>
      </c>
      <c r="H635">
        <v>57</v>
      </c>
      <c r="I635">
        <v>53</v>
      </c>
      <c r="J635">
        <f>SUM(Table2[[#This Row],[math score]:[writing score]])</f>
        <v>161</v>
      </c>
      <c r="K635">
        <f>Table2[[#This Row],[Total score]]/3</f>
        <v>53.666666666666664</v>
      </c>
    </row>
    <row r="636" spans="1:11" x14ac:dyDescent="0.25">
      <c r="A636" t="s">
        <v>663</v>
      </c>
      <c r="B636" t="s">
        <v>13</v>
      </c>
      <c r="C636" t="s">
        <v>14</v>
      </c>
      <c r="D636" t="s">
        <v>24</v>
      </c>
      <c r="E636" t="s">
        <v>11</v>
      </c>
      <c r="F636" t="s">
        <v>12</v>
      </c>
      <c r="G636">
        <v>100</v>
      </c>
      <c r="H636">
        <v>100</v>
      </c>
      <c r="I636">
        <v>100</v>
      </c>
      <c r="J636">
        <f>SUM(Table2[[#This Row],[math score]:[writing score]])</f>
        <v>300</v>
      </c>
      <c r="K636">
        <f>Table2[[#This Row],[Total score]]/3</f>
        <v>100</v>
      </c>
    </row>
    <row r="637" spans="1:11" x14ac:dyDescent="0.25">
      <c r="A637" t="s">
        <v>664</v>
      </c>
      <c r="B637" t="s">
        <v>13</v>
      </c>
      <c r="C637" t="s">
        <v>14</v>
      </c>
      <c r="D637" t="s">
        <v>24</v>
      </c>
      <c r="E637" t="s">
        <v>11</v>
      </c>
      <c r="F637" t="s">
        <v>17</v>
      </c>
      <c r="G637">
        <v>77</v>
      </c>
      <c r="H637">
        <v>84</v>
      </c>
      <c r="I637">
        <v>92</v>
      </c>
      <c r="J637">
        <f>SUM(Table2[[#This Row],[math score]:[writing score]])</f>
        <v>253</v>
      </c>
      <c r="K637">
        <f>Table2[[#This Row],[Total score]]/3</f>
        <v>84.333333333333329</v>
      </c>
    </row>
    <row r="638" spans="1:11" x14ac:dyDescent="0.25">
      <c r="A638" t="s">
        <v>665</v>
      </c>
      <c r="B638" t="s">
        <v>8</v>
      </c>
      <c r="C638" t="s">
        <v>18</v>
      </c>
      <c r="D638" t="s">
        <v>22</v>
      </c>
      <c r="E638" t="s">
        <v>16</v>
      </c>
      <c r="F638" t="s">
        <v>17</v>
      </c>
      <c r="G638">
        <v>63</v>
      </c>
      <c r="H638">
        <v>56</v>
      </c>
      <c r="I638">
        <v>56</v>
      </c>
      <c r="J638">
        <f>SUM(Table2[[#This Row],[math score]:[writing score]])</f>
        <v>175</v>
      </c>
      <c r="K638">
        <f>Table2[[#This Row],[Total score]]/3</f>
        <v>58.333333333333336</v>
      </c>
    </row>
    <row r="639" spans="1:11" x14ac:dyDescent="0.25">
      <c r="A639" t="s">
        <v>666</v>
      </c>
      <c r="B639" t="s">
        <v>13</v>
      </c>
      <c r="C639" t="s">
        <v>23</v>
      </c>
      <c r="D639" t="s">
        <v>19</v>
      </c>
      <c r="E639" t="s">
        <v>11</v>
      </c>
      <c r="F639" t="s">
        <v>17</v>
      </c>
      <c r="G639">
        <v>64</v>
      </c>
      <c r="H639">
        <v>67</v>
      </c>
      <c r="I639">
        <v>68</v>
      </c>
      <c r="J639">
        <f>SUM(Table2[[#This Row],[math score]:[writing score]])</f>
        <v>199</v>
      </c>
      <c r="K639">
        <f>Table2[[#This Row],[Total score]]/3</f>
        <v>66.333333333333329</v>
      </c>
    </row>
    <row r="640" spans="1:11" x14ac:dyDescent="0.25">
      <c r="A640" t="s">
        <v>667</v>
      </c>
      <c r="B640" t="s">
        <v>8</v>
      </c>
      <c r="C640" t="s">
        <v>18</v>
      </c>
      <c r="D640" t="s">
        <v>10</v>
      </c>
      <c r="E640" t="s">
        <v>11</v>
      </c>
      <c r="F640" t="s">
        <v>17</v>
      </c>
      <c r="G640">
        <v>100</v>
      </c>
      <c r="H640">
        <v>82</v>
      </c>
      <c r="I640">
        <v>80</v>
      </c>
      <c r="J640">
        <f>SUM(Table2[[#This Row],[math score]:[writing score]])</f>
        <v>262</v>
      </c>
      <c r="K640">
        <f>Table2[[#This Row],[Total score]]/3</f>
        <v>87.333333333333329</v>
      </c>
    </row>
    <row r="641" spans="1:11" x14ac:dyDescent="0.25">
      <c r="A641" t="s">
        <v>668</v>
      </c>
      <c r="B641" t="s">
        <v>8</v>
      </c>
      <c r="C641" t="s">
        <v>23</v>
      </c>
      <c r="D641" t="s">
        <v>21</v>
      </c>
      <c r="E641" t="s">
        <v>11</v>
      </c>
      <c r="F641" t="s">
        <v>17</v>
      </c>
      <c r="G641">
        <v>66</v>
      </c>
      <c r="H641">
        <v>65</v>
      </c>
      <c r="I641">
        <v>65</v>
      </c>
      <c r="J641">
        <f>SUM(Table2[[#This Row],[math score]:[writing score]])</f>
        <v>196</v>
      </c>
      <c r="K641">
        <f>Table2[[#This Row],[Total score]]/3</f>
        <v>65.333333333333329</v>
      </c>
    </row>
    <row r="642" spans="1:11" x14ac:dyDescent="0.25">
      <c r="A642" t="s">
        <v>669</v>
      </c>
      <c r="B642" t="s">
        <v>8</v>
      </c>
      <c r="C642" t="s">
        <v>18</v>
      </c>
      <c r="D642" t="s">
        <v>22</v>
      </c>
      <c r="E642" t="s">
        <v>11</v>
      </c>
      <c r="F642" t="s">
        <v>17</v>
      </c>
      <c r="G642">
        <v>87</v>
      </c>
      <c r="H642">
        <v>87</v>
      </c>
      <c r="I642">
        <v>84</v>
      </c>
      <c r="J642">
        <f>SUM(Table2[[#This Row],[math score]:[writing score]])</f>
        <v>258</v>
      </c>
      <c r="K642">
        <f>Table2[[#This Row],[Total score]]/3</f>
        <v>86</v>
      </c>
    </row>
    <row r="643" spans="1:11" x14ac:dyDescent="0.25">
      <c r="A643" t="s">
        <v>670</v>
      </c>
      <c r="B643" t="s">
        <v>8</v>
      </c>
      <c r="C643" t="s">
        <v>23</v>
      </c>
      <c r="D643" t="s">
        <v>10</v>
      </c>
      <c r="E643" t="s">
        <v>11</v>
      </c>
      <c r="F643" t="s">
        <v>17</v>
      </c>
      <c r="G643">
        <v>73</v>
      </c>
      <c r="H643">
        <v>72</v>
      </c>
      <c r="I643">
        <v>69</v>
      </c>
      <c r="J643">
        <f>SUM(Table2[[#This Row],[math score]:[writing score]])</f>
        <v>214</v>
      </c>
      <c r="K643">
        <f>Table2[[#This Row],[Total score]]/3</f>
        <v>71.333333333333329</v>
      </c>
    </row>
    <row r="644" spans="1:11" x14ac:dyDescent="0.25">
      <c r="A644" t="s">
        <v>671</v>
      </c>
      <c r="B644" t="s">
        <v>8</v>
      </c>
      <c r="C644" t="s">
        <v>23</v>
      </c>
      <c r="D644" t="s">
        <v>24</v>
      </c>
      <c r="E644" t="s">
        <v>16</v>
      </c>
      <c r="F644" t="s">
        <v>12</v>
      </c>
      <c r="G644">
        <v>69</v>
      </c>
      <c r="H644">
        <v>66</v>
      </c>
      <c r="I644">
        <v>65</v>
      </c>
      <c r="J644">
        <f>SUM(Table2[[#This Row],[math score]:[writing score]])</f>
        <v>200</v>
      </c>
      <c r="K644">
        <f>Table2[[#This Row],[Total score]]/3</f>
        <v>66.666666666666671</v>
      </c>
    </row>
    <row r="645" spans="1:11" x14ac:dyDescent="0.25">
      <c r="A645" t="s">
        <v>672</v>
      </c>
      <c r="B645" t="s">
        <v>13</v>
      </c>
      <c r="C645" t="s">
        <v>23</v>
      </c>
      <c r="D645" t="s">
        <v>10</v>
      </c>
      <c r="E645" t="s">
        <v>11</v>
      </c>
      <c r="F645" t="s">
        <v>17</v>
      </c>
      <c r="G645">
        <v>62</v>
      </c>
      <c r="H645">
        <v>64</v>
      </c>
      <c r="I645">
        <v>63</v>
      </c>
      <c r="J645">
        <f>SUM(Table2[[#This Row],[math score]:[writing score]])</f>
        <v>189</v>
      </c>
      <c r="K645">
        <f>Table2[[#This Row],[Total score]]/3</f>
        <v>63</v>
      </c>
    </row>
    <row r="646" spans="1:11" x14ac:dyDescent="0.25">
      <c r="A646" t="s">
        <v>673</v>
      </c>
      <c r="B646" t="s">
        <v>13</v>
      </c>
      <c r="C646" t="s">
        <v>23</v>
      </c>
      <c r="D646" t="s">
        <v>15</v>
      </c>
      <c r="E646" t="s">
        <v>11</v>
      </c>
      <c r="F646" t="s">
        <v>17</v>
      </c>
      <c r="G646">
        <v>40</v>
      </c>
      <c r="H646">
        <v>48</v>
      </c>
      <c r="I646">
        <v>49</v>
      </c>
      <c r="J646">
        <f>SUM(Table2[[#This Row],[math score]:[writing score]])</f>
        <v>137</v>
      </c>
      <c r="K646">
        <f>Table2[[#This Row],[Total score]]/3</f>
        <v>45.666666666666664</v>
      </c>
    </row>
    <row r="647" spans="1:11" x14ac:dyDescent="0.25">
      <c r="A647" t="s">
        <v>674</v>
      </c>
      <c r="B647" t="s">
        <v>8</v>
      </c>
      <c r="C647" t="s">
        <v>23</v>
      </c>
      <c r="D647" t="s">
        <v>19</v>
      </c>
      <c r="E647" t="s">
        <v>16</v>
      </c>
      <c r="F647" t="s">
        <v>12</v>
      </c>
      <c r="G647">
        <v>55</v>
      </c>
      <c r="H647">
        <v>68</v>
      </c>
      <c r="I647">
        <v>60</v>
      </c>
      <c r="J647">
        <f>SUM(Table2[[#This Row],[math score]:[writing score]])</f>
        <v>183</v>
      </c>
      <c r="K647">
        <f>Table2[[#This Row],[Total score]]/3</f>
        <v>61</v>
      </c>
    </row>
    <row r="648" spans="1:11" x14ac:dyDescent="0.25">
      <c r="A648" t="s">
        <v>675</v>
      </c>
      <c r="B648" t="s">
        <v>8</v>
      </c>
      <c r="C648" t="s">
        <v>14</v>
      </c>
      <c r="D648" t="s">
        <v>10</v>
      </c>
      <c r="E648" t="s">
        <v>11</v>
      </c>
      <c r="F648" t="s">
        <v>12</v>
      </c>
      <c r="G648">
        <v>77</v>
      </c>
      <c r="H648">
        <v>77</v>
      </c>
      <c r="I648">
        <v>78</v>
      </c>
      <c r="J648">
        <f>SUM(Table2[[#This Row],[math score]:[writing score]])</f>
        <v>232</v>
      </c>
      <c r="K648">
        <f>Table2[[#This Row],[Total score]]/3</f>
        <v>77.333333333333329</v>
      </c>
    </row>
    <row r="649" spans="1:11" x14ac:dyDescent="0.25">
      <c r="A649" t="s">
        <v>676</v>
      </c>
      <c r="B649" t="s">
        <v>8</v>
      </c>
      <c r="C649" t="s">
        <v>14</v>
      </c>
      <c r="D649" t="s">
        <v>19</v>
      </c>
      <c r="E649" t="s">
        <v>11</v>
      </c>
      <c r="F649" t="s">
        <v>12</v>
      </c>
      <c r="G649">
        <v>63</v>
      </c>
      <c r="H649">
        <v>70</v>
      </c>
      <c r="I649">
        <v>71</v>
      </c>
      <c r="J649">
        <f>SUM(Table2[[#This Row],[math score]:[writing score]])</f>
        <v>204</v>
      </c>
      <c r="K649">
        <f>Table2[[#This Row],[Total score]]/3</f>
        <v>68</v>
      </c>
    </row>
    <row r="650" spans="1:11" x14ac:dyDescent="0.25">
      <c r="A650" t="s">
        <v>677</v>
      </c>
      <c r="B650" t="s">
        <v>8</v>
      </c>
      <c r="C650" t="s">
        <v>14</v>
      </c>
      <c r="D650" t="s">
        <v>21</v>
      </c>
      <c r="E650" t="s">
        <v>11</v>
      </c>
      <c r="F650" t="s">
        <v>12</v>
      </c>
      <c r="G650">
        <v>85</v>
      </c>
      <c r="H650">
        <v>85</v>
      </c>
      <c r="I650">
        <v>91</v>
      </c>
      <c r="J650">
        <f>SUM(Table2[[#This Row],[math score]:[writing score]])</f>
        <v>261</v>
      </c>
      <c r="K650">
        <f>Table2[[#This Row],[Total score]]/3</f>
        <v>87</v>
      </c>
    </row>
    <row r="651" spans="1:11" x14ac:dyDescent="0.25">
      <c r="A651" t="s">
        <v>678</v>
      </c>
      <c r="B651" t="s">
        <v>13</v>
      </c>
      <c r="C651" t="s">
        <v>20</v>
      </c>
      <c r="D651" t="s">
        <v>10</v>
      </c>
      <c r="E651" t="s">
        <v>16</v>
      </c>
      <c r="F651" t="s">
        <v>17</v>
      </c>
      <c r="G651">
        <v>30</v>
      </c>
      <c r="H651">
        <v>43</v>
      </c>
      <c r="I651">
        <v>40</v>
      </c>
      <c r="J651">
        <f>SUM(Table2[[#This Row],[math score]:[writing score]])</f>
        <v>113</v>
      </c>
      <c r="K651">
        <f>Table2[[#This Row],[Total score]]/3</f>
        <v>37.666666666666664</v>
      </c>
    </row>
    <row r="652" spans="1:11" x14ac:dyDescent="0.25">
      <c r="A652" t="s">
        <v>679</v>
      </c>
      <c r="B652" t="s">
        <v>8</v>
      </c>
      <c r="C652" t="s">
        <v>20</v>
      </c>
      <c r="D652" t="s">
        <v>10</v>
      </c>
      <c r="E652" t="s">
        <v>11</v>
      </c>
      <c r="F652" t="s">
        <v>17</v>
      </c>
      <c r="G652">
        <v>82</v>
      </c>
      <c r="H652">
        <v>77</v>
      </c>
      <c r="I652">
        <v>71</v>
      </c>
      <c r="J652">
        <f>SUM(Table2[[#This Row],[math score]:[writing score]])</f>
        <v>230</v>
      </c>
      <c r="K652">
        <f>Table2[[#This Row],[Total score]]/3</f>
        <v>76.666666666666671</v>
      </c>
    </row>
    <row r="653" spans="1:11" x14ac:dyDescent="0.25">
      <c r="A653" t="s">
        <v>680</v>
      </c>
      <c r="B653" t="s">
        <v>8</v>
      </c>
      <c r="C653" t="s">
        <v>14</v>
      </c>
      <c r="D653" t="s">
        <v>21</v>
      </c>
      <c r="E653" t="s">
        <v>16</v>
      </c>
      <c r="F653" t="s">
        <v>12</v>
      </c>
      <c r="G653">
        <v>81</v>
      </c>
      <c r="H653">
        <v>71</v>
      </c>
      <c r="I653">
        <v>70</v>
      </c>
      <c r="J653">
        <f>SUM(Table2[[#This Row],[math score]:[writing score]])</f>
        <v>222</v>
      </c>
      <c r="K653">
        <f>Table2[[#This Row],[Total score]]/3</f>
        <v>74</v>
      </c>
    </row>
    <row r="654" spans="1:11" x14ac:dyDescent="0.25">
      <c r="A654" t="s">
        <v>681</v>
      </c>
      <c r="B654" t="s">
        <v>13</v>
      </c>
      <c r="C654" t="s">
        <v>23</v>
      </c>
      <c r="D654" t="s">
        <v>15</v>
      </c>
      <c r="E654" t="s">
        <v>11</v>
      </c>
      <c r="F654" t="s">
        <v>12</v>
      </c>
      <c r="G654">
        <v>92</v>
      </c>
      <c r="H654">
        <v>100</v>
      </c>
      <c r="I654">
        <v>97</v>
      </c>
      <c r="J654">
        <f>SUM(Table2[[#This Row],[math score]:[writing score]])</f>
        <v>289</v>
      </c>
      <c r="K654">
        <f>Table2[[#This Row],[Total score]]/3</f>
        <v>96.333333333333329</v>
      </c>
    </row>
    <row r="655" spans="1:11" x14ac:dyDescent="0.25">
      <c r="A655" t="s">
        <v>682</v>
      </c>
      <c r="B655" t="s">
        <v>8</v>
      </c>
      <c r="C655" t="s">
        <v>20</v>
      </c>
      <c r="D655" t="s">
        <v>19</v>
      </c>
      <c r="E655" t="s">
        <v>16</v>
      </c>
      <c r="F655" t="s">
        <v>17</v>
      </c>
      <c r="G655">
        <v>50</v>
      </c>
      <c r="H655">
        <v>48</v>
      </c>
      <c r="I655">
        <v>36</v>
      </c>
      <c r="J655">
        <f>SUM(Table2[[#This Row],[math score]:[writing score]])</f>
        <v>134</v>
      </c>
      <c r="K655">
        <f>Table2[[#This Row],[Total score]]/3</f>
        <v>44.666666666666664</v>
      </c>
    </row>
    <row r="656" spans="1:11" x14ac:dyDescent="0.25">
      <c r="A656" t="s">
        <v>683</v>
      </c>
      <c r="B656" t="s">
        <v>13</v>
      </c>
      <c r="C656" t="s">
        <v>20</v>
      </c>
      <c r="D656" t="s">
        <v>21</v>
      </c>
      <c r="E656" t="s">
        <v>11</v>
      </c>
      <c r="F656" t="s">
        <v>17</v>
      </c>
      <c r="G656">
        <v>54</v>
      </c>
      <c r="H656">
        <v>60</v>
      </c>
      <c r="I656">
        <v>56</v>
      </c>
      <c r="J656">
        <f>SUM(Table2[[#This Row],[math score]:[writing score]])</f>
        <v>170</v>
      </c>
      <c r="K656">
        <f>Table2[[#This Row],[Total score]]/3</f>
        <v>56.666666666666664</v>
      </c>
    </row>
    <row r="657" spans="1:11" x14ac:dyDescent="0.25">
      <c r="A657" t="s">
        <v>684</v>
      </c>
      <c r="B657" t="s">
        <v>8</v>
      </c>
      <c r="C657" t="s">
        <v>23</v>
      </c>
      <c r="D657" t="s">
        <v>21</v>
      </c>
      <c r="E657" t="s">
        <v>11</v>
      </c>
      <c r="F657" t="s">
        <v>12</v>
      </c>
      <c r="G657">
        <v>76</v>
      </c>
      <c r="H657">
        <v>83</v>
      </c>
      <c r="I657">
        <v>78</v>
      </c>
      <c r="J657">
        <f>SUM(Table2[[#This Row],[math score]:[writing score]])</f>
        <v>237</v>
      </c>
      <c r="K657">
        <f>Table2[[#This Row],[Total score]]/3</f>
        <v>79</v>
      </c>
    </row>
    <row r="658" spans="1:11" x14ac:dyDescent="0.25">
      <c r="A658" t="s">
        <v>685</v>
      </c>
      <c r="B658" t="s">
        <v>13</v>
      </c>
      <c r="C658" t="s">
        <v>14</v>
      </c>
      <c r="D658" t="s">
        <v>15</v>
      </c>
      <c r="E658" t="s">
        <v>11</v>
      </c>
      <c r="F658" t="s">
        <v>17</v>
      </c>
      <c r="G658">
        <v>60</v>
      </c>
      <c r="H658">
        <v>68</v>
      </c>
      <c r="I658">
        <v>74</v>
      </c>
      <c r="J658">
        <f>SUM(Table2[[#This Row],[math score]:[writing score]])</f>
        <v>202</v>
      </c>
      <c r="K658">
        <f>Table2[[#This Row],[Total score]]/3</f>
        <v>67.333333333333329</v>
      </c>
    </row>
    <row r="659" spans="1:11" x14ac:dyDescent="0.25">
      <c r="A659" t="s">
        <v>686</v>
      </c>
      <c r="B659" t="s">
        <v>13</v>
      </c>
      <c r="C659" t="s">
        <v>9</v>
      </c>
      <c r="D659" t="s">
        <v>21</v>
      </c>
      <c r="E659" t="s">
        <v>16</v>
      </c>
      <c r="F659" t="s">
        <v>12</v>
      </c>
      <c r="G659">
        <v>45</v>
      </c>
      <c r="H659">
        <v>72</v>
      </c>
      <c r="I659">
        <v>66</v>
      </c>
      <c r="J659">
        <f>SUM(Table2[[#This Row],[math score]:[writing score]])</f>
        <v>183</v>
      </c>
      <c r="K659">
        <f>Table2[[#This Row],[Total score]]/3</f>
        <v>61</v>
      </c>
    </row>
    <row r="660" spans="1:11" x14ac:dyDescent="0.25">
      <c r="A660" t="s">
        <v>687</v>
      </c>
      <c r="B660" t="s">
        <v>8</v>
      </c>
      <c r="C660" t="s">
        <v>14</v>
      </c>
      <c r="D660" t="s">
        <v>10</v>
      </c>
      <c r="E660" t="s">
        <v>11</v>
      </c>
      <c r="F660" t="s">
        <v>17</v>
      </c>
      <c r="G660">
        <v>80</v>
      </c>
      <c r="H660">
        <v>77</v>
      </c>
      <c r="I660">
        <v>72</v>
      </c>
      <c r="J660">
        <f>SUM(Table2[[#This Row],[math score]:[writing score]])</f>
        <v>229</v>
      </c>
      <c r="K660">
        <f>Table2[[#This Row],[Total score]]/3</f>
        <v>76.333333333333329</v>
      </c>
    </row>
    <row r="661" spans="1:11" x14ac:dyDescent="0.25">
      <c r="A661" t="s">
        <v>688</v>
      </c>
      <c r="B661" t="s">
        <v>8</v>
      </c>
      <c r="C661" t="s">
        <v>14</v>
      </c>
      <c r="D661" t="s">
        <v>15</v>
      </c>
      <c r="E661" t="s">
        <v>16</v>
      </c>
      <c r="F661" t="s">
        <v>17</v>
      </c>
      <c r="G661">
        <v>52</v>
      </c>
      <c r="H661">
        <v>45</v>
      </c>
      <c r="I661">
        <v>48</v>
      </c>
      <c r="J661">
        <f>SUM(Table2[[#This Row],[math score]:[writing score]])</f>
        <v>145</v>
      </c>
      <c r="K661">
        <f>Table2[[#This Row],[Total score]]/3</f>
        <v>48.333333333333336</v>
      </c>
    </row>
    <row r="662" spans="1:11" x14ac:dyDescent="0.25">
      <c r="A662" t="s">
        <v>689</v>
      </c>
      <c r="B662" t="s">
        <v>13</v>
      </c>
      <c r="C662" t="s">
        <v>23</v>
      </c>
      <c r="D662" t="s">
        <v>10</v>
      </c>
      <c r="E662" t="s">
        <v>11</v>
      </c>
      <c r="F662" t="s">
        <v>12</v>
      </c>
      <c r="G662">
        <v>90</v>
      </c>
      <c r="H662">
        <v>89</v>
      </c>
      <c r="I662">
        <v>97</v>
      </c>
      <c r="J662">
        <f>SUM(Table2[[#This Row],[math score]:[writing score]])</f>
        <v>276</v>
      </c>
      <c r="K662">
        <f>Table2[[#This Row],[Total score]]/3</f>
        <v>92</v>
      </c>
    </row>
    <row r="663" spans="1:11" x14ac:dyDescent="0.25">
      <c r="A663" t="s">
        <v>690</v>
      </c>
      <c r="B663" t="s">
        <v>13</v>
      </c>
      <c r="C663" t="s">
        <v>14</v>
      </c>
      <c r="D663" t="s">
        <v>10</v>
      </c>
      <c r="E663" t="s">
        <v>16</v>
      </c>
      <c r="F663" t="s">
        <v>17</v>
      </c>
      <c r="G663">
        <v>53</v>
      </c>
      <c r="H663">
        <v>65</v>
      </c>
      <c r="I663">
        <v>69</v>
      </c>
      <c r="J663">
        <f>SUM(Table2[[#This Row],[math score]:[writing score]])</f>
        <v>187</v>
      </c>
      <c r="K663">
        <f>Table2[[#This Row],[Total score]]/3</f>
        <v>62.333333333333336</v>
      </c>
    </row>
    <row r="664" spans="1:11" x14ac:dyDescent="0.25">
      <c r="A664" t="s">
        <v>691</v>
      </c>
      <c r="B664" t="s">
        <v>13</v>
      </c>
      <c r="C664" t="s">
        <v>23</v>
      </c>
      <c r="D664" t="s">
        <v>21</v>
      </c>
      <c r="E664" t="s">
        <v>11</v>
      </c>
      <c r="F664" t="s">
        <v>17</v>
      </c>
      <c r="G664">
        <v>92</v>
      </c>
      <c r="H664">
        <v>95</v>
      </c>
      <c r="I664">
        <v>95</v>
      </c>
      <c r="J664">
        <f>SUM(Table2[[#This Row],[math score]:[writing score]])</f>
        <v>282</v>
      </c>
      <c r="K664">
        <f>Table2[[#This Row],[Total score]]/3</f>
        <v>94</v>
      </c>
    </row>
    <row r="665" spans="1:11" x14ac:dyDescent="0.25">
      <c r="A665" t="s">
        <v>692</v>
      </c>
      <c r="B665" t="s">
        <v>13</v>
      </c>
      <c r="C665" t="s">
        <v>23</v>
      </c>
      <c r="D665" t="s">
        <v>19</v>
      </c>
      <c r="E665" t="s">
        <v>11</v>
      </c>
      <c r="F665" t="s">
        <v>12</v>
      </c>
      <c r="G665">
        <v>63</v>
      </c>
      <c r="H665">
        <v>78</v>
      </c>
      <c r="I665">
        <v>75</v>
      </c>
      <c r="J665">
        <f>SUM(Table2[[#This Row],[math score]:[writing score]])</f>
        <v>216</v>
      </c>
      <c r="K665">
        <f>Table2[[#This Row],[Total score]]/3</f>
        <v>72</v>
      </c>
    </row>
    <row r="666" spans="1:11" x14ac:dyDescent="0.25">
      <c r="A666" t="s">
        <v>693</v>
      </c>
      <c r="B666" t="s">
        <v>13</v>
      </c>
      <c r="C666" t="s">
        <v>20</v>
      </c>
      <c r="D666" t="s">
        <v>15</v>
      </c>
      <c r="E666" t="s">
        <v>11</v>
      </c>
      <c r="F666" t="s">
        <v>17</v>
      </c>
      <c r="G666">
        <v>71</v>
      </c>
      <c r="H666">
        <v>77</v>
      </c>
      <c r="I666">
        <v>79</v>
      </c>
      <c r="J666">
        <f>SUM(Table2[[#This Row],[math score]:[writing score]])</f>
        <v>227</v>
      </c>
      <c r="K666">
        <f>Table2[[#This Row],[Total score]]/3</f>
        <v>75.666666666666671</v>
      </c>
    </row>
    <row r="667" spans="1:11" x14ac:dyDescent="0.25">
      <c r="A667" t="s">
        <v>694</v>
      </c>
      <c r="B667" t="s">
        <v>13</v>
      </c>
      <c r="C667" t="s">
        <v>14</v>
      </c>
      <c r="D667" t="s">
        <v>15</v>
      </c>
      <c r="E667" t="s">
        <v>11</v>
      </c>
      <c r="F667" t="s">
        <v>17</v>
      </c>
      <c r="G667">
        <v>64</v>
      </c>
      <c r="H667">
        <v>70</v>
      </c>
      <c r="I667">
        <v>73</v>
      </c>
      <c r="J667">
        <f>SUM(Table2[[#This Row],[math score]:[writing score]])</f>
        <v>207</v>
      </c>
      <c r="K667">
        <f>Table2[[#This Row],[Total score]]/3</f>
        <v>69</v>
      </c>
    </row>
    <row r="668" spans="1:11" x14ac:dyDescent="0.25">
      <c r="A668" t="s">
        <v>695</v>
      </c>
      <c r="B668" t="s">
        <v>13</v>
      </c>
      <c r="C668" t="s">
        <v>23</v>
      </c>
      <c r="D668" t="s">
        <v>19</v>
      </c>
      <c r="E668" t="s">
        <v>11</v>
      </c>
      <c r="F668" t="s">
        <v>12</v>
      </c>
      <c r="G668">
        <v>67</v>
      </c>
      <c r="H668">
        <v>81</v>
      </c>
      <c r="I668">
        <v>89</v>
      </c>
      <c r="J668">
        <f>SUM(Table2[[#This Row],[math score]:[writing score]])</f>
        <v>237</v>
      </c>
      <c r="K668">
        <f>Table2[[#This Row],[Total score]]/3</f>
        <v>79</v>
      </c>
    </row>
    <row r="669" spans="1:11" x14ac:dyDescent="0.25">
      <c r="A669" t="s">
        <v>696</v>
      </c>
      <c r="B669" t="s">
        <v>8</v>
      </c>
      <c r="C669" t="s">
        <v>23</v>
      </c>
      <c r="D669" t="s">
        <v>10</v>
      </c>
      <c r="E669" t="s">
        <v>16</v>
      </c>
      <c r="F669" t="s">
        <v>17</v>
      </c>
      <c r="G669">
        <v>63</v>
      </c>
      <c r="H669">
        <v>63</v>
      </c>
      <c r="I669">
        <v>61</v>
      </c>
      <c r="J669">
        <f>SUM(Table2[[#This Row],[math score]:[writing score]])</f>
        <v>187</v>
      </c>
      <c r="K669">
        <f>Table2[[#This Row],[Total score]]/3</f>
        <v>62.333333333333336</v>
      </c>
    </row>
    <row r="670" spans="1:11" x14ac:dyDescent="0.25">
      <c r="A670" t="s">
        <v>697</v>
      </c>
      <c r="B670" t="s">
        <v>8</v>
      </c>
      <c r="C670" t="s">
        <v>20</v>
      </c>
      <c r="D670" t="s">
        <v>10</v>
      </c>
      <c r="E670" t="s">
        <v>11</v>
      </c>
      <c r="F670" t="s">
        <v>17</v>
      </c>
      <c r="G670">
        <v>63</v>
      </c>
      <c r="H670">
        <v>53</v>
      </c>
      <c r="I670">
        <v>44</v>
      </c>
      <c r="J670">
        <f>SUM(Table2[[#This Row],[math score]:[writing score]])</f>
        <v>160</v>
      </c>
      <c r="K670">
        <f>Table2[[#This Row],[Total score]]/3</f>
        <v>53.333333333333336</v>
      </c>
    </row>
    <row r="671" spans="1:11" x14ac:dyDescent="0.25">
      <c r="A671" t="s">
        <v>698</v>
      </c>
      <c r="B671" t="s">
        <v>8</v>
      </c>
      <c r="C671" t="s">
        <v>23</v>
      </c>
      <c r="D671" t="s">
        <v>15</v>
      </c>
      <c r="E671" t="s">
        <v>11</v>
      </c>
      <c r="F671" t="s">
        <v>17</v>
      </c>
      <c r="G671">
        <v>59</v>
      </c>
      <c r="H671">
        <v>49</v>
      </c>
      <c r="I671">
        <v>46</v>
      </c>
      <c r="J671">
        <f>SUM(Table2[[#This Row],[math score]:[writing score]])</f>
        <v>154</v>
      </c>
      <c r="K671">
        <f>Table2[[#This Row],[Total score]]/3</f>
        <v>51.333333333333336</v>
      </c>
    </row>
    <row r="672" spans="1:11" x14ac:dyDescent="0.25">
      <c r="A672" t="s">
        <v>699</v>
      </c>
      <c r="B672" t="s">
        <v>8</v>
      </c>
      <c r="C672" t="s">
        <v>18</v>
      </c>
      <c r="D672" t="s">
        <v>10</v>
      </c>
      <c r="E672" t="s">
        <v>11</v>
      </c>
      <c r="F672" t="s">
        <v>17</v>
      </c>
      <c r="G672">
        <v>49</v>
      </c>
      <c r="H672">
        <v>43</v>
      </c>
      <c r="I672">
        <v>35</v>
      </c>
      <c r="J672">
        <f>SUM(Table2[[#This Row],[math score]:[writing score]])</f>
        <v>127</v>
      </c>
      <c r="K672">
        <f>Table2[[#This Row],[Total score]]/3</f>
        <v>42.333333333333336</v>
      </c>
    </row>
    <row r="673" spans="1:11" x14ac:dyDescent="0.25">
      <c r="A673" t="s">
        <v>700</v>
      </c>
      <c r="B673" t="s">
        <v>13</v>
      </c>
      <c r="C673" t="s">
        <v>14</v>
      </c>
      <c r="D673" t="s">
        <v>24</v>
      </c>
      <c r="E673" t="s">
        <v>11</v>
      </c>
      <c r="F673" t="s">
        <v>17</v>
      </c>
      <c r="G673">
        <v>75</v>
      </c>
      <c r="H673">
        <v>84</v>
      </c>
      <c r="I673">
        <v>86</v>
      </c>
      <c r="J673">
        <f>SUM(Table2[[#This Row],[math score]:[writing score]])</f>
        <v>245</v>
      </c>
      <c r="K673">
        <f>Table2[[#This Row],[Total score]]/3</f>
        <v>81.666666666666671</v>
      </c>
    </row>
    <row r="674" spans="1:11" x14ac:dyDescent="0.25">
      <c r="A674" t="s">
        <v>701</v>
      </c>
      <c r="B674" t="s">
        <v>13</v>
      </c>
      <c r="C674" t="s">
        <v>23</v>
      </c>
      <c r="D674" t="s">
        <v>15</v>
      </c>
      <c r="E674" t="s">
        <v>16</v>
      </c>
      <c r="F674" t="s">
        <v>17</v>
      </c>
      <c r="G674">
        <v>34</v>
      </c>
      <c r="H674">
        <v>47</v>
      </c>
      <c r="I674">
        <v>45</v>
      </c>
      <c r="J674">
        <f>SUM(Table2[[#This Row],[math score]:[writing score]])</f>
        <v>126</v>
      </c>
      <c r="K674">
        <f>Table2[[#This Row],[Total score]]/3</f>
        <v>42</v>
      </c>
    </row>
    <row r="675" spans="1:11" x14ac:dyDescent="0.25">
      <c r="A675" t="s">
        <v>702</v>
      </c>
      <c r="B675" t="s">
        <v>13</v>
      </c>
      <c r="C675" t="s">
        <v>20</v>
      </c>
      <c r="D675" t="s">
        <v>21</v>
      </c>
      <c r="E675" t="s">
        <v>16</v>
      </c>
      <c r="F675" t="s">
        <v>17</v>
      </c>
      <c r="G675">
        <v>53</v>
      </c>
      <c r="H675">
        <v>70</v>
      </c>
      <c r="I675">
        <v>69</v>
      </c>
      <c r="J675">
        <f>SUM(Table2[[#This Row],[math score]:[writing score]])</f>
        <v>192</v>
      </c>
      <c r="K675">
        <f>Table2[[#This Row],[Total score]]/3</f>
        <v>64</v>
      </c>
    </row>
    <row r="676" spans="1:11" x14ac:dyDescent="0.25">
      <c r="A676" t="s">
        <v>703</v>
      </c>
      <c r="B676" t="s">
        <v>8</v>
      </c>
      <c r="C676" t="s">
        <v>20</v>
      </c>
      <c r="D676" t="s">
        <v>24</v>
      </c>
      <c r="E676" t="s">
        <v>11</v>
      </c>
      <c r="F676" t="s">
        <v>17</v>
      </c>
      <c r="G676">
        <v>63</v>
      </c>
      <c r="H676">
        <v>56</v>
      </c>
      <c r="I676">
        <v>60</v>
      </c>
      <c r="J676">
        <f>SUM(Table2[[#This Row],[math score]:[writing score]])</f>
        <v>179</v>
      </c>
      <c r="K676">
        <f>Table2[[#This Row],[Total score]]/3</f>
        <v>59.666666666666664</v>
      </c>
    </row>
    <row r="677" spans="1:11" x14ac:dyDescent="0.25">
      <c r="A677" t="s">
        <v>704</v>
      </c>
      <c r="B677" t="s">
        <v>8</v>
      </c>
      <c r="C677" t="s">
        <v>23</v>
      </c>
      <c r="D677" t="s">
        <v>21</v>
      </c>
      <c r="E677" t="s">
        <v>11</v>
      </c>
      <c r="F677" t="s">
        <v>17</v>
      </c>
      <c r="G677">
        <v>75</v>
      </c>
      <c r="H677">
        <v>69</v>
      </c>
      <c r="I677">
        <v>65</v>
      </c>
      <c r="J677">
        <f>SUM(Table2[[#This Row],[math score]:[writing score]])</f>
        <v>209</v>
      </c>
      <c r="K677">
        <f>Table2[[#This Row],[Total score]]/3</f>
        <v>69.666666666666671</v>
      </c>
    </row>
    <row r="678" spans="1:11" x14ac:dyDescent="0.25">
      <c r="A678" t="s">
        <v>705</v>
      </c>
      <c r="B678" t="s">
        <v>8</v>
      </c>
      <c r="C678" t="s">
        <v>18</v>
      </c>
      <c r="D678" t="s">
        <v>21</v>
      </c>
      <c r="E678" t="s">
        <v>16</v>
      </c>
      <c r="F678" t="s">
        <v>17</v>
      </c>
      <c r="G678">
        <v>63</v>
      </c>
      <c r="H678">
        <v>61</v>
      </c>
      <c r="I678">
        <v>62</v>
      </c>
      <c r="J678">
        <f>SUM(Table2[[#This Row],[math score]:[writing score]])</f>
        <v>186</v>
      </c>
      <c r="K678">
        <f>Table2[[#This Row],[Total score]]/3</f>
        <v>62</v>
      </c>
    </row>
    <row r="679" spans="1:11" x14ac:dyDescent="0.25">
      <c r="A679" t="s">
        <v>706</v>
      </c>
      <c r="B679" t="s">
        <v>13</v>
      </c>
      <c r="C679" t="s">
        <v>23</v>
      </c>
      <c r="D679" t="s">
        <v>10</v>
      </c>
      <c r="E679" t="s">
        <v>11</v>
      </c>
      <c r="F679" t="s">
        <v>17</v>
      </c>
      <c r="G679">
        <v>70</v>
      </c>
      <c r="H679">
        <v>72</v>
      </c>
      <c r="I679">
        <v>75</v>
      </c>
      <c r="J679">
        <f>SUM(Table2[[#This Row],[math score]:[writing score]])</f>
        <v>217</v>
      </c>
      <c r="K679">
        <f>Table2[[#This Row],[Total score]]/3</f>
        <v>72.333333333333329</v>
      </c>
    </row>
    <row r="680" spans="1:11" x14ac:dyDescent="0.25">
      <c r="A680" t="s">
        <v>707</v>
      </c>
      <c r="B680" t="s">
        <v>13</v>
      </c>
      <c r="C680" t="s">
        <v>23</v>
      </c>
      <c r="D680" t="s">
        <v>19</v>
      </c>
      <c r="E680" t="s">
        <v>11</v>
      </c>
      <c r="F680" t="s">
        <v>17</v>
      </c>
      <c r="G680">
        <v>61</v>
      </c>
      <c r="H680">
        <v>73</v>
      </c>
      <c r="I680">
        <v>70</v>
      </c>
      <c r="J680">
        <f>SUM(Table2[[#This Row],[math score]:[writing score]])</f>
        <v>204</v>
      </c>
      <c r="K680">
        <f>Table2[[#This Row],[Total score]]/3</f>
        <v>68</v>
      </c>
    </row>
    <row r="681" spans="1:11" x14ac:dyDescent="0.25">
      <c r="A681" t="s">
        <v>708</v>
      </c>
      <c r="B681" t="s">
        <v>8</v>
      </c>
      <c r="C681" t="s">
        <v>23</v>
      </c>
      <c r="D681" t="s">
        <v>21</v>
      </c>
      <c r="E681" t="s">
        <v>11</v>
      </c>
      <c r="F681" t="s">
        <v>17</v>
      </c>
      <c r="G681">
        <v>74</v>
      </c>
      <c r="H681">
        <v>61</v>
      </c>
      <c r="I681">
        <v>59</v>
      </c>
      <c r="J681">
        <f>SUM(Table2[[#This Row],[math score]:[writing score]])</f>
        <v>194</v>
      </c>
      <c r="K681">
        <f>Table2[[#This Row],[Total score]]/3</f>
        <v>64.666666666666671</v>
      </c>
    </row>
    <row r="682" spans="1:11" x14ac:dyDescent="0.25">
      <c r="A682" t="s">
        <v>709</v>
      </c>
      <c r="B682" t="s">
        <v>8</v>
      </c>
      <c r="C682" t="s">
        <v>14</v>
      </c>
      <c r="D682" t="s">
        <v>21</v>
      </c>
      <c r="E682" t="s">
        <v>16</v>
      </c>
      <c r="F682" t="s">
        <v>17</v>
      </c>
      <c r="G682">
        <v>57</v>
      </c>
      <c r="H682">
        <v>49</v>
      </c>
      <c r="I682">
        <v>48</v>
      </c>
      <c r="J682">
        <f>SUM(Table2[[#This Row],[math score]:[writing score]])</f>
        <v>154</v>
      </c>
      <c r="K682">
        <f>Table2[[#This Row],[Total score]]/3</f>
        <v>51.333333333333336</v>
      </c>
    </row>
    <row r="683" spans="1:11" x14ac:dyDescent="0.25">
      <c r="A683" t="s">
        <v>710</v>
      </c>
      <c r="B683" t="s">
        <v>8</v>
      </c>
      <c r="C683" t="s">
        <v>23</v>
      </c>
      <c r="D683" t="s">
        <v>15</v>
      </c>
      <c r="E683" t="s">
        <v>16</v>
      </c>
      <c r="F683" t="s">
        <v>12</v>
      </c>
      <c r="G683">
        <v>41</v>
      </c>
      <c r="H683">
        <v>52</v>
      </c>
      <c r="I683">
        <v>47</v>
      </c>
      <c r="J683">
        <f>SUM(Table2[[#This Row],[math score]:[writing score]])</f>
        <v>140</v>
      </c>
      <c r="K683">
        <f>Table2[[#This Row],[Total score]]/3</f>
        <v>46.666666666666664</v>
      </c>
    </row>
    <row r="684" spans="1:11" x14ac:dyDescent="0.25">
      <c r="A684" t="s">
        <v>711</v>
      </c>
      <c r="B684" t="s">
        <v>8</v>
      </c>
      <c r="C684" t="s">
        <v>14</v>
      </c>
      <c r="D684" t="s">
        <v>15</v>
      </c>
      <c r="E684" t="s">
        <v>11</v>
      </c>
      <c r="F684" t="s">
        <v>17</v>
      </c>
      <c r="G684">
        <v>87</v>
      </c>
      <c r="H684">
        <v>80</v>
      </c>
      <c r="I684">
        <v>76</v>
      </c>
      <c r="J684">
        <f>SUM(Table2[[#This Row],[math score]:[writing score]])</f>
        <v>243</v>
      </c>
      <c r="K684">
        <f>Table2[[#This Row],[Total score]]/3</f>
        <v>81</v>
      </c>
    </row>
    <row r="685" spans="1:11" x14ac:dyDescent="0.25">
      <c r="A685" t="s">
        <v>712</v>
      </c>
      <c r="B685" t="s">
        <v>8</v>
      </c>
      <c r="C685" t="s">
        <v>23</v>
      </c>
      <c r="D685" t="s">
        <v>10</v>
      </c>
      <c r="E685" t="s">
        <v>16</v>
      </c>
      <c r="F685" t="s">
        <v>17</v>
      </c>
      <c r="G685">
        <v>69</v>
      </c>
      <c r="H685">
        <v>71</v>
      </c>
      <c r="I685">
        <v>62</v>
      </c>
      <c r="J685">
        <f>SUM(Table2[[#This Row],[math score]:[writing score]])</f>
        <v>202</v>
      </c>
      <c r="K685">
        <f>Table2[[#This Row],[Total score]]/3</f>
        <v>67.333333333333329</v>
      </c>
    </row>
    <row r="686" spans="1:11" x14ac:dyDescent="0.25">
      <c r="A686" t="s">
        <v>713</v>
      </c>
      <c r="B686" t="s">
        <v>8</v>
      </c>
      <c r="C686" t="s">
        <v>23</v>
      </c>
      <c r="D686" t="s">
        <v>21</v>
      </c>
      <c r="E686" t="s">
        <v>16</v>
      </c>
      <c r="F686" t="s">
        <v>17</v>
      </c>
      <c r="G686">
        <v>69</v>
      </c>
      <c r="H686">
        <v>77</v>
      </c>
      <c r="I686">
        <v>70</v>
      </c>
      <c r="J686">
        <f>SUM(Table2[[#This Row],[math score]:[writing score]])</f>
        <v>216</v>
      </c>
      <c r="K686">
        <f>Table2[[#This Row],[Total score]]/3</f>
        <v>72</v>
      </c>
    </row>
    <row r="687" spans="1:11" x14ac:dyDescent="0.25">
      <c r="A687" t="s">
        <v>714</v>
      </c>
      <c r="B687" t="s">
        <v>8</v>
      </c>
      <c r="C687" t="s">
        <v>14</v>
      </c>
      <c r="D687" t="s">
        <v>10</v>
      </c>
      <c r="E687" t="s">
        <v>11</v>
      </c>
      <c r="F687" t="s">
        <v>12</v>
      </c>
      <c r="G687">
        <v>58</v>
      </c>
      <c r="H687">
        <v>56</v>
      </c>
      <c r="I687">
        <v>56</v>
      </c>
      <c r="J687">
        <f>SUM(Table2[[#This Row],[math score]:[writing score]])</f>
        <v>170</v>
      </c>
      <c r="K687">
        <f>Table2[[#This Row],[Total score]]/3</f>
        <v>56.666666666666664</v>
      </c>
    </row>
    <row r="688" spans="1:11" x14ac:dyDescent="0.25">
      <c r="A688" t="s">
        <v>715</v>
      </c>
      <c r="B688" t="s">
        <v>13</v>
      </c>
      <c r="C688" t="s">
        <v>20</v>
      </c>
      <c r="D688" t="s">
        <v>19</v>
      </c>
      <c r="E688" t="s">
        <v>16</v>
      </c>
      <c r="F688" t="s">
        <v>12</v>
      </c>
      <c r="G688">
        <v>47</v>
      </c>
      <c r="H688">
        <v>69</v>
      </c>
      <c r="I688">
        <v>62</v>
      </c>
      <c r="J688">
        <f>SUM(Table2[[#This Row],[math score]:[writing score]])</f>
        <v>178</v>
      </c>
      <c r="K688">
        <f>Table2[[#This Row],[Total score]]/3</f>
        <v>59.333333333333336</v>
      </c>
    </row>
    <row r="689" spans="1:11" x14ac:dyDescent="0.25">
      <c r="A689" t="s">
        <v>716</v>
      </c>
      <c r="B689" t="s">
        <v>8</v>
      </c>
      <c r="C689" t="s">
        <v>14</v>
      </c>
      <c r="D689" t="s">
        <v>21</v>
      </c>
      <c r="E689" t="s">
        <v>11</v>
      </c>
      <c r="F689" t="s">
        <v>12</v>
      </c>
      <c r="G689">
        <v>78</v>
      </c>
      <c r="H689">
        <v>69</v>
      </c>
      <c r="I689">
        <v>71</v>
      </c>
      <c r="J689">
        <f>SUM(Table2[[#This Row],[math score]:[writing score]])</f>
        <v>218</v>
      </c>
      <c r="K689">
        <f>Table2[[#This Row],[Total score]]/3</f>
        <v>72.666666666666671</v>
      </c>
    </row>
    <row r="690" spans="1:11" x14ac:dyDescent="0.25">
      <c r="A690" t="s">
        <v>717</v>
      </c>
      <c r="B690" t="s">
        <v>13</v>
      </c>
      <c r="C690" t="s">
        <v>20</v>
      </c>
      <c r="D690" t="s">
        <v>19</v>
      </c>
      <c r="E690" t="s">
        <v>16</v>
      </c>
      <c r="F690" t="s">
        <v>12</v>
      </c>
      <c r="G690">
        <v>54</v>
      </c>
      <c r="H690">
        <v>61</v>
      </c>
      <c r="I690">
        <v>71</v>
      </c>
      <c r="J690">
        <f>SUM(Table2[[#This Row],[math score]:[writing score]])</f>
        <v>186</v>
      </c>
      <c r="K690">
        <f>Table2[[#This Row],[Total score]]/3</f>
        <v>62</v>
      </c>
    </row>
    <row r="691" spans="1:11" x14ac:dyDescent="0.25">
      <c r="A691" t="s">
        <v>718</v>
      </c>
      <c r="B691" t="s">
        <v>8</v>
      </c>
      <c r="C691" t="s">
        <v>23</v>
      </c>
      <c r="D691" t="s">
        <v>19</v>
      </c>
      <c r="E691" t="s">
        <v>16</v>
      </c>
      <c r="F691" t="s">
        <v>17</v>
      </c>
      <c r="G691">
        <v>36</v>
      </c>
      <c r="H691">
        <v>27</v>
      </c>
      <c r="I691">
        <v>26</v>
      </c>
      <c r="J691">
        <f>SUM(Table2[[#This Row],[math score]:[writing score]])</f>
        <v>89</v>
      </c>
      <c r="K691">
        <f>Table2[[#This Row],[Total score]]/3</f>
        <v>29.666666666666668</v>
      </c>
    </row>
    <row r="692" spans="1:11" x14ac:dyDescent="0.25">
      <c r="A692" t="s">
        <v>719</v>
      </c>
      <c r="B692" t="s">
        <v>8</v>
      </c>
      <c r="C692" t="s">
        <v>20</v>
      </c>
      <c r="D692" t="s">
        <v>22</v>
      </c>
      <c r="E692" t="s">
        <v>11</v>
      </c>
      <c r="F692" t="s">
        <v>12</v>
      </c>
      <c r="G692">
        <v>94</v>
      </c>
      <c r="H692">
        <v>92</v>
      </c>
      <c r="I692">
        <v>92</v>
      </c>
      <c r="J692">
        <f>SUM(Table2[[#This Row],[math score]:[writing score]])</f>
        <v>278</v>
      </c>
      <c r="K692">
        <f>Table2[[#This Row],[Total score]]/3</f>
        <v>92.666666666666671</v>
      </c>
    </row>
    <row r="693" spans="1:11" x14ac:dyDescent="0.25">
      <c r="A693" t="s">
        <v>720</v>
      </c>
      <c r="B693" t="s">
        <v>13</v>
      </c>
      <c r="C693" t="s">
        <v>14</v>
      </c>
      <c r="D693" t="s">
        <v>21</v>
      </c>
      <c r="E693" t="s">
        <v>16</v>
      </c>
      <c r="F693" t="s">
        <v>17</v>
      </c>
      <c r="G693">
        <v>68</v>
      </c>
      <c r="H693">
        <v>84</v>
      </c>
      <c r="I693">
        <v>80</v>
      </c>
      <c r="J693">
        <f>SUM(Table2[[#This Row],[math score]:[writing score]])</f>
        <v>232</v>
      </c>
      <c r="K693">
        <f>Table2[[#This Row],[Total score]]/3</f>
        <v>77.333333333333329</v>
      </c>
    </row>
    <row r="694" spans="1:11" x14ac:dyDescent="0.25">
      <c r="A694" t="s">
        <v>721</v>
      </c>
      <c r="B694" t="s">
        <v>13</v>
      </c>
      <c r="C694" t="s">
        <v>18</v>
      </c>
      <c r="D694" t="s">
        <v>10</v>
      </c>
      <c r="E694" t="s">
        <v>11</v>
      </c>
      <c r="F694" t="s">
        <v>17</v>
      </c>
      <c r="G694">
        <v>90</v>
      </c>
      <c r="H694">
        <v>88</v>
      </c>
      <c r="I694">
        <v>84</v>
      </c>
      <c r="J694">
        <f>SUM(Table2[[#This Row],[math score]:[writing score]])</f>
        <v>262</v>
      </c>
      <c r="K694">
        <f>Table2[[#This Row],[Total score]]/3</f>
        <v>87.333333333333329</v>
      </c>
    </row>
    <row r="695" spans="1:11" x14ac:dyDescent="0.25">
      <c r="A695" t="s">
        <v>722</v>
      </c>
      <c r="B695" t="s">
        <v>8</v>
      </c>
      <c r="C695" t="s">
        <v>9</v>
      </c>
      <c r="D695" t="s">
        <v>19</v>
      </c>
      <c r="E695" t="s">
        <v>11</v>
      </c>
      <c r="F695" t="s">
        <v>17</v>
      </c>
      <c r="G695">
        <v>57</v>
      </c>
      <c r="H695">
        <v>57</v>
      </c>
      <c r="I695">
        <v>53</v>
      </c>
      <c r="J695">
        <f>SUM(Table2[[#This Row],[math score]:[writing score]])</f>
        <v>167</v>
      </c>
      <c r="K695">
        <f>Table2[[#This Row],[Total score]]/3</f>
        <v>55.666666666666664</v>
      </c>
    </row>
    <row r="696" spans="1:11" x14ac:dyDescent="0.25">
      <c r="A696" t="s">
        <v>723</v>
      </c>
      <c r="B696" t="s">
        <v>8</v>
      </c>
      <c r="C696" t="s">
        <v>14</v>
      </c>
      <c r="D696" t="s">
        <v>19</v>
      </c>
      <c r="E696" t="s">
        <v>11</v>
      </c>
      <c r="F696" t="s">
        <v>12</v>
      </c>
      <c r="G696">
        <v>96</v>
      </c>
      <c r="H696">
        <v>95</v>
      </c>
      <c r="I696">
        <v>90</v>
      </c>
      <c r="J696">
        <f>SUM(Table2[[#This Row],[math score]:[writing score]])</f>
        <v>281</v>
      </c>
      <c r="K696">
        <f>Table2[[#This Row],[Total score]]/3</f>
        <v>93.666666666666671</v>
      </c>
    </row>
    <row r="697" spans="1:11" x14ac:dyDescent="0.25">
      <c r="A697" t="s">
        <v>724</v>
      </c>
      <c r="B697" t="s">
        <v>8</v>
      </c>
      <c r="C697" t="s">
        <v>20</v>
      </c>
      <c r="D697" t="s">
        <v>15</v>
      </c>
      <c r="E697" t="s">
        <v>11</v>
      </c>
      <c r="F697" t="s">
        <v>12</v>
      </c>
      <c r="G697">
        <v>68</v>
      </c>
      <c r="H697">
        <v>63</v>
      </c>
      <c r="I697">
        <v>62</v>
      </c>
      <c r="J697">
        <f>SUM(Table2[[#This Row],[math score]:[writing score]])</f>
        <v>193</v>
      </c>
      <c r="K697">
        <f>Table2[[#This Row],[Total score]]/3</f>
        <v>64.333333333333329</v>
      </c>
    </row>
    <row r="698" spans="1:11" x14ac:dyDescent="0.25">
      <c r="A698" t="s">
        <v>725</v>
      </c>
      <c r="B698" t="s">
        <v>13</v>
      </c>
      <c r="C698" t="s">
        <v>23</v>
      </c>
      <c r="D698" t="s">
        <v>15</v>
      </c>
      <c r="E698" t="s">
        <v>11</v>
      </c>
      <c r="F698" t="s">
        <v>12</v>
      </c>
      <c r="G698">
        <v>52</v>
      </c>
      <c r="H698">
        <v>64</v>
      </c>
      <c r="I698">
        <v>63</v>
      </c>
      <c r="J698">
        <f>SUM(Table2[[#This Row],[math score]:[writing score]])</f>
        <v>179</v>
      </c>
      <c r="K698">
        <f>Table2[[#This Row],[Total score]]/3</f>
        <v>59.666666666666664</v>
      </c>
    </row>
    <row r="699" spans="1:11" x14ac:dyDescent="0.25">
      <c r="A699" t="s">
        <v>726</v>
      </c>
      <c r="B699" t="s">
        <v>8</v>
      </c>
      <c r="C699" t="s">
        <v>18</v>
      </c>
      <c r="D699" t="s">
        <v>21</v>
      </c>
      <c r="E699" t="s">
        <v>11</v>
      </c>
      <c r="F699" t="s">
        <v>17</v>
      </c>
      <c r="G699">
        <v>90</v>
      </c>
      <c r="H699">
        <v>76</v>
      </c>
      <c r="I699">
        <v>73</v>
      </c>
      <c r="J699">
        <f>SUM(Table2[[#This Row],[math score]:[writing score]])</f>
        <v>239</v>
      </c>
      <c r="K699">
        <f>Table2[[#This Row],[Total score]]/3</f>
        <v>79.666666666666671</v>
      </c>
    </row>
    <row r="700" spans="1:11" x14ac:dyDescent="0.25">
      <c r="A700" t="s">
        <v>727</v>
      </c>
      <c r="B700" t="s">
        <v>8</v>
      </c>
      <c r="C700" t="s">
        <v>23</v>
      </c>
      <c r="D700" t="s">
        <v>19</v>
      </c>
      <c r="E700" t="s">
        <v>16</v>
      </c>
      <c r="F700" t="s">
        <v>12</v>
      </c>
      <c r="G700">
        <v>71</v>
      </c>
      <c r="H700">
        <v>82</v>
      </c>
      <c r="I700">
        <v>75</v>
      </c>
      <c r="J700">
        <f>SUM(Table2[[#This Row],[math score]:[writing score]])</f>
        <v>228</v>
      </c>
      <c r="K700">
        <f>Table2[[#This Row],[Total score]]/3</f>
        <v>76</v>
      </c>
    </row>
    <row r="701" spans="1:11" x14ac:dyDescent="0.25">
      <c r="A701" t="s">
        <v>728</v>
      </c>
      <c r="B701" t="s">
        <v>13</v>
      </c>
      <c r="C701" t="s">
        <v>23</v>
      </c>
      <c r="D701" t="s">
        <v>19</v>
      </c>
      <c r="E701" t="s">
        <v>16</v>
      </c>
      <c r="F701" t="s">
        <v>12</v>
      </c>
      <c r="G701">
        <v>58</v>
      </c>
      <c r="H701">
        <v>69</v>
      </c>
      <c r="I701">
        <v>74</v>
      </c>
      <c r="J701">
        <f>SUM(Table2[[#This Row],[math score]:[writing score]])</f>
        <v>201</v>
      </c>
      <c r="K701">
        <f>Table2[[#This Row],[Total score]]/3</f>
        <v>67</v>
      </c>
    </row>
    <row r="702" spans="1:11" x14ac:dyDescent="0.25">
      <c r="A702" t="s">
        <v>729</v>
      </c>
      <c r="B702" t="s">
        <v>8</v>
      </c>
      <c r="C702" t="s">
        <v>23</v>
      </c>
      <c r="D702" t="s">
        <v>15</v>
      </c>
      <c r="E702" t="s">
        <v>16</v>
      </c>
      <c r="F702" t="s">
        <v>17</v>
      </c>
      <c r="G702">
        <v>41</v>
      </c>
      <c r="H702">
        <v>39</v>
      </c>
      <c r="I702">
        <v>34</v>
      </c>
      <c r="J702">
        <f>SUM(Table2[[#This Row],[math score]:[writing score]])</f>
        <v>114</v>
      </c>
      <c r="K702">
        <f>Table2[[#This Row],[Total score]]/3</f>
        <v>38</v>
      </c>
    </row>
    <row r="703" spans="1:11" x14ac:dyDescent="0.25">
      <c r="A703" t="s">
        <v>730</v>
      </c>
      <c r="B703" t="s">
        <v>8</v>
      </c>
      <c r="C703" t="s">
        <v>14</v>
      </c>
      <c r="D703" t="s">
        <v>15</v>
      </c>
      <c r="E703" t="s">
        <v>11</v>
      </c>
      <c r="F703" t="s">
        <v>12</v>
      </c>
      <c r="G703">
        <v>43</v>
      </c>
      <c r="H703">
        <v>37</v>
      </c>
      <c r="I703">
        <v>43</v>
      </c>
      <c r="J703">
        <f>SUM(Table2[[#This Row],[math score]:[writing score]])</f>
        <v>123</v>
      </c>
      <c r="K703">
        <f>Table2[[#This Row],[Total score]]/3</f>
        <v>41</v>
      </c>
    </row>
    <row r="704" spans="1:11" x14ac:dyDescent="0.25">
      <c r="A704" t="s">
        <v>731</v>
      </c>
      <c r="B704" t="s">
        <v>8</v>
      </c>
      <c r="C704" t="s">
        <v>14</v>
      </c>
      <c r="D704" t="s">
        <v>10</v>
      </c>
      <c r="E704" t="s">
        <v>11</v>
      </c>
      <c r="F704" t="s">
        <v>17</v>
      </c>
      <c r="G704">
        <v>85</v>
      </c>
      <c r="H704">
        <v>70</v>
      </c>
      <c r="I704">
        <v>71</v>
      </c>
      <c r="J704">
        <f>SUM(Table2[[#This Row],[math score]:[writing score]])</f>
        <v>226</v>
      </c>
      <c r="K704">
        <f>Table2[[#This Row],[Total score]]/3</f>
        <v>75.333333333333329</v>
      </c>
    </row>
    <row r="705" spans="1:11" x14ac:dyDescent="0.25">
      <c r="A705" t="s">
        <v>732</v>
      </c>
      <c r="B705" t="s">
        <v>8</v>
      </c>
      <c r="C705" t="s">
        <v>20</v>
      </c>
      <c r="D705" t="s">
        <v>15</v>
      </c>
      <c r="E705" t="s">
        <v>11</v>
      </c>
      <c r="F705" t="s">
        <v>17</v>
      </c>
      <c r="G705">
        <v>71</v>
      </c>
      <c r="H705">
        <v>72</v>
      </c>
      <c r="I705">
        <v>69</v>
      </c>
      <c r="J705">
        <f>SUM(Table2[[#This Row],[math score]:[writing score]])</f>
        <v>212</v>
      </c>
      <c r="K705">
        <f>Table2[[#This Row],[Total score]]/3</f>
        <v>70.666666666666671</v>
      </c>
    </row>
    <row r="706" spans="1:11" x14ac:dyDescent="0.25">
      <c r="A706" t="s">
        <v>733</v>
      </c>
      <c r="B706" t="s">
        <v>13</v>
      </c>
      <c r="C706" t="s">
        <v>9</v>
      </c>
      <c r="D706" t="s">
        <v>10</v>
      </c>
      <c r="E706" t="s">
        <v>11</v>
      </c>
      <c r="F706" t="s">
        <v>17</v>
      </c>
      <c r="G706">
        <v>72</v>
      </c>
      <c r="H706">
        <v>70</v>
      </c>
      <c r="I706">
        <v>72</v>
      </c>
      <c r="J706">
        <f>SUM(Table2[[#This Row],[math score]:[writing score]])</f>
        <v>214</v>
      </c>
      <c r="K706">
        <f>Table2[[#This Row],[Total score]]/3</f>
        <v>71.333333333333329</v>
      </c>
    </row>
    <row r="707" spans="1:11" x14ac:dyDescent="0.25">
      <c r="A707" t="s">
        <v>734</v>
      </c>
      <c r="B707" t="s">
        <v>8</v>
      </c>
      <c r="C707" t="s">
        <v>14</v>
      </c>
      <c r="D707" t="s">
        <v>21</v>
      </c>
      <c r="E707" t="s">
        <v>16</v>
      </c>
      <c r="F707" t="s">
        <v>17</v>
      </c>
      <c r="G707">
        <v>70</v>
      </c>
      <c r="H707">
        <v>62</v>
      </c>
      <c r="I707">
        <v>66</v>
      </c>
      <c r="J707">
        <f>SUM(Table2[[#This Row],[math score]:[writing score]])</f>
        <v>198</v>
      </c>
      <c r="K707">
        <f>Table2[[#This Row],[Total score]]/3</f>
        <v>66</v>
      </c>
    </row>
    <row r="708" spans="1:11" x14ac:dyDescent="0.25">
      <c r="A708" t="s">
        <v>735</v>
      </c>
      <c r="B708" t="s">
        <v>13</v>
      </c>
      <c r="C708" t="s">
        <v>14</v>
      </c>
      <c r="D708" t="s">
        <v>22</v>
      </c>
      <c r="E708" t="s">
        <v>11</v>
      </c>
      <c r="F708" t="s">
        <v>17</v>
      </c>
      <c r="G708">
        <v>89</v>
      </c>
      <c r="H708">
        <v>100</v>
      </c>
      <c r="I708">
        <v>100</v>
      </c>
      <c r="J708">
        <f>SUM(Table2[[#This Row],[math score]:[writing score]])</f>
        <v>289</v>
      </c>
      <c r="K708">
        <f>Table2[[#This Row],[Total score]]/3</f>
        <v>96.333333333333329</v>
      </c>
    </row>
    <row r="709" spans="1:11" x14ac:dyDescent="0.25">
      <c r="A709" t="s">
        <v>736</v>
      </c>
      <c r="B709" t="s">
        <v>13</v>
      </c>
      <c r="C709" t="s">
        <v>18</v>
      </c>
      <c r="D709" t="s">
        <v>10</v>
      </c>
      <c r="E709" t="s">
        <v>11</v>
      </c>
      <c r="F709" t="s">
        <v>17</v>
      </c>
      <c r="G709">
        <v>92</v>
      </c>
      <c r="H709">
        <v>86</v>
      </c>
      <c r="I709">
        <v>82</v>
      </c>
      <c r="J709">
        <f>SUM(Table2[[#This Row],[math score]:[writing score]])</f>
        <v>260</v>
      </c>
      <c r="K709">
        <f>Table2[[#This Row],[Total score]]/3</f>
        <v>86.666666666666671</v>
      </c>
    </row>
    <row r="710" spans="1:11" x14ac:dyDescent="0.25">
      <c r="A710" t="s">
        <v>737</v>
      </c>
      <c r="B710" t="s">
        <v>8</v>
      </c>
      <c r="C710" t="s">
        <v>18</v>
      </c>
      <c r="D710" t="s">
        <v>19</v>
      </c>
      <c r="E710" t="s">
        <v>16</v>
      </c>
      <c r="F710" t="s">
        <v>12</v>
      </c>
      <c r="G710">
        <v>80</v>
      </c>
      <c r="H710">
        <v>79</v>
      </c>
      <c r="I710">
        <v>81</v>
      </c>
      <c r="J710">
        <f>SUM(Table2[[#This Row],[math score]:[writing score]])</f>
        <v>240</v>
      </c>
      <c r="K710">
        <f>Table2[[#This Row],[Total score]]/3</f>
        <v>80</v>
      </c>
    </row>
    <row r="711" spans="1:11" x14ac:dyDescent="0.25">
      <c r="A711" t="s">
        <v>738</v>
      </c>
      <c r="B711" t="s">
        <v>8</v>
      </c>
      <c r="C711" t="s">
        <v>23</v>
      </c>
      <c r="D711" t="s">
        <v>15</v>
      </c>
      <c r="E711" t="s">
        <v>11</v>
      </c>
      <c r="F711" t="s">
        <v>17</v>
      </c>
      <c r="G711">
        <v>80</v>
      </c>
      <c r="H711">
        <v>70</v>
      </c>
      <c r="I711">
        <v>60</v>
      </c>
      <c r="J711">
        <f>SUM(Table2[[#This Row],[math score]:[writing score]])</f>
        <v>210</v>
      </c>
      <c r="K711">
        <f>Table2[[#This Row],[Total score]]/3</f>
        <v>70</v>
      </c>
    </row>
    <row r="712" spans="1:11" x14ac:dyDescent="0.25">
      <c r="A712" t="s">
        <v>739</v>
      </c>
      <c r="B712" t="s">
        <v>13</v>
      </c>
      <c r="C712" t="s">
        <v>20</v>
      </c>
      <c r="D712" t="s">
        <v>10</v>
      </c>
      <c r="E712" t="s">
        <v>11</v>
      </c>
      <c r="F712" t="s">
        <v>17</v>
      </c>
      <c r="G712">
        <v>56</v>
      </c>
      <c r="H712">
        <v>64</v>
      </c>
      <c r="I712">
        <v>59</v>
      </c>
      <c r="J712">
        <f>SUM(Table2[[#This Row],[math score]:[writing score]])</f>
        <v>179</v>
      </c>
      <c r="K712">
        <f>Table2[[#This Row],[Total score]]/3</f>
        <v>59.666666666666664</v>
      </c>
    </row>
    <row r="713" spans="1:11" x14ac:dyDescent="0.25">
      <c r="A713" t="s">
        <v>740</v>
      </c>
      <c r="B713" t="s">
        <v>8</v>
      </c>
      <c r="C713" t="s">
        <v>18</v>
      </c>
      <c r="D713" t="s">
        <v>10</v>
      </c>
      <c r="E713" t="s">
        <v>16</v>
      </c>
      <c r="F713" t="s">
        <v>17</v>
      </c>
      <c r="G713">
        <v>93</v>
      </c>
      <c r="H713">
        <v>86</v>
      </c>
      <c r="I713">
        <v>73</v>
      </c>
      <c r="J713">
        <f>SUM(Table2[[#This Row],[math score]:[writing score]])</f>
        <v>252</v>
      </c>
      <c r="K713">
        <f>Table2[[#This Row],[Total score]]/3</f>
        <v>84</v>
      </c>
    </row>
    <row r="714" spans="1:11" x14ac:dyDescent="0.25">
      <c r="A714" t="s">
        <v>741</v>
      </c>
      <c r="B714" t="s">
        <v>8</v>
      </c>
      <c r="C714" t="s">
        <v>23</v>
      </c>
      <c r="D714" t="s">
        <v>21</v>
      </c>
      <c r="E714" t="s">
        <v>16</v>
      </c>
      <c r="F714" t="s">
        <v>12</v>
      </c>
      <c r="G714">
        <v>49</v>
      </c>
      <c r="H714">
        <v>37</v>
      </c>
      <c r="I714">
        <v>41</v>
      </c>
      <c r="J714">
        <f>SUM(Table2[[#This Row],[math score]:[writing score]])</f>
        <v>127</v>
      </c>
      <c r="K714">
        <f>Table2[[#This Row],[Total score]]/3</f>
        <v>42.333333333333336</v>
      </c>
    </row>
    <row r="715" spans="1:11" x14ac:dyDescent="0.25">
      <c r="A715" t="s">
        <v>742</v>
      </c>
      <c r="B715" t="s">
        <v>13</v>
      </c>
      <c r="C715" t="s">
        <v>18</v>
      </c>
      <c r="D715" t="s">
        <v>24</v>
      </c>
      <c r="E715" t="s">
        <v>11</v>
      </c>
      <c r="F715" t="s">
        <v>17</v>
      </c>
      <c r="G715">
        <v>59</v>
      </c>
      <c r="H715">
        <v>57</v>
      </c>
      <c r="I715">
        <v>58</v>
      </c>
      <c r="J715">
        <f>SUM(Table2[[#This Row],[math score]:[writing score]])</f>
        <v>174</v>
      </c>
      <c r="K715">
        <f>Table2[[#This Row],[Total score]]/3</f>
        <v>58</v>
      </c>
    </row>
    <row r="716" spans="1:11" x14ac:dyDescent="0.25">
      <c r="A716" t="s">
        <v>743</v>
      </c>
      <c r="B716" t="s">
        <v>13</v>
      </c>
      <c r="C716" t="s">
        <v>23</v>
      </c>
      <c r="D716" t="s">
        <v>15</v>
      </c>
      <c r="E716" t="s">
        <v>11</v>
      </c>
      <c r="F716" t="s">
        <v>12</v>
      </c>
      <c r="G716">
        <v>64</v>
      </c>
      <c r="H716">
        <v>74</v>
      </c>
      <c r="I716">
        <v>75</v>
      </c>
      <c r="J716">
        <f>SUM(Table2[[#This Row],[math score]:[writing score]])</f>
        <v>213</v>
      </c>
      <c r="K716">
        <f>Table2[[#This Row],[Total score]]/3</f>
        <v>71</v>
      </c>
    </row>
    <row r="717" spans="1:11" x14ac:dyDescent="0.25">
      <c r="A717" t="s">
        <v>744</v>
      </c>
      <c r="B717" t="s">
        <v>8</v>
      </c>
      <c r="C717" t="s">
        <v>14</v>
      </c>
      <c r="D717" t="s">
        <v>15</v>
      </c>
      <c r="E717" t="s">
        <v>11</v>
      </c>
      <c r="F717" t="s">
        <v>17</v>
      </c>
      <c r="G717">
        <v>73</v>
      </c>
      <c r="H717">
        <v>66</v>
      </c>
      <c r="I717">
        <v>59</v>
      </c>
      <c r="J717">
        <f>SUM(Table2[[#This Row],[math score]:[writing score]])</f>
        <v>198</v>
      </c>
      <c r="K717">
        <f>Table2[[#This Row],[Total score]]/3</f>
        <v>66</v>
      </c>
    </row>
    <row r="718" spans="1:11" x14ac:dyDescent="0.25">
      <c r="A718" t="s">
        <v>745</v>
      </c>
      <c r="B718" t="s">
        <v>13</v>
      </c>
      <c r="C718" t="s">
        <v>20</v>
      </c>
      <c r="D718" t="s">
        <v>19</v>
      </c>
      <c r="E718" t="s">
        <v>11</v>
      </c>
      <c r="F718" t="s">
        <v>12</v>
      </c>
      <c r="G718">
        <v>82</v>
      </c>
      <c r="H718">
        <v>86</v>
      </c>
      <c r="I718">
        <v>90</v>
      </c>
      <c r="J718">
        <f>SUM(Table2[[#This Row],[math score]:[writing score]])</f>
        <v>258</v>
      </c>
      <c r="K718">
        <f>Table2[[#This Row],[Total score]]/3</f>
        <v>86</v>
      </c>
    </row>
    <row r="719" spans="1:11" x14ac:dyDescent="0.25">
      <c r="A719" t="s">
        <v>746</v>
      </c>
      <c r="B719" t="s">
        <v>8</v>
      </c>
      <c r="C719" t="s">
        <v>14</v>
      </c>
      <c r="D719" t="s">
        <v>10</v>
      </c>
      <c r="E719" t="s">
        <v>16</v>
      </c>
      <c r="F719" t="s">
        <v>17</v>
      </c>
      <c r="G719">
        <v>48</v>
      </c>
      <c r="H719">
        <v>43</v>
      </c>
      <c r="I719">
        <v>41</v>
      </c>
      <c r="J719">
        <f>SUM(Table2[[#This Row],[math score]:[writing score]])</f>
        <v>132</v>
      </c>
      <c r="K719">
        <f>Table2[[#This Row],[Total score]]/3</f>
        <v>44</v>
      </c>
    </row>
    <row r="720" spans="1:11" x14ac:dyDescent="0.25">
      <c r="A720" t="s">
        <v>747</v>
      </c>
      <c r="B720" t="s">
        <v>13</v>
      </c>
      <c r="C720" t="s">
        <v>9</v>
      </c>
      <c r="D720" t="s">
        <v>15</v>
      </c>
      <c r="E720" t="s">
        <v>16</v>
      </c>
      <c r="F720" t="s">
        <v>12</v>
      </c>
      <c r="G720">
        <v>51</v>
      </c>
      <c r="H720">
        <v>64</v>
      </c>
      <c r="I720">
        <v>62</v>
      </c>
      <c r="J720">
        <f>SUM(Table2[[#This Row],[math score]:[writing score]])</f>
        <v>177</v>
      </c>
      <c r="K720">
        <f>Table2[[#This Row],[Total score]]/3</f>
        <v>59</v>
      </c>
    </row>
    <row r="721" spans="1:11" x14ac:dyDescent="0.25">
      <c r="A721" t="s">
        <v>748</v>
      </c>
      <c r="B721" t="s">
        <v>13</v>
      </c>
      <c r="C721" t="s">
        <v>18</v>
      </c>
      <c r="D721" t="s">
        <v>15</v>
      </c>
      <c r="E721" t="s">
        <v>16</v>
      </c>
      <c r="F721" t="s">
        <v>12</v>
      </c>
      <c r="G721">
        <v>38</v>
      </c>
      <c r="H721">
        <v>46</v>
      </c>
      <c r="I721">
        <v>43</v>
      </c>
      <c r="J721">
        <f>SUM(Table2[[#This Row],[math score]:[writing score]])</f>
        <v>127</v>
      </c>
      <c r="K721">
        <f>Table2[[#This Row],[Total score]]/3</f>
        <v>42.333333333333336</v>
      </c>
    </row>
    <row r="722" spans="1:11" x14ac:dyDescent="0.25">
      <c r="A722" t="s">
        <v>749</v>
      </c>
      <c r="B722" t="s">
        <v>8</v>
      </c>
      <c r="C722" t="s">
        <v>20</v>
      </c>
      <c r="D722" t="s">
        <v>19</v>
      </c>
      <c r="E722" t="s">
        <v>16</v>
      </c>
      <c r="F722" t="s">
        <v>17</v>
      </c>
      <c r="G722">
        <v>45</v>
      </c>
      <c r="H722">
        <v>50</v>
      </c>
      <c r="I722">
        <v>42</v>
      </c>
      <c r="J722">
        <f>SUM(Table2[[#This Row],[math score]:[writing score]])</f>
        <v>137</v>
      </c>
      <c r="K722">
        <f>Table2[[#This Row],[Total score]]/3</f>
        <v>45.666666666666664</v>
      </c>
    </row>
    <row r="723" spans="1:11" x14ac:dyDescent="0.25">
      <c r="A723" t="s">
        <v>750</v>
      </c>
      <c r="B723" t="s">
        <v>13</v>
      </c>
      <c r="C723" t="s">
        <v>9</v>
      </c>
      <c r="D723" t="s">
        <v>19</v>
      </c>
      <c r="E723" t="s">
        <v>11</v>
      </c>
      <c r="F723" t="s">
        <v>12</v>
      </c>
      <c r="G723">
        <v>83</v>
      </c>
      <c r="H723">
        <v>92</v>
      </c>
      <c r="I723">
        <v>95</v>
      </c>
      <c r="J723">
        <f>SUM(Table2[[#This Row],[math score]:[writing score]])</f>
        <v>270</v>
      </c>
      <c r="K723">
        <f>Table2[[#This Row],[Total score]]/3</f>
        <v>90</v>
      </c>
    </row>
    <row r="724" spans="1:11" x14ac:dyDescent="0.25">
      <c r="A724" t="s">
        <v>751</v>
      </c>
      <c r="B724" t="s">
        <v>13</v>
      </c>
      <c r="C724" t="s">
        <v>20</v>
      </c>
      <c r="D724" t="s">
        <v>15</v>
      </c>
      <c r="E724" t="s">
        <v>11</v>
      </c>
      <c r="F724" t="s">
        <v>12</v>
      </c>
      <c r="G724">
        <v>45</v>
      </c>
      <c r="H724">
        <v>57</v>
      </c>
      <c r="I724">
        <v>56</v>
      </c>
      <c r="J724">
        <f>SUM(Table2[[#This Row],[math score]:[writing score]])</f>
        <v>158</v>
      </c>
      <c r="K724">
        <f>Table2[[#This Row],[Total score]]/3</f>
        <v>52.666666666666664</v>
      </c>
    </row>
    <row r="725" spans="1:11" x14ac:dyDescent="0.25">
      <c r="A725" t="s">
        <v>752</v>
      </c>
      <c r="B725" t="s">
        <v>8</v>
      </c>
      <c r="C725" t="s">
        <v>14</v>
      </c>
      <c r="D725" t="s">
        <v>10</v>
      </c>
      <c r="E725" t="s">
        <v>16</v>
      </c>
      <c r="F725" t="s">
        <v>17</v>
      </c>
      <c r="G725">
        <v>66</v>
      </c>
      <c r="H725">
        <v>64</v>
      </c>
      <c r="I725">
        <v>62</v>
      </c>
      <c r="J725">
        <f>SUM(Table2[[#This Row],[math score]:[writing score]])</f>
        <v>192</v>
      </c>
      <c r="K725">
        <f>Table2[[#This Row],[Total score]]/3</f>
        <v>64</v>
      </c>
    </row>
    <row r="726" spans="1:11" x14ac:dyDescent="0.25">
      <c r="A726" t="s">
        <v>753</v>
      </c>
      <c r="B726" t="s">
        <v>8</v>
      </c>
      <c r="C726" t="s">
        <v>14</v>
      </c>
      <c r="D726" t="s">
        <v>10</v>
      </c>
      <c r="E726" t="s">
        <v>16</v>
      </c>
      <c r="F726" t="s">
        <v>12</v>
      </c>
      <c r="G726">
        <v>60</v>
      </c>
      <c r="H726">
        <v>62</v>
      </c>
      <c r="I726">
        <v>57</v>
      </c>
      <c r="J726">
        <f>SUM(Table2[[#This Row],[math score]:[writing score]])</f>
        <v>179</v>
      </c>
      <c r="K726">
        <f>Table2[[#This Row],[Total score]]/3</f>
        <v>59.666666666666664</v>
      </c>
    </row>
    <row r="727" spans="1:11" x14ac:dyDescent="0.25">
      <c r="A727" t="s">
        <v>754</v>
      </c>
      <c r="B727" t="s">
        <v>8</v>
      </c>
      <c r="C727" t="s">
        <v>23</v>
      </c>
      <c r="D727" t="s">
        <v>21</v>
      </c>
      <c r="E727" t="s">
        <v>11</v>
      </c>
      <c r="F727" t="s">
        <v>17</v>
      </c>
      <c r="G727">
        <v>49</v>
      </c>
      <c r="H727">
        <v>47</v>
      </c>
      <c r="I727">
        <v>49</v>
      </c>
      <c r="J727">
        <f>SUM(Table2[[#This Row],[math score]:[writing score]])</f>
        <v>145</v>
      </c>
      <c r="K727">
        <f>Table2[[#This Row],[Total score]]/3</f>
        <v>48.333333333333336</v>
      </c>
    </row>
    <row r="728" spans="1:11" x14ac:dyDescent="0.25">
      <c r="A728" t="s">
        <v>755</v>
      </c>
      <c r="B728" t="s">
        <v>8</v>
      </c>
      <c r="C728" t="s">
        <v>14</v>
      </c>
      <c r="D728" t="s">
        <v>22</v>
      </c>
      <c r="E728" t="s">
        <v>11</v>
      </c>
      <c r="F728" t="s">
        <v>17</v>
      </c>
      <c r="G728">
        <v>80</v>
      </c>
      <c r="H728">
        <v>84</v>
      </c>
      <c r="I728">
        <v>86</v>
      </c>
      <c r="J728">
        <f>SUM(Table2[[#This Row],[math score]:[writing score]])</f>
        <v>250</v>
      </c>
      <c r="K728">
        <f>Table2[[#This Row],[Total score]]/3</f>
        <v>83.333333333333329</v>
      </c>
    </row>
    <row r="729" spans="1:11" x14ac:dyDescent="0.25">
      <c r="A729" t="s">
        <v>756</v>
      </c>
      <c r="B729" t="s">
        <v>8</v>
      </c>
      <c r="C729" t="s">
        <v>18</v>
      </c>
      <c r="D729" t="s">
        <v>10</v>
      </c>
      <c r="E729" t="s">
        <v>11</v>
      </c>
      <c r="F729" t="s">
        <v>17</v>
      </c>
      <c r="G729">
        <v>75</v>
      </c>
      <c r="H729">
        <v>68</v>
      </c>
      <c r="I729">
        <v>66</v>
      </c>
      <c r="J729">
        <f>SUM(Table2[[#This Row],[math score]:[writing score]])</f>
        <v>209</v>
      </c>
      <c r="K729">
        <f>Table2[[#This Row],[Total score]]/3</f>
        <v>69.666666666666671</v>
      </c>
    </row>
    <row r="730" spans="1:11" x14ac:dyDescent="0.25">
      <c r="A730" t="s">
        <v>757</v>
      </c>
      <c r="B730" t="s">
        <v>8</v>
      </c>
      <c r="C730" t="s">
        <v>20</v>
      </c>
      <c r="D730" t="s">
        <v>19</v>
      </c>
      <c r="E730" t="s">
        <v>16</v>
      </c>
      <c r="F730" t="s">
        <v>12</v>
      </c>
      <c r="G730">
        <v>57</v>
      </c>
      <c r="H730">
        <v>68</v>
      </c>
      <c r="I730">
        <v>61</v>
      </c>
      <c r="J730">
        <f>SUM(Table2[[#This Row],[math score]:[writing score]])</f>
        <v>186</v>
      </c>
      <c r="K730">
        <f>Table2[[#This Row],[Total score]]/3</f>
        <v>62</v>
      </c>
    </row>
    <row r="731" spans="1:11" x14ac:dyDescent="0.25">
      <c r="A731" t="s">
        <v>758</v>
      </c>
      <c r="B731" t="s">
        <v>13</v>
      </c>
      <c r="C731" t="s">
        <v>20</v>
      </c>
      <c r="D731" t="s">
        <v>15</v>
      </c>
      <c r="E731" t="s">
        <v>16</v>
      </c>
      <c r="F731" t="s">
        <v>17</v>
      </c>
      <c r="G731">
        <v>25</v>
      </c>
      <c r="H731">
        <v>36</v>
      </c>
      <c r="I731">
        <v>37</v>
      </c>
      <c r="J731">
        <f>SUM(Table2[[#This Row],[math score]:[writing score]])</f>
        <v>98</v>
      </c>
      <c r="K731">
        <f>Table2[[#This Row],[Total score]]/3</f>
        <v>32.666666666666664</v>
      </c>
    </row>
    <row r="732" spans="1:11" x14ac:dyDescent="0.25">
      <c r="A732" t="s">
        <v>759</v>
      </c>
      <c r="B732" t="s">
        <v>8</v>
      </c>
      <c r="C732" t="s">
        <v>18</v>
      </c>
      <c r="D732" t="s">
        <v>19</v>
      </c>
      <c r="E732" t="s">
        <v>16</v>
      </c>
      <c r="F732" t="s">
        <v>17</v>
      </c>
      <c r="G732">
        <v>90</v>
      </c>
      <c r="H732">
        <v>87</v>
      </c>
      <c r="I732">
        <v>81</v>
      </c>
      <c r="J732">
        <f>SUM(Table2[[#This Row],[math score]:[writing score]])</f>
        <v>258</v>
      </c>
      <c r="K732">
        <f>Table2[[#This Row],[Total score]]/3</f>
        <v>86</v>
      </c>
    </row>
    <row r="733" spans="1:11" x14ac:dyDescent="0.25">
      <c r="A733" t="s">
        <v>760</v>
      </c>
      <c r="B733" t="s">
        <v>13</v>
      </c>
      <c r="C733" t="s">
        <v>14</v>
      </c>
      <c r="D733" t="s">
        <v>19</v>
      </c>
      <c r="E733" t="s">
        <v>11</v>
      </c>
      <c r="F733" t="s">
        <v>17</v>
      </c>
      <c r="G733">
        <v>63</v>
      </c>
      <c r="H733">
        <v>70</v>
      </c>
      <c r="I733">
        <v>71</v>
      </c>
      <c r="J733">
        <f>SUM(Table2[[#This Row],[math score]:[writing score]])</f>
        <v>204</v>
      </c>
      <c r="K733">
        <f>Table2[[#This Row],[Total score]]/3</f>
        <v>68</v>
      </c>
    </row>
    <row r="734" spans="1:11" x14ac:dyDescent="0.25">
      <c r="A734" t="s">
        <v>761</v>
      </c>
      <c r="B734" t="s">
        <v>8</v>
      </c>
      <c r="C734" t="s">
        <v>18</v>
      </c>
      <c r="D734" t="s">
        <v>21</v>
      </c>
      <c r="E734" t="s">
        <v>11</v>
      </c>
      <c r="F734" t="s">
        <v>17</v>
      </c>
      <c r="G734">
        <v>100</v>
      </c>
      <c r="H734">
        <v>91</v>
      </c>
      <c r="I734">
        <v>86</v>
      </c>
      <c r="J734">
        <f>SUM(Table2[[#This Row],[math score]:[writing score]])</f>
        <v>277</v>
      </c>
      <c r="K734">
        <f>Table2[[#This Row],[Total score]]/3</f>
        <v>92.333333333333329</v>
      </c>
    </row>
    <row r="735" spans="1:11" x14ac:dyDescent="0.25">
      <c r="A735" t="s">
        <v>762</v>
      </c>
      <c r="B735" t="s">
        <v>8</v>
      </c>
      <c r="C735" t="s">
        <v>23</v>
      </c>
      <c r="D735" t="s">
        <v>21</v>
      </c>
      <c r="E735" t="s">
        <v>16</v>
      </c>
      <c r="F735" t="s">
        <v>17</v>
      </c>
      <c r="G735">
        <v>76</v>
      </c>
      <c r="H735">
        <v>68</v>
      </c>
      <c r="I735">
        <v>66</v>
      </c>
      <c r="J735">
        <f>SUM(Table2[[#This Row],[math score]:[writing score]])</f>
        <v>210</v>
      </c>
      <c r="K735">
        <f>Table2[[#This Row],[Total score]]/3</f>
        <v>70</v>
      </c>
    </row>
    <row r="736" spans="1:11" x14ac:dyDescent="0.25">
      <c r="A736" t="s">
        <v>763</v>
      </c>
      <c r="B736" t="s">
        <v>13</v>
      </c>
      <c r="C736" t="s">
        <v>20</v>
      </c>
      <c r="D736" t="s">
        <v>15</v>
      </c>
      <c r="E736" t="s">
        <v>16</v>
      </c>
      <c r="F736" t="s">
        <v>17</v>
      </c>
      <c r="G736">
        <v>52</v>
      </c>
      <c r="H736">
        <v>58</v>
      </c>
      <c r="I736">
        <v>53</v>
      </c>
      <c r="J736">
        <f>SUM(Table2[[#This Row],[math score]:[writing score]])</f>
        <v>163</v>
      </c>
      <c r="K736">
        <f>Table2[[#This Row],[Total score]]/3</f>
        <v>54.333333333333336</v>
      </c>
    </row>
    <row r="737" spans="1:11" x14ac:dyDescent="0.25">
      <c r="A737" t="s">
        <v>764</v>
      </c>
      <c r="B737" t="s">
        <v>13</v>
      </c>
      <c r="C737" t="s">
        <v>20</v>
      </c>
      <c r="D737" t="s">
        <v>24</v>
      </c>
      <c r="E737" t="s">
        <v>11</v>
      </c>
      <c r="F737" t="s">
        <v>12</v>
      </c>
      <c r="G737">
        <v>81</v>
      </c>
      <c r="H737">
        <v>86</v>
      </c>
      <c r="I737">
        <v>93</v>
      </c>
      <c r="J737">
        <f>SUM(Table2[[#This Row],[math score]:[writing score]])</f>
        <v>260</v>
      </c>
      <c r="K737">
        <f>Table2[[#This Row],[Total score]]/3</f>
        <v>86.666666666666671</v>
      </c>
    </row>
    <row r="738" spans="1:11" x14ac:dyDescent="0.25">
      <c r="A738" t="s">
        <v>765</v>
      </c>
      <c r="B738" t="s">
        <v>8</v>
      </c>
      <c r="C738" t="s">
        <v>23</v>
      </c>
      <c r="D738" t="s">
        <v>21</v>
      </c>
      <c r="E738" t="s">
        <v>11</v>
      </c>
      <c r="F738" t="s">
        <v>12</v>
      </c>
      <c r="G738">
        <v>90</v>
      </c>
      <c r="H738">
        <v>89</v>
      </c>
      <c r="I738">
        <v>87</v>
      </c>
      <c r="J738">
        <f>SUM(Table2[[#This Row],[math score]:[writing score]])</f>
        <v>266</v>
      </c>
      <c r="K738">
        <f>Table2[[#This Row],[Total score]]/3</f>
        <v>88.666666666666671</v>
      </c>
    </row>
    <row r="739" spans="1:11" x14ac:dyDescent="0.25">
      <c r="A739" t="s">
        <v>766</v>
      </c>
      <c r="B739" t="s">
        <v>8</v>
      </c>
      <c r="C739" t="s">
        <v>14</v>
      </c>
      <c r="D739" t="s">
        <v>21</v>
      </c>
      <c r="E739" t="s">
        <v>11</v>
      </c>
      <c r="F739" t="s">
        <v>17</v>
      </c>
      <c r="G739">
        <v>83</v>
      </c>
      <c r="H739">
        <v>82</v>
      </c>
      <c r="I739">
        <v>81</v>
      </c>
      <c r="J739">
        <f>SUM(Table2[[#This Row],[math score]:[writing score]])</f>
        <v>246</v>
      </c>
      <c r="K739">
        <f>Table2[[#This Row],[Total score]]/3</f>
        <v>82</v>
      </c>
    </row>
    <row r="740" spans="1:11" x14ac:dyDescent="0.25">
      <c r="A740" t="s">
        <v>767</v>
      </c>
      <c r="B740" t="s">
        <v>13</v>
      </c>
      <c r="C740" t="s">
        <v>20</v>
      </c>
      <c r="D740" t="s">
        <v>10</v>
      </c>
      <c r="E740" t="s">
        <v>11</v>
      </c>
      <c r="F740" t="s">
        <v>17</v>
      </c>
      <c r="G740">
        <v>61</v>
      </c>
      <c r="H740">
        <v>73</v>
      </c>
      <c r="I740">
        <v>69</v>
      </c>
      <c r="J740">
        <f>SUM(Table2[[#This Row],[math score]:[writing score]])</f>
        <v>203</v>
      </c>
      <c r="K740">
        <f>Table2[[#This Row],[Total score]]/3</f>
        <v>67.666666666666671</v>
      </c>
    </row>
    <row r="741" spans="1:11" x14ac:dyDescent="0.25">
      <c r="A741" t="s">
        <v>768</v>
      </c>
      <c r="B741" t="s">
        <v>13</v>
      </c>
      <c r="C741" t="s">
        <v>18</v>
      </c>
      <c r="D741" t="s">
        <v>21</v>
      </c>
      <c r="E741" t="s">
        <v>11</v>
      </c>
      <c r="F741" t="s">
        <v>12</v>
      </c>
      <c r="G741">
        <v>79</v>
      </c>
      <c r="H741">
        <v>69</v>
      </c>
      <c r="I741">
        <v>75</v>
      </c>
      <c r="J741">
        <f>SUM(Table2[[#This Row],[math score]:[writing score]])</f>
        <v>223</v>
      </c>
      <c r="K741">
        <f>Table2[[#This Row],[Total score]]/3</f>
        <v>74.333333333333329</v>
      </c>
    </row>
    <row r="742" spans="1:11" x14ac:dyDescent="0.25">
      <c r="A742" t="s">
        <v>769</v>
      </c>
      <c r="B742" t="s">
        <v>8</v>
      </c>
      <c r="C742" t="s">
        <v>20</v>
      </c>
      <c r="D742" t="s">
        <v>19</v>
      </c>
      <c r="E742" t="s">
        <v>11</v>
      </c>
      <c r="F742" t="s">
        <v>17</v>
      </c>
      <c r="G742">
        <v>52</v>
      </c>
      <c r="H742">
        <v>53</v>
      </c>
      <c r="I742">
        <v>51</v>
      </c>
      <c r="J742">
        <f>SUM(Table2[[#This Row],[math score]:[writing score]])</f>
        <v>156</v>
      </c>
      <c r="K742">
        <f>Table2[[#This Row],[Total score]]/3</f>
        <v>52</v>
      </c>
    </row>
    <row r="743" spans="1:11" x14ac:dyDescent="0.25">
      <c r="A743" t="s">
        <v>770</v>
      </c>
      <c r="B743" t="s">
        <v>13</v>
      </c>
      <c r="C743" t="s">
        <v>20</v>
      </c>
      <c r="D743" t="s">
        <v>22</v>
      </c>
      <c r="E743" t="s">
        <v>11</v>
      </c>
      <c r="F743" t="s">
        <v>12</v>
      </c>
      <c r="G743">
        <v>62</v>
      </c>
      <c r="H743">
        <v>65</v>
      </c>
      <c r="I743">
        <v>67</v>
      </c>
      <c r="J743">
        <f>SUM(Table2[[#This Row],[math score]:[writing score]])</f>
        <v>194</v>
      </c>
      <c r="K743">
        <f>Table2[[#This Row],[Total score]]/3</f>
        <v>64.666666666666671</v>
      </c>
    </row>
    <row r="744" spans="1:11" x14ac:dyDescent="0.25">
      <c r="A744" t="s">
        <v>771</v>
      </c>
      <c r="B744" t="s">
        <v>13</v>
      </c>
      <c r="C744" t="s">
        <v>14</v>
      </c>
      <c r="D744" t="s">
        <v>19</v>
      </c>
      <c r="E744" t="s">
        <v>11</v>
      </c>
      <c r="F744" t="s">
        <v>17</v>
      </c>
      <c r="G744">
        <v>85</v>
      </c>
      <c r="H744">
        <v>90</v>
      </c>
      <c r="I744">
        <v>84</v>
      </c>
      <c r="J744">
        <f>SUM(Table2[[#This Row],[math score]:[writing score]])</f>
        <v>259</v>
      </c>
      <c r="K744">
        <f>Table2[[#This Row],[Total score]]/3</f>
        <v>86.333333333333329</v>
      </c>
    </row>
    <row r="745" spans="1:11" x14ac:dyDescent="0.25">
      <c r="A745" t="s">
        <v>772</v>
      </c>
      <c r="B745" t="s">
        <v>13</v>
      </c>
      <c r="C745" t="s">
        <v>18</v>
      </c>
      <c r="D745" t="s">
        <v>10</v>
      </c>
      <c r="E745" t="s">
        <v>16</v>
      </c>
      <c r="F745" t="s">
        <v>12</v>
      </c>
      <c r="G745">
        <v>74</v>
      </c>
      <c r="H745">
        <v>96</v>
      </c>
      <c r="I745">
        <v>95</v>
      </c>
      <c r="J745">
        <f>SUM(Table2[[#This Row],[math score]:[writing score]])</f>
        <v>265</v>
      </c>
      <c r="K745">
        <f>Table2[[#This Row],[Total score]]/3</f>
        <v>88.333333333333329</v>
      </c>
    </row>
    <row r="746" spans="1:11" x14ac:dyDescent="0.25">
      <c r="A746" t="s">
        <v>773</v>
      </c>
      <c r="B746" t="s">
        <v>8</v>
      </c>
      <c r="C746" t="s">
        <v>23</v>
      </c>
      <c r="D746" t="s">
        <v>21</v>
      </c>
      <c r="E746" t="s">
        <v>16</v>
      </c>
      <c r="F746" t="s">
        <v>17</v>
      </c>
      <c r="G746">
        <v>83</v>
      </c>
      <c r="H746">
        <v>85</v>
      </c>
      <c r="I746">
        <v>78</v>
      </c>
      <c r="J746">
        <f>SUM(Table2[[#This Row],[math score]:[writing score]])</f>
        <v>246</v>
      </c>
      <c r="K746">
        <f>Table2[[#This Row],[Total score]]/3</f>
        <v>82</v>
      </c>
    </row>
    <row r="747" spans="1:11" x14ac:dyDescent="0.25">
      <c r="A747" t="s">
        <v>774</v>
      </c>
      <c r="B747" t="s">
        <v>8</v>
      </c>
      <c r="C747" t="s">
        <v>23</v>
      </c>
      <c r="D747" t="s">
        <v>19</v>
      </c>
      <c r="E747" t="s">
        <v>11</v>
      </c>
      <c r="F747" t="s">
        <v>17</v>
      </c>
      <c r="G747">
        <v>78</v>
      </c>
      <c r="H747">
        <v>72</v>
      </c>
      <c r="I747">
        <v>72</v>
      </c>
      <c r="J747">
        <f>SUM(Table2[[#This Row],[math score]:[writing score]])</f>
        <v>222</v>
      </c>
      <c r="K747">
        <f>Table2[[#This Row],[Total score]]/3</f>
        <v>74</v>
      </c>
    </row>
    <row r="748" spans="1:11" x14ac:dyDescent="0.25">
      <c r="A748" t="s">
        <v>775</v>
      </c>
      <c r="B748" t="s">
        <v>13</v>
      </c>
      <c r="C748" t="s">
        <v>23</v>
      </c>
      <c r="D748" t="s">
        <v>10</v>
      </c>
      <c r="E748" t="s">
        <v>16</v>
      </c>
      <c r="F748" t="s">
        <v>17</v>
      </c>
      <c r="G748">
        <v>41</v>
      </c>
      <c r="H748">
        <v>43</v>
      </c>
      <c r="I748">
        <v>40</v>
      </c>
      <c r="J748">
        <f>SUM(Table2[[#This Row],[math score]:[writing score]])</f>
        <v>124</v>
      </c>
      <c r="K748">
        <f>Table2[[#This Row],[Total score]]/3</f>
        <v>41.333333333333336</v>
      </c>
    </row>
    <row r="749" spans="1:11" x14ac:dyDescent="0.25">
      <c r="A749" t="s">
        <v>776</v>
      </c>
      <c r="B749" t="s">
        <v>13</v>
      </c>
      <c r="C749" t="s">
        <v>9</v>
      </c>
      <c r="D749" t="s">
        <v>10</v>
      </c>
      <c r="E749" t="s">
        <v>11</v>
      </c>
      <c r="F749" t="s">
        <v>17</v>
      </c>
      <c r="G749">
        <v>77</v>
      </c>
      <c r="H749">
        <v>91</v>
      </c>
      <c r="I749">
        <v>87</v>
      </c>
      <c r="J749">
        <f>SUM(Table2[[#This Row],[math score]:[writing score]])</f>
        <v>255</v>
      </c>
      <c r="K749">
        <f>Table2[[#This Row],[Total score]]/3</f>
        <v>85</v>
      </c>
    </row>
    <row r="750" spans="1:11" x14ac:dyDescent="0.25">
      <c r="A750" t="s">
        <v>777</v>
      </c>
      <c r="B750" t="s">
        <v>8</v>
      </c>
      <c r="C750" t="s">
        <v>23</v>
      </c>
      <c r="D750" t="s">
        <v>22</v>
      </c>
      <c r="E750" t="s">
        <v>11</v>
      </c>
      <c r="F750" t="s">
        <v>17</v>
      </c>
      <c r="G750">
        <v>95</v>
      </c>
      <c r="H750">
        <v>99</v>
      </c>
      <c r="I750">
        <v>91</v>
      </c>
      <c r="J750">
        <f>SUM(Table2[[#This Row],[math score]:[writing score]])</f>
        <v>285</v>
      </c>
      <c r="K750">
        <f>Table2[[#This Row],[Total score]]/3</f>
        <v>95</v>
      </c>
    </row>
    <row r="751" spans="1:11" x14ac:dyDescent="0.25">
      <c r="A751" t="s">
        <v>778</v>
      </c>
      <c r="B751" t="s">
        <v>13</v>
      </c>
      <c r="C751" t="s">
        <v>20</v>
      </c>
      <c r="D751" t="s">
        <v>10</v>
      </c>
      <c r="E751" t="s">
        <v>16</v>
      </c>
      <c r="F751" t="s">
        <v>17</v>
      </c>
      <c r="G751">
        <v>50</v>
      </c>
      <c r="H751">
        <v>68</v>
      </c>
      <c r="I751">
        <v>66</v>
      </c>
      <c r="J751">
        <f>SUM(Table2[[#This Row],[math score]:[writing score]])</f>
        <v>184</v>
      </c>
      <c r="K751">
        <f>Table2[[#This Row],[Total score]]/3</f>
        <v>61.333333333333336</v>
      </c>
    </row>
    <row r="752" spans="1:11" x14ac:dyDescent="0.25">
      <c r="A752" t="s">
        <v>779</v>
      </c>
      <c r="B752" t="s">
        <v>8</v>
      </c>
      <c r="C752" t="s">
        <v>23</v>
      </c>
      <c r="D752" t="s">
        <v>19</v>
      </c>
      <c r="E752" t="s">
        <v>11</v>
      </c>
      <c r="F752" t="s">
        <v>17</v>
      </c>
      <c r="G752">
        <v>74</v>
      </c>
      <c r="H752">
        <v>76</v>
      </c>
      <c r="I752">
        <v>70</v>
      </c>
      <c r="J752">
        <f>SUM(Table2[[#This Row],[math score]:[writing score]])</f>
        <v>220</v>
      </c>
      <c r="K752">
        <f>Table2[[#This Row],[Total score]]/3</f>
        <v>73.333333333333329</v>
      </c>
    </row>
    <row r="753" spans="1:11" x14ac:dyDescent="0.25">
      <c r="A753" t="s">
        <v>780</v>
      </c>
      <c r="B753" t="s">
        <v>13</v>
      </c>
      <c r="C753" t="s">
        <v>14</v>
      </c>
      <c r="D753" t="s">
        <v>22</v>
      </c>
      <c r="E753" t="s">
        <v>11</v>
      </c>
      <c r="F753" t="s">
        <v>12</v>
      </c>
      <c r="G753">
        <v>74</v>
      </c>
      <c r="H753">
        <v>93</v>
      </c>
      <c r="I753">
        <v>93</v>
      </c>
      <c r="J753">
        <f>SUM(Table2[[#This Row],[math score]:[writing score]])</f>
        <v>260</v>
      </c>
      <c r="K753">
        <f>Table2[[#This Row],[Total score]]/3</f>
        <v>86.666666666666671</v>
      </c>
    </row>
    <row r="754" spans="1:11" x14ac:dyDescent="0.25">
      <c r="A754" t="s">
        <v>781</v>
      </c>
      <c r="B754" t="s">
        <v>8</v>
      </c>
      <c r="C754" t="s">
        <v>18</v>
      </c>
      <c r="D754" t="s">
        <v>10</v>
      </c>
      <c r="E754" t="s">
        <v>11</v>
      </c>
      <c r="F754" t="s">
        <v>17</v>
      </c>
      <c r="G754">
        <v>70</v>
      </c>
      <c r="H754">
        <v>62</v>
      </c>
      <c r="I754">
        <v>61</v>
      </c>
      <c r="J754">
        <f>SUM(Table2[[#This Row],[math score]:[writing score]])</f>
        <v>193</v>
      </c>
      <c r="K754">
        <f>Table2[[#This Row],[Total score]]/3</f>
        <v>64.333333333333329</v>
      </c>
    </row>
    <row r="755" spans="1:11" x14ac:dyDescent="0.25">
      <c r="A755" t="s">
        <v>782</v>
      </c>
      <c r="B755" t="s">
        <v>8</v>
      </c>
      <c r="C755" t="s">
        <v>14</v>
      </c>
      <c r="D755" t="s">
        <v>21</v>
      </c>
      <c r="E755" t="s">
        <v>16</v>
      </c>
      <c r="F755" t="s">
        <v>17</v>
      </c>
      <c r="G755">
        <v>61</v>
      </c>
      <c r="H755">
        <v>59</v>
      </c>
      <c r="I755">
        <v>54</v>
      </c>
      <c r="J755">
        <f>SUM(Table2[[#This Row],[math score]:[writing score]])</f>
        <v>174</v>
      </c>
      <c r="K755">
        <f>Table2[[#This Row],[Total score]]/3</f>
        <v>58</v>
      </c>
    </row>
    <row r="756" spans="1:11" x14ac:dyDescent="0.25">
      <c r="A756" t="s">
        <v>783</v>
      </c>
      <c r="B756" t="s">
        <v>13</v>
      </c>
      <c r="C756" t="s">
        <v>9</v>
      </c>
      <c r="D756" t="s">
        <v>24</v>
      </c>
      <c r="E756" t="s">
        <v>11</v>
      </c>
      <c r="F756" t="s">
        <v>12</v>
      </c>
      <c r="G756">
        <v>94</v>
      </c>
      <c r="H756">
        <v>100</v>
      </c>
      <c r="I756">
        <v>100</v>
      </c>
      <c r="J756">
        <f>SUM(Table2[[#This Row],[math score]:[writing score]])</f>
        <v>294</v>
      </c>
      <c r="K756">
        <f>Table2[[#This Row],[Total score]]/3</f>
        <v>98</v>
      </c>
    </row>
    <row r="757" spans="1:11" x14ac:dyDescent="0.25">
      <c r="A757" t="s">
        <v>784</v>
      </c>
      <c r="B757" t="s">
        <v>13</v>
      </c>
      <c r="C757" t="s">
        <v>14</v>
      </c>
      <c r="D757" t="s">
        <v>10</v>
      </c>
      <c r="E757" t="s">
        <v>11</v>
      </c>
      <c r="F757" t="s">
        <v>17</v>
      </c>
      <c r="G757">
        <v>66</v>
      </c>
      <c r="H757">
        <v>84</v>
      </c>
      <c r="I757">
        <v>77</v>
      </c>
      <c r="J757">
        <f>SUM(Table2[[#This Row],[math score]:[writing score]])</f>
        <v>227</v>
      </c>
      <c r="K757">
        <f>Table2[[#This Row],[Total score]]/3</f>
        <v>75.666666666666671</v>
      </c>
    </row>
    <row r="758" spans="1:11" x14ac:dyDescent="0.25">
      <c r="A758" t="s">
        <v>785</v>
      </c>
      <c r="B758" t="s">
        <v>13</v>
      </c>
      <c r="C758" t="s">
        <v>14</v>
      </c>
      <c r="D758" t="s">
        <v>24</v>
      </c>
      <c r="E758" t="s">
        <v>11</v>
      </c>
      <c r="F758" t="s">
        <v>17</v>
      </c>
      <c r="G758">
        <v>83</v>
      </c>
      <c r="H758">
        <v>88</v>
      </c>
      <c r="I758">
        <v>93</v>
      </c>
      <c r="J758">
        <f>SUM(Table2[[#This Row],[math score]:[writing score]])</f>
        <v>264</v>
      </c>
      <c r="K758">
        <f>Table2[[#This Row],[Total score]]/3</f>
        <v>88</v>
      </c>
    </row>
    <row r="759" spans="1:11" x14ac:dyDescent="0.25">
      <c r="A759" t="s">
        <v>786</v>
      </c>
      <c r="B759" t="s">
        <v>8</v>
      </c>
      <c r="C759" t="s">
        <v>14</v>
      </c>
      <c r="D759" t="s">
        <v>10</v>
      </c>
      <c r="E759" t="s">
        <v>11</v>
      </c>
      <c r="F759" t="s">
        <v>17</v>
      </c>
      <c r="G759">
        <v>75</v>
      </c>
      <c r="H759">
        <v>63</v>
      </c>
      <c r="I759">
        <v>60</v>
      </c>
      <c r="J759">
        <f>SUM(Table2[[#This Row],[math score]:[writing score]])</f>
        <v>198</v>
      </c>
      <c r="K759">
        <f>Table2[[#This Row],[Total score]]/3</f>
        <v>66</v>
      </c>
    </row>
    <row r="760" spans="1:11" x14ac:dyDescent="0.25">
      <c r="A760" t="s">
        <v>787</v>
      </c>
      <c r="B760" t="s">
        <v>8</v>
      </c>
      <c r="C760" t="s">
        <v>14</v>
      </c>
      <c r="D760" t="s">
        <v>10</v>
      </c>
      <c r="E760" t="s">
        <v>16</v>
      </c>
      <c r="F760" t="s">
        <v>12</v>
      </c>
      <c r="G760">
        <v>56</v>
      </c>
      <c r="H760">
        <v>65</v>
      </c>
      <c r="I760">
        <v>63</v>
      </c>
      <c r="J760">
        <f>SUM(Table2[[#This Row],[math score]:[writing score]])</f>
        <v>184</v>
      </c>
      <c r="K760">
        <f>Table2[[#This Row],[Total score]]/3</f>
        <v>61.333333333333336</v>
      </c>
    </row>
    <row r="761" spans="1:11" x14ac:dyDescent="0.25">
      <c r="A761" t="s">
        <v>788</v>
      </c>
      <c r="B761" t="s">
        <v>13</v>
      </c>
      <c r="C761" t="s">
        <v>20</v>
      </c>
      <c r="D761" t="s">
        <v>19</v>
      </c>
      <c r="E761" t="s">
        <v>16</v>
      </c>
      <c r="F761" t="s">
        <v>17</v>
      </c>
      <c r="G761">
        <v>66</v>
      </c>
      <c r="H761">
        <v>88</v>
      </c>
      <c r="I761">
        <v>83</v>
      </c>
      <c r="J761">
        <f>SUM(Table2[[#This Row],[math score]:[writing score]])</f>
        <v>237</v>
      </c>
      <c r="K761">
        <f>Table2[[#This Row],[Total score]]/3</f>
        <v>79</v>
      </c>
    </row>
    <row r="762" spans="1:11" x14ac:dyDescent="0.25">
      <c r="A762" t="s">
        <v>789</v>
      </c>
      <c r="B762" t="s">
        <v>13</v>
      </c>
      <c r="C762" t="s">
        <v>20</v>
      </c>
      <c r="D762" t="s">
        <v>10</v>
      </c>
      <c r="E762" t="s">
        <v>16</v>
      </c>
      <c r="F762" t="s">
        <v>17</v>
      </c>
      <c r="G762">
        <v>61</v>
      </c>
      <c r="H762">
        <v>69</v>
      </c>
      <c r="I762">
        <v>66</v>
      </c>
      <c r="J762">
        <f>SUM(Table2[[#This Row],[math score]:[writing score]])</f>
        <v>196</v>
      </c>
      <c r="K762">
        <f>Table2[[#This Row],[Total score]]/3</f>
        <v>65.333333333333329</v>
      </c>
    </row>
    <row r="763" spans="1:11" x14ac:dyDescent="0.25">
      <c r="A763" t="s">
        <v>790</v>
      </c>
      <c r="B763" t="s">
        <v>8</v>
      </c>
      <c r="C763" t="s">
        <v>23</v>
      </c>
      <c r="D763" t="s">
        <v>15</v>
      </c>
      <c r="E763" t="s">
        <v>11</v>
      </c>
      <c r="F763" t="s">
        <v>12</v>
      </c>
      <c r="G763">
        <v>70</v>
      </c>
      <c r="H763">
        <v>79</v>
      </c>
      <c r="I763">
        <v>73</v>
      </c>
      <c r="J763">
        <f>SUM(Table2[[#This Row],[math score]:[writing score]])</f>
        <v>222</v>
      </c>
      <c r="K763">
        <f>Table2[[#This Row],[Total score]]/3</f>
        <v>74</v>
      </c>
    </row>
    <row r="764" spans="1:11" x14ac:dyDescent="0.25">
      <c r="A764" t="s">
        <v>791</v>
      </c>
      <c r="B764" t="s">
        <v>8</v>
      </c>
      <c r="C764" t="s">
        <v>23</v>
      </c>
      <c r="D764" t="s">
        <v>24</v>
      </c>
      <c r="E764" t="s">
        <v>11</v>
      </c>
      <c r="F764" t="s">
        <v>17</v>
      </c>
      <c r="G764">
        <v>57</v>
      </c>
      <c r="H764">
        <v>59</v>
      </c>
      <c r="I764">
        <v>53</v>
      </c>
      <c r="J764">
        <f>SUM(Table2[[#This Row],[math score]:[writing score]])</f>
        <v>169</v>
      </c>
      <c r="K764">
        <f>Table2[[#This Row],[Total score]]/3</f>
        <v>56.333333333333336</v>
      </c>
    </row>
    <row r="765" spans="1:11" x14ac:dyDescent="0.25">
      <c r="A765" t="s">
        <v>792</v>
      </c>
      <c r="B765" t="s">
        <v>13</v>
      </c>
      <c r="C765" t="s">
        <v>23</v>
      </c>
      <c r="D765" t="s">
        <v>21</v>
      </c>
      <c r="E765" t="s">
        <v>16</v>
      </c>
      <c r="F765" t="s">
        <v>12</v>
      </c>
      <c r="G765">
        <v>78</v>
      </c>
      <c r="H765">
        <v>89</v>
      </c>
      <c r="I765">
        <v>90</v>
      </c>
      <c r="J765">
        <f>SUM(Table2[[#This Row],[math score]:[writing score]])</f>
        <v>257</v>
      </c>
      <c r="K765">
        <f>Table2[[#This Row],[Total score]]/3</f>
        <v>85.666666666666671</v>
      </c>
    </row>
    <row r="766" spans="1:11" x14ac:dyDescent="0.25">
      <c r="A766" t="s">
        <v>793</v>
      </c>
      <c r="B766" t="s">
        <v>13</v>
      </c>
      <c r="C766" t="s">
        <v>23</v>
      </c>
      <c r="D766" t="s">
        <v>15</v>
      </c>
      <c r="E766" t="s">
        <v>11</v>
      </c>
      <c r="F766" t="s">
        <v>17</v>
      </c>
      <c r="G766">
        <v>62</v>
      </c>
      <c r="H766">
        <v>76</v>
      </c>
      <c r="I766">
        <v>67</v>
      </c>
      <c r="J766">
        <f>SUM(Table2[[#This Row],[math score]:[writing score]])</f>
        <v>205</v>
      </c>
      <c r="K766">
        <f>Table2[[#This Row],[Total score]]/3</f>
        <v>68.333333333333329</v>
      </c>
    </row>
    <row r="767" spans="1:11" x14ac:dyDescent="0.25">
      <c r="A767" t="s">
        <v>794</v>
      </c>
      <c r="B767" t="s">
        <v>8</v>
      </c>
      <c r="C767" t="s">
        <v>23</v>
      </c>
      <c r="D767" t="s">
        <v>15</v>
      </c>
      <c r="E767" t="s">
        <v>11</v>
      </c>
      <c r="F767" t="s">
        <v>12</v>
      </c>
      <c r="G767">
        <v>64</v>
      </c>
      <c r="H767">
        <v>53</v>
      </c>
      <c r="I767">
        <v>49</v>
      </c>
      <c r="J767">
        <f>SUM(Table2[[#This Row],[math score]:[writing score]])</f>
        <v>166</v>
      </c>
      <c r="K767">
        <f>Table2[[#This Row],[Total score]]/3</f>
        <v>55.333333333333336</v>
      </c>
    </row>
    <row r="768" spans="1:11" x14ac:dyDescent="0.25">
      <c r="A768" t="s">
        <v>795</v>
      </c>
      <c r="B768" t="s">
        <v>13</v>
      </c>
      <c r="C768" t="s">
        <v>20</v>
      </c>
      <c r="D768" t="s">
        <v>10</v>
      </c>
      <c r="E768" t="s">
        <v>16</v>
      </c>
      <c r="F768" t="s">
        <v>17</v>
      </c>
      <c r="G768">
        <v>55</v>
      </c>
      <c r="H768">
        <v>66</v>
      </c>
      <c r="I768">
        <v>65</v>
      </c>
      <c r="J768">
        <f>SUM(Table2[[#This Row],[math score]:[writing score]])</f>
        <v>186</v>
      </c>
      <c r="K768">
        <f>Table2[[#This Row],[Total score]]/3</f>
        <v>62</v>
      </c>
    </row>
    <row r="769" spans="1:11" x14ac:dyDescent="0.25">
      <c r="A769" t="s">
        <v>796</v>
      </c>
      <c r="B769" t="s">
        <v>13</v>
      </c>
      <c r="C769" t="s">
        <v>14</v>
      </c>
      <c r="D769" t="s">
        <v>19</v>
      </c>
      <c r="E769" t="s">
        <v>11</v>
      </c>
      <c r="F769" t="s">
        <v>17</v>
      </c>
      <c r="G769">
        <v>72</v>
      </c>
      <c r="H769">
        <v>83</v>
      </c>
      <c r="I769">
        <v>83</v>
      </c>
      <c r="J769">
        <f>SUM(Table2[[#This Row],[math score]:[writing score]])</f>
        <v>238</v>
      </c>
      <c r="K769">
        <f>Table2[[#This Row],[Total score]]/3</f>
        <v>79.333333333333329</v>
      </c>
    </row>
    <row r="770" spans="1:11" x14ac:dyDescent="0.25">
      <c r="A770" t="s">
        <v>797</v>
      </c>
      <c r="B770" t="s">
        <v>8</v>
      </c>
      <c r="C770" t="s">
        <v>9</v>
      </c>
      <c r="D770" t="s">
        <v>19</v>
      </c>
      <c r="E770" t="s">
        <v>16</v>
      </c>
      <c r="F770" t="s">
        <v>17</v>
      </c>
      <c r="G770">
        <v>49</v>
      </c>
      <c r="H770">
        <v>48</v>
      </c>
      <c r="I770">
        <v>42</v>
      </c>
      <c r="J770">
        <f>SUM(Table2[[#This Row],[math score]:[writing score]])</f>
        <v>139</v>
      </c>
      <c r="K770">
        <f>Table2[[#This Row],[Total score]]/3</f>
        <v>46.333333333333336</v>
      </c>
    </row>
    <row r="771" spans="1:11" x14ac:dyDescent="0.25">
      <c r="A771" t="s">
        <v>798</v>
      </c>
      <c r="B771" t="s">
        <v>13</v>
      </c>
      <c r="C771" t="s">
        <v>14</v>
      </c>
      <c r="D771" t="s">
        <v>19</v>
      </c>
      <c r="E771" t="s">
        <v>11</v>
      </c>
      <c r="F771" t="s">
        <v>17</v>
      </c>
      <c r="G771">
        <v>62</v>
      </c>
      <c r="H771">
        <v>60</v>
      </c>
      <c r="I771">
        <v>63</v>
      </c>
      <c r="J771">
        <f>SUM(Table2[[#This Row],[math score]:[writing score]])</f>
        <v>185</v>
      </c>
      <c r="K771">
        <f>Table2[[#This Row],[Total score]]/3</f>
        <v>61.666666666666664</v>
      </c>
    </row>
    <row r="772" spans="1:11" x14ac:dyDescent="0.25">
      <c r="A772" t="s">
        <v>799</v>
      </c>
      <c r="B772" t="s">
        <v>8</v>
      </c>
      <c r="C772" t="s">
        <v>20</v>
      </c>
      <c r="D772" t="s">
        <v>15</v>
      </c>
      <c r="E772" t="s">
        <v>16</v>
      </c>
      <c r="F772" t="s">
        <v>17</v>
      </c>
      <c r="G772">
        <v>76</v>
      </c>
      <c r="H772">
        <v>73</v>
      </c>
      <c r="I772">
        <v>68</v>
      </c>
      <c r="J772">
        <f>SUM(Table2[[#This Row],[math score]:[writing score]])</f>
        <v>217</v>
      </c>
      <c r="K772">
        <f>Table2[[#This Row],[Total score]]/3</f>
        <v>72.333333333333329</v>
      </c>
    </row>
    <row r="773" spans="1:11" x14ac:dyDescent="0.25">
      <c r="A773" t="s">
        <v>800</v>
      </c>
      <c r="B773" t="s">
        <v>13</v>
      </c>
      <c r="C773" t="s">
        <v>23</v>
      </c>
      <c r="D773" t="s">
        <v>24</v>
      </c>
      <c r="E773" t="s">
        <v>11</v>
      </c>
      <c r="F773" t="s">
        <v>12</v>
      </c>
      <c r="G773">
        <v>73</v>
      </c>
      <c r="H773">
        <v>86</v>
      </c>
      <c r="I773">
        <v>85</v>
      </c>
      <c r="J773">
        <f>SUM(Table2[[#This Row],[math score]:[writing score]])</f>
        <v>244</v>
      </c>
      <c r="K773">
        <f>Table2[[#This Row],[Total score]]/3</f>
        <v>81.333333333333329</v>
      </c>
    </row>
    <row r="774" spans="1:11" x14ac:dyDescent="0.25">
      <c r="A774" t="s">
        <v>801</v>
      </c>
      <c r="B774" t="s">
        <v>13</v>
      </c>
      <c r="C774" t="s">
        <v>23</v>
      </c>
      <c r="D774" t="s">
        <v>21</v>
      </c>
      <c r="E774" t="s">
        <v>11</v>
      </c>
      <c r="F774" t="s">
        <v>12</v>
      </c>
      <c r="G774">
        <v>72</v>
      </c>
      <c r="H774">
        <v>76</v>
      </c>
      <c r="I774">
        <v>78</v>
      </c>
      <c r="J774">
        <f>SUM(Table2[[#This Row],[math score]:[writing score]])</f>
        <v>226</v>
      </c>
      <c r="K774">
        <f>Table2[[#This Row],[Total score]]/3</f>
        <v>75.333333333333329</v>
      </c>
    </row>
    <row r="775" spans="1:11" x14ac:dyDescent="0.25">
      <c r="A775" t="s">
        <v>802</v>
      </c>
      <c r="B775" t="s">
        <v>8</v>
      </c>
      <c r="C775" t="s">
        <v>23</v>
      </c>
      <c r="D775" t="s">
        <v>10</v>
      </c>
      <c r="E775" t="s">
        <v>11</v>
      </c>
      <c r="F775" t="s">
        <v>17</v>
      </c>
      <c r="G775">
        <v>85</v>
      </c>
      <c r="H775">
        <v>85</v>
      </c>
      <c r="I775">
        <v>76</v>
      </c>
      <c r="J775">
        <f>SUM(Table2[[#This Row],[math score]:[writing score]])</f>
        <v>246</v>
      </c>
      <c r="K775">
        <f>Table2[[#This Row],[Total score]]/3</f>
        <v>82</v>
      </c>
    </row>
    <row r="776" spans="1:11" x14ac:dyDescent="0.25">
      <c r="A776" t="s">
        <v>803</v>
      </c>
      <c r="B776" t="s">
        <v>8</v>
      </c>
      <c r="C776" t="s">
        <v>9</v>
      </c>
      <c r="D776" t="s">
        <v>19</v>
      </c>
      <c r="E776" t="s">
        <v>16</v>
      </c>
      <c r="F776" t="s">
        <v>17</v>
      </c>
      <c r="G776">
        <v>71</v>
      </c>
      <c r="H776">
        <v>68</v>
      </c>
      <c r="I776">
        <v>65</v>
      </c>
      <c r="J776">
        <f>SUM(Table2[[#This Row],[math score]:[writing score]])</f>
        <v>204</v>
      </c>
      <c r="K776">
        <f>Table2[[#This Row],[Total score]]/3</f>
        <v>68</v>
      </c>
    </row>
    <row r="777" spans="1:11" x14ac:dyDescent="0.25">
      <c r="A777" t="s">
        <v>804</v>
      </c>
      <c r="B777" t="s">
        <v>13</v>
      </c>
      <c r="C777" t="s">
        <v>23</v>
      </c>
      <c r="D777" t="s">
        <v>15</v>
      </c>
      <c r="E777" t="s">
        <v>16</v>
      </c>
      <c r="F777" t="s">
        <v>17</v>
      </c>
      <c r="G777">
        <v>28</v>
      </c>
      <c r="H777">
        <v>38</v>
      </c>
      <c r="I777">
        <v>31</v>
      </c>
      <c r="J777">
        <f>SUM(Table2[[#This Row],[math score]:[writing score]])</f>
        <v>97</v>
      </c>
      <c r="K777">
        <f>Table2[[#This Row],[Total score]]/3</f>
        <v>32.333333333333336</v>
      </c>
    </row>
    <row r="778" spans="1:11" x14ac:dyDescent="0.25">
      <c r="A778" t="s">
        <v>805</v>
      </c>
      <c r="B778" t="s">
        <v>8</v>
      </c>
      <c r="C778" t="s">
        <v>23</v>
      </c>
      <c r="D778" t="s">
        <v>10</v>
      </c>
      <c r="E778" t="s">
        <v>16</v>
      </c>
      <c r="F778" t="s">
        <v>17</v>
      </c>
      <c r="G778">
        <v>41</v>
      </c>
      <c r="H778">
        <v>42</v>
      </c>
      <c r="I778">
        <v>38</v>
      </c>
      <c r="J778">
        <f>SUM(Table2[[#This Row],[math score]:[writing score]])</f>
        <v>121</v>
      </c>
      <c r="K778">
        <f>Table2[[#This Row],[Total score]]/3</f>
        <v>40.333333333333336</v>
      </c>
    </row>
    <row r="779" spans="1:11" x14ac:dyDescent="0.25">
      <c r="A779" t="s">
        <v>806</v>
      </c>
      <c r="B779" t="s">
        <v>8</v>
      </c>
      <c r="C779" t="s">
        <v>18</v>
      </c>
      <c r="D779" t="s">
        <v>21</v>
      </c>
      <c r="E779" t="s">
        <v>11</v>
      </c>
      <c r="F779" t="s">
        <v>17</v>
      </c>
      <c r="G779">
        <v>78</v>
      </c>
      <c r="H779">
        <v>72</v>
      </c>
      <c r="I779">
        <v>68</v>
      </c>
      <c r="J779">
        <f>SUM(Table2[[#This Row],[math score]:[writing score]])</f>
        <v>218</v>
      </c>
      <c r="K779">
        <f>Table2[[#This Row],[Total score]]/3</f>
        <v>72.666666666666671</v>
      </c>
    </row>
    <row r="780" spans="1:11" x14ac:dyDescent="0.25">
      <c r="A780" t="s">
        <v>807</v>
      </c>
      <c r="B780" t="s">
        <v>8</v>
      </c>
      <c r="C780" t="s">
        <v>23</v>
      </c>
      <c r="D780" t="s">
        <v>24</v>
      </c>
      <c r="E780" t="s">
        <v>16</v>
      </c>
      <c r="F780" t="s">
        <v>17</v>
      </c>
      <c r="G780">
        <v>48</v>
      </c>
      <c r="H780">
        <v>52</v>
      </c>
      <c r="I780">
        <v>44</v>
      </c>
      <c r="J780">
        <f>SUM(Table2[[#This Row],[math score]:[writing score]])</f>
        <v>144</v>
      </c>
      <c r="K780">
        <f>Table2[[#This Row],[Total score]]/3</f>
        <v>48</v>
      </c>
    </row>
    <row r="781" spans="1:11" x14ac:dyDescent="0.25">
      <c r="A781" t="s">
        <v>808</v>
      </c>
      <c r="B781" t="s">
        <v>8</v>
      </c>
      <c r="C781" t="s">
        <v>23</v>
      </c>
      <c r="D781" t="s">
        <v>21</v>
      </c>
      <c r="E781" t="s">
        <v>16</v>
      </c>
      <c r="F781" t="s">
        <v>17</v>
      </c>
      <c r="G781">
        <v>38</v>
      </c>
      <c r="H781">
        <v>51</v>
      </c>
      <c r="I781">
        <v>47</v>
      </c>
      <c r="J781">
        <f>SUM(Table2[[#This Row],[math score]:[writing score]])</f>
        <v>136</v>
      </c>
      <c r="K781">
        <f>Table2[[#This Row],[Total score]]/3</f>
        <v>45.333333333333336</v>
      </c>
    </row>
    <row r="782" spans="1:11" x14ac:dyDescent="0.25">
      <c r="A782" t="s">
        <v>809</v>
      </c>
      <c r="B782" t="s">
        <v>13</v>
      </c>
      <c r="C782" t="s">
        <v>9</v>
      </c>
      <c r="D782" t="s">
        <v>22</v>
      </c>
      <c r="E782" t="s">
        <v>11</v>
      </c>
      <c r="F782" t="s">
        <v>12</v>
      </c>
      <c r="G782">
        <v>91</v>
      </c>
      <c r="H782">
        <v>100</v>
      </c>
      <c r="I782">
        <v>100</v>
      </c>
      <c r="J782">
        <f>SUM(Table2[[#This Row],[math score]:[writing score]])</f>
        <v>291</v>
      </c>
      <c r="K782">
        <f>Table2[[#This Row],[Total score]]/3</f>
        <v>97</v>
      </c>
    </row>
    <row r="783" spans="1:11" x14ac:dyDescent="0.25">
      <c r="A783" t="s">
        <v>810</v>
      </c>
      <c r="B783" t="s">
        <v>13</v>
      </c>
      <c r="C783" t="s">
        <v>14</v>
      </c>
      <c r="D783" t="s">
        <v>22</v>
      </c>
      <c r="E783" t="s">
        <v>11</v>
      </c>
      <c r="F783" t="s">
        <v>17</v>
      </c>
      <c r="G783">
        <v>71</v>
      </c>
      <c r="H783">
        <v>81</v>
      </c>
      <c r="I783">
        <v>80</v>
      </c>
      <c r="J783">
        <f>SUM(Table2[[#This Row],[math score]:[writing score]])</f>
        <v>232</v>
      </c>
      <c r="K783">
        <f>Table2[[#This Row],[Total score]]/3</f>
        <v>77.333333333333329</v>
      </c>
    </row>
    <row r="784" spans="1:11" x14ac:dyDescent="0.25">
      <c r="A784" t="s">
        <v>811</v>
      </c>
      <c r="B784" t="s">
        <v>13</v>
      </c>
      <c r="C784" t="s">
        <v>14</v>
      </c>
      <c r="D784" t="s">
        <v>22</v>
      </c>
      <c r="E784" t="s">
        <v>11</v>
      </c>
      <c r="F784" t="s">
        <v>17</v>
      </c>
      <c r="G784">
        <v>84</v>
      </c>
      <c r="H784">
        <v>87</v>
      </c>
      <c r="I784">
        <v>92</v>
      </c>
      <c r="J784">
        <f>SUM(Table2[[#This Row],[math score]:[writing score]])</f>
        <v>263</v>
      </c>
      <c r="K784">
        <f>Table2[[#This Row],[Total score]]/3</f>
        <v>87.666666666666671</v>
      </c>
    </row>
    <row r="785" spans="1:11" x14ac:dyDescent="0.25">
      <c r="A785" t="s">
        <v>812</v>
      </c>
      <c r="B785" t="s">
        <v>8</v>
      </c>
      <c r="C785" t="s">
        <v>18</v>
      </c>
      <c r="D785" t="s">
        <v>21</v>
      </c>
      <c r="E785" t="s">
        <v>16</v>
      </c>
      <c r="F785" t="s">
        <v>12</v>
      </c>
      <c r="G785">
        <v>63</v>
      </c>
      <c r="H785">
        <v>60</v>
      </c>
      <c r="I785">
        <v>63</v>
      </c>
      <c r="J785">
        <f>SUM(Table2[[#This Row],[math score]:[writing score]])</f>
        <v>186</v>
      </c>
      <c r="K785">
        <f>Table2[[#This Row],[Total score]]/3</f>
        <v>62</v>
      </c>
    </row>
    <row r="786" spans="1:11" x14ac:dyDescent="0.25">
      <c r="A786" t="s">
        <v>813</v>
      </c>
      <c r="B786" t="s">
        <v>13</v>
      </c>
      <c r="C786" t="s">
        <v>9</v>
      </c>
      <c r="D786" t="s">
        <v>21</v>
      </c>
      <c r="E786" t="s">
        <v>11</v>
      </c>
      <c r="F786" t="s">
        <v>12</v>
      </c>
      <c r="G786">
        <v>70</v>
      </c>
      <c r="H786">
        <v>78</v>
      </c>
      <c r="I786">
        <v>87</v>
      </c>
      <c r="J786">
        <f>SUM(Table2[[#This Row],[math score]:[writing score]])</f>
        <v>235</v>
      </c>
      <c r="K786">
        <f>Table2[[#This Row],[Total score]]/3</f>
        <v>78.333333333333329</v>
      </c>
    </row>
    <row r="787" spans="1:11" x14ac:dyDescent="0.25">
      <c r="A787" t="s">
        <v>814</v>
      </c>
      <c r="B787" t="s">
        <v>8</v>
      </c>
      <c r="C787" t="s">
        <v>20</v>
      </c>
      <c r="D787" t="s">
        <v>22</v>
      </c>
      <c r="E787" t="s">
        <v>16</v>
      </c>
      <c r="F787" t="s">
        <v>12</v>
      </c>
      <c r="G787">
        <v>48</v>
      </c>
      <c r="H787">
        <v>52</v>
      </c>
      <c r="I787">
        <v>57</v>
      </c>
      <c r="J787">
        <f>SUM(Table2[[#This Row],[math score]:[writing score]])</f>
        <v>157</v>
      </c>
      <c r="K787">
        <f>Table2[[#This Row],[Total score]]/3</f>
        <v>52.333333333333336</v>
      </c>
    </row>
    <row r="788" spans="1:11" x14ac:dyDescent="0.25">
      <c r="A788" t="s">
        <v>815</v>
      </c>
      <c r="B788" t="s">
        <v>8</v>
      </c>
      <c r="C788" t="s">
        <v>14</v>
      </c>
      <c r="D788" t="s">
        <v>15</v>
      </c>
      <c r="E788" t="s">
        <v>11</v>
      </c>
      <c r="F788" t="s">
        <v>12</v>
      </c>
      <c r="G788">
        <v>68</v>
      </c>
      <c r="H788">
        <v>72</v>
      </c>
      <c r="I788">
        <v>73</v>
      </c>
      <c r="J788">
        <f>SUM(Table2[[#This Row],[math score]:[writing score]])</f>
        <v>213</v>
      </c>
      <c r="K788">
        <f>Table2[[#This Row],[Total score]]/3</f>
        <v>71</v>
      </c>
    </row>
    <row r="789" spans="1:11" x14ac:dyDescent="0.25">
      <c r="A789" t="s">
        <v>816</v>
      </c>
      <c r="B789" t="s">
        <v>13</v>
      </c>
      <c r="C789" t="s">
        <v>14</v>
      </c>
      <c r="D789" t="s">
        <v>19</v>
      </c>
      <c r="E789" t="s">
        <v>11</v>
      </c>
      <c r="F789" t="s">
        <v>17</v>
      </c>
      <c r="G789">
        <v>84</v>
      </c>
      <c r="H789">
        <v>84</v>
      </c>
      <c r="I789">
        <v>87</v>
      </c>
      <c r="J789">
        <f>SUM(Table2[[#This Row],[math score]:[writing score]])</f>
        <v>255</v>
      </c>
      <c r="K789">
        <f>Table2[[#This Row],[Total score]]/3</f>
        <v>85</v>
      </c>
    </row>
    <row r="790" spans="1:11" x14ac:dyDescent="0.25">
      <c r="A790" t="s">
        <v>817</v>
      </c>
      <c r="B790" t="s">
        <v>8</v>
      </c>
      <c r="C790" t="s">
        <v>14</v>
      </c>
      <c r="D790" t="s">
        <v>10</v>
      </c>
      <c r="E790" t="s">
        <v>11</v>
      </c>
      <c r="F790" t="s">
        <v>17</v>
      </c>
      <c r="G790">
        <v>61</v>
      </c>
      <c r="H790">
        <v>62</v>
      </c>
      <c r="I790">
        <v>60</v>
      </c>
      <c r="J790">
        <f>SUM(Table2[[#This Row],[math score]:[writing score]])</f>
        <v>183</v>
      </c>
      <c r="K790">
        <f>Table2[[#This Row],[Total score]]/3</f>
        <v>61</v>
      </c>
    </row>
    <row r="791" spans="1:11" x14ac:dyDescent="0.25">
      <c r="A791" t="s">
        <v>818</v>
      </c>
      <c r="B791" t="s">
        <v>8</v>
      </c>
      <c r="C791" t="s">
        <v>23</v>
      </c>
      <c r="D791" t="s">
        <v>15</v>
      </c>
      <c r="E791" t="s">
        <v>16</v>
      </c>
      <c r="F791" t="s">
        <v>17</v>
      </c>
      <c r="G791">
        <v>62</v>
      </c>
      <c r="H791">
        <v>59</v>
      </c>
      <c r="I791">
        <v>62</v>
      </c>
      <c r="J791">
        <f>SUM(Table2[[#This Row],[math score]:[writing score]])</f>
        <v>183</v>
      </c>
      <c r="K791">
        <f>Table2[[#This Row],[Total score]]/3</f>
        <v>61</v>
      </c>
    </row>
    <row r="792" spans="1:11" x14ac:dyDescent="0.25">
      <c r="A792" t="s">
        <v>819</v>
      </c>
      <c r="B792" t="s">
        <v>13</v>
      </c>
      <c r="C792" t="s">
        <v>23</v>
      </c>
      <c r="D792" t="s">
        <v>24</v>
      </c>
      <c r="E792" t="s">
        <v>16</v>
      </c>
      <c r="F792" t="s">
        <v>17</v>
      </c>
      <c r="G792">
        <v>66</v>
      </c>
      <c r="H792">
        <v>78</v>
      </c>
      <c r="I792">
        <v>83</v>
      </c>
      <c r="J792">
        <f>SUM(Table2[[#This Row],[math score]:[writing score]])</f>
        <v>227</v>
      </c>
      <c r="K792">
        <f>Table2[[#This Row],[Total score]]/3</f>
        <v>75.666666666666671</v>
      </c>
    </row>
    <row r="793" spans="1:11" x14ac:dyDescent="0.25">
      <c r="A793" t="s">
        <v>820</v>
      </c>
      <c r="B793" t="s">
        <v>13</v>
      </c>
      <c r="C793" t="s">
        <v>23</v>
      </c>
      <c r="D793" t="s">
        <v>10</v>
      </c>
      <c r="E793" t="s">
        <v>11</v>
      </c>
      <c r="F793" t="s">
        <v>12</v>
      </c>
      <c r="G793">
        <v>52</v>
      </c>
      <c r="H793">
        <v>65</v>
      </c>
      <c r="I793">
        <v>71</v>
      </c>
      <c r="J793">
        <f>SUM(Table2[[#This Row],[math score]:[writing score]])</f>
        <v>188</v>
      </c>
      <c r="K793">
        <f>Table2[[#This Row],[Total score]]/3</f>
        <v>62.666666666666664</v>
      </c>
    </row>
    <row r="794" spans="1:11" x14ac:dyDescent="0.25">
      <c r="A794" t="s">
        <v>821</v>
      </c>
      <c r="B794" t="s">
        <v>13</v>
      </c>
      <c r="C794" t="s">
        <v>14</v>
      </c>
      <c r="D794" t="s">
        <v>19</v>
      </c>
      <c r="E794" t="s">
        <v>11</v>
      </c>
      <c r="F794" t="s">
        <v>12</v>
      </c>
      <c r="G794">
        <v>68</v>
      </c>
      <c r="H794">
        <v>75</v>
      </c>
      <c r="I794">
        <v>73</v>
      </c>
      <c r="J794">
        <f>SUM(Table2[[#This Row],[math score]:[writing score]])</f>
        <v>216</v>
      </c>
      <c r="K794">
        <f>Table2[[#This Row],[Total score]]/3</f>
        <v>72</v>
      </c>
    </row>
    <row r="795" spans="1:11" x14ac:dyDescent="0.25">
      <c r="A795" t="s">
        <v>822</v>
      </c>
      <c r="B795" t="s">
        <v>8</v>
      </c>
      <c r="C795" t="s">
        <v>14</v>
      </c>
      <c r="D795" t="s">
        <v>19</v>
      </c>
      <c r="E795" t="s">
        <v>16</v>
      </c>
      <c r="F795" t="s">
        <v>12</v>
      </c>
      <c r="G795">
        <v>62</v>
      </c>
      <c r="H795">
        <v>68</v>
      </c>
      <c r="I795">
        <v>71</v>
      </c>
      <c r="J795">
        <f>SUM(Table2[[#This Row],[math score]:[writing score]])</f>
        <v>201</v>
      </c>
      <c r="K795">
        <f>Table2[[#This Row],[Total score]]/3</f>
        <v>67</v>
      </c>
    </row>
    <row r="796" spans="1:11" x14ac:dyDescent="0.25">
      <c r="A796" t="s">
        <v>823</v>
      </c>
      <c r="B796" t="s">
        <v>8</v>
      </c>
      <c r="C796" t="s">
        <v>18</v>
      </c>
      <c r="D796" t="s">
        <v>22</v>
      </c>
      <c r="E796" t="s">
        <v>11</v>
      </c>
      <c r="F796" t="s">
        <v>12</v>
      </c>
      <c r="G796">
        <v>90</v>
      </c>
      <c r="H796">
        <v>88</v>
      </c>
      <c r="I796">
        <v>84</v>
      </c>
      <c r="J796">
        <f>SUM(Table2[[#This Row],[math score]:[writing score]])</f>
        <v>262</v>
      </c>
      <c r="K796">
        <f>Table2[[#This Row],[Total score]]/3</f>
        <v>87.333333333333329</v>
      </c>
    </row>
    <row r="797" spans="1:11" x14ac:dyDescent="0.25">
      <c r="A797" t="s">
        <v>824</v>
      </c>
      <c r="B797" t="s">
        <v>13</v>
      </c>
      <c r="C797" t="s">
        <v>9</v>
      </c>
      <c r="D797" t="s">
        <v>24</v>
      </c>
      <c r="E797" t="s">
        <v>16</v>
      </c>
      <c r="F797" t="s">
        <v>17</v>
      </c>
      <c r="G797">
        <v>42</v>
      </c>
      <c r="H797">
        <v>50</v>
      </c>
      <c r="I797">
        <v>44</v>
      </c>
      <c r="J797">
        <f>SUM(Table2[[#This Row],[math score]:[writing score]])</f>
        <v>136</v>
      </c>
      <c r="K797">
        <f>Table2[[#This Row],[Total score]]/3</f>
        <v>45.333333333333336</v>
      </c>
    </row>
    <row r="798" spans="1:11" x14ac:dyDescent="0.25">
      <c r="A798" t="s">
        <v>825</v>
      </c>
      <c r="B798" t="s">
        <v>8</v>
      </c>
      <c r="C798" t="s">
        <v>14</v>
      </c>
      <c r="D798" t="s">
        <v>21</v>
      </c>
      <c r="E798" t="s">
        <v>16</v>
      </c>
      <c r="F798" t="s">
        <v>12</v>
      </c>
      <c r="G798">
        <v>74</v>
      </c>
      <c r="H798">
        <v>90</v>
      </c>
      <c r="I798">
        <v>89</v>
      </c>
      <c r="J798">
        <f>SUM(Table2[[#This Row],[math score]:[writing score]])</f>
        <v>253</v>
      </c>
      <c r="K798">
        <f>Table2[[#This Row],[Total score]]/3</f>
        <v>84.333333333333329</v>
      </c>
    </row>
    <row r="799" spans="1:11" x14ac:dyDescent="0.25">
      <c r="A799" t="s">
        <v>826</v>
      </c>
      <c r="B799" t="s">
        <v>8</v>
      </c>
      <c r="C799" t="s">
        <v>20</v>
      </c>
      <c r="D799" t="s">
        <v>21</v>
      </c>
      <c r="E799" t="s">
        <v>11</v>
      </c>
      <c r="F799" t="s">
        <v>12</v>
      </c>
      <c r="G799">
        <v>62</v>
      </c>
      <c r="H799">
        <v>61</v>
      </c>
      <c r="I799">
        <v>61</v>
      </c>
      <c r="J799">
        <f>SUM(Table2[[#This Row],[math score]:[writing score]])</f>
        <v>184</v>
      </c>
      <c r="K799">
        <f>Table2[[#This Row],[Total score]]/3</f>
        <v>61.333333333333336</v>
      </c>
    </row>
    <row r="800" spans="1:11" x14ac:dyDescent="0.25">
      <c r="A800" t="s">
        <v>827</v>
      </c>
      <c r="B800" t="s">
        <v>8</v>
      </c>
      <c r="C800" t="s">
        <v>23</v>
      </c>
      <c r="D800" t="s">
        <v>19</v>
      </c>
      <c r="E800" t="s">
        <v>11</v>
      </c>
      <c r="F800" t="s">
        <v>17</v>
      </c>
      <c r="G800">
        <v>56</v>
      </c>
      <c r="H800">
        <v>55</v>
      </c>
      <c r="I800">
        <v>50</v>
      </c>
      <c r="J800">
        <f>SUM(Table2[[#This Row],[math score]:[writing score]])</f>
        <v>161</v>
      </c>
      <c r="K800">
        <f>Table2[[#This Row],[Total score]]/3</f>
        <v>53.666666666666664</v>
      </c>
    </row>
    <row r="801" spans="1:11" x14ac:dyDescent="0.25">
      <c r="A801" t="s">
        <v>828</v>
      </c>
      <c r="B801" t="s">
        <v>8</v>
      </c>
      <c r="C801" t="s">
        <v>23</v>
      </c>
      <c r="D801" t="s">
        <v>10</v>
      </c>
      <c r="E801" t="s">
        <v>16</v>
      </c>
      <c r="F801" t="s">
        <v>17</v>
      </c>
      <c r="G801">
        <v>64</v>
      </c>
      <c r="H801">
        <v>52</v>
      </c>
      <c r="I801">
        <v>54</v>
      </c>
      <c r="J801">
        <f>SUM(Table2[[#This Row],[math score]:[writing score]])</f>
        <v>170</v>
      </c>
      <c r="K801">
        <f>Table2[[#This Row],[Total score]]/3</f>
        <v>56.666666666666664</v>
      </c>
    </row>
    <row r="802" spans="1:11" x14ac:dyDescent="0.25">
      <c r="A802" t="s">
        <v>829</v>
      </c>
      <c r="B802" t="s">
        <v>8</v>
      </c>
      <c r="C802" t="s">
        <v>14</v>
      </c>
      <c r="D802" t="s">
        <v>10</v>
      </c>
      <c r="E802" t="s">
        <v>11</v>
      </c>
      <c r="F802" t="s">
        <v>12</v>
      </c>
      <c r="G802">
        <v>79</v>
      </c>
      <c r="H802">
        <v>84</v>
      </c>
      <c r="I802">
        <v>80</v>
      </c>
      <c r="J802">
        <f>SUM(Table2[[#This Row],[math score]:[writing score]])</f>
        <v>243</v>
      </c>
      <c r="K802">
        <f>Table2[[#This Row],[Total score]]/3</f>
        <v>81</v>
      </c>
    </row>
    <row r="803" spans="1:11" x14ac:dyDescent="0.25">
      <c r="A803" t="s">
        <v>830</v>
      </c>
      <c r="B803" t="s">
        <v>13</v>
      </c>
      <c r="C803" t="s">
        <v>23</v>
      </c>
      <c r="D803" t="s">
        <v>15</v>
      </c>
      <c r="E803" t="s">
        <v>11</v>
      </c>
      <c r="F803" t="s">
        <v>17</v>
      </c>
      <c r="G803">
        <v>44</v>
      </c>
      <c r="H803">
        <v>65</v>
      </c>
      <c r="I803">
        <v>63</v>
      </c>
      <c r="J803">
        <f>SUM(Table2[[#This Row],[math score]:[writing score]])</f>
        <v>172</v>
      </c>
      <c r="K803">
        <f>Table2[[#This Row],[Total score]]/3</f>
        <v>57.333333333333336</v>
      </c>
    </row>
    <row r="804" spans="1:11" x14ac:dyDescent="0.25">
      <c r="A804" t="s">
        <v>831</v>
      </c>
      <c r="B804" t="s">
        <v>13</v>
      </c>
      <c r="C804" t="s">
        <v>20</v>
      </c>
      <c r="D804" t="s">
        <v>19</v>
      </c>
      <c r="E804" t="s">
        <v>11</v>
      </c>
      <c r="F804" t="s">
        <v>12</v>
      </c>
      <c r="G804">
        <v>69</v>
      </c>
      <c r="H804">
        <v>94</v>
      </c>
      <c r="I804">
        <v>87</v>
      </c>
      <c r="J804">
        <f>SUM(Table2[[#This Row],[math score]:[writing score]])</f>
        <v>250</v>
      </c>
      <c r="K804">
        <f>Table2[[#This Row],[Total score]]/3</f>
        <v>83.333333333333329</v>
      </c>
    </row>
    <row r="805" spans="1:11" x14ac:dyDescent="0.25">
      <c r="A805" t="s">
        <v>832</v>
      </c>
      <c r="B805" t="s">
        <v>8</v>
      </c>
      <c r="C805" t="s">
        <v>9</v>
      </c>
      <c r="D805" t="s">
        <v>19</v>
      </c>
      <c r="E805" t="s">
        <v>11</v>
      </c>
      <c r="F805" t="s">
        <v>17</v>
      </c>
      <c r="G805">
        <v>53</v>
      </c>
      <c r="H805">
        <v>48</v>
      </c>
      <c r="I805">
        <v>48</v>
      </c>
      <c r="J805">
        <f>SUM(Table2[[#This Row],[math score]:[writing score]])</f>
        <v>149</v>
      </c>
      <c r="K805">
        <f>Table2[[#This Row],[Total score]]/3</f>
        <v>49.666666666666664</v>
      </c>
    </row>
    <row r="806" spans="1:11" x14ac:dyDescent="0.25">
      <c r="A806" t="s">
        <v>833</v>
      </c>
      <c r="B806" t="s">
        <v>8</v>
      </c>
      <c r="C806" t="s">
        <v>23</v>
      </c>
      <c r="D806" t="s">
        <v>10</v>
      </c>
      <c r="E806" t="s">
        <v>11</v>
      </c>
      <c r="F806" t="s">
        <v>17</v>
      </c>
      <c r="G806">
        <v>74</v>
      </c>
      <c r="H806">
        <v>69</v>
      </c>
      <c r="I806">
        <v>61</v>
      </c>
      <c r="J806">
        <f>SUM(Table2[[#This Row],[math score]:[writing score]])</f>
        <v>204</v>
      </c>
      <c r="K806">
        <f>Table2[[#This Row],[Total score]]/3</f>
        <v>68</v>
      </c>
    </row>
    <row r="807" spans="1:11" x14ac:dyDescent="0.25">
      <c r="A807" t="s">
        <v>834</v>
      </c>
      <c r="B807" t="s">
        <v>8</v>
      </c>
      <c r="C807" t="s">
        <v>23</v>
      </c>
      <c r="D807" t="s">
        <v>21</v>
      </c>
      <c r="E807" t="s">
        <v>11</v>
      </c>
      <c r="F807" t="s">
        <v>17</v>
      </c>
      <c r="G807">
        <v>49</v>
      </c>
      <c r="H807">
        <v>55</v>
      </c>
      <c r="I807">
        <v>48</v>
      </c>
      <c r="J807">
        <f>SUM(Table2[[#This Row],[math score]:[writing score]])</f>
        <v>152</v>
      </c>
      <c r="K807">
        <f>Table2[[#This Row],[Total score]]/3</f>
        <v>50.666666666666664</v>
      </c>
    </row>
    <row r="808" spans="1:11" x14ac:dyDescent="0.25">
      <c r="A808" t="s">
        <v>835</v>
      </c>
      <c r="B808" t="s">
        <v>13</v>
      </c>
      <c r="C808" t="s">
        <v>14</v>
      </c>
      <c r="D808" t="s">
        <v>21</v>
      </c>
      <c r="E808" t="s">
        <v>16</v>
      </c>
      <c r="F808" t="s">
        <v>17</v>
      </c>
      <c r="G808">
        <v>57</v>
      </c>
      <c r="H808">
        <v>71</v>
      </c>
      <c r="I808">
        <v>71</v>
      </c>
      <c r="J808">
        <f>SUM(Table2[[#This Row],[math score]:[writing score]])</f>
        <v>199</v>
      </c>
      <c r="K808">
        <f>Table2[[#This Row],[Total score]]/3</f>
        <v>66.333333333333329</v>
      </c>
    </row>
    <row r="809" spans="1:11" x14ac:dyDescent="0.25">
      <c r="A809" t="s">
        <v>836</v>
      </c>
      <c r="B809" t="s">
        <v>13</v>
      </c>
      <c r="C809" t="s">
        <v>14</v>
      </c>
      <c r="D809" t="s">
        <v>24</v>
      </c>
      <c r="E809" t="s">
        <v>11</v>
      </c>
      <c r="F809" t="s">
        <v>17</v>
      </c>
      <c r="G809">
        <v>61</v>
      </c>
      <c r="H809">
        <v>72</v>
      </c>
      <c r="I809">
        <v>64</v>
      </c>
      <c r="J809">
        <f>SUM(Table2[[#This Row],[math score]:[writing score]])</f>
        <v>197</v>
      </c>
      <c r="K809">
        <f>Table2[[#This Row],[Total score]]/3</f>
        <v>65.666666666666671</v>
      </c>
    </row>
    <row r="810" spans="1:11" x14ac:dyDescent="0.25">
      <c r="A810" t="s">
        <v>837</v>
      </c>
      <c r="B810" t="s">
        <v>13</v>
      </c>
      <c r="C810" t="s">
        <v>23</v>
      </c>
      <c r="D810" t="s">
        <v>24</v>
      </c>
      <c r="E810" t="s">
        <v>16</v>
      </c>
      <c r="F810" t="s">
        <v>17</v>
      </c>
      <c r="G810">
        <v>65</v>
      </c>
      <c r="H810">
        <v>88</v>
      </c>
      <c r="I810">
        <v>84</v>
      </c>
      <c r="J810">
        <f>SUM(Table2[[#This Row],[math score]:[writing score]])</f>
        <v>237</v>
      </c>
      <c r="K810">
        <f>Table2[[#This Row],[Total score]]/3</f>
        <v>79</v>
      </c>
    </row>
    <row r="811" spans="1:11" x14ac:dyDescent="0.25">
      <c r="A811" t="s">
        <v>838</v>
      </c>
      <c r="B811" t="s">
        <v>13</v>
      </c>
      <c r="C811" t="s">
        <v>23</v>
      </c>
      <c r="D811" t="s">
        <v>19</v>
      </c>
      <c r="E811" t="s">
        <v>11</v>
      </c>
      <c r="F811" t="s">
        <v>17</v>
      </c>
      <c r="G811">
        <v>51</v>
      </c>
      <c r="H811">
        <v>60</v>
      </c>
      <c r="I811">
        <v>52</v>
      </c>
      <c r="J811">
        <f>SUM(Table2[[#This Row],[math score]:[writing score]])</f>
        <v>163</v>
      </c>
      <c r="K811">
        <f>Table2[[#This Row],[Total score]]/3</f>
        <v>54.333333333333336</v>
      </c>
    </row>
    <row r="812" spans="1:11" x14ac:dyDescent="0.25">
      <c r="A812" t="s">
        <v>839</v>
      </c>
      <c r="B812" t="s">
        <v>13</v>
      </c>
      <c r="C812" t="s">
        <v>23</v>
      </c>
      <c r="D812" t="s">
        <v>15</v>
      </c>
      <c r="E812" t="s">
        <v>11</v>
      </c>
      <c r="F812" t="s">
        <v>17</v>
      </c>
      <c r="G812">
        <v>49</v>
      </c>
      <c r="H812">
        <v>51</v>
      </c>
      <c r="I812">
        <v>41</v>
      </c>
      <c r="J812">
        <f>SUM(Table2[[#This Row],[math score]:[writing score]])</f>
        <v>141</v>
      </c>
      <c r="K812">
        <f>Table2[[#This Row],[Total score]]/3</f>
        <v>47</v>
      </c>
    </row>
    <row r="813" spans="1:11" x14ac:dyDescent="0.25">
      <c r="A813" t="s">
        <v>840</v>
      </c>
      <c r="B813" t="s">
        <v>8</v>
      </c>
      <c r="C813" t="s">
        <v>20</v>
      </c>
      <c r="D813" t="s">
        <v>24</v>
      </c>
      <c r="E813" t="s">
        <v>16</v>
      </c>
      <c r="F813" t="s">
        <v>17</v>
      </c>
      <c r="G813">
        <v>56</v>
      </c>
      <c r="H813">
        <v>65</v>
      </c>
      <c r="I813">
        <v>56</v>
      </c>
      <c r="J813">
        <f>SUM(Table2[[#This Row],[math score]:[writing score]])</f>
        <v>177</v>
      </c>
      <c r="K813">
        <f>Table2[[#This Row],[Total score]]/3</f>
        <v>59</v>
      </c>
    </row>
    <row r="814" spans="1:11" x14ac:dyDescent="0.25">
      <c r="A814" t="s">
        <v>841</v>
      </c>
      <c r="B814" t="s">
        <v>8</v>
      </c>
      <c r="C814" t="s">
        <v>14</v>
      </c>
      <c r="D814" t="s">
        <v>21</v>
      </c>
      <c r="E814" t="s">
        <v>11</v>
      </c>
      <c r="F814" t="s">
        <v>17</v>
      </c>
      <c r="G814">
        <v>65</v>
      </c>
      <c r="H814">
        <v>62</v>
      </c>
      <c r="I814">
        <v>63</v>
      </c>
      <c r="J814">
        <f>SUM(Table2[[#This Row],[math score]:[writing score]])</f>
        <v>190</v>
      </c>
      <c r="K814">
        <f>Table2[[#This Row],[Total score]]/3</f>
        <v>63.333333333333336</v>
      </c>
    </row>
    <row r="815" spans="1:11" x14ac:dyDescent="0.25">
      <c r="A815" t="s">
        <v>842</v>
      </c>
      <c r="B815" t="s">
        <v>8</v>
      </c>
      <c r="C815" t="s">
        <v>14</v>
      </c>
      <c r="D815" t="s">
        <v>19</v>
      </c>
      <c r="E815" t="s">
        <v>11</v>
      </c>
      <c r="F815" t="s">
        <v>17</v>
      </c>
      <c r="G815">
        <v>70</v>
      </c>
      <c r="H815">
        <v>64</v>
      </c>
      <c r="I815">
        <v>62</v>
      </c>
      <c r="J815">
        <f>SUM(Table2[[#This Row],[math score]:[writing score]])</f>
        <v>196</v>
      </c>
      <c r="K815">
        <f>Table2[[#This Row],[Total score]]/3</f>
        <v>65.333333333333329</v>
      </c>
    </row>
    <row r="816" spans="1:11" x14ac:dyDescent="0.25">
      <c r="A816" t="s">
        <v>843</v>
      </c>
      <c r="B816" t="s">
        <v>8</v>
      </c>
      <c r="C816" t="s">
        <v>14</v>
      </c>
      <c r="D816" t="s">
        <v>19</v>
      </c>
      <c r="E816" t="s">
        <v>11</v>
      </c>
      <c r="F816" t="s">
        <v>17</v>
      </c>
      <c r="G816">
        <v>91</v>
      </c>
      <c r="H816">
        <v>95</v>
      </c>
      <c r="I816">
        <v>88</v>
      </c>
      <c r="J816">
        <f>SUM(Table2[[#This Row],[math score]:[writing score]])</f>
        <v>274</v>
      </c>
      <c r="K816">
        <f>Table2[[#This Row],[Total score]]/3</f>
        <v>91.333333333333329</v>
      </c>
    </row>
    <row r="817" spans="1:11" x14ac:dyDescent="0.25">
      <c r="A817" t="s">
        <v>844</v>
      </c>
      <c r="B817" t="s">
        <v>13</v>
      </c>
      <c r="C817" t="s">
        <v>14</v>
      </c>
      <c r="D817" t="s">
        <v>10</v>
      </c>
      <c r="E817" t="s">
        <v>11</v>
      </c>
      <c r="F817" t="s">
        <v>12</v>
      </c>
      <c r="G817">
        <v>48</v>
      </c>
      <c r="H817">
        <v>56</v>
      </c>
      <c r="I817">
        <v>64</v>
      </c>
      <c r="J817">
        <f>SUM(Table2[[#This Row],[math score]:[writing score]])</f>
        <v>168</v>
      </c>
      <c r="K817">
        <f>Table2[[#This Row],[Total score]]/3</f>
        <v>56</v>
      </c>
    </row>
    <row r="818" spans="1:11" x14ac:dyDescent="0.25">
      <c r="A818" t="s">
        <v>845</v>
      </c>
      <c r="B818" t="s">
        <v>13</v>
      </c>
      <c r="C818" t="s">
        <v>23</v>
      </c>
      <c r="D818" t="s">
        <v>21</v>
      </c>
      <c r="E818" t="s">
        <v>11</v>
      </c>
      <c r="F818" t="s">
        <v>12</v>
      </c>
      <c r="G818">
        <v>94</v>
      </c>
      <c r="H818">
        <v>99</v>
      </c>
      <c r="I818">
        <v>100</v>
      </c>
      <c r="J818">
        <f>SUM(Table2[[#This Row],[math score]:[writing score]])</f>
        <v>293</v>
      </c>
      <c r="K818">
        <f>Table2[[#This Row],[Total score]]/3</f>
        <v>97.666666666666671</v>
      </c>
    </row>
    <row r="819" spans="1:11" x14ac:dyDescent="0.25">
      <c r="A819" t="s">
        <v>846</v>
      </c>
      <c r="B819" t="s">
        <v>8</v>
      </c>
      <c r="C819" t="s">
        <v>20</v>
      </c>
      <c r="D819" t="s">
        <v>24</v>
      </c>
      <c r="E819" t="s">
        <v>11</v>
      </c>
      <c r="F819" t="s">
        <v>17</v>
      </c>
      <c r="G819">
        <v>77</v>
      </c>
      <c r="H819">
        <v>76</v>
      </c>
      <c r="I819">
        <v>73</v>
      </c>
      <c r="J819">
        <f>SUM(Table2[[#This Row],[math score]:[writing score]])</f>
        <v>226</v>
      </c>
      <c r="K819">
        <f>Table2[[#This Row],[Total score]]/3</f>
        <v>75.333333333333329</v>
      </c>
    </row>
    <row r="820" spans="1:11" x14ac:dyDescent="0.25">
      <c r="A820" t="s">
        <v>847</v>
      </c>
      <c r="B820" t="s">
        <v>13</v>
      </c>
      <c r="C820" t="s">
        <v>14</v>
      </c>
      <c r="D820" t="s">
        <v>15</v>
      </c>
      <c r="E820" t="s">
        <v>11</v>
      </c>
      <c r="F820" t="s">
        <v>17</v>
      </c>
      <c r="G820">
        <v>59</v>
      </c>
      <c r="H820">
        <v>78</v>
      </c>
      <c r="I820">
        <v>75</v>
      </c>
      <c r="J820">
        <f>SUM(Table2[[#This Row],[math score]:[writing score]])</f>
        <v>212</v>
      </c>
      <c r="K820">
        <f>Table2[[#This Row],[Total score]]/3</f>
        <v>70.666666666666671</v>
      </c>
    </row>
    <row r="821" spans="1:11" x14ac:dyDescent="0.25">
      <c r="A821" t="s">
        <v>848</v>
      </c>
      <c r="B821" t="s">
        <v>13</v>
      </c>
      <c r="C821" t="s">
        <v>23</v>
      </c>
      <c r="D821" t="s">
        <v>19</v>
      </c>
      <c r="E821" t="s">
        <v>16</v>
      </c>
      <c r="F821" t="s">
        <v>17</v>
      </c>
      <c r="G821">
        <v>57</v>
      </c>
      <c r="H821">
        <v>75</v>
      </c>
      <c r="I821">
        <v>70</v>
      </c>
      <c r="J821">
        <f>SUM(Table2[[#This Row],[math score]:[writing score]])</f>
        <v>202</v>
      </c>
      <c r="K821">
        <f>Table2[[#This Row],[Total score]]/3</f>
        <v>67.333333333333329</v>
      </c>
    </row>
    <row r="822" spans="1:11" x14ac:dyDescent="0.25">
      <c r="A822" t="s">
        <v>849</v>
      </c>
      <c r="B822" t="s">
        <v>13</v>
      </c>
      <c r="C822" t="s">
        <v>23</v>
      </c>
      <c r="D822" t="s">
        <v>15</v>
      </c>
      <c r="E822" t="s">
        <v>11</v>
      </c>
      <c r="F822" t="s">
        <v>17</v>
      </c>
      <c r="G822">
        <v>76</v>
      </c>
      <c r="H822">
        <v>82</v>
      </c>
      <c r="I822">
        <v>74</v>
      </c>
      <c r="J822">
        <f>SUM(Table2[[#This Row],[math score]:[writing score]])</f>
        <v>232</v>
      </c>
      <c r="K822">
        <f>Table2[[#This Row],[Total score]]/3</f>
        <v>77.333333333333329</v>
      </c>
    </row>
    <row r="823" spans="1:11" x14ac:dyDescent="0.25">
      <c r="A823" t="s">
        <v>850</v>
      </c>
      <c r="B823" t="s">
        <v>8</v>
      </c>
      <c r="C823" t="s">
        <v>14</v>
      </c>
      <c r="D823" t="s">
        <v>10</v>
      </c>
      <c r="E823" t="s">
        <v>11</v>
      </c>
      <c r="F823" t="s">
        <v>17</v>
      </c>
      <c r="G823">
        <v>65</v>
      </c>
      <c r="H823">
        <v>63</v>
      </c>
      <c r="I823">
        <v>64</v>
      </c>
      <c r="J823">
        <f>SUM(Table2[[#This Row],[math score]:[writing score]])</f>
        <v>192</v>
      </c>
      <c r="K823">
        <f>Table2[[#This Row],[Total score]]/3</f>
        <v>64</v>
      </c>
    </row>
    <row r="824" spans="1:11" x14ac:dyDescent="0.25">
      <c r="A824" t="s">
        <v>851</v>
      </c>
      <c r="B824" t="s">
        <v>13</v>
      </c>
      <c r="C824" t="s">
        <v>20</v>
      </c>
      <c r="D824" t="s">
        <v>24</v>
      </c>
      <c r="E824" t="s">
        <v>11</v>
      </c>
      <c r="F824" t="s">
        <v>12</v>
      </c>
      <c r="G824">
        <v>75</v>
      </c>
      <c r="H824">
        <v>75</v>
      </c>
      <c r="I824">
        <v>83</v>
      </c>
      <c r="J824">
        <f>SUM(Table2[[#This Row],[math score]:[writing score]])</f>
        <v>233</v>
      </c>
      <c r="K824">
        <f>Table2[[#This Row],[Total score]]/3</f>
        <v>77.666666666666671</v>
      </c>
    </row>
    <row r="825" spans="1:11" x14ac:dyDescent="0.25">
      <c r="A825" t="s">
        <v>852</v>
      </c>
      <c r="B825" t="s">
        <v>8</v>
      </c>
      <c r="C825" t="s">
        <v>14</v>
      </c>
      <c r="D825" t="s">
        <v>24</v>
      </c>
      <c r="E825" t="s">
        <v>11</v>
      </c>
      <c r="F825" t="s">
        <v>17</v>
      </c>
      <c r="G825">
        <v>70</v>
      </c>
      <c r="H825">
        <v>66</v>
      </c>
      <c r="I825">
        <v>65</v>
      </c>
      <c r="J825">
        <f>SUM(Table2[[#This Row],[math score]:[writing score]])</f>
        <v>201</v>
      </c>
      <c r="K825">
        <f>Table2[[#This Row],[Total score]]/3</f>
        <v>67</v>
      </c>
    </row>
    <row r="826" spans="1:11" x14ac:dyDescent="0.25">
      <c r="A826" t="s">
        <v>853</v>
      </c>
      <c r="B826" t="s">
        <v>8</v>
      </c>
      <c r="C826" t="s">
        <v>23</v>
      </c>
      <c r="D826" t="s">
        <v>10</v>
      </c>
      <c r="E826" t="s">
        <v>11</v>
      </c>
      <c r="F826" t="s">
        <v>12</v>
      </c>
      <c r="G826">
        <v>79</v>
      </c>
      <c r="H826">
        <v>79</v>
      </c>
      <c r="I826">
        <v>70</v>
      </c>
      <c r="J826">
        <f>SUM(Table2[[#This Row],[math score]:[writing score]])</f>
        <v>228</v>
      </c>
      <c r="K826">
        <f>Table2[[#This Row],[Total score]]/3</f>
        <v>76</v>
      </c>
    </row>
    <row r="827" spans="1:11" x14ac:dyDescent="0.25">
      <c r="A827" t="s">
        <v>854</v>
      </c>
      <c r="B827" t="s">
        <v>8</v>
      </c>
      <c r="C827" t="s">
        <v>18</v>
      </c>
      <c r="D827" t="s">
        <v>21</v>
      </c>
      <c r="E827" t="s">
        <v>11</v>
      </c>
      <c r="F827" t="s">
        <v>12</v>
      </c>
      <c r="G827">
        <v>100</v>
      </c>
      <c r="H827">
        <v>100</v>
      </c>
      <c r="I827">
        <v>100</v>
      </c>
      <c r="J827">
        <f>SUM(Table2[[#This Row],[math score]:[writing score]])</f>
        <v>300</v>
      </c>
      <c r="K827">
        <f>Table2[[#This Row],[Total score]]/3</f>
        <v>100</v>
      </c>
    </row>
    <row r="828" spans="1:11" x14ac:dyDescent="0.25">
      <c r="A828" t="s">
        <v>855</v>
      </c>
      <c r="B828" t="s">
        <v>13</v>
      </c>
      <c r="C828" t="s">
        <v>9</v>
      </c>
      <c r="D828" t="s">
        <v>22</v>
      </c>
      <c r="E828" t="s">
        <v>11</v>
      </c>
      <c r="F828" t="s">
        <v>12</v>
      </c>
      <c r="G828">
        <v>83</v>
      </c>
      <c r="H828">
        <v>96</v>
      </c>
      <c r="I828">
        <v>99</v>
      </c>
      <c r="J828">
        <f>SUM(Table2[[#This Row],[math score]:[writing score]])</f>
        <v>278</v>
      </c>
      <c r="K828">
        <f>Table2[[#This Row],[Total score]]/3</f>
        <v>92.666666666666671</v>
      </c>
    </row>
    <row r="829" spans="1:11" x14ac:dyDescent="0.25">
      <c r="A829" t="s">
        <v>856</v>
      </c>
      <c r="B829" t="s">
        <v>13</v>
      </c>
      <c r="C829" t="s">
        <v>23</v>
      </c>
      <c r="D829" t="s">
        <v>21</v>
      </c>
      <c r="E829" t="s">
        <v>16</v>
      </c>
      <c r="F829" t="s">
        <v>17</v>
      </c>
      <c r="G829">
        <v>70</v>
      </c>
      <c r="H829">
        <v>84</v>
      </c>
      <c r="I829">
        <v>78</v>
      </c>
      <c r="J829">
        <f>SUM(Table2[[#This Row],[math score]:[writing score]])</f>
        <v>232</v>
      </c>
      <c r="K829">
        <f>Table2[[#This Row],[Total score]]/3</f>
        <v>77.333333333333329</v>
      </c>
    </row>
    <row r="830" spans="1:11" x14ac:dyDescent="0.25">
      <c r="A830" t="s">
        <v>857</v>
      </c>
      <c r="B830" t="s">
        <v>8</v>
      </c>
      <c r="C830" t="s">
        <v>18</v>
      </c>
      <c r="D830" t="s">
        <v>15</v>
      </c>
      <c r="E830" t="s">
        <v>11</v>
      </c>
      <c r="F830" t="s">
        <v>12</v>
      </c>
      <c r="G830">
        <v>97</v>
      </c>
      <c r="H830">
        <v>80</v>
      </c>
      <c r="I830">
        <v>88</v>
      </c>
      <c r="J830">
        <f>SUM(Table2[[#This Row],[math score]:[writing score]])</f>
        <v>265</v>
      </c>
      <c r="K830">
        <f>Table2[[#This Row],[Total score]]/3</f>
        <v>88.333333333333329</v>
      </c>
    </row>
    <row r="831" spans="1:11" x14ac:dyDescent="0.25">
      <c r="A831" t="s">
        <v>858</v>
      </c>
      <c r="B831" t="s">
        <v>13</v>
      </c>
      <c r="C831" t="s">
        <v>18</v>
      </c>
      <c r="D831" t="s">
        <v>10</v>
      </c>
      <c r="E831" t="s">
        <v>16</v>
      </c>
      <c r="F831" t="s">
        <v>17</v>
      </c>
      <c r="G831">
        <v>33</v>
      </c>
      <c r="H831">
        <v>32</v>
      </c>
      <c r="I831">
        <v>35</v>
      </c>
      <c r="J831">
        <f>SUM(Table2[[#This Row],[math score]:[writing score]])</f>
        <v>100</v>
      </c>
      <c r="K831">
        <f>Table2[[#This Row],[Total score]]/3</f>
        <v>33.333333333333336</v>
      </c>
    </row>
    <row r="832" spans="1:11" x14ac:dyDescent="0.25">
      <c r="A832" t="s">
        <v>859</v>
      </c>
      <c r="B832" t="s">
        <v>8</v>
      </c>
      <c r="C832" t="s">
        <v>20</v>
      </c>
      <c r="D832" t="s">
        <v>24</v>
      </c>
      <c r="E832" t="s">
        <v>16</v>
      </c>
      <c r="F832" t="s">
        <v>17</v>
      </c>
      <c r="G832">
        <v>38</v>
      </c>
      <c r="H832">
        <v>40</v>
      </c>
      <c r="I832">
        <v>41</v>
      </c>
      <c r="J832">
        <f>SUM(Table2[[#This Row],[math score]:[writing score]])</f>
        <v>119</v>
      </c>
      <c r="K832">
        <f>Table2[[#This Row],[Total score]]/3</f>
        <v>39.666666666666664</v>
      </c>
    </row>
    <row r="833" spans="1:11" x14ac:dyDescent="0.25">
      <c r="A833" t="s">
        <v>860</v>
      </c>
      <c r="B833" t="s">
        <v>8</v>
      </c>
      <c r="C833" t="s">
        <v>23</v>
      </c>
      <c r="D833" t="s">
        <v>19</v>
      </c>
      <c r="E833" t="s">
        <v>11</v>
      </c>
      <c r="F833" t="s">
        <v>12</v>
      </c>
      <c r="G833">
        <v>46</v>
      </c>
      <c r="H833">
        <v>51</v>
      </c>
      <c r="I833">
        <v>47</v>
      </c>
      <c r="J833">
        <f>SUM(Table2[[#This Row],[math score]:[writing score]])</f>
        <v>144</v>
      </c>
      <c r="K833">
        <f>Table2[[#This Row],[Total score]]/3</f>
        <v>48</v>
      </c>
    </row>
    <row r="834" spans="1:11" x14ac:dyDescent="0.25">
      <c r="A834" t="s">
        <v>861</v>
      </c>
      <c r="B834" t="s">
        <v>13</v>
      </c>
      <c r="C834" t="s">
        <v>14</v>
      </c>
      <c r="D834" t="s">
        <v>19</v>
      </c>
      <c r="E834" t="s">
        <v>16</v>
      </c>
      <c r="F834" t="s">
        <v>17</v>
      </c>
      <c r="G834">
        <v>13</v>
      </c>
      <c r="H834">
        <v>36</v>
      </c>
      <c r="I834">
        <v>37</v>
      </c>
      <c r="J834">
        <f>SUM(Table2[[#This Row],[math score]:[writing score]])</f>
        <v>86</v>
      </c>
      <c r="K834">
        <f>Table2[[#This Row],[Total score]]/3</f>
        <v>28.666666666666668</v>
      </c>
    </row>
    <row r="835" spans="1:11" x14ac:dyDescent="0.25">
      <c r="A835" t="s">
        <v>862</v>
      </c>
      <c r="B835" t="s">
        <v>8</v>
      </c>
      <c r="C835" t="s">
        <v>9</v>
      </c>
      <c r="D835" t="s">
        <v>24</v>
      </c>
      <c r="E835" t="s">
        <v>11</v>
      </c>
      <c r="F835" t="s">
        <v>17</v>
      </c>
      <c r="G835">
        <v>85</v>
      </c>
      <c r="H835">
        <v>83</v>
      </c>
      <c r="I835">
        <v>78</v>
      </c>
      <c r="J835">
        <f>SUM(Table2[[#This Row],[math score]:[writing score]])</f>
        <v>246</v>
      </c>
      <c r="K835">
        <f>Table2[[#This Row],[Total score]]/3</f>
        <v>82</v>
      </c>
    </row>
    <row r="836" spans="1:11" x14ac:dyDescent="0.25">
      <c r="A836" t="s">
        <v>863</v>
      </c>
      <c r="B836" t="s">
        <v>13</v>
      </c>
      <c r="C836" t="s">
        <v>20</v>
      </c>
      <c r="D836" t="s">
        <v>19</v>
      </c>
      <c r="E836" t="s">
        <v>11</v>
      </c>
      <c r="F836" t="s">
        <v>17</v>
      </c>
      <c r="G836">
        <v>79</v>
      </c>
      <c r="H836">
        <v>79</v>
      </c>
      <c r="I836">
        <v>80</v>
      </c>
      <c r="J836">
        <f>SUM(Table2[[#This Row],[math score]:[writing score]])</f>
        <v>238</v>
      </c>
      <c r="K836">
        <f>Table2[[#This Row],[Total score]]/3</f>
        <v>79.333333333333329</v>
      </c>
    </row>
    <row r="837" spans="1:11" x14ac:dyDescent="0.25">
      <c r="A837" t="s">
        <v>864</v>
      </c>
      <c r="B837" t="s">
        <v>13</v>
      </c>
      <c r="C837" t="s">
        <v>20</v>
      </c>
      <c r="D837" t="s">
        <v>15</v>
      </c>
      <c r="E837" t="s">
        <v>11</v>
      </c>
      <c r="F837" t="s">
        <v>17</v>
      </c>
      <c r="G837">
        <v>76</v>
      </c>
      <c r="H837">
        <v>81</v>
      </c>
      <c r="I837">
        <v>79</v>
      </c>
      <c r="J837">
        <f>SUM(Table2[[#This Row],[math score]:[writing score]])</f>
        <v>236</v>
      </c>
      <c r="K837">
        <f>Table2[[#This Row],[Total score]]/3</f>
        <v>78.666666666666671</v>
      </c>
    </row>
    <row r="838" spans="1:11" x14ac:dyDescent="0.25">
      <c r="A838" t="s">
        <v>865</v>
      </c>
      <c r="B838" t="s">
        <v>13</v>
      </c>
      <c r="C838" t="s">
        <v>23</v>
      </c>
      <c r="D838" t="s">
        <v>15</v>
      </c>
      <c r="E838" t="s">
        <v>16</v>
      </c>
      <c r="F838" t="s">
        <v>12</v>
      </c>
      <c r="G838">
        <v>53</v>
      </c>
      <c r="H838">
        <v>70</v>
      </c>
      <c r="I838">
        <v>65</v>
      </c>
      <c r="J838">
        <f>SUM(Table2[[#This Row],[math score]:[writing score]])</f>
        <v>188</v>
      </c>
      <c r="K838">
        <f>Table2[[#This Row],[Total score]]/3</f>
        <v>62.666666666666664</v>
      </c>
    </row>
    <row r="839" spans="1:11" x14ac:dyDescent="0.25">
      <c r="A839" t="s">
        <v>866</v>
      </c>
      <c r="B839" t="s">
        <v>8</v>
      </c>
      <c r="C839" t="s">
        <v>9</v>
      </c>
      <c r="D839" t="s">
        <v>10</v>
      </c>
      <c r="E839" t="s">
        <v>11</v>
      </c>
      <c r="F839" t="s">
        <v>12</v>
      </c>
      <c r="G839">
        <v>68</v>
      </c>
      <c r="H839">
        <v>70</v>
      </c>
      <c r="I839">
        <v>63</v>
      </c>
      <c r="J839">
        <f>SUM(Table2[[#This Row],[math score]:[writing score]])</f>
        <v>201</v>
      </c>
      <c r="K839">
        <f>Table2[[#This Row],[Total score]]/3</f>
        <v>67</v>
      </c>
    </row>
    <row r="840" spans="1:11" x14ac:dyDescent="0.25">
      <c r="A840" t="s">
        <v>867</v>
      </c>
      <c r="B840" t="s">
        <v>8</v>
      </c>
      <c r="C840" t="s">
        <v>14</v>
      </c>
      <c r="D840" t="s">
        <v>21</v>
      </c>
      <c r="E840" t="s">
        <v>16</v>
      </c>
      <c r="F840" t="s">
        <v>12</v>
      </c>
      <c r="G840">
        <v>67</v>
      </c>
      <c r="H840">
        <v>70</v>
      </c>
      <c r="I840">
        <v>70</v>
      </c>
      <c r="J840">
        <f>SUM(Table2[[#This Row],[math score]:[writing score]])</f>
        <v>207</v>
      </c>
      <c r="K840">
        <f>Table2[[#This Row],[Total score]]/3</f>
        <v>69</v>
      </c>
    </row>
    <row r="841" spans="1:11" x14ac:dyDescent="0.25">
      <c r="A841" t="s">
        <v>868</v>
      </c>
      <c r="B841" t="s">
        <v>8</v>
      </c>
      <c r="C841" t="s">
        <v>18</v>
      </c>
      <c r="D841" t="s">
        <v>19</v>
      </c>
      <c r="E841" t="s">
        <v>11</v>
      </c>
      <c r="F841" t="s">
        <v>12</v>
      </c>
      <c r="G841">
        <v>100</v>
      </c>
      <c r="H841">
        <v>84</v>
      </c>
      <c r="I841">
        <v>88</v>
      </c>
      <c r="J841">
        <f>SUM(Table2[[#This Row],[math score]:[writing score]])</f>
        <v>272</v>
      </c>
      <c r="K841">
        <f>Table2[[#This Row],[Total score]]/3</f>
        <v>90.666666666666671</v>
      </c>
    </row>
    <row r="842" spans="1:11" x14ac:dyDescent="0.25">
      <c r="A842" t="s">
        <v>869</v>
      </c>
      <c r="B842" t="s">
        <v>8</v>
      </c>
      <c r="C842" t="s">
        <v>23</v>
      </c>
      <c r="D842" t="s">
        <v>21</v>
      </c>
      <c r="E842" t="s">
        <v>16</v>
      </c>
      <c r="F842" t="s">
        <v>17</v>
      </c>
      <c r="G842">
        <v>54</v>
      </c>
      <c r="H842">
        <v>48</v>
      </c>
      <c r="I842">
        <v>45</v>
      </c>
      <c r="J842">
        <f>SUM(Table2[[#This Row],[math score]:[writing score]])</f>
        <v>147</v>
      </c>
      <c r="K842">
        <f>Table2[[#This Row],[Total score]]/3</f>
        <v>49</v>
      </c>
    </row>
    <row r="843" spans="1:11" x14ac:dyDescent="0.25">
      <c r="A843" t="s">
        <v>870</v>
      </c>
      <c r="B843" t="s">
        <v>13</v>
      </c>
      <c r="C843" t="s">
        <v>18</v>
      </c>
      <c r="D843" t="s">
        <v>21</v>
      </c>
      <c r="E843" t="s">
        <v>16</v>
      </c>
      <c r="F843" t="s">
        <v>17</v>
      </c>
      <c r="G843">
        <v>72</v>
      </c>
      <c r="H843">
        <v>73</v>
      </c>
      <c r="I843">
        <v>70</v>
      </c>
      <c r="J843">
        <f>SUM(Table2[[#This Row],[math score]:[writing score]])</f>
        <v>215</v>
      </c>
      <c r="K843">
        <f>Table2[[#This Row],[Total score]]/3</f>
        <v>71.666666666666671</v>
      </c>
    </row>
    <row r="844" spans="1:11" x14ac:dyDescent="0.25">
      <c r="A844" t="s">
        <v>871</v>
      </c>
      <c r="B844" t="s">
        <v>8</v>
      </c>
      <c r="C844" t="s">
        <v>9</v>
      </c>
      <c r="D844" t="s">
        <v>19</v>
      </c>
      <c r="E844" t="s">
        <v>11</v>
      </c>
      <c r="F844" t="s">
        <v>12</v>
      </c>
      <c r="G844">
        <v>91</v>
      </c>
      <c r="H844">
        <v>97</v>
      </c>
      <c r="I844">
        <v>95</v>
      </c>
      <c r="J844">
        <f>SUM(Table2[[#This Row],[math score]:[writing score]])</f>
        <v>283</v>
      </c>
      <c r="K844">
        <f>Table2[[#This Row],[Total score]]/3</f>
        <v>94.333333333333329</v>
      </c>
    </row>
    <row r="845" spans="1:11" x14ac:dyDescent="0.25">
      <c r="A845" t="s">
        <v>872</v>
      </c>
      <c r="B845" t="s">
        <v>8</v>
      </c>
      <c r="C845" t="s">
        <v>14</v>
      </c>
      <c r="D845" t="s">
        <v>24</v>
      </c>
      <c r="E845" t="s">
        <v>11</v>
      </c>
      <c r="F845" t="s">
        <v>12</v>
      </c>
      <c r="G845">
        <v>87</v>
      </c>
      <c r="H845">
        <v>81</v>
      </c>
      <c r="I845">
        <v>86</v>
      </c>
      <c r="J845">
        <f>SUM(Table2[[#This Row],[math score]:[writing score]])</f>
        <v>254</v>
      </c>
      <c r="K845">
        <f>Table2[[#This Row],[Total score]]/3</f>
        <v>84.666666666666671</v>
      </c>
    </row>
    <row r="846" spans="1:11" x14ac:dyDescent="0.25">
      <c r="A846" t="s">
        <v>873</v>
      </c>
      <c r="B846" t="s">
        <v>13</v>
      </c>
      <c r="C846" t="s">
        <v>14</v>
      </c>
      <c r="D846" t="s">
        <v>21</v>
      </c>
      <c r="E846" t="s">
        <v>16</v>
      </c>
      <c r="F846" t="s">
        <v>17</v>
      </c>
      <c r="G846">
        <v>66</v>
      </c>
      <c r="H846">
        <v>75</v>
      </c>
      <c r="I846">
        <v>74</v>
      </c>
      <c r="J846">
        <f>SUM(Table2[[#This Row],[math score]:[writing score]])</f>
        <v>215</v>
      </c>
      <c r="K846">
        <f>Table2[[#This Row],[Total score]]/3</f>
        <v>71.666666666666671</v>
      </c>
    </row>
    <row r="847" spans="1:11" x14ac:dyDescent="0.25">
      <c r="A847" t="s">
        <v>874</v>
      </c>
      <c r="B847" t="s">
        <v>8</v>
      </c>
      <c r="C847" t="s">
        <v>23</v>
      </c>
      <c r="D847" t="s">
        <v>15</v>
      </c>
      <c r="E847" t="s">
        <v>11</v>
      </c>
      <c r="F847" t="s">
        <v>17</v>
      </c>
      <c r="G847">
        <v>65</v>
      </c>
      <c r="H847">
        <v>66</v>
      </c>
      <c r="I847">
        <v>64</v>
      </c>
      <c r="J847">
        <f>SUM(Table2[[#This Row],[math score]:[writing score]])</f>
        <v>195</v>
      </c>
      <c r="K847">
        <f>Table2[[#This Row],[Total score]]/3</f>
        <v>65</v>
      </c>
    </row>
    <row r="848" spans="1:11" x14ac:dyDescent="0.25">
      <c r="A848" t="s">
        <v>875</v>
      </c>
      <c r="B848" t="s">
        <v>13</v>
      </c>
      <c r="C848" t="s">
        <v>18</v>
      </c>
      <c r="D848" t="s">
        <v>21</v>
      </c>
      <c r="E848" t="s">
        <v>16</v>
      </c>
      <c r="F848" t="s">
        <v>12</v>
      </c>
      <c r="G848">
        <v>41</v>
      </c>
      <c r="H848">
        <v>56</v>
      </c>
      <c r="I848">
        <v>53</v>
      </c>
      <c r="J848">
        <f>SUM(Table2[[#This Row],[math score]:[writing score]])</f>
        <v>150</v>
      </c>
      <c r="K848">
        <f>Table2[[#This Row],[Total score]]/3</f>
        <v>50</v>
      </c>
    </row>
    <row r="849" spans="1:11" x14ac:dyDescent="0.25">
      <c r="A849" t="s">
        <v>876</v>
      </c>
      <c r="B849" t="s">
        <v>13</v>
      </c>
      <c r="C849" t="s">
        <v>23</v>
      </c>
      <c r="D849" t="s">
        <v>21</v>
      </c>
      <c r="E849" t="s">
        <v>11</v>
      </c>
      <c r="F849" t="s">
        <v>17</v>
      </c>
      <c r="G849">
        <v>67</v>
      </c>
      <c r="H849">
        <v>69</v>
      </c>
      <c r="I849">
        <v>65</v>
      </c>
      <c r="J849">
        <f>SUM(Table2[[#This Row],[math score]:[writing score]])</f>
        <v>201</v>
      </c>
      <c r="K849">
        <f>Table2[[#This Row],[Total score]]/3</f>
        <v>67</v>
      </c>
    </row>
    <row r="850" spans="1:11" x14ac:dyDescent="0.25">
      <c r="A850" t="s">
        <v>877</v>
      </c>
      <c r="B850" t="s">
        <v>8</v>
      </c>
      <c r="C850" t="s">
        <v>18</v>
      </c>
      <c r="D850" t="s">
        <v>10</v>
      </c>
      <c r="E850" t="s">
        <v>11</v>
      </c>
      <c r="F850" t="s">
        <v>17</v>
      </c>
      <c r="G850">
        <v>94</v>
      </c>
      <c r="H850">
        <v>89</v>
      </c>
      <c r="I850">
        <v>86</v>
      </c>
      <c r="J850">
        <f>SUM(Table2[[#This Row],[math score]:[writing score]])</f>
        <v>269</v>
      </c>
      <c r="K850">
        <f>Table2[[#This Row],[Total score]]/3</f>
        <v>89.666666666666671</v>
      </c>
    </row>
    <row r="851" spans="1:11" x14ac:dyDescent="0.25">
      <c r="A851" t="s">
        <v>878</v>
      </c>
      <c r="B851" t="s">
        <v>13</v>
      </c>
      <c r="C851" t="s">
        <v>20</v>
      </c>
      <c r="D851" t="s">
        <v>22</v>
      </c>
      <c r="E851" t="s">
        <v>16</v>
      </c>
      <c r="F851" t="s">
        <v>12</v>
      </c>
      <c r="G851">
        <v>57</v>
      </c>
      <c r="H851">
        <v>70</v>
      </c>
      <c r="I851">
        <v>68</v>
      </c>
      <c r="J851">
        <f>SUM(Table2[[#This Row],[math score]:[writing score]])</f>
        <v>195</v>
      </c>
      <c r="K851">
        <f>Table2[[#This Row],[Total score]]/3</f>
        <v>65</v>
      </c>
    </row>
    <row r="852" spans="1:11" x14ac:dyDescent="0.25">
      <c r="A852" t="s">
        <v>879</v>
      </c>
      <c r="B852" t="s">
        <v>8</v>
      </c>
      <c r="C852" t="s">
        <v>9</v>
      </c>
      <c r="D852" t="s">
        <v>10</v>
      </c>
      <c r="E852" t="s">
        <v>11</v>
      </c>
      <c r="F852" t="s">
        <v>17</v>
      </c>
      <c r="G852">
        <v>89</v>
      </c>
      <c r="H852">
        <v>83</v>
      </c>
      <c r="I852">
        <v>80</v>
      </c>
      <c r="J852">
        <f>SUM(Table2[[#This Row],[math score]:[writing score]])</f>
        <v>252</v>
      </c>
      <c r="K852">
        <f>Table2[[#This Row],[Total score]]/3</f>
        <v>84</v>
      </c>
    </row>
    <row r="853" spans="1:11" x14ac:dyDescent="0.25">
      <c r="A853" t="s">
        <v>880</v>
      </c>
      <c r="B853" t="s">
        <v>8</v>
      </c>
      <c r="C853" t="s">
        <v>9</v>
      </c>
      <c r="D853" t="s">
        <v>21</v>
      </c>
      <c r="E853" t="s">
        <v>11</v>
      </c>
      <c r="F853" t="s">
        <v>12</v>
      </c>
      <c r="G853">
        <v>77</v>
      </c>
      <c r="H853">
        <v>73</v>
      </c>
      <c r="I853">
        <v>80</v>
      </c>
      <c r="J853">
        <f>SUM(Table2[[#This Row],[math score]:[writing score]])</f>
        <v>230</v>
      </c>
      <c r="K853">
        <f>Table2[[#This Row],[Total score]]/3</f>
        <v>76.666666666666671</v>
      </c>
    </row>
    <row r="854" spans="1:11" x14ac:dyDescent="0.25">
      <c r="A854" t="s">
        <v>881</v>
      </c>
      <c r="B854" t="s">
        <v>8</v>
      </c>
      <c r="C854" t="s">
        <v>23</v>
      </c>
      <c r="D854" t="s">
        <v>15</v>
      </c>
      <c r="E854" t="s">
        <v>11</v>
      </c>
      <c r="F854" t="s">
        <v>17</v>
      </c>
      <c r="G854">
        <v>57</v>
      </c>
      <c r="H854">
        <v>60</v>
      </c>
      <c r="I854">
        <v>50</v>
      </c>
      <c r="J854">
        <f>SUM(Table2[[#This Row],[math score]:[writing score]])</f>
        <v>167</v>
      </c>
      <c r="K854">
        <f>Table2[[#This Row],[Total score]]/3</f>
        <v>55.666666666666664</v>
      </c>
    </row>
    <row r="855" spans="1:11" x14ac:dyDescent="0.25">
      <c r="A855" t="s">
        <v>882</v>
      </c>
      <c r="B855" t="s">
        <v>8</v>
      </c>
      <c r="C855" t="s">
        <v>14</v>
      </c>
      <c r="D855" t="s">
        <v>19</v>
      </c>
      <c r="E855" t="s">
        <v>11</v>
      </c>
      <c r="F855" t="s">
        <v>12</v>
      </c>
      <c r="G855">
        <v>72</v>
      </c>
      <c r="H855">
        <v>72</v>
      </c>
      <c r="I855">
        <v>72</v>
      </c>
      <c r="J855">
        <f>SUM(Table2[[#This Row],[math score]:[writing score]])</f>
        <v>216</v>
      </c>
      <c r="K855">
        <f>Table2[[#This Row],[Total score]]/3</f>
        <v>72</v>
      </c>
    </row>
    <row r="856" spans="1:11" x14ac:dyDescent="0.25">
      <c r="A856" t="s">
        <v>883</v>
      </c>
      <c r="B856" t="s">
        <v>8</v>
      </c>
      <c r="C856" t="s">
        <v>14</v>
      </c>
      <c r="D856" t="s">
        <v>22</v>
      </c>
      <c r="E856" t="s">
        <v>11</v>
      </c>
      <c r="F856" t="s">
        <v>12</v>
      </c>
      <c r="G856">
        <v>98</v>
      </c>
      <c r="H856">
        <v>94</v>
      </c>
      <c r="I856">
        <v>95</v>
      </c>
      <c r="J856">
        <f>SUM(Table2[[#This Row],[math score]:[writing score]])</f>
        <v>287</v>
      </c>
      <c r="K856">
        <f>Table2[[#This Row],[Total score]]/3</f>
        <v>95.666666666666671</v>
      </c>
    </row>
    <row r="857" spans="1:11" x14ac:dyDescent="0.25">
      <c r="A857" t="s">
        <v>884</v>
      </c>
      <c r="B857" t="s">
        <v>13</v>
      </c>
      <c r="C857" t="s">
        <v>14</v>
      </c>
      <c r="D857" t="s">
        <v>24</v>
      </c>
      <c r="E857" t="s">
        <v>11</v>
      </c>
      <c r="F857" t="s">
        <v>17</v>
      </c>
      <c r="G857">
        <v>87</v>
      </c>
      <c r="H857">
        <v>97</v>
      </c>
      <c r="I857">
        <v>100</v>
      </c>
      <c r="J857">
        <f>SUM(Table2[[#This Row],[math score]:[writing score]])</f>
        <v>284</v>
      </c>
      <c r="K857">
        <f>Table2[[#This Row],[Total score]]/3</f>
        <v>94.666666666666671</v>
      </c>
    </row>
    <row r="858" spans="1:11" x14ac:dyDescent="0.25">
      <c r="A858" t="s">
        <v>885</v>
      </c>
      <c r="B858" t="s">
        <v>8</v>
      </c>
      <c r="C858" t="s">
        <v>23</v>
      </c>
      <c r="D858" t="s">
        <v>15</v>
      </c>
      <c r="E858" t="s">
        <v>16</v>
      </c>
      <c r="F858" t="s">
        <v>17</v>
      </c>
      <c r="G858">
        <v>61</v>
      </c>
      <c r="H858">
        <v>57</v>
      </c>
      <c r="I858">
        <v>55</v>
      </c>
      <c r="J858">
        <f>SUM(Table2[[#This Row],[math score]:[writing score]])</f>
        <v>173</v>
      </c>
      <c r="K858">
        <f>Table2[[#This Row],[Total score]]/3</f>
        <v>57.666666666666664</v>
      </c>
    </row>
    <row r="859" spans="1:11" x14ac:dyDescent="0.25">
      <c r="A859" t="s">
        <v>886</v>
      </c>
      <c r="B859" t="s">
        <v>13</v>
      </c>
      <c r="C859" t="s">
        <v>23</v>
      </c>
      <c r="D859" t="s">
        <v>24</v>
      </c>
      <c r="E859" t="s">
        <v>11</v>
      </c>
      <c r="F859" t="s">
        <v>17</v>
      </c>
      <c r="G859">
        <v>85</v>
      </c>
      <c r="H859">
        <v>100</v>
      </c>
      <c r="I859">
        <v>97</v>
      </c>
      <c r="J859">
        <f>SUM(Table2[[#This Row],[math score]:[writing score]])</f>
        <v>282</v>
      </c>
      <c r="K859">
        <f>Table2[[#This Row],[Total score]]/3</f>
        <v>94</v>
      </c>
    </row>
    <row r="860" spans="1:11" x14ac:dyDescent="0.25">
      <c r="A860" t="s">
        <v>887</v>
      </c>
      <c r="B860" t="s">
        <v>13</v>
      </c>
      <c r="C860" t="s">
        <v>14</v>
      </c>
      <c r="D860" t="s">
        <v>15</v>
      </c>
      <c r="E860" t="s">
        <v>11</v>
      </c>
      <c r="F860" t="s">
        <v>17</v>
      </c>
      <c r="G860">
        <v>81</v>
      </c>
      <c r="H860">
        <v>85</v>
      </c>
      <c r="I860">
        <v>91</v>
      </c>
      <c r="J860">
        <f>SUM(Table2[[#This Row],[math score]:[writing score]])</f>
        <v>257</v>
      </c>
      <c r="K860">
        <f>Table2[[#This Row],[Total score]]/3</f>
        <v>85.666666666666671</v>
      </c>
    </row>
    <row r="861" spans="1:11" x14ac:dyDescent="0.25">
      <c r="A861" t="s">
        <v>888</v>
      </c>
      <c r="B861" t="s">
        <v>13</v>
      </c>
      <c r="C861" t="s">
        <v>14</v>
      </c>
      <c r="D861" t="s">
        <v>10</v>
      </c>
      <c r="E861" t="s">
        <v>11</v>
      </c>
      <c r="F861" t="s">
        <v>12</v>
      </c>
      <c r="G861">
        <v>74</v>
      </c>
      <c r="H861">
        <v>84</v>
      </c>
      <c r="I861">
        <v>79</v>
      </c>
      <c r="J861">
        <f>SUM(Table2[[#This Row],[math score]:[writing score]])</f>
        <v>237</v>
      </c>
      <c r="K861">
        <f>Table2[[#This Row],[Total score]]/3</f>
        <v>79</v>
      </c>
    </row>
    <row r="862" spans="1:11" x14ac:dyDescent="0.25">
      <c r="A862" t="s">
        <v>889</v>
      </c>
      <c r="B862" t="s">
        <v>8</v>
      </c>
      <c r="C862" t="s">
        <v>23</v>
      </c>
      <c r="D862" t="s">
        <v>22</v>
      </c>
      <c r="E862" t="s">
        <v>11</v>
      </c>
      <c r="F862" t="s">
        <v>17</v>
      </c>
      <c r="G862">
        <v>98</v>
      </c>
      <c r="H862">
        <v>92</v>
      </c>
      <c r="I862">
        <v>90</v>
      </c>
      <c r="J862">
        <f>SUM(Table2[[#This Row],[math score]:[writing score]])</f>
        <v>280</v>
      </c>
      <c r="K862">
        <f>Table2[[#This Row],[Total score]]/3</f>
        <v>93.333333333333329</v>
      </c>
    </row>
    <row r="863" spans="1:11" x14ac:dyDescent="0.25">
      <c r="A863" t="s">
        <v>890</v>
      </c>
      <c r="B863" t="s">
        <v>13</v>
      </c>
      <c r="C863" t="s">
        <v>14</v>
      </c>
      <c r="D863" t="s">
        <v>19</v>
      </c>
      <c r="E863" t="s">
        <v>11</v>
      </c>
      <c r="F863" t="s">
        <v>17</v>
      </c>
      <c r="G863">
        <v>86</v>
      </c>
      <c r="H863">
        <v>84</v>
      </c>
      <c r="I863">
        <v>89</v>
      </c>
      <c r="J863">
        <f>SUM(Table2[[#This Row],[math score]:[writing score]])</f>
        <v>259</v>
      </c>
      <c r="K863">
        <f>Table2[[#This Row],[Total score]]/3</f>
        <v>86.333333333333329</v>
      </c>
    </row>
    <row r="864" spans="1:11" x14ac:dyDescent="0.25">
      <c r="A864" t="s">
        <v>891</v>
      </c>
      <c r="B864" t="s">
        <v>8</v>
      </c>
      <c r="C864" t="s">
        <v>23</v>
      </c>
      <c r="D864" t="s">
        <v>22</v>
      </c>
      <c r="E864" t="s">
        <v>11</v>
      </c>
      <c r="F864" t="s">
        <v>12</v>
      </c>
      <c r="G864">
        <v>85</v>
      </c>
      <c r="H864">
        <v>81</v>
      </c>
      <c r="I864">
        <v>82</v>
      </c>
      <c r="J864">
        <f>SUM(Table2[[#This Row],[math score]:[writing score]])</f>
        <v>248</v>
      </c>
      <c r="K864">
        <f>Table2[[#This Row],[Total score]]/3</f>
        <v>82.666666666666671</v>
      </c>
    </row>
    <row r="865" spans="1:11" x14ac:dyDescent="0.25">
      <c r="A865" t="s">
        <v>892</v>
      </c>
      <c r="B865" t="s">
        <v>8</v>
      </c>
      <c r="C865" t="s">
        <v>23</v>
      </c>
      <c r="D865" t="s">
        <v>19</v>
      </c>
      <c r="E865" t="s">
        <v>11</v>
      </c>
      <c r="F865" t="s">
        <v>17</v>
      </c>
      <c r="G865">
        <v>68</v>
      </c>
      <c r="H865">
        <v>71</v>
      </c>
      <c r="I865">
        <v>63</v>
      </c>
      <c r="J865">
        <f>SUM(Table2[[#This Row],[math score]:[writing score]])</f>
        <v>202</v>
      </c>
      <c r="K865">
        <f>Table2[[#This Row],[Total score]]/3</f>
        <v>67.333333333333329</v>
      </c>
    </row>
    <row r="866" spans="1:11" x14ac:dyDescent="0.25">
      <c r="A866" t="s">
        <v>893</v>
      </c>
      <c r="B866" t="s">
        <v>13</v>
      </c>
      <c r="C866" t="s">
        <v>18</v>
      </c>
      <c r="D866" t="s">
        <v>10</v>
      </c>
      <c r="E866" t="s">
        <v>16</v>
      </c>
      <c r="F866" t="s">
        <v>12</v>
      </c>
      <c r="G866">
        <v>66</v>
      </c>
      <c r="H866">
        <v>78</v>
      </c>
      <c r="I866">
        <v>77</v>
      </c>
      <c r="J866">
        <f>SUM(Table2[[#This Row],[math score]:[writing score]])</f>
        <v>221</v>
      </c>
      <c r="K866">
        <f>Table2[[#This Row],[Total score]]/3</f>
        <v>73.666666666666671</v>
      </c>
    </row>
    <row r="867" spans="1:11" x14ac:dyDescent="0.25">
      <c r="A867" t="s">
        <v>894</v>
      </c>
      <c r="B867" t="s">
        <v>8</v>
      </c>
      <c r="C867" t="s">
        <v>20</v>
      </c>
      <c r="D867" t="s">
        <v>15</v>
      </c>
      <c r="E867" t="s">
        <v>16</v>
      </c>
      <c r="F867" t="s">
        <v>12</v>
      </c>
      <c r="G867">
        <v>75</v>
      </c>
      <c r="H867">
        <v>74</v>
      </c>
      <c r="I867">
        <v>71</v>
      </c>
      <c r="J867">
        <f>SUM(Table2[[#This Row],[math score]:[writing score]])</f>
        <v>220</v>
      </c>
      <c r="K867">
        <f>Table2[[#This Row],[Total score]]/3</f>
        <v>73.333333333333329</v>
      </c>
    </row>
    <row r="868" spans="1:11" x14ac:dyDescent="0.25">
      <c r="A868" t="s">
        <v>895</v>
      </c>
      <c r="B868" t="s">
        <v>8</v>
      </c>
      <c r="C868" t="s">
        <v>23</v>
      </c>
      <c r="D868" t="s">
        <v>22</v>
      </c>
      <c r="E868" t="s">
        <v>11</v>
      </c>
      <c r="F868" t="s">
        <v>17</v>
      </c>
      <c r="G868">
        <v>79</v>
      </c>
      <c r="H868">
        <v>57</v>
      </c>
      <c r="I868">
        <v>58</v>
      </c>
      <c r="J868">
        <f>SUM(Table2[[#This Row],[math score]:[writing score]])</f>
        <v>194</v>
      </c>
      <c r="K868">
        <f>Table2[[#This Row],[Total score]]/3</f>
        <v>64.666666666666671</v>
      </c>
    </row>
    <row r="869" spans="1:11" x14ac:dyDescent="0.25">
      <c r="A869" t="s">
        <v>896</v>
      </c>
      <c r="B869" t="s">
        <v>13</v>
      </c>
      <c r="C869" t="s">
        <v>20</v>
      </c>
      <c r="D869" t="s">
        <v>22</v>
      </c>
      <c r="E869" t="s">
        <v>16</v>
      </c>
      <c r="F869" t="s">
        <v>17</v>
      </c>
      <c r="G869">
        <v>59</v>
      </c>
      <c r="H869">
        <v>85</v>
      </c>
      <c r="I869">
        <v>82</v>
      </c>
      <c r="J869">
        <f>SUM(Table2[[#This Row],[math score]:[writing score]])</f>
        <v>226</v>
      </c>
      <c r="K869">
        <f>Table2[[#This Row],[Total score]]/3</f>
        <v>75.333333333333329</v>
      </c>
    </row>
    <row r="870" spans="1:11" x14ac:dyDescent="0.25">
      <c r="A870" t="s">
        <v>897</v>
      </c>
      <c r="B870" t="s">
        <v>8</v>
      </c>
      <c r="C870" t="s">
        <v>20</v>
      </c>
      <c r="D870" t="s">
        <v>24</v>
      </c>
      <c r="E870" t="s">
        <v>16</v>
      </c>
      <c r="F870" t="s">
        <v>17</v>
      </c>
      <c r="G870">
        <v>60</v>
      </c>
      <c r="H870">
        <v>62</v>
      </c>
      <c r="I870">
        <v>58</v>
      </c>
      <c r="J870">
        <f>SUM(Table2[[#This Row],[math score]:[writing score]])</f>
        <v>180</v>
      </c>
      <c r="K870">
        <f>Table2[[#This Row],[Total score]]/3</f>
        <v>60</v>
      </c>
    </row>
    <row r="871" spans="1:11" x14ac:dyDescent="0.25">
      <c r="A871" t="s">
        <v>898</v>
      </c>
      <c r="B871" t="s">
        <v>8</v>
      </c>
      <c r="C871" t="s">
        <v>14</v>
      </c>
      <c r="D871" t="s">
        <v>10</v>
      </c>
      <c r="E871" t="s">
        <v>11</v>
      </c>
      <c r="F871" t="s">
        <v>17</v>
      </c>
      <c r="G871">
        <v>69</v>
      </c>
      <c r="H871">
        <v>60</v>
      </c>
      <c r="I871">
        <v>54</v>
      </c>
      <c r="J871">
        <f>SUM(Table2[[#This Row],[math score]:[writing score]])</f>
        <v>183</v>
      </c>
      <c r="K871">
        <f>Table2[[#This Row],[Total score]]/3</f>
        <v>61</v>
      </c>
    </row>
    <row r="872" spans="1:11" x14ac:dyDescent="0.25">
      <c r="A872" t="s">
        <v>899</v>
      </c>
      <c r="B872" t="s">
        <v>13</v>
      </c>
      <c r="C872" t="s">
        <v>20</v>
      </c>
      <c r="D872" t="s">
        <v>10</v>
      </c>
      <c r="E872" t="s">
        <v>16</v>
      </c>
      <c r="F872" t="s">
        <v>17</v>
      </c>
      <c r="G872">
        <v>49</v>
      </c>
      <c r="H872">
        <v>54</v>
      </c>
      <c r="I872">
        <v>58</v>
      </c>
      <c r="J872">
        <f>SUM(Table2[[#This Row],[math score]:[writing score]])</f>
        <v>161</v>
      </c>
      <c r="K872">
        <f>Table2[[#This Row],[Total score]]/3</f>
        <v>53.666666666666664</v>
      </c>
    </row>
    <row r="873" spans="1:11" x14ac:dyDescent="0.25">
      <c r="A873" t="s">
        <v>900</v>
      </c>
      <c r="B873" t="s">
        <v>8</v>
      </c>
      <c r="C873" t="s">
        <v>14</v>
      </c>
      <c r="D873" t="s">
        <v>19</v>
      </c>
      <c r="E873" t="s">
        <v>11</v>
      </c>
      <c r="F873" t="s">
        <v>17</v>
      </c>
      <c r="G873">
        <v>62</v>
      </c>
      <c r="H873">
        <v>44</v>
      </c>
      <c r="I873">
        <v>52</v>
      </c>
      <c r="J873">
        <f>SUM(Table2[[#This Row],[math score]:[writing score]])</f>
        <v>158</v>
      </c>
      <c r="K873">
        <f>Table2[[#This Row],[Total score]]/3</f>
        <v>52.666666666666664</v>
      </c>
    </row>
    <row r="874" spans="1:11" x14ac:dyDescent="0.25">
      <c r="A874" t="s">
        <v>901</v>
      </c>
      <c r="B874" t="s">
        <v>13</v>
      </c>
      <c r="C874" t="s">
        <v>18</v>
      </c>
      <c r="D874" t="s">
        <v>10</v>
      </c>
      <c r="E874" t="s">
        <v>16</v>
      </c>
      <c r="F874" t="s">
        <v>12</v>
      </c>
      <c r="G874">
        <v>70</v>
      </c>
      <c r="H874">
        <v>84</v>
      </c>
      <c r="I874">
        <v>83</v>
      </c>
      <c r="J874">
        <f>SUM(Table2[[#This Row],[math score]:[writing score]])</f>
        <v>237</v>
      </c>
      <c r="K874">
        <f>Table2[[#This Row],[Total score]]/3</f>
        <v>79</v>
      </c>
    </row>
    <row r="875" spans="1:11" x14ac:dyDescent="0.25">
      <c r="A875" t="s">
        <v>902</v>
      </c>
      <c r="B875" t="s">
        <v>8</v>
      </c>
      <c r="C875" t="s">
        <v>14</v>
      </c>
      <c r="D875" t="s">
        <v>22</v>
      </c>
      <c r="E875" t="s">
        <v>11</v>
      </c>
      <c r="F875" t="s">
        <v>17</v>
      </c>
      <c r="G875">
        <v>71</v>
      </c>
      <c r="H875">
        <v>57</v>
      </c>
      <c r="I875">
        <v>60</v>
      </c>
      <c r="J875">
        <f>SUM(Table2[[#This Row],[math score]:[writing score]])</f>
        <v>188</v>
      </c>
      <c r="K875">
        <f>Table2[[#This Row],[Total score]]/3</f>
        <v>62.666666666666664</v>
      </c>
    </row>
    <row r="876" spans="1:11" x14ac:dyDescent="0.25">
      <c r="A876" t="s">
        <v>903</v>
      </c>
      <c r="B876" t="s">
        <v>8</v>
      </c>
      <c r="C876" t="s">
        <v>23</v>
      </c>
      <c r="D876" t="s">
        <v>22</v>
      </c>
      <c r="E876" t="s">
        <v>11</v>
      </c>
      <c r="F876" t="s">
        <v>17</v>
      </c>
      <c r="G876">
        <v>71</v>
      </c>
      <c r="H876">
        <v>69</v>
      </c>
      <c r="I876">
        <v>65</v>
      </c>
      <c r="J876">
        <f>SUM(Table2[[#This Row],[math score]:[writing score]])</f>
        <v>205</v>
      </c>
      <c r="K876">
        <f>Table2[[#This Row],[Total score]]/3</f>
        <v>68.333333333333329</v>
      </c>
    </row>
    <row r="877" spans="1:11" x14ac:dyDescent="0.25">
      <c r="A877" t="s">
        <v>904</v>
      </c>
      <c r="B877" t="s">
        <v>13</v>
      </c>
      <c r="C877" t="s">
        <v>23</v>
      </c>
      <c r="D877" t="s">
        <v>15</v>
      </c>
      <c r="E877" t="s">
        <v>16</v>
      </c>
      <c r="F877" t="s">
        <v>17</v>
      </c>
      <c r="G877">
        <v>50</v>
      </c>
      <c r="H877">
        <v>59</v>
      </c>
      <c r="I877">
        <v>54</v>
      </c>
      <c r="J877">
        <f>SUM(Table2[[#This Row],[math score]:[writing score]])</f>
        <v>163</v>
      </c>
      <c r="K877">
        <f>Table2[[#This Row],[Total score]]/3</f>
        <v>54.333333333333336</v>
      </c>
    </row>
    <row r="878" spans="1:11" x14ac:dyDescent="0.25">
      <c r="A878" t="s">
        <v>905</v>
      </c>
      <c r="B878" t="s">
        <v>13</v>
      </c>
      <c r="C878" t="s">
        <v>20</v>
      </c>
      <c r="D878" t="s">
        <v>10</v>
      </c>
      <c r="E878" t="s">
        <v>11</v>
      </c>
      <c r="F878" t="s">
        <v>17</v>
      </c>
      <c r="G878">
        <v>52</v>
      </c>
      <c r="H878">
        <v>55</v>
      </c>
      <c r="I878">
        <v>57</v>
      </c>
      <c r="J878">
        <f>SUM(Table2[[#This Row],[math score]:[writing score]])</f>
        <v>164</v>
      </c>
      <c r="K878">
        <f>Table2[[#This Row],[Total score]]/3</f>
        <v>54.666666666666664</v>
      </c>
    </row>
    <row r="879" spans="1:11" x14ac:dyDescent="0.25">
      <c r="A879" t="s">
        <v>906</v>
      </c>
      <c r="B879" t="s">
        <v>8</v>
      </c>
      <c r="C879" t="s">
        <v>18</v>
      </c>
      <c r="D879" t="s">
        <v>19</v>
      </c>
      <c r="E879" t="s">
        <v>16</v>
      </c>
      <c r="F879" t="s">
        <v>12</v>
      </c>
      <c r="G879">
        <v>75</v>
      </c>
      <c r="H879">
        <v>65</v>
      </c>
      <c r="I879">
        <v>66</v>
      </c>
      <c r="J879">
        <f>SUM(Table2[[#This Row],[math score]:[writing score]])</f>
        <v>206</v>
      </c>
      <c r="K879">
        <f>Table2[[#This Row],[Total score]]/3</f>
        <v>68.666666666666671</v>
      </c>
    </row>
    <row r="880" spans="1:11" x14ac:dyDescent="0.25">
      <c r="A880" t="s">
        <v>907</v>
      </c>
      <c r="B880" t="s">
        <v>13</v>
      </c>
      <c r="C880" t="s">
        <v>23</v>
      </c>
      <c r="D880" t="s">
        <v>22</v>
      </c>
      <c r="E880" t="s">
        <v>11</v>
      </c>
      <c r="F880" t="s">
        <v>17</v>
      </c>
      <c r="G880">
        <v>51</v>
      </c>
      <c r="H880">
        <v>64</v>
      </c>
      <c r="I880">
        <v>63</v>
      </c>
      <c r="J880">
        <f>SUM(Table2[[#This Row],[math score]:[writing score]])</f>
        <v>178</v>
      </c>
      <c r="K880">
        <f>Table2[[#This Row],[Total score]]/3</f>
        <v>59.333333333333336</v>
      </c>
    </row>
    <row r="881" spans="1:11" x14ac:dyDescent="0.25">
      <c r="A881" t="s">
        <v>908</v>
      </c>
      <c r="B881" t="s">
        <v>8</v>
      </c>
      <c r="C881" t="s">
        <v>23</v>
      </c>
      <c r="D881" t="s">
        <v>15</v>
      </c>
      <c r="E881" t="s">
        <v>11</v>
      </c>
      <c r="F881" t="s">
        <v>17</v>
      </c>
      <c r="G881">
        <v>64</v>
      </c>
      <c r="H881">
        <v>48</v>
      </c>
      <c r="I881">
        <v>50</v>
      </c>
      <c r="J881">
        <f>SUM(Table2[[#This Row],[math score]:[writing score]])</f>
        <v>162</v>
      </c>
      <c r="K881">
        <f>Table2[[#This Row],[Total score]]/3</f>
        <v>54</v>
      </c>
    </row>
    <row r="882" spans="1:11" x14ac:dyDescent="0.25">
      <c r="A882" t="s">
        <v>909</v>
      </c>
      <c r="B882" t="s">
        <v>13</v>
      </c>
      <c r="C882" t="s">
        <v>9</v>
      </c>
      <c r="D882" t="s">
        <v>19</v>
      </c>
      <c r="E882" t="s">
        <v>16</v>
      </c>
      <c r="F882" t="s">
        <v>12</v>
      </c>
      <c r="G882">
        <v>65</v>
      </c>
      <c r="H882">
        <v>76</v>
      </c>
      <c r="I882">
        <v>72</v>
      </c>
      <c r="J882">
        <f>SUM(Table2[[#This Row],[math score]:[writing score]])</f>
        <v>213</v>
      </c>
      <c r="K882">
        <f>Table2[[#This Row],[Total score]]/3</f>
        <v>71</v>
      </c>
    </row>
    <row r="883" spans="1:11" x14ac:dyDescent="0.25">
      <c r="A883" t="s">
        <v>910</v>
      </c>
      <c r="B883" t="s">
        <v>8</v>
      </c>
      <c r="C883" t="s">
        <v>20</v>
      </c>
      <c r="D883" t="s">
        <v>24</v>
      </c>
      <c r="E883" t="s">
        <v>11</v>
      </c>
      <c r="F883" t="s">
        <v>17</v>
      </c>
      <c r="G883">
        <v>99</v>
      </c>
      <c r="H883">
        <v>81</v>
      </c>
      <c r="I883">
        <v>87</v>
      </c>
      <c r="J883">
        <f>SUM(Table2[[#This Row],[math score]:[writing score]])</f>
        <v>267</v>
      </c>
      <c r="K883">
        <f>Table2[[#This Row],[Total score]]/3</f>
        <v>89</v>
      </c>
    </row>
    <row r="884" spans="1:11" x14ac:dyDescent="0.25">
      <c r="A884" t="s">
        <v>911</v>
      </c>
      <c r="B884" t="s">
        <v>13</v>
      </c>
      <c r="C884" t="s">
        <v>20</v>
      </c>
      <c r="D884" t="s">
        <v>21</v>
      </c>
      <c r="E884" t="s">
        <v>11</v>
      </c>
      <c r="F884" t="s">
        <v>17</v>
      </c>
      <c r="G884">
        <v>60</v>
      </c>
      <c r="H884">
        <v>62</v>
      </c>
      <c r="I884">
        <v>58</v>
      </c>
      <c r="J884">
        <f>SUM(Table2[[#This Row],[math score]:[writing score]])</f>
        <v>180</v>
      </c>
      <c r="K884">
        <f>Table2[[#This Row],[Total score]]/3</f>
        <v>60</v>
      </c>
    </row>
    <row r="885" spans="1:11" x14ac:dyDescent="0.25">
      <c r="A885" t="s">
        <v>912</v>
      </c>
      <c r="B885" t="s">
        <v>13</v>
      </c>
      <c r="C885" t="s">
        <v>20</v>
      </c>
      <c r="D885" t="s">
        <v>19</v>
      </c>
      <c r="E885" t="s">
        <v>11</v>
      </c>
      <c r="F885" t="s">
        <v>17</v>
      </c>
      <c r="G885">
        <v>70</v>
      </c>
      <c r="H885">
        <v>78</v>
      </c>
      <c r="I885">
        <v>80</v>
      </c>
      <c r="J885">
        <f>SUM(Table2[[#This Row],[math score]:[writing score]])</f>
        <v>228</v>
      </c>
      <c r="K885">
        <f>Table2[[#This Row],[Total score]]/3</f>
        <v>76</v>
      </c>
    </row>
    <row r="886" spans="1:11" x14ac:dyDescent="0.25">
      <c r="A886" t="s">
        <v>913</v>
      </c>
      <c r="B886" t="s">
        <v>8</v>
      </c>
      <c r="C886" t="s">
        <v>9</v>
      </c>
      <c r="D886" t="s">
        <v>19</v>
      </c>
      <c r="E886" t="s">
        <v>11</v>
      </c>
      <c r="F886" t="s">
        <v>12</v>
      </c>
      <c r="G886">
        <v>77</v>
      </c>
      <c r="H886">
        <v>76</v>
      </c>
      <c r="I886">
        <v>77</v>
      </c>
      <c r="J886">
        <f>SUM(Table2[[#This Row],[math score]:[writing score]])</f>
        <v>230</v>
      </c>
      <c r="K886">
        <f>Table2[[#This Row],[Total score]]/3</f>
        <v>76.666666666666671</v>
      </c>
    </row>
    <row r="887" spans="1:11" x14ac:dyDescent="0.25">
      <c r="A887" t="s">
        <v>914</v>
      </c>
      <c r="B887" t="s">
        <v>8</v>
      </c>
      <c r="C887" t="s">
        <v>20</v>
      </c>
      <c r="D887" t="s">
        <v>10</v>
      </c>
      <c r="E887" t="s">
        <v>16</v>
      </c>
      <c r="F887" t="s">
        <v>17</v>
      </c>
      <c r="G887">
        <v>37</v>
      </c>
      <c r="H887">
        <v>28</v>
      </c>
      <c r="I887">
        <v>23</v>
      </c>
      <c r="J887">
        <f>SUM(Table2[[#This Row],[math score]:[writing score]])</f>
        <v>88</v>
      </c>
      <c r="K887">
        <f>Table2[[#This Row],[Total score]]/3</f>
        <v>29.333333333333332</v>
      </c>
    </row>
    <row r="888" spans="1:11" x14ac:dyDescent="0.25">
      <c r="A888" t="s">
        <v>915</v>
      </c>
      <c r="B888" t="s">
        <v>8</v>
      </c>
      <c r="C888" t="s">
        <v>18</v>
      </c>
      <c r="D888" t="s">
        <v>21</v>
      </c>
      <c r="E888" t="s">
        <v>16</v>
      </c>
      <c r="F888" t="s">
        <v>17</v>
      </c>
      <c r="G888">
        <v>73</v>
      </c>
      <c r="H888">
        <v>73</v>
      </c>
      <c r="I888">
        <v>61</v>
      </c>
      <c r="J888">
        <f>SUM(Table2[[#This Row],[math score]:[writing score]])</f>
        <v>207</v>
      </c>
      <c r="K888">
        <f>Table2[[#This Row],[Total score]]/3</f>
        <v>69</v>
      </c>
    </row>
    <row r="889" spans="1:11" x14ac:dyDescent="0.25">
      <c r="A889" t="s">
        <v>916</v>
      </c>
      <c r="B889" t="s">
        <v>13</v>
      </c>
      <c r="C889" t="s">
        <v>20</v>
      </c>
      <c r="D889" t="s">
        <v>21</v>
      </c>
      <c r="E889" t="s">
        <v>16</v>
      </c>
      <c r="F889" t="s">
        <v>12</v>
      </c>
      <c r="G889">
        <v>53</v>
      </c>
      <c r="H889">
        <v>74</v>
      </c>
      <c r="I889">
        <v>75</v>
      </c>
      <c r="J889">
        <f>SUM(Table2[[#This Row],[math score]:[writing score]])</f>
        <v>202</v>
      </c>
      <c r="K889">
        <f>Table2[[#This Row],[Total score]]/3</f>
        <v>67.333333333333329</v>
      </c>
    </row>
    <row r="890" spans="1:11" x14ac:dyDescent="0.25">
      <c r="A890" t="s">
        <v>917</v>
      </c>
      <c r="B890" t="s">
        <v>13</v>
      </c>
      <c r="C890" t="s">
        <v>20</v>
      </c>
      <c r="D890" t="s">
        <v>21</v>
      </c>
      <c r="E890" t="s">
        <v>11</v>
      </c>
      <c r="F890" t="s">
        <v>17</v>
      </c>
      <c r="G890">
        <v>67</v>
      </c>
      <c r="H890">
        <v>58</v>
      </c>
      <c r="I890">
        <v>62</v>
      </c>
      <c r="J890">
        <f>SUM(Table2[[#This Row],[math score]:[writing score]])</f>
        <v>187</v>
      </c>
      <c r="K890">
        <f>Table2[[#This Row],[Total score]]/3</f>
        <v>62.333333333333336</v>
      </c>
    </row>
    <row r="891" spans="1:11" x14ac:dyDescent="0.25">
      <c r="A891" t="s">
        <v>918</v>
      </c>
      <c r="B891" t="s">
        <v>13</v>
      </c>
      <c r="C891" t="s">
        <v>20</v>
      </c>
      <c r="D891" t="s">
        <v>19</v>
      </c>
      <c r="E891" t="s">
        <v>16</v>
      </c>
      <c r="F891" t="s">
        <v>17</v>
      </c>
      <c r="G891">
        <v>67</v>
      </c>
      <c r="H891">
        <v>79</v>
      </c>
      <c r="I891">
        <v>80</v>
      </c>
      <c r="J891">
        <f>SUM(Table2[[#This Row],[math score]:[writing score]])</f>
        <v>226</v>
      </c>
      <c r="K891">
        <f>Table2[[#This Row],[Total score]]/3</f>
        <v>75.333333333333329</v>
      </c>
    </row>
    <row r="892" spans="1:11" x14ac:dyDescent="0.25">
      <c r="A892" t="s">
        <v>919</v>
      </c>
      <c r="B892" t="s">
        <v>8</v>
      </c>
      <c r="C892" t="s">
        <v>20</v>
      </c>
      <c r="D892" t="s">
        <v>10</v>
      </c>
      <c r="E892" t="s">
        <v>16</v>
      </c>
      <c r="F892" t="s">
        <v>17</v>
      </c>
      <c r="G892">
        <v>51</v>
      </c>
      <c r="H892">
        <v>57</v>
      </c>
      <c r="I892">
        <v>50</v>
      </c>
      <c r="J892">
        <f>SUM(Table2[[#This Row],[math score]:[writing score]])</f>
        <v>158</v>
      </c>
      <c r="K892">
        <f>Table2[[#This Row],[Total score]]/3</f>
        <v>52.666666666666664</v>
      </c>
    </row>
    <row r="893" spans="1:11" x14ac:dyDescent="0.25">
      <c r="A893" t="s">
        <v>920</v>
      </c>
      <c r="B893" t="s">
        <v>8</v>
      </c>
      <c r="C893" t="s">
        <v>14</v>
      </c>
      <c r="D893" t="s">
        <v>10</v>
      </c>
      <c r="E893" t="s">
        <v>11</v>
      </c>
      <c r="F893" t="s">
        <v>12</v>
      </c>
      <c r="G893">
        <v>64</v>
      </c>
      <c r="H893">
        <v>71</v>
      </c>
      <c r="I893">
        <v>70</v>
      </c>
      <c r="J893">
        <f>SUM(Table2[[#This Row],[math score]:[writing score]])</f>
        <v>205</v>
      </c>
      <c r="K893">
        <f>Table2[[#This Row],[Total score]]/3</f>
        <v>68.333333333333329</v>
      </c>
    </row>
    <row r="894" spans="1:11" x14ac:dyDescent="0.25">
      <c r="A894" t="s">
        <v>921</v>
      </c>
      <c r="B894" t="s">
        <v>8</v>
      </c>
      <c r="C894" t="s">
        <v>18</v>
      </c>
      <c r="D894" t="s">
        <v>19</v>
      </c>
      <c r="E894" t="s">
        <v>16</v>
      </c>
      <c r="F894" t="s">
        <v>17</v>
      </c>
      <c r="G894">
        <v>55</v>
      </c>
      <c r="H894">
        <v>42</v>
      </c>
      <c r="I894">
        <v>43</v>
      </c>
      <c r="J894">
        <f>SUM(Table2[[#This Row],[math score]:[writing score]])</f>
        <v>140</v>
      </c>
      <c r="K894">
        <f>Table2[[#This Row],[Total score]]/3</f>
        <v>46.666666666666664</v>
      </c>
    </row>
    <row r="895" spans="1:11" x14ac:dyDescent="0.25">
      <c r="A895" t="s">
        <v>922</v>
      </c>
      <c r="B895" t="s">
        <v>8</v>
      </c>
      <c r="C895" t="s">
        <v>14</v>
      </c>
      <c r="D895" t="s">
        <v>21</v>
      </c>
      <c r="E895" t="s">
        <v>16</v>
      </c>
      <c r="F895" t="s">
        <v>12</v>
      </c>
      <c r="G895">
        <v>55</v>
      </c>
      <c r="H895">
        <v>39</v>
      </c>
      <c r="I895">
        <v>51</v>
      </c>
      <c r="J895">
        <f>SUM(Table2[[#This Row],[math score]:[writing score]])</f>
        <v>145</v>
      </c>
      <c r="K895">
        <f>Table2[[#This Row],[Total score]]/3</f>
        <v>48.333333333333336</v>
      </c>
    </row>
    <row r="896" spans="1:11" x14ac:dyDescent="0.25">
      <c r="A896" t="s">
        <v>923</v>
      </c>
      <c r="B896" t="s">
        <v>8</v>
      </c>
      <c r="C896" t="s">
        <v>18</v>
      </c>
      <c r="D896" t="s">
        <v>21</v>
      </c>
      <c r="E896" t="s">
        <v>11</v>
      </c>
      <c r="F896" t="s">
        <v>17</v>
      </c>
      <c r="G896">
        <v>86</v>
      </c>
      <c r="H896">
        <v>77</v>
      </c>
      <c r="I896">
        <v>78</v>
      </c>
      <c r="J896">
        <f>SUM(Table2[[#This Row],[math score]:[writing score]])</f>
        <v>241</v>
      </c>
      <c r="K896">
        <f>Table2[[#This Row],[Total score]]/3</f>
        <v>80.333333333333329</v>
      </c>
    </row>
    <row r="897" spans="1:11" x14ac:dyDescent="0.25">
      <c r="A897" t="s">
        <v>924</v>
      </c>
      <c r="B897" t="s">
        <v>13</v>
      </c>
      <c r="C897" t="s">
        <v>20</v>
      </c>
      <c r="D897" t="s">
        <v>24</v>
      </c>
      <c r="E897" t="s">
        <v>11</v>
      </c>
      <c r="F897" t="s">
        <v>17</v>
      </c>
      <c r="G897">
        <v>71</v>
      </c>
      <c r="H897">
        <v>88</v>
      </c>
      <c r="I897">
        <v>85</v>
      </c>
      <c r="J897">
        <f>SUM(Table2[[#This Row],[math score]:[writing score]])</f>
        <v>244</v>
      </c>
      <c r="K897">
        <f>Table2[[#This Row],[Total score]]/3</f>
        <v>81.333333333333329</v>
      </c>
    </row>
    <row r="898" spans="1:11" x14ac:dyDescent="0.25">
      <c r="A898" t="s">
        <v>925</v>
      </c>
      <c r="B898" t="s">
        <v>8</v>
      </c>
      <c r="C898" t="s">
        <v>23</v>
      </c>
      <c r="D898" t="s">
        <v>10</v>
      </c>
      <c r="E898" t="s">
        <v>16</v>
      </c>
      <c r="F898" t="s">
        <v>17</v>
      </c>
      <c r="G898">
        <v>71</v>
      </c>
      <c r="H898">
        <v>63</v>
      </c>
      <c r="I898">
        <v>64</v>
      </c>
      <c r="J898">
        <f>SUM(Table2[[#This Row],[math score]:[writing score]])</f>
        <v>198</v>
      </c>
      <c r="K898">
        <f>Table2[[#This Row],[Total score]]/3</f>
        <v>66</v>
      </c>
    </row>
    <row r="899" spans="1:11" x14ac:dyDescent="0.25">
      <c r="A899" t="s">
        <v>926</v>
      </c>
      <c r="B899" t="s">
        <v>13</v>
      </c>
      <c r="C899" t="s">
        <v>23</v>
      </c>
      <c r="D899" t="s">
        <v>15</v>
      </c>
      <c r="E899" t="s">
        <v>16</v>
      </c>
      <c r="F899" t="s">
        <v>17</v>
      </c>
      <c r="G899">
        <v>51</v>
      </c>
      <c r="H899">
        <v>67</v>
      </c>
      <c r="I899">
        <v>69</v>
      </c>
      <c r="J899">
        <f>SUM(Table2[[#This Row],[math score]:[writing score]])</f>
        <v>187</v>
      </c>
      <c r="K899">
        <f>Table2[[#This Row],[Total score]]/3</f>
        <v>62.333333333333336</v>
      </c>
    </row>
    <row r="900" spans="1:11" x14ac:dyDescent="0.25">
      <c r="A900" t="s">
        <v>927</v>
      </c>
      <c r="B900" t="s">
        <v>13</v>
      </c>
      <c r="C900" t="s">
        <v>18</v>
      </c>
      <c r="D900" t="s">
        <v>19</v>
      </c>
      <c r="E900" t="s">
        <v>11</v>
      </c>
      <c r="F900" t="s">
        <v>12</v>
      </c>
      <c r="G900">
        <v>75</v>
      </c>
      <c r="H900">
        <v>76</v>
      </c>
      <c r="I900">
        <v>85</v>
      </c>
      <c r="J900">
        <f>SUM(Table2[[#This Row],[math score]:[writing score]])</f>
        <v>236</v>
      </c>
      <c r="K900">
        <f>Table2[[#This Row],[Total score]]/3</f>
        <v>78.666666666666671</v>
      </c>
    </row>
    <row r="901" spans="1:11" x14ac:dyDescent="0.25">
      <c r="A901" t="s">
        <v>928</v>
      </c>
      <c r="B901" t="s">
        <v>8</v>
      </c>
      <c r="C901" t="s">
        <v>23</v>
      </c>
      <c r="D901" t="s">
        <v>15</v>
      </c>
      <c r="E901" t="s">
        <v>16</v>
      </c>
      <c r="F901" t="s">
        <v>17</v>
      </c>
      <c r="G901">
        <v>45</v>
      </c>
      <c r="H901">
        <v>31</v>
      </c>
      <c r="I901">
        <v>27</v>
      </c>
      <c r="J901">
        <f>SUM(Table2[[#This Row],[math score]:[writing score]])</f>
        <v>103</v>
      </c>
      <c r="K901">
        <f>Table2[[#This Row],[Total score]]/3</f>
        <v>34.333333333333336</v>
      </c>
    </row>
    <row r="902" spans="1:11" x14ac:dyDescent="0.25">
      <c r="A902" t="s">
        <v>929</v>
      </c>
      <c r="B902" t="s">
        <v>8</v>
      </c>
      <c r="C902" t="s">
        <v>20</v>
      </c>
      <c r="D902" t="s">
        <v>15</v>
      </c>
      <c r="E902" t="s">
        <v>11</v>
      </c>
      <c r="F902" t="s">
        <v>17</v>
      </c>
      <c r="G902">
        <v>59</v>
      </c>
      <c r="H902">
        <v>54</v>
      </c>
      <c r="I902">
        <v>48</v>
      </c>
      <c r="J902">
        <f>SUM(Table2[[#This Row],[math score]:[writing score]])</f>
        <v>161</v>
      </c>
      <c r="K902">
        <f>Table2[[#This Row],[Total score]]/3</f>
        <v>53.666666666666664</v>
      </c>
    </row>
    <row r="903" spans="1:11" x14ac:dyDescent="0.25">
      <c r="A903" t="s">
        <v>930</v>
      </c>
      <c r="B903" t="s">
        <v>13</v>
      </c>
      <c r="C903" t="s">
        <v>18</v>
      </c>
      <c r="D903" t="s">
        <v>10</v>
      </c>
      <c r="E903" t="s">
        <v>16</v>
      </c>
      <c r="F903" t="s">
        <v>17</v>
      </c>
      <c r="G903">
        <v>64</v>
      </c>
      <c r="H903">
        <v>69</v>
      </c>
      <c r="I903">
        <v>68</v>
      </c>
      <c r="J903">
        <f>SUM(Table2[[#This Row],[math score]:[writing score]])</f>
        <v>201</v>
      </c>
      <c r="K903">
        <f>Table2[[#This Row],[Total score]]/3</f>
        <v>67</v>
      </c>
    </row>
    <row r="904" spans="1:11" x14ac:dyDescent="0.25">
      <c r="A904" t="s">
        <v>931</v>
      </c>
      <c r="B904" t="s">
        <v>8</v>
      </c>
      <c r="C904" t="s">
        <v>9</v>
      </c>
      <c r="D904" t="s">
        <v>19</v>
      </c>
      <c r="E904" t="s">
        <v>11</v>
      </c>
      <c r="F904" t="s">
        <v>12</v>
      </c>
      <c r="G904">
        <v>78</v>
      </c>
      <c r="H904">
        <v>69</v>
      </c>
      <c r="I904">
        <v>73</v>
      </c>
      <c r="J904">
        <f>SUM(Table2[[#This Row],[math score]:[writing score]])</f>
        <v>220</v>
      </c>
      <c r="K904">
        <f>Table2[[#This Row],[Total score]]/3</f>
        <v>73.333333333333329</v>
      </c>
    </row>
    <row r="905" spans="1:11" x14ac:dyDescent="0.25">
      <c r="A905" t="s">
        <v>932</v>
      </c>
      <c r="B905" t="s">
        <v>8</v>
      </c>
      <c r="C905" t="s">
        <v>14</v>
      </c>
      <c r="D905" t="s">
        <v>10</v>
      </c>
      <c r="E905" t="s">
        <v>16</v>
      </c>
      <c r="F905" t="s">
        <v>17</v>
      </c>
      <c r="G905">
        <v>59</v>
      </c>
      <c r="H905">
        <v>61</v>
      </c>
      <c r="I905">
        <v>58</v>
      </c>
      <c r="J905">
        <f>SUM(Table2[[#This Row],[math score]:[writing score]])</f>
        <v>178</v>
      </c>
      <c r="K905">
        <f>Table2[[#This Row],[Total score]]/3</f>
        <v>59.333333333333336</v>
      </c>
    </row>
    <row r="906" spans="1:11" x14ac:dyDescent="0.25">
      <c r="A906" t="s">
        <v>933</v>
      </c>
      <c r="B906" t="s">
        <v>8</v>
      </c>
      <c r="C906" t="s">
        <v>18</v>
      </c>
      <c r="D906" t="s">
        <v>22</v>
      </c>
      <c r="E906" t="s">
        <v>16</v>
      </c>
      <c r="F906" t="s">
        <v>17</v>
      </c>
      <c r="G906">
        <v>80</v>
      </c>
      <c r="H906">
        <v>70</v>
      </c>
      <c r="I906">
        <v>71</v>
      </c>
      <c r="J906">
        <f>SUM(Table2[[#This Row],[math score]:[writing score]])</f>
        <v>221</v>
      </c>
      <c r="K906">
        <f>Table2[[#This Row],[Total score]]/3</f>
        <v>73.666666666666671</v>
      </c>
    </row>
    <row r="907" spans="1:11" x14ac:dyDescent="0.25">
      <c r="A907" t="s">
        <v>934</v>
      </c>
      <c r="B907" t="s">
        <v>8</v>
      </c>
      <c r="C907" t="s">
        <v>20</v>
      </c>
      <c r="D907" t="s">
        <v>21</v>
      </c>
      <c r="E907" t="s">
        <v>11</v>
      </c>
      <c r="F907" t="s">
        <v>12</v>
      </c>
      <c r="G907">
        <v>68</v>
      </c>
      <c r="H907">
        <v>82</v>
      </c>
      <c r="I907">
        <v>77</v>
      </c>
      <c r="J907">
        <f>SUM(Table2[[#This Row],[math score]:[writing score]])</f>
        <v>227</v>
      </c>
      <c r="K907">
        <f>Table2[[#This Row],[Total score]]/3</f>
        <v>75.666666666666671</v>
      </c>
    </row>
    <row r="908" spans="1:11" x14ac:dyDescent="0.25">
      <c r="A908" t="s">
        <v>935</v>
      </c>
      <c r="B908" t="s">
        <v>13</v>
      </c>
      <c r="C908" t="s">
        <v>20</v>
      </c>
      <c r="D908" t="s">
        <v>21</v>
      </c>
      <c r="E908" t="s">
        <v>11</v>
      </c>
      <c r="F908" t="s">
        <v>17</v>
      </c>
      <c r="G908">
        <v>77</v>
      </c>
      <c r="H908">
        <v>81</v>
      </c>
      <c r="I908">
        <v>79</v>
      </c>
      <c r="J908">
        <f>SUM(Table2[[#This Row],[math score]:[writing score]])</f>
        <v>237</v>
      </c>
      <c r="K908">
        <f>Table2[[#This Row],[Total score]]/3</f>
        <v>79</v>
      </c>
    </row>
    <row r="909" spans="1:11" x14ac:dyDescent="0.25">
      <c r="A909" t="s">
        <v>936</v>
      </c>
      <c r="B909" t="s">
        <v>8</v>
      </c>
      <c r="C909" t="s">
        <v>23</v>
      </c>
      <c r="D909" t="s">
        <v>10</v>
      </c>
      <c r="E909" t="s">
        <v>11</v>
      </c>
      <c r="F909" t="s">
        <v>17</v>
      </c>
      <c r="G909">
        <v>66</v>
      </c>
      <c r="H909">
        <v>67</v>
      </c>
      <c r="I909">
        <v>64</v>
      </c>
      <c r="J909">
        <f>SUM(Table2[[#This Row],[math score]:[writing score]])</f>
        <v>197</v>
      </c>
      <c r="K909">
        <f>Table2[[#This Row],[Total score]]/3</f>
        <v>65.666666666666671</v>
      </c>
    </row>
    <row r="910" spans="1:11" x14ac:dyDescent="0.25">
      <c r="A910" t="s">
        <v>937</v>
      </c>
      <c r="B910" t="s">
        <v>13</v>
      </c>
      <c r="C910" t="s">
        <v>23</v>
      </c>
      <c r="D910" t="s">
        <v>19</v>
      </c>
      <c r="E910" t="s">
        <v>16</v>
      </c>
      <c r="F910" t="s">
        <v>12</v>
      </c>
      <c r="G910">
        <v>26</v>
      </c>
      <c r="H910">
        <v>44</v>
      </c>
      <c r="I910">
        <v>46</v>
      </c>
      <c r="J910">
        <f>SUM(Table2[[#This Row],[math score]:[writing score]])</f>
        <v>116</v>
      </c>
      <c r="K910">
        <f>Table2[[#This Row],[Total score]]/3</f>
        <v>38.666666666666664</v>
      </c>
    </row>
    <row r="911" spans="1:11" x14ac:dyDescent="0.25">
      <c r="A911" t="s">
        <v>938</v>
      </c>
      <c r="B911" t="s">
        <v>8</v>
      </c>
      <c r="C911" t="s">
        <v>14</v>
      </c>
      <c r="D911" t="s">
        <v>19</v>
      </c>
      <c r="E911" t="s">
        <v>11</v>
      </c>
      <c r="F911" t="s">
        <v>12</v>
      </c>
      <c r="G911">
        <v>80</v>
      </c>
      <c r="H911">
        <v>66</v>
      </c>
      <c r="I911">
        <v>69</v>
      </c>
      <c r="J911">
        <f>SUM(Table2[[#This Row],[math score]:[writing score]])</f>
        <v>215</v>
      </c>
      <c r="K911">
        <f>Table2[[#This Row],[Total score]]/3</f>
        <v>71.666666666666671</v>
      </c>
    </row>
    <row r="912" spans="1:11" x14ac:dyDescent="0.25">
      <c r="A912" t="s">
        <v>939</v>
      </c>
      <c r="B912" t="s">
        <v>13</v>
      </c>
      <c r="C912" t="s">
        <v>14</v>
      </c>
      <c r="D912" t="s">
        <v>15</v>
      </c>
      <c r="E912" t="s">
        <v>16</v>
      </c>
      <c r="F912" t="s">
        <v>17</v>
      </c>
      <c r="G912">
        <v>48</v>
      </c>
      <c r="H912">
        <v>62</v>
      </c>
      <c r="I912">
        <v>61</v>
      </c>
      <c r="J912">
        <f>SUM(Table2[[#This Row],[math score]:[writing score]])</f>
        <v>171</v>
      </c>
      <c r="K912">
        <f>Table2[[#This Row],[Total score]]/3</f>
        <v>57</v>
      </c>
    </row>
    <row r="913" spans="1:11" x14ac:dyDescent="0.25">
      <c r="A913" t="s">
        <v>940</v>
      </c>
      <c r="B913" t="s">
        <v>13</v>
      </c>
      <c r="C913" t="s">
        <v>9</v>
      </c>
      <c r="D913" t="s">
        <v>21</v>
      </c>
      <c r="E913" t="s">
        <v>11</v>
      </c>
      <c r="F913" t="s">
        <v>17</v>
      </c>
      <c r="G913">
        <v>52</v>
      </c>
      <c r="H913">
        <v>64</v>
      </c>
      <c r="I913">
        <v>55</v>
      </c>
      <c r="J913">
        <f>SUM(Table2[[#This Row],[math score]:[writing score]])</f>
        <v>171</v>
      </c>
      <c r="K913">
        <f>Table2[[#This Row],[Total score]]/3</f>
        <v>57</v>
      </c>
    </row>
    <row r="914" spans="1:11" x14ac:dyDescent="0.25">
      <c r="A914" t="s">
        <v>941</v>
      </c>
      <c r="B914" t="s">
        <v>13</v>
      </c>
      <c r="C914" t="s">
        <v>14</v>
      </c>
      <c r="D914" t="s">
        <v>24</v>
      </c>
      <c r="E914" t="s">
        <v>16</v>
      </c>
      <c r="F914" t="s">
        <v>17</v>
      </c>
      <c r="G914">
        <v>54</v>
      </c>
      <c r="H914">
        <v>64</v>
      </c>
      <c r="I914">
        <v>64</v>
      </c>
      <c r="J914">
        <f>SUM(Table2[[#This Row],[math score]:[writing score]])</f>
        <v>182</v>
      </c>
      <c r="K914">
        <f>Table2[[#This Row],[Total score]]/3</f>
        <v>60.666666666666664</v>
      </c>
    </row>
    <row r="915" spans="1:11" x14ac:dyDescent="0.25">
      <c r="A915" t="s">
        <v>942</v>
      </c>
      <c r="B915" t="s">
        <v>13</v>
      </c>
      <c r="C915" t="s">
        <v>23</v>
      </c>
      <c r="D915" t="s">
        <v>19</v>
      </c>
      <c r="E915" t="s">
        <v>11</v>
      </c>
      <c r="F915" t="s">
        <v>12</v>
      </c>
      <c r="G915">
        <v>59</v>
      </c>
      <c r="H915">
        <v>68</v>
      </c>
      <c r="I915">
        <v>67</v>
      </c>
      <c r="J915">
        <f>SUM(Table2[[#This Row],[math score]:[writing score]])</f>
        <v>194</v>
      </c>
      <c r="K915">
        <f>Table2[[#This Row],[Total score]]/3</f>
        <v>64.666666666666671</v>
      </c>
    </row>
    <row r="916" spans="1:11" x14ac:dyDescent="0.25">
      <c r="A916" t="s">
        <v>943</v>
      </c>
      <c r="B916" t="s">
        <v>8</v>
      </c>
      <c r="C916" t="s">
        <v>14</v>
      </c>
      <c r="D916" t="s">
        <v>10</v>
      </c>
      <c r="E916" t="s">
        <v>11</v>
      </c>
      <c r="F916" t="s">
        <v>17</v>
      </c>
      <c r="G916">
        <v>77</v>
      </c>
      <c r="H916">
        <v>62</v>
      </c>
      <c r="I916">
        <v>65</v>
      </c>
      <c r="J916">
        <f>SUM(Table2[[#This Row],[math score]:[writing score]])</f>
        <v>204</v>
      </c>
      <c r="K916">
        <f>Table2[[#This Row],[Total score]]/3</f>
        <v>68</v>
      </c>
    </row>
    <row r="917" spans="1:11" x14ac:dyDescent="0.25">
      <c r="A917" t="s">
        <v>944</v>
      </c>
      <c r="B917" t="s">
        <v>13</v>
      </c>
      <c r="C917" t="s">
        <v>20</v>
      </c>
      <c r="D917" t="s">
        <v>19</v>
      </c>
      <c r="E917" t="s">
        <v>16</v>
      </c>
      <c r="F917" t="s">
        <v>17</v>
      </c>
      <c r="G917">
        <v>64</v>
      </c>
      <c r="H917">
        <v>70</v>
      </c>
      <c r="I917">
        <v>69</v>
      </c>
      <c r="J917">
        <f>SUM(Table2[[#This Row],[math score]:[writing score]])</f>
        <v>203</v>
      </c>
      <c r="K917">
        <f>Table2[[#This Row],[Total score]]/3</f>
        <v>67.666666666666671</v>
      </c>
    </row>
    <row r="918" spans="1:11" x14ac:dyDescent="0.25">
      <c r="A918" t="s">
        <v>945</v>
      </c>
      <c r="B918" t="s">
        <v>8</v>
      </c>
      <c r="C918" t="s">
        <v>14</v>
      </c>
      <c r="D918" t="s">
        <v>10</v>
      </c>
      <c r="E918" t="s">
        <v>11</v>
      </c>
      <c r="F918" t="s">
        <v>17</v>
      </c>
      <c r="G918">
        <v>83</v>
      </c>
      <c r="H918">
        <v>72</v>
      </c>
      <c r="I918">
        <v>68</v>
      </c>
      <c r="J918">
        <f>SUM(Table2[[#This Row],[math score]:[writing score]])</f>
        <v>223</v>
      </c>
      <c r="K918">
        <f>Table2[[#This Row],[Total score]]/3</f>
        <v>74.333333333333329</v>
      </c>
    </row>
    <row r="919" spans="1:11" x14ac:dyDescent="0.25">
      <c r="A919" t="s">
        <v>946</v>
      </c>
      <c r="B919" t="s">
        <v>8</v>
      </c>
      <c r="C919" t="s">
        <v>18</v>
      </c>
      <c r="D919" t="s">
        <v>10</v>
      </c>
      <c r="E919" t="s">
        <v>16</v>
      </c>
      <c r="F919" t="s">
        <v>17</v>
      </c>
      <c r="G919">
        <v>70</v>
      </c>
      <c r="H919">
        <v>73</v>
      </c>
      <c r="I919">
        <v>69</v>
      </c>
      <c r="J919">
        <f>SUM(Table2[[#This Row],[math score]:[writing score]])</f>
        <v>212</v>
      </c>
      <c r="K919">
        <f>Table2[[#This Row],[Total score]]/3</f>
        <v>70.666666666666671</v>
      </c>
    </row>
    <row r="920" spans="1:11" x14ac:dyDescent="0.25">
      <c r="A920" t="s">
        <v>947</v>
      </c>
      <c r="B920" t="s">
        <v>8</v>
      </c>
      <c r="C920" t="s">
        <v>23</v>
      </c>
      <c r="D920" t="s">
        <v>15</v>
      </c>
      <c r="E920" t="s">
        <v>11</v>
      </c>
      <c r="F920" t="s">
        <v>17</v>
      </c>
      <c r="G920">
        <v>72</v>
      </c>
      <c r="H920">
        <v>68</v>
      </c>
      <c r="I920">
        <v>67</v>
      </c>
      <c r="J920">
        <f>SUM(Table2[[#This Row],[math score]:[writing score]])</f>
        <v>207</v>
      </c>
      <c r="K920">
        <f>Table2[[#This Row],[Total score]]/3</f>
        <v>69</v>
      </c>
    </row>
    <row r="921" spans="1:11" x14ac:dyDescent="0.25">
      <c r="A921" t="s">
        <v>948</v>
      </c>
      <c r="B921" t="s">
        <v>13</v>
      </c>
      <c r="C921" t="s">
        <v>20</v>
      </c>
      <c r="D921" t="s">
        <v>21</v>
      </c>
      <c r="E921" t="s">
        <v>11</v>
      </c>
      <c r="F921" t="s">
        <v>17</v>
      </c>
      <c r="G921">
        <v>83</v>
      </c>
      <c r="H921">
        <v>78</v>
      </c>
      <c r="I921">
        <v>79</v>
      </c>
      <c r="J921">
        <f>SUM(Table2[[#This Row],[math score]:[writing score]])</f>
        <v>240</v>
      </c>
      <c r="K921">
        <f>Table2[[#This Row],[Total score]]/3</f>
        <v>80</v>
      </c>
    </row>
    <row r="922" spans="1:11" x14ac:dyDescent="0.25">
      <c r="A922" t="s">
        <v>949</v>
      </c>
      <c r="B922" t="s">
        <v>13</v>
      </c>
      <c r="C922" t="s">
        <v>20</v>
      </c>
      <c r="D922" t="s">
        <v>21</v>
      </c>
      <c r="E922" t="s">
        <v>11</v>
      </c>
      <c r="F922" t="s">
        <v>17</v>
      </c>
      <c r="G922">
        <v>52</v>
      </c>
      <c r="H922">
        <v>58</v>
      </c>
      <c r="I922">
        <v>57</v>
      </c>
      <c r="J922">
        <f>SUM(Table2[[#This Row],[math score]:[writing score]])</f>
        <v>167</v>
      </c>
      <c r="K922">
        <f>Table2[[#This Row],[Total score]]/3</f>
        <v>55.666666666666664</v>
      </c>
    </row>
    <row r="923" spans="1:11" x14ac:dyDescent="0.25">
      <c r="A923" t="s">
        <v>950</v>
      </c>
      <c r="B923" t="s">
        <v>13</v>
      </c>
      <c r="C923" t="s">
        <v>23</v>
      </c>
      <c r="D923" t="s">
        <v>19</v>
      </c>
      <c r="E923" t="s">
        <v>16</v>
      </c>
      <c r="F923" t="s">
        <v>12</v>
      </c>
      <c r="G923">
        <v>53</v>
      </c>
      <c r="H923">
        <v>73</v>
      </c>
      <c r="I923">
        <v>74</v>
      </c>
      <c r="J923">
        <f>SUM(Table2[[#This Row],[math score]:[writing score]])</f>
        <v>200</v>
      </c>
      <c r="K923">
        <f>Table2[[#This Row],[Total score]]/3</f>
        <v>66.666666666666671</v>
      </c>
    </row>
    <row r="924" spans="1:11" x14ac:dyDescent="0.25">
      <c r="A924" t="s">
        <v>951</v>
      </c>
      <c r="B924" t="s">
        <v>8</v>
      </c>
      <c r="C924" t="s">
        <v>14</v>
      </c>
      <c r="D924" t="s">
        <v>19</v>
      </c>
      <c r="E924" t="s">
        <v>11</v>
      </c>
      <c r="F924" t="s">
        <v>17</v>
      </c>
      <c r="G924">
        <v>55</v>
      </c>
      <c r="H924">
        <v>55</v>
      </c>
      <c r="I924">
        <v>55</v>
      </c>
      <c r="J924">
        <f>SUM(Table2[[#This Row],[math score]:[writing score]])</f>
        <v>165</v>
      </c>
      <c r="K924">
        <f>Table2[[#This Row],[Total score]]/3</f>
        <v>55</v>
      </c>
    </row>
    <row r="925" spans="1:11" x14ac:dyDescent="0.25">
      <c r="A925" t="s">
        <v>952</v>
      </c>
      <c r="B925" t="s">
        <v>8</v>
      </c>
      <c r="C925" t="s">
        <v>23</v>
      </c>
      <c r="D925" t="s">
        <v>21</v>
      </c>
      <c r="E925" t="s">
        <v>11</v>
      </c>
      <c r="F925" t="s">
        <v>17</v>
      </c>
      <c r="G925">
        <v>65</v>
      </c>
      <c r="H925">
        <v>63</v>
      </c>
      <c r="I925">
        <v>61</v>
      </c>
      <c r="J925">
        <f>SUM(Table2[[#This Row],[math score]:[writing score]])</f>
        <v>189</v>
      </c>
      <c r="K925">
        <f>Table2[[#This Row],[Total score]]/3</f>
        <v>63</v>
      </c>
    </row>
    <row r="926" spans="1:11" x14ac:dyDescent="0.25">
      <c r="A926" t="s">
        <v>953</v>
      </c>
      <c r="B926" t="s">
        <v>13</v>
      </c>
      <c r="C926" t="s">
        <v>18</v>
      </c>
      <c r="D926" t="s">
        <v>15</v>
      </c>
      <c r="E926" t="s">
        <v>11</v>
      </c>
      <c r="F926" t="s">
        <v>17</v>
      </c>
      <c r="G926">
        <v>60</v>
      </c>
      <c r="H926">
        <v>67</v>
      </c>
      <c r="I926">
        <v>64</v>
      </c>
      <c r="J926">
        <f>SUM(Table2[[#This Row],[math score]:[writing score]])</f>
        <v>191</v>
      </c>
      <c r="K926">
        <f>Table2[[#This Row],[Total score]]/3</f>
        <v>63.666666666666664</v>
      </c>
    </row>
    <row r="927" spans="1:11" x14ac:dyDescent="0.25">
      <c r="A927" t="s">
        <v>954</v>
      </c>
      <c r="B927" t="s">
        <v>8</v>
      </c>
      <c r="C927" t="s">
        <v>18</v>
      </c>
      <c r="D927" t="s">
        <v>10</v>
      </c>
      <c r="E927" t="s">
        <v>16</v>
      </c>
      <c r="F927" t="s">
        <v>12</v>
      </c>
      <c r="G927">
        <v>64</v>
      </c>
      <c r="H927">
        <v>62</v>
      </c>
      <c r="I927">
        <v>59</v>
      </c>
      <c r="J927">
        <f>SUM(Table2[[#This Row],[math score]:[writing score]])</f>
        <v>185</v>
      </c>
      <c r="K927">
        <f>Table2[[#This Row],[Total score]]/3</f>
        <v>61.666666666666664</v>
      </c>
    </row>
    <row r="928" spans="1:11" x14ac:dyDescent="0.25">
      <c r="A928" t="s">
        <v>955</v>
      </c>
      <c r="B928" t="s">
        <v>8</v>
      </c>
      <c r="C928" t="s">
        <v>23</v>
      </c>
      <c r="D928" t="s">
        <v>21</v>
      </c>
      <c r="E928" t="s">
        <v>11</v>
      </c>
      <c r="F928" t="s">
        <v>17</v>
      </c>
      <c r="G928">
        <v>71</v>
      </c>
      <c r="H928">
        <v>72</v>
      </c>
      <c r="I928">
        <v>69</v>
      </c>
      <c r="J928">
        <f>SUM(Table2[[#This Row],[math score]:[writing score]])</f>
        <v>212</v>
      </c>
      <c r="K928">
        <f>Table2[[#This Row],[Total score]]/3</f>
        <v>70.666666666666671</v>
      </c>
    </row>
    <row r="929" spans="1:11" x14ac:dyDescent="0.25">
      <c r="A929" t="s">
        <v>956</v>
      </c>
      <c r="B929" t="s">
        <v>8</v>
      </c>
      <c r="C929" t="s">
        <v>23</v>
      </c>
      <c r="D929" t="s">
        <v>22</v>
      </c>
      <c r="E929" t="s">
        <v>16</v>
      </c>
      <c r="F929" t="s">
        <v>12</v>
      </c>
      <c r="G929">
        <v>61</v>
      </c>
      <c r="H929">
        <v>71</v>
      </c>
      <c r="I929">
        <v>65</v>
      </c>
      <c r="J929">
        <f>SUM(Table2[[#This Row],[math score]:[writing score]])</f>
        <v>197</v>
      </c>
      <c r="K929">
        <f>Table2[[#This Row],[Total score]]/3</f>
        <v>65.666666666666671</v>
      </c>
    </row>
    <row r="930" spans="1:11" x14ac:dyDescent="0.25">
      <c r="A930" t="s">
        <v>957</v>
      </c>
      <c r="B930" t="s">
        <v>8</v>
      </c>
      <c r="C930" t="s">
        <v>14</v>
      </c>
      <c r="D930" t="s">
        <v>21</v>
      </c>
      <c r="E930" t="s">
        <v>11</v>
      </c>
      <c r="F930" t="s">
        <v>17</v>
      </c>
      <c r="G930">
        <v>61</v>
      </c>
      <c r="H930">
        <v>55</v>
      </c>
      <c r="I930">
        <v>58</v>
      </c>
      <c r="J930">
        <f>SUM(Table2[[#This Row],[math score]:[writing score]])</f>
        <v>174</v>
      </c>
      <c r="K930">
        <f>Table2[[#This Row],[Total score]]/3</f>
        <v>58</v>
      </c>
    </row>
    <row r="931" spans="1:11" x14ac:dyDescent="0.25">
      <c r="A931" t="s">
        <v>958</v>
      </c>
      <c r="B931" t="s">
        <v>13</v>
      </c>
      <c r="C931" t="s">
        <v>23</v>
      </c>
      <c r="D931" t="s">
        <v>24</v>
      </c>
      <c r="E931" t="s">
        <v>11</v>
      </c>
      <c r="F931" t="s">
        <v>17</v>
      </c>
      <c r="G931">
        <v>65</v>
      </c>
      <c r="H931">
        <v>74</v>
      </c>
      <c r="I931">
        <v>79</v>
      </c>
      <c r="J931">
        <f>SUM(Table2[[#This Row],[math score]:[writing score]])</f>
        <v>218</v>
      </c>
      <c r="K931">
        <f>Table2[[#This Row],[Total score]]/3</f>
        <v>72.666666666666671</v>
      </c>
    </row>
    <row r="932" spans="1:11" x14ac:dyDescent="0.25">
      <c r="A932" t="s">
        <v>959</v>
      </c>
      <c r="B932" t="s">
        <v>13</v>
      </c>
      <c r="C932" t="s">
        <v>14</v>
      </c>
      <c r="D932" t="s">
        <v>15</v>
      </c>
      <c r="E932" t="s">
        <v>11</v>
      </c>
      <c r="F932" t="s">
        <v>12</v>
      </c>
      <c r="G932">
        <v>71</v>
      </c>
      <c r="H932">
        <v>83</v>
      </c>
      <c r="I932">
        <v>89</v>
      </c>
      <c r="J932">
        <f>SUM(Table2[[#This Row],[math score]:[writing score]])</f>
        <v>243</v>
      </c>
      <c r="K932">
        <f>Table2[[#This Row],[Total score]]/3</f>
        <v>81</v>
      </c>
    </row>
    <row r="933" spans="1:11" x14ac:dyDescent="0.25">
      <c r="A933" t="s">
        <v>960</v>
      </c>
      <c r="B933" t="s">
        <v>8</v>
      </c>
      <c r="C933" t="s">
        <v>18</v>
      </c>
      <c r="D933" t="s">
        <v>21</v>
      </c>
      <c r="E933" t="s">
        <v>16</v>
      </c>
      <c r="F933" t="s">
        <v>17</v>
      </c>
      <c r="G933">
        <v>48</v>
      </c>
      <c r="H933">
        <v>49</v>
      </c>
      <c r="I933">
        <v>44</v>
      </c>
      <c r="J933">
        <f>SUM(Table2[[#This Row],[math score]:[writing score]])</f>
        <v>141</v>
      </c>
      <c r="K933">
        <f>Table2[[#This Row],[Total score]]/3</f>
        <v>47</v>
      </c>
    </row>
    <row r="934" spans="1:11" x14ac:dyDescent="0.25">
      <c r="A934" t="s">
        <v>961</v>
      </c>
      <c r="B934" t="s">
        <v>8</v>
      </c>
      <c r="C934" t="s">
        <v>18</v>
      </c>
      <c r="D934" t="s">
        <v>10</v>
      </c>
      <c r="E934" t="s">
        <v>16</v>
      </c>
      <c r="F934" t="s">
        <v>12</v>
      </c>
      <c r="G934">
        <v>75</v>
      </c>
      <c r="H934">
        <v>80</v>
      </c>
      <c r="I934">
        <v>75</v>
      </c>
      <c r="J934">
        <f>SUM(Table2[[#This Row],[math score]:[writing score]])</f>
        <v>230</v>
      </c>
      <c r="K934">
        <f>Table2[[#This Row],[Total score]]/3</f>
        <v>76.666666666666671</v>
      </c>
    </row>
    <row r="935" spans="1:11" x14ac:dyDescent="0.25">
      <c r="A935" t="s">
        <v>962</v>
      </c>
      <c r="B935" t="s">
        <v>8</v>
      </c>
      <c r="C935" t="s">
        <v>14</v>
      </c>
      <c r="D935" t="s">
        <v>21</v>
      </c>
      <c r="E935" t="s">
        <v>16</v>
      </c>
      <c r="F935" t="s">
        <v>17</v>
      </c>
      <c r="G935">
        <v>54</v>
      </c>
      <c r="H935">
        <v>66</v>
      </c>
      <c r="I935">
        <v>65</v>
      </c>
      <c r="J935">
        <f>SUM(Table2[[#This Row],[math score]:[writing score]])</f>
        <v>185</v>
      </c>
      <c r="K935">
        <f>Table2[[#This Row],[Total score]]/3</f>
        <v>61.666666666666664</v>
      </c>
    </row>
    <row r="936" spans="1:11" x14ac:dyDescent="0.25">
      <c r="A936" t="s">
        <v>963</v>
      </c>
      <c r="B936" t="s">
        <v>13</v>
      </c>
      <c r="C936" t="s">
        <v>23</v>
      </c>
      <c r="D936" t="s">
        <v>24</v>
      </c>
      <c r="E936" t="s">
        <v>11</v>
      </c>
      <c r="F936" t="s">
        <v>17</v>
      </c>
      <c r="G936">
        <v>70</v>
      </c>
      <c r="H936">
        <v>64</v>
      </c>
      <c r="I936">
        <v>65</v>
      </c>
      <c r="J936">
        <f>SUM(Table2[[#This Row],[math score]:[writing score]])</f>
        <v>199</v>
      </c>
      <c r="K936">
        <f>Table2[[#This Row],[Total score]]/3</f>
        <v>66.333333333333329</v>
      </c>
    </row>
    <row r="937" spans="1:11" x14ac:dyDescent="0.25">
      <c r="A937" t="s">
        <v>964</v>
      </c>
      <c r="B937" t="s">
        <v>8</v>
      </c>
      <c r="C937" t="s">
        <v>14</v>
      </c>
      <c r="D937" t="s">
        <v>15</v>
      </c>
      <c r="E937" t="s">
        <v>11</v>
      </c>
      <c r="F937" t="s">
        <v>17</v>
      </c>
      <c r="G937">
        <v>91</v>
      </c>
      <c r="H937">
        <v>77</v>
      </c>
      <c r="I937">
        <v>72</v>
      </c>
      <c r="J937">
        <f>SUM(Table2[[#This Row],[math score]:[writing score]])</f>
        <v>240</v>
      </c>
      <c r="K937">
        <f>Table2[[#This Row],[Total score]]/3</f>
        <v>80</v>
      </c>
    </row>
    <row r="938" spans="1:11" x14ac:dyDescent="0.25">
      <c r="A938" t="s">
        <v>965</v>
      </c>
      <c r="B938" t="s">
        <v>13</v>
      </c>
      <c r="C938" t="s">
        <v>14</v>
      </c>
      <c r="D938" t="s">
        <v>15</v>
      </c>
      <c r="E938" t="s">
        <v>11</v>
      </c>
      <c r="F938" t="s">
        <v>12</v>
      </c>
      <c r="G938">
        <v>33</v>
      </c>
      <c r="H938">
        <v>44</v>
      </c>
      <c r="I938">
        <v>50</v>
      </c>
      <c r="J938">
        <f>SUM(Table2[[#This Row],[math score]:[writing score]])</f>
        <v>127</v>
      </c>
      <c r="K938">
        <f>Table2[[#This Row],[Total score]]/3</f>
        <v>42.333333333333336</v>
      </c>
    </row>
    <row r="939" spans="1:11" x14ac:dyDescent="0.25">
      <c r="A939" t="s">
        <v>966</v>
      </c>
      <c r="B939" t="s">
        <v>13</v>
      </c>
      <c r="C939" t="s">
        <v>20</v>
      </c>
      <c r="D939" t="s">
        <v>10</v>
      </c>
      <c r="E939" t="s">
        <v>11</v>
      </c>
      <c r="F939" t="s">
        <v>17</v>
      </c>
      <c r="G939">
        <v>45</v>
      </c>
      <c r="H939">
        <v>50</v>
      </c>
      <c r="I939">
        <v>41</v>
      </c>
      <c r="J939">
        <f>SUM(Table2[[#This Row],[math score]:[writing score]])</f>
        <v>136</v>
      </c>
      <c r="K939">
        <f>Table2[[#This Row],[Total score]]/3</f>
        <v>45.333333333333336</v>
      </c>
    </row>
    <row r="940" spans="1:11" x14ac:dyDescent="0.25">
      <c r="A940" t="s">
        <v>967</v>
      </c>
      <c r="B940" t="s">
        <v>8</v>
      </c>
      <c r="C940" t="s">
        <v>9</v>
      </c>
      <c r="D940" t="s">
        <v>10</v>
      </c>
      <c r="E940" t="s">
        <v>16</v>
      </c>
      <c r="F940" t="s">
        <v>17</v>
      </c>
      <c r="G940">
        <v>45</v>
      </c>
      <c r="H940">
        <v>33</v>
      </c>
      <c r="I940">
        <v>32</v>
      </c>
      <c r="J940">
        <f>SUM(Table2[[#This Row],[math score]:[writing score]])</f>
        <v>110</v>
      </c>
      <c r="K940">
        <f>Table2[[#This Row],[Total score]]/3</f>
        <v>36.666666666666664</v>
      </c>
    </row>
    <row r="941" spans="1:11" x14ac:dyDescent="0.25">
      <c r="A941" t="s">
        <v>968</v>
      </c>
      <c r="B941" t="s">
        <v>8</v>
      </c>
      <c r="C941" t="s">
        <v>14</v>
      </c>
      <c r="D941" t="s">
        <v>22</v>
      </c>
      <c r="E941" t="s">
        <v>16</v>
      </c>
      <c r="F941" t="s">
        <v>17</v>
      </c>
      <c r="G941">
        <v>62</v>
      </c>
      <c r="H941">
        <v>61</v>
      </c>
      <c r="I941">
        <v>57</v>
      </c>
      <c r="J941">
        <f>SUM(Table2[[#This Row],[math score]:[writing score]])</f>
        <v>180</v>
      </c>
      <c r="K941">
        <f>Table2[[#This Row],[Total score]]/3</f>
        <v>60</v>
      </c>
    </row>
    <row r="942" spans="1:11" x14ac:dyDescent="0.25">
      <c r="A942" t="s">
        <v>969</v>
      </c>
      <c r="B942" t="s">
        <v>8</v>
      </c>
      <c r="C942" t="s">
        <v>18</v>
      </c>
      <c r="D942" t="s">
        <v>21</v>
      </c>
      <c r="E942" t="s">
        <v>16</v>
      </c>
      <c r="F942" t="s">
        <v>12</v>
      </c>
      <c r="G942">
        <v>92</v>
      </c>
      <c r="H942">
        <v>79</v>
      </c>
      <c r="I942">
        <v>77</v>
      </c>
      <c r="J942">
        <f>SUM(Table2[[#This Row],[math score]:[writing score]])</f>
        <v>248</v>
      </c>
      <c r="K942">
        <f>Table2[[#This Row],[Total score]]/3</f>
        <v>82.666666666666671</v>
      </c>
    </row>
    <row r="943" spans="1:11" x14ac:dyDescent="0.25">
      <c r="A943" t="s">
        <v>970</v>
      </c>
      <c r="B943" t="s">
        <v>13</v>
      </c>
      <c r="C943" t="s">
        <v>14</v>
      </c>
      <c r="D943" t="s">
        <v>19</v>
      </c>
      <c r="E943" t="s">
        <v>11</v>
      </c>
      <c r="F943" t="s">
        <v>17</v>
      </c>
      <c r="G943">
        <v>74</v>
      </c>
      <c r="H943">
        <v>75</v>
      </c>
      <c r="I943">
        <v>79</v>
      </c>
      <c r="J943">
        <f>SUM(Table2[[#This Row],[math score]:[writing score]])</f>
        <v>228</v>
      </c>
      <c r="K943">
        <f>Table2[[#This Row],[Total score]]/3</f>
        <v>76</v>
      </c>
    </row>
    <row r="944" spans="1:11" x14ac:dyDescent="0.25">
      <c r="A944" t="s">
        <v>971</v>
      </c>
      <c r="B944" t="s">
        <v>13</v>
      </c>
      <c r="C944" t="s">
        <v>23</v>
      </c>
      <c r="D944" t="s">
        <v>10</v>
      </c>
      <c r="E944" t="s">
        <v>11</v>
      </c>
      <c r="F944" t="s">
        <v>12</v>
      </c>
      <c r="G944">
        <v>81</v>
      </c>
      <c r="H944">
        <v>79</v>
      </c>
      <c r="I944">
        <v>83</v>
      </c>
      <c r="J944">
        <f>SUM(Table2[[#This Row],[math score]:[writing score]])</f>
        <v>243</v>
      </c>
      <c r="K944">
        <f>Table2[[#This Row],[Total score]]/3</f>
        <v>81</v>
      </c>
    </row>
    <row r="945" spans="1:11" x14ac:dyDescent="0.25">
      <c r="A945" t="s">
        <v>972</v>
      </c>
      <c r="B945" t="s">
        <v>8</v>
      </c>
      <c r="C945" t="s">
        <v>23</v>
      </c>
      <c r="D945" t="s">
        <v>21</v>
      </c>
      <c r="E945" t="s">
        <v>16</v>
      </c>
      <c r="F945" t="s">
        <v>17</v>
      </c>
      <c r="G945">
        <v>76</v>
      </c>
      <c r="H945">
        <v>71</v>
      </c>
      <c r="I945">
        <v>66</v>
      </c>
      <c r="J945">
        <f>SUM(Table2[[#This Row],[math score]:[writing score]])</f>
        <v>213</v>
      </c>
      <c r="K945">
        <f>Table2[[#This Row],[Total score]]/3</f>
        <v>71</v>
      </c>
    </row>
    <row r="946" spans="1:11" x14ac:dyDescent="0.25">
      <c r="A946" t="s">
        <v>973</v>
      </c>
      <c r="B946" t="s">
        <v>13</v>
      </c>
      <c r="C946" t="s">
        <v>23</v>
      </c>
      <c r="D946" t="s">
        <v>21</v>
      </c>
      <c r="E946" t="s">
        <v>11</v>
      </c>
      <c r="F946" t="s">
        <v>12</v>
      </c>
      <c r="G946">
        <v>57</v>
      </c>
      <c r="H946">
        <v>72</v>
      </c>
      <c r="I946">
        <v>73</v>
      </c>
      <c r="J946">
        <f>SUM(Table2[[#This Row],[math score]:[writing score]])</f>
        <v>202</v>
      </c>
      <c r="K946">
        <f>Table2[[#This Row],[Total score]]/3</f>
        <v>67.333333333333329</v>
      </c>
    </row>
    <row r="947" spans="1:11" x14ac:dyDescent="0.25">
      <c r="A947" t="s">
        <v>974</v>
      </c>
      <c r="B947" t="s">
        <v>8</v>
      </c>
      <c r="C947" t="s">
        <v>9</v>
      </c>
      <c r="D947" t="s">
        <v>19</v>
      </c>
      <c r="E947" t="s">
        <v>16</v>
      </c>
      <c r="F947" t="s">
        <v>17</v>
      </c>
      <c r="G947">
        <v>63</v>
      </c>
      <c r="H947">
        <v>61</v>
      </c>
      <c r="I947">
        <v>55</v>
      </c>
      <c r="J947">
        <f>SUM(Table2[[#This Row],[math score]:[writing score]])</f>
        <v>179</v>
      </c>
      <c r="K947">
        <f>Table2[[#This Row],[Total score]]/3</f>
        <v>59.666666666666664</v>
      </c>
    </row>
    <row r="948" spans="1:11" x14ac:dyDescent="0.25">
      <c r="A948" t="s">
        <v>975</v>
      </c>
      <c r="B948" t="s">
        <v>13</v>
      </c>
      <c r="C948" t="s">
        <v>14</v>
      </c>
      <c r="D948" t="s">
        <v>10</v>
      </c>
      <c r="E948" t="s">
        <v>11</v>
      </c>
      <c r="F948" t="s">
        <v>12</v>
      </c>
      <c r="G948">
        <v>57</v>
      </c>
      <c r="H948">
        <v>62</v>
      </c>
      <c r="I948">
        <v>73</v>
      </c>
      <c r="J948">
        <f>SUM(Table2[[#This Row],[math score]:[writing score]])</f>
        <v>192</v>
      </c>
      <c r="K948">
        <f>Table2[[#This Row],[Total score]]/3</f>
        <v>64</v>
      </c>
    </row>
    <row r="949" spans="1:11" x14ac:dyDescent="0.25">
      <c r="A949" t="s">
        <v>976</v>
      </c>
      <c r="B949" t="s">
        <v>13</v>
      </c>
      <c r="C949" t="s">
        <v>20</v>
      </c>
      <c r="D949" t="s">
        <v>19</v>
      </c>
      <c r="E949" t="s">
        <v>11</v>
      </c>
      <c r="F949" t="s">
        <v>12</v>
      </c>
      <c r="G949">
        <v>46</v>
      </c>
      <c r="H949">
        <v>65</v>
      </c>
      <c r="I949">
        <v>64</v>
      </c>
      <c r="J949">
        <f>SUM(Table2[[#This Row],[math score]:[writing score]])</f>
        <v>175</v>
      </c>
      <c r="K949">
        <f>Table2[[#This Row],[Total score]]/3</f>
        <v>58.333333333333336</v>
      </c>
    </row>
    <row r="950" spans="1:11" x14ac:dyDescent="0.25">
      <c r="A950" t="s">
        <v>977</v>
      </c>
      <c r="B950" t="s">
        <v>8</v>
      </c>
      <c r="C950" t="s">
        <v>18</v>
      </c>
      <c r="D950" t="s">
        <v>15</v>
      </c>
      <c r="E950" t="s">
        <v>16</v>
      </c>
      <c r="F950" t="s">
        <v>12</v>
      </c>
      <c r="G950">
        <v>49</v>
      </c>
      <c r="H950">
        <v>50</v>
      </c>
      <c r="I950">
        <v>45</v>
      </c>
      <c r="J950">
        <f>SUM(Table2[[#This Row],[math score]:[writing score]])</f>
        <v>144</v>
      </c>
      <c r="K950">
        <f>Table2[[#This Row],[Total score]]/3</f>
        <v>48</v>
      </c>
    </row>
    <row r="951" spans="1:11" x14ac:dyDescent="0.25">
      <c r="A951" t="s">
        <v>978</v>
      </c>
      <c r="B951" t="s">
        <v>13</v>
      </c>
      <c r="C951" t="s">
        <v>14</v>
      </c>
      <c r="D951" t="s">
        <v>15</v>
      </c>
      <c r="E951" t="s">
        <v>11</v>
      </c>
      <c r="F951" t="s">
        <v>17</v>
      </c>
      <c r="G951">
        <v>54</v>
      </c>
      <c r="H951">
        <v>60</v>
      </c>
      <c r="I951">
        <v>65</v>
      </c>
      <c r="J951">
        <f>SUM(Table2[[#This Row],[math score]:[writing score]])</f>
        <v>179</v>
      </c>
      <c r="K951">
        <f>Table2[[#This Row],[Total score]]/3</f>
        <v>59.666666666666664</v>
      </c>
    </row>
    <row r="952" spans="1:11" x14ac:dyDescent="0.25">
      <c r="A952" t="s">
        <v>979</v>
      </c>
      <c r="B952" t="s">
        <v>8</v>
      </c>
      <c r="C952" t="s">
        <v>23</v>
      </c>
      <c r="D952" t="s">
        <v>15</v>
      </c>
      <c r="E952" t="s">
        <v>11</v>
      </c>
      <c r="F952" t="s">
        <v>12</v>
      </c>
      <c r="G952">
        <v>89</v>
      </c>
      <c r="H952">
        <v>87</v>
      </c>
      <c r="I952">
        <v>90</v>
      </c>
      <c r="J952">
        <f>SUM(Table2[[#This Row],[math score]:[writing score]])</f>
        <v>266</v>
      </c>
      <c r="K952">
        <f>Table2[[#This Row],[Total score]]/3</f>
        <v>88.666666666666671</v>
      </c>
    </row>
    <row r="953" spans="1:11" x14ac:dyDescent="0.25">
      <c r="A953" t="s">
        <v>980</v>
      </c>
      <c r="B953" t="s">
        <v>8</v>
      </c>
      <c r="C953" t="s">
        <v>14</v>
      </c>
      <c r="D953" t="s">
        <v>22</v>
      </c>
      <c r="E953" t="s">
        <v>11</v>
      </c>
      <c r="F953" t="s">
        <v>12</v>
      </c>
      <c r="G953">
        <v>77</v>
      </c>
      <c r="H953">
        <v>70</v>
      </c>
      <c r="I953">
        <v>78</v>
      </c>
      <c r="J953">
        <f>SUM(Table2[[#This Row],[math score]:[writing score]])</f>
        <v>225</v>
      </c>
      <c r="K953">
        <f>Table2[[#This Row],[Total score]]/3</f>
        <v>75</v>
      </c>
    </row>
    <row r="954" spans="1:11" x14ac:dyDescent="0.25">
      <c r="A954" t="s">
        <v>981</v>
      </c>
      <c r="B954" t="s">
        <v>13</v>
      </c>
      <c r="C954" t="s">
        <v>23</v>
      </c>
      <c r="D954" t="s">
        <v>22</v>
      </c>
      <c r="E954" t="s">
        <v>11</v>
      </c>
      <c r="F954" t="s">
        <v>17</v>
      </c>
      <c r="G954">
        <v>46</v>
      </c>
      <c r="H954">
        <v>63</v>
      </c>
      <c r="I954">
        <v>60</v>
      </c>
      <c r="J954">
        <f>SUM(Table2[[#This Row],[math score]:[writing score]])</f>
        <v>169</v>
      </c>
      <c r="K954">
        <f>Table2[[#This Row],[Total score]]/3</f>
        <v>56.333333333333336</v>
      </c>
    </row>
    <row r="955" spans="1:11" x14ac:dyDescent="0.25">
      <c r="A955" t="s">
        <v>982</v>
      </c>
      <c r="B955" t="s">
        <v>8</v>
      </c>
      <c r="C955" t="s">
        <v>20</v>
      </c>
      <c r="D955" t="s">
        <v>21</v>
      </c>
      <c r="E955" t="s">
        <v>11</v>
      </c>
      <c r="F955" t="s">
        <v>12</v>
      </c>
      <c r="G955">
        <v>66</v>
      </c>
      <c r="H955">
        <v>59</v>
      </c>
      <c r="I955">
        <v>70</v>
      </c>
      <c r="J955">
        <f>SUM(Table2[[#This Row],[math score]:[writing score]])</f>
        <v>195</v>
      </c>
      <c r="K955">
        <f>Table2[[#This Row],[Total score]]/3</f>
        <v>65</v>
      </c>
    </row>
    <row r="956" spans="1:11" x14ac:dyDescent="0.25">
      <c r="A956" t="s">
        <v>983</v>
      </c>
      <c r="B956" t="s">
        <v>13</v>
      </c>
      <c r="C956" t="s">
        <v>23</v>
      </c>
      <c r="D956" t="s">
        <v>10</v>
      </c>
      <c r="E956" t="s">
        <v>11</v>
      </c>
      <c r="F956" t="s">
        <v>17</v>
      </c>
      <c r="G956">
        <v>48</v>
      </c>
      <c r="H956">
        <v>63</v>
      </c>
      <c r="I956">
        <v>53</v>
      </c>
      <c r="J956">
        <f>SUM(Table2[[#This Row],[math score]:[writing score]])</f>
        <v>164</v>
      </c>
      <c r="K956">
        <f>Table2[[#This Row],[Total score]]/3</f>
        <v>54.666666666666664</v>
      </c>
    </row>
    <row r="957" spans="1:11" x14ac:dyDescent="0.25">
      <c r="A957" t="s">
        <v>984</v>
      </c>
      <c r="B957" t="s">
        <v>8</v>
      </c>
      <c r="C957" t="s">
        <v>14</v>
      </c>
      <c r="D957" t="s">
        <v>21</v>
      </c>
      <c r="E957" t="s">
        <v>11</v>
      </c>
      <c r="F957" t="s">
        <v>12</v>
      </c>
      <c r="G957">
        <v>83</v>
      </c>
      <c r="H957">
        <v>76</v>
      </c>
      <c r="I957">
        <v>81</v>
      </c>
      <c r="J957">
        <f>SUM(Table2[[#This Row],[math score]:[writing score]])</f>
        <v>240</v>
      </c>
      <c r="K957">
        <f>Table2[[#This Row],[Total score]]/3</f>
        <v>80</v>
      </c>
    </row>
    <row r="958" spans="1:11" x14ac:dyDescent="0.25">
      <c r="A958" t="s">
        <v>985</v>
      </c>
      <c r="B958" t="s">
        <v>8</v>
      </c>
      <c r="C958" t="s">
        <v>23</v>
      </c>
      <c r="D958" t="s">
        <v>10</v>
      </c>
      <c r="E958" t="s">
        <v>11</v>
      </c>
      <c r="F958" t="s">
        <v>12</v>
      </c>
      <c r="G958">
        <v>69</v>
      </c>
      <c r="H958">
        <v>75</v>
      </c>
      <c r="I958">
        <v>74</v>
      </c>
      <c r="J958">
        <f>SUM(Table2[[#This Row],[math score]:[writing score]])</f>
        <v>218</v>
      </c>
      <c r="K958">
        <f>Table2[[#This Row],[Total score]]/3</f>
        <v>72.666666666666671</v>
      </c>
    </row>
    <row r="959" spans="1:11" x14ac:dyDescent="0.25">
      <c r="A959" t="s">
        <v>986</v>
      </c>
      <c r="B959" t="s">
        <v>8</v>
      </c>
      <c r="C959" t="s">
        <v>18</v>
      </c>
      <c r="D959" t="s">
        <v>22</v>
      </c>
      <c r="E959" t="s">
        <v>16</v>
      </c>
      <c r="F959" t="s">
        <v>17</v>
      </c>
      <c r="G959">
        <v>73</v>
      </c>
      <c r="H959">
        <v>52</v>
      </c>
      <c r="I959">
        <v>54</v>
      </c>
      <c r="J959">
        <f>SUM(Table2[[#This Row],[math score]:[writing score]])</f>
        <v>179</v>
      </c>
      <c r="K959">
        <f>Table2[[#This Row],[Total score]]/3</f>
        <v>59.666666666666664</v>
      </c>
    </row>
    <row r="960" spans="1:11" x14ac:dyDescent="0.25">
      <c r="A960" t="s">
        <v>987</v>
      </c>
      <c r="B960" t="s">
        <v>13</v>
      </c>
      <c r="C960" t="s">
        <v>14</v>
      </c>
      <c r="D960" t="s">
        <v>19</v>
      </c>
      <c r="E960" t="s">
        <v>11</v>
      </c>
      <c r="F960" t="s">
        <v>17</v>
      </c>
      <c r="G960">
        <v>43</v>
      </c>
      <c r="H960">
        <v>59</v>
      </c>
      <c r="I960">
        <v>59</v>
      </c>
      <c r="J960">
        <f>SUM(Table2[[#This Row],[math score]:[writing score]])</f>
        <v>161</v>
      </c>
      <c r="K960">
        <f>Table2[[#This Row],[Total score]]/3</f>
        <v>53.666666666666664</v>
      </c>
    </row>
    <row r="961" spans="1:11" x14ac:dyDescent="0.25">
      <c r="A961" t="s">
        <v>988</v>
      </c>
      <c r="B961" t="s">
        <v>8</v>
      </c>
      <c r="C961" t="s">
        <v>14</v>
      </c>
      <c r="D961" t="s">
        <v>24</v>
      </c>
      <c r="E961" t="s">
        <v>11</v>
      </c>
      <c r="F961" t="s">
        <v>12</v>
      </c>
      <c r="G961">
        <v>91</v>
      </c>
      <c r="H961">
        <v>84</v>
      </c>
      <c r="I961">
        <v>83</v>
      </c>
      <c r="J961">
        <f>SUM(Table2[[#This Row],[math score]:[writing score]])</f>
        <v>258</v>
      </c>
      <c r="K961">
        <f>Table2[[#This Row],[Total score]]/3</f>
        <v>86</v>
      </c>
    </row>
    <row r="962" spans="1:11" x14ac:dyDescent="0.25">
      <c r="A962" t="s">
        <v>989</v>
      </c>
      <c r="B962" t="s">
        <v>8</v>
      </c>
      <c r="C962" t="s">
        <v>23</v>
      </c>
      <c r="D962" t="s">
        <v>21</v>
      </c>
      <c r="E962" t="s">
        <v>11</v>
      </c>
      <c r="F962" t="s">
        <v>12</v>
      </c>
      <c r="G962">
        <v>49</v>
      </c>
      <c r="H962">
        <v>58</v>
      </c>
      <c r="I962">
        <v>55</v>
      </c>
      <c r="J962">
        <f>SUM(Table2[[#This Row],[math score]:[writing score]])</f>
        <v>162</v>
      </c>
      <c r="K962">
        <f>Table2[[#This Row],[Total score]]/3</f>
        <v>54</v>
      </c>
    </row>
    <row r="963" spans="1:11" x14ac:dyDescent="0.25">
      <c r="A963" t="s">
        <v>990</v>
      </c>
      <c r="B963" t="s">
        <v>8</v>
      </c>
      <c r="C963" t="s">
        <v>20</v>
      </c>
      <c r="D963" t="s">
        <v>24</v>
      </c>
      <c r="E963" t="s">
        <v>11</v>
      </c>
      <c r="F963" t="s">
        <v>17</v>
      </c>
      <c r="G963">
        <v>87</v>
      </c>
      <c r="H963">
        <v>86</v>
      </c>
      <c r="I963">
        <v>84</v>
      </c>
      <c r="J963">
        <f>SUM(Table2[[#This Row],[math score]:[writing score]])</f>
        <v>257</v>
      </c>
      <c r="K963">
        <f>Table2[[#This Row],[Total score]]/3</f>
        <v>85.666666666666671</v>
      </c>
    </row>
    <row r="964" spans="1:11" x14ac:dyDescent="0.25">
      <c r="A964" t="s">
        <v>991</v>
      </c>
      <c r="B964" t="s">
        <v>8</v>
      </c>
      <c r="C964" t="s">
        <v>20</v>
      </c>
      <c r="D964" t="s">
        <v>15</v>
      </c>
      <c r="E964" t="s">
        <v>11</v>
      </c>
      <c r="F964" t="s">
        <v>12</v>
      </c>
      <c r="G964">
        <v>46</v>
      </c>
      <c r="H964">
        <v>46</v>
      </c>
      <c r="I964">
        <v>44</v>
      </c>
      <c r="J964">
        <f>SUM(Table2[[#This Row],[math score]:[writing score]])</f>
        <v>136</v>
      </c>
      <c r="K964">
        <f>Table2[[#This Row],[Total score]]/3</f>
        <v>45.333333333333336</v>
      </c>
    </row>
    <row r="965" spans="1:11" x14ac:dyDescent="0.25">
      <c r="A965" t="s">
        <v>992</v>
      </c>
      <c r="B965" t="s">
        <v>13</v>
      </c>
      <c r="C965" t="s">
        <v>14</v>
      </c>
      <c r="D965" t="s">
        <v>15</v>
      </c>
      <c r="E965" t="s">
        <v>11</v>
      </c>
      <c r="F965" t="s">
        <v>12</v>
      </c>
      <c r="G965">
        <v>63</v>
      </c>
      <c r="H965">
        <v>61</v>
      </c>
      <c r="I965">
        <v>71</v>
      </c>
      <c r="J965">
        <f>SUM(Table2[[#This Row],[math score]:[writing score]])</f>
        <v>195</v>
      </c>
      <c r="K965">
        <f>Table2[[#This Row],[Total score]]/3</f>
        <v>65</v>
      </c>
    </row>
    <row r="966" spans="1:11" x14ac:dyDescent="0.25">
      <c r="A966" t="s">
        <v>993</v>
      </c>
      <c r="B966" t="s">
        <v>8</v>
      </c>
      <c r="C966" t="s">
        <v>18</v>
      </c>
      <c r="D966" t="s">
        <v>22</v>
      </c>
      <c r="E966" t="s">
        <v>11</v>
      </c>
      <c r="F966" t="s">
        <v>17</v>
      </c>
      <c r="G966">
        <v>100</v>
      </c>
      <c r="H966">
        <v>83</v>
      </c>
      <c r="I966">
        <v>86</v>
      </c>
      <c r="J966">
        <f>SUM(Table2[[#This Row],[math score]:[writing score]])</f>
        <v>269</v>
      </c>
      <c r="K966">
        <f>Table2[[#This Row],[Total score]]/3</f>
        <v>89.666666666666671</v>
      </c>
    </row>
    <row r="967" spans="1:11" x14ac:dyDescent="0.25">
      <c r="A967" t="s">
        <v>994</v>
      </c>
      <c r="B967" t="s">
        <v>13</v>
      </c>
      <c r="C967" t="s">
        <v>18</v>
      </c>
      <c r="D967" t="s">
        <v>22</v>
      </c>
      <c r="E967" t="s">
        <v>11</v>
      </c>
      <c r="F967" t="s">
        <v>17</v>
      </c>
      <c r="G967">
        <v>86</v>
      </c>
      <c r="H967">
        <v>87</v>
      </c>
      <c r="I967">
        <v>89</v>
      </c>
      <c r="J967">
        <f>SUM(Table2[[#This Row],[math score]:[writing score]])</f>
        <v>262</v>
      </c>
      <c r="K967">
        <f>Table2[[#This Row],[Total score]]/3</f>
        <v>87.333333333333329</v>
      </c>
    </row>
    <row r="968" spans="1:11" x14ac:dyDescent="0.25">
      <c r="A968" t="s">
        <v>995</v>
      </c>
      <c r="B968" t="s">
        <v>13</v>
      </c>
      <c r="C968" t="s">
        <v>9</v>
      </c>
      <c r="D968" t="s">
        <v>15</v>
      </c>
      <c r="E968" t="s">
        <v>16</v>
      </c>
      <c r="F968" t="s">
        <v>12</v>
      </c>
      <c r="G968">
        <v>55</v>
      </c>
      <c r="H968">
        <v>73</v>
      </c>
      <c r="I968">
        <v>70</v>
      </c>
      <c r="J968">
        <f>SUM(Table2[[#This Row],[math score]:[writing score]])</f>
        <v>198</v>
      </c>
      <c r="K968">
        <f>Table2[[#This Row],[Total score]]/3</f>
        <v>66</v>
      </c>
    </row>
    <row r="969" spans="1:11" x14ac:dyDescent="0.25">
      <c r="A969" t="s">
        <v>996</v>
      </c>
      <c r="B969" t="s">
        <v>13</v>
      </c>
      <c r="C969" t="s">
        <v>18</v>
      </c>
      <c r="D969" t="s">
        <v>24</v>
      </c>
      <c r="E969" t="s">
        <v>16</v>
      </c>
      <c r="F969" t="s">
        <v>17</v>
      </c>
      <c r="G969">
        <v>84</v>
      </c>
      <c r="H969">
        <v>100</v>
      </c>
      <c r="I969">
        <v>99</v>
      </c>
      <c r="J969">
        <f>SUM(Table2[[#This Row],[math score]:[writing score]])</f>
        <v>283</v>
      </c>
      <c r="K969">
        <f>Table2[[#This Row],[Total score]]/3</f>
        <v>94.333333333333329</v>
      </c>
    </row>
    <row r="970" spans="1:11" x14ac:dyDescent="0.25">
      <c r="A970" t="s">
        <v>997</v>
      </c>
      <c r="B970" t="s">
        <v>13</v>
      </c>
      <c r="C970" t="s">
        <v>20</v>
      </c>
      <c r="D970" t="s">
        <v>15</v>
      </c>
      <c r="E970" t="s">
        <v>16</v>
      </c>
      <c r="F970" t="s">
        <v>17</v>
      </c>
      <c r="G970">
        <v>39</v>
      </c>
      <c r="H970">
        <v>51</v>
      </c>
      <c r="I970">
        <v>48</v>
      </c>
      <c r="J970">
        <f>SUM(Table2[[#This Row],[math score]:[writing score]])</f>
        <v>138</v>
      </c>
      <c r="K970">
        <f>Table2[[#This Row],[Total score]]/3</f>
        <v>46</v>
      </c>
    </row>
    <row r="971" spans="1:11" x14ac:dyDescent="0.25">
      <c r="A971" t="s">
        <v>998</v>
      </c>
      <c r="B971" t="s">
        <v>8</v>
      </c>
      <c r="C971" t="s">
        <v>20</v>
      </c>
      <c r="D971" t="s">
        <v>10</v>
      </c>
      <c r="E971" t="s">
        <v>11</v>
      </c>
      <c r="F971" t="s">
        <v>17</v>
      </c>
      <c r="G971">
        <v>67</v>
      </c>
      <c r="H971">
        <v>57</v>
      </c>
      <c r="I971">
        <v>52</v>
      </c>
      <c r="J971">
        <f>SUM(Table2[[#This Row],[math score]:[writing score]])</f>
        <v>176</v>
      </c>
      <c r="K971">
        <f>Table2[[#This Row],[Total score]]/3</f>
        <v>58.666666666666664</v>
      </c>
    </row>
    <row r="972" spans="1:11" x14ac:dyDescent="0.25">
      <c r="A972" t="s">
        <v>999</v>
      </c>
      <c r="B972" t="s">
        <v>13</v>
      </c>
      <c r="C972" t="s">
        <v>14</v>
      </c>
      <c r="D972" t="s">
        <v>15</v>
      </c>
      <c r="E972" t="s">
        <v>11</v>
      </c>
      <c r="F972" t="s">
        <v>12</v>
      </c>
      <c r="G972">
        <v>85</v>
      </c>
      <c r="H972">
        <v>100</v>
      </c>
      <c r="I972">
        <v>97</v>
      </c>
      <c r="J972">
        <f>SUM(Table2[[#This Row],[math score]:[writing score]])</f>
        <v>282</v>
      </c>
      <c r="K972">
        <f>Table2[[#This Row],[Total score]]/3</f>
        <v>94</v>
      </c>
    </row>
    <row r="973" spans="1:11" x14ac:dyDescent="0.25">
      <c r="A973" t="s">
        <v>1000</v>
      </c>
      <c r="B973" t="s">
        <v>8</v>
      </c>
      <c r="C973" t="s">
        <v>23</v>
      </c>
      <c r="D973" t="s">
        <v>15</v>
      </c>
      <c r="E973" t="s">
        <v>11</v>
      </c>
      <c r="F973" t="s">
        <v>17</v>
      </c>
      <c r="G973">
        <v>64</v>
      </c>
      <c r="H973">
        <v>51</v>
      </c>
      <c r="I973">
        <v>44</v>
      </c>
      <c r="J973">
        <f>SUM(Table2[[#This Row],[math score]:[writing score]])</f>
        <v>159</v>
      </c>
      <c r="K973">
        <f>Table2[[#This Row],[Total score]]/3</f>
        <v>53</v>
      </c>
    </row>
    <row r="974" spans="1:11" x14ac:dyDescent="0.25">
      <c r="A974" t="s">
        <v>1001</v>
      </c>
      <c r="B974" t="s">
        <v>13</v>
      </c>
      <c r="C974" t="s">
        <v>18</v>
      </c>
      <c r="D974" t="s">
        <v>21</v>
      </c>
      <c r="E974" t="s">
        <v>11</v>
      </c>
      <c r="F974" t="s">
        <v>17</v>
      </c>
      <c r="G974">
        <v>81</v>
      </c>
      <c r="H974">
        <v>77</v>
      </c>
      <c r="I974">
        <v>74</v>
      </c>
      <c r="J974">
        <f>SUM(Table2[[#This Row],[math score]:[writing score]])</f>
        <v>232</v>
      </c>
      <c r="K974">
        <f>Table2[[#This Row],[Total score]]/3</f>
        <v>77.333333333333329</v>
      </c>
    </row>
    <row r="975" spans="1:11" x14ac:dyDescent="0.25">
      <c r="A975" t="s">
        <v>1002</v>
      </c>
      <c r="B975" t="s">
        <v>8</v>
      </c>
      <c r="C975" t="s">
        <v>23</v>
      </c>
      <c r="D975" t="s">
        <v>21</v>
      </c>
      <c r="E975" t="s">
        <v>11</v>
      </c>
      <c r="F975" t="s">
        <v>17</v>
      </c>
      <c r="G975">
        <v>78</v>
      </c>
      <c r="H975">
        <v>71</v>
      </c>
      <c r="I975">
        <v>67</v>
      </c>
      <c r="J975">
        <f>SUM(Table2[[#This Row],[math score]:[writing score]])</f>
        <v>216</v>
      </c>
      <c r="K975">
        <f>Table2[[#This Row],[Total score]]/3</f>
        <v>72</v>
      </c>
    </row>
    <row r="976" spans="1:11" x14ac:dyDescent="0.25">
      <c r="A976" t="s">
        <v>1003</v>
      </c>
      <c r="B976" t="s">
        <v>13</v>
      </c>
      <c r="C976" t="s">
        <v>20</v>
      </c>
      <c r="D976" t="s">
        <v>15</v>
      </c>
      <c r="E976" t="s">
        <v>11</v>
      </c>
      <c r="F976" t="s">
        <v>17</v>
      </c>
      <c r="G976">
        <v>59</v>
      </c>
      <c r="H976">
        <v>59</v>
      </c>
      <c r="I976">
        <v>58</v>
      </c>
      <c r="J976">
        <f>SUM(Table2[[#This Row],[math score]:[writing score]])</f>
        <v>176</v>
      </c>
      <c r="K976">
        <f>Table2[[#This Row],[Total score]]/3</f>
        <v>58.666666666666664</v>
      </c>
    </row>
    <row r="977" spans="1:11" x14ac:dyDescent="0.25">
      <c r="A977" t="s">
        <v>1004</v>
      </c>
      <c r="B977" t="s">
        <v>8</v>
      </c>
      <c r="C977" t="s">
        <v>23</v>
      </c>
      <c r="D977" t="s">
        <v>21</v>
      </c>
      <c r="E977" t="s">
        <v>11</v>
      </c>
      <c r="F977" t="s">
        <v>17</v>
      </c>
      <c r="G977">
        <v>74</v>
      </c>
      <c r="H977">
        <v>76</v>
      </c>
      <c r="I977">
        <v>70</v>
      </c>
      <c r="J977">
        <f>SUM(Table2[[#This Row],[math score]:[writing score]])</f>
        <v>220</v>
      </c>
      <c r="K977">
        <f>Table2[[#This Row],[Total score]]/3</f>
        <v>73.333333333333329</v>
      </c>
    </row>
    <row r="978" spans="1:11" x14ac:dyDescent="0.25">
      <c r="A978" t="s">
        <v>1005</v>
      </c>
      <c r="B978" t="s">
        <v>13</v>
      </c>
      <c r="C978" t="s">
        <v>20</v>
      </c>
      <c r="D978" t="s">
        <v>19</v>
      </c>
      <c r="E978" t="s">
        <v>16</v>
      </c>
      <c r="F978" t="s">
        <v>12</v>
      </c>
      <c r="G978">
        <v>31</v>
      </c>
      <c r="H978">
        <v>29</v>
      </c>
      <c r="I978">
        <v>35</v>
      </c>
      <c r="J978">
        <f>SUM(Table2[[#This Row],[math score]:[writing score]])</f>
        <v>95</v>
      </c>
      <c r="K978">
        <f>Table2[[#This Row],[Total score]]/3</f>
        <v>31.666666666666668</v>
      </c>
    </row>
    <row r="979" spans="1:11" x14ac:dyDescent="0.25">
      <c r="A979" t="s">
        <v>1006</v>
      </c>
      <c r="B979" t="s">
        <v>13</v>
      </c>
      <c r="C979" t="s">
        <v>23</v>
      </c>
      <c r="D979" t="s">
        <v>15</v>
      </c>
      <c r="E979" t="s">
        <v>16</v>
      </c>
      <c r="F979" t="s">
        <v>12</v>
      </c>
      <c r="G979">
        <v>54</v>
      </c>
      <c r="H979">
        <v>55</v>
      </c>
      <c r="I979">
        <v>65</v>
      </c>
      <c r="J979">
        <f>SUM(Table2[[#This Row],[math score]:[writing score]])</f>
        <v>174</v>
      </c>
      <c r="K979">
        <f>Table2[[#This Row],[Total score]]/3</f>
        <v>58</v>
      </c>
    </row>
    <row r="980" spans="1:11" x14ac:dyDescent="0.25">
      <c r="A980" t="s">
        <v>1007</v>
      </c>
      <c r="B980" t="s">
        <v>8</v>
      </c>
      <c r="C980" t="s">
        <v>23</v>
      </c>
      <c r="D980" t="s">
        <v>10</v>
      </c>
      <c r="E980" t="s">
        <v>16</v>
      </c>
      <c r="F980" t="s">
        <v>17</v>
      </c>
      <c r="G980">
        <v>51</v>
      </c>
      <c r="H980">
        <v>51</v>
      </c>
      <c r="I980">
        <v>45</v>
      </c>
      <c r="J980">
        <f>SUM(Table2[[#This Row],[math score]:[writing score]])</f>
        <v>147</v>
      </c>
      <c r="K980">
        <f>Table2[[#This Row],[Total score]]/3</f>
        <v>49</v>
      </c>
    </row>
    <row r="981" spans="1:11" x14ac:dyDescent="0.25">
      <c r="A981" t="s">
        <v>1008</v>
      </c>
      <c r="B981" t="s">
        <v>13</v>
      </c>
      <c r="C981" t="s">
        <v>20</v>
      </c>
      <c r="D981" t="s">
        <v>22</v>
      </c>
      <c r="E981" t="s">
        <v>16</v>
      </c>
      <c r="F981" t="s">
        <v>12</v>
      </c>
      <c r="G981">
        <v>57</v>
      </c>
      <c r="H981">
        <v>65</v>
      </c>
      <c r="I981">
        <v>68</v>
      </c>
      <c r="J981">
        <f>SUM(Table2[[#This Row],[math score]:[writing score]])</f>
        <v>190</v>
      </c>
      <c r="K981">
        <f>Table2[[#This Row],[Total score]]/3</f>
        <v>63.333333333333336</v>
      </c>
    </row>
    <row r="982" spans="1:11" x14ac:dyDescent="0.25">
      <c r="A982" t="s">
        <v>1009</v>
      </c>
      <c r="B982" t="s">
        <v>13</v>
      </c>
      <c r="C982" t="s">
        <v>23</v>
      </c>
      <c r="D982" t="s">
        <v>15</v>
      </c>
      <c r="E982" t="s">
        <v>16</v>
      </c>
      <c r="F982" t="s">
        <v>17</v>
      </c>
      <c r="G982">
        <v>39</v>
      </c>
      <c r="H982">
        <v>50</v>
      </c>
      <c r="I982">
        <v>49</v>
      </c>
      <c r="J982">
        <f>SUM(Table2[[#This Row],[math score]:[writing score]])</f>
        <v>138</v>
      </c>
      <c r="K982">
        <f>Table2[[#This Row],[Total score]]/3</f>
        <v>46</v>
      </c>
    </row>
    <row r="983" spans="1:11" x14ac:dyDescent="0.25">
      <c r="A983" t="s">
        <v>1010</v>
      </c>
      <c r="B983" t="s">
        <v>8</v>
      </c>
      <c r="C983" t="s">
        <v>23</v>
      </c>
      <c r="D983" t="s">
        <v>19</v>
      </c>
      <c r="E983" t="s">
        <v>11</v>
      </c>
      <c r="F983" t="s">
        <v>17</v>
      </c>
      <c r="G983">
        <v>64</v>
      </c>
      <c r="H983">
        <v>48</v>
      </c>
      <c r="I983">
        <v>48</v>
      </c>
      <c r="J983">
        <f>SUM(Table2[[#This Row],[math score]:[writing score]])</f>
        <v>160</v>
      </c>
      <c r="K983">
        <f>Table2[[#This Row],[Total score]]/3</f>
        <v>53.333333333333336</v>
      </c>
    </row>
    <row r="984" spans="1:11" x14ac:dyDescent="0.25">
      <c r="A984" t="s">
        <v>1011</v>
      </c>
      <c r="B984" t="s">
        <v>8</v>
      </c>
      <c r="C984" t="s">
        <v>23</v>
      </c>
      <c r="D984" t="s">
        <v>24</v>
      </c>
      <c r="E984" t="s">
        <v>16</v>
      </c>
      <c r="F984" t="s">
        <v>12</v>
      </c>
      <c r="G984">
        <v>69</v>
      </c>
      <c r="H984">
        <v>79</v>
      </c>
      <c r="I984">
        <v>72</v>
      </c>
      <c r="J984">
        <f>SUM(Table2[[#This Row],[math score]:[writing score]])</f>
        <v>220</v>
      </c>
      <c r="K984">
        <f>Table2[[#This Row],[Total score]]/3</f>
        <v>73.333333333333329</v>
      </c>
    </row>
    <row r="985" spans="1:11" x14ac:dyDescent="0.25">
      <c r="A985" t="s">
        <v>1012</v>
      </c>
      <c r="B985" t="s">
        <v>8</v>
      </c>
      <c r="C985" t="s">
        <v>9</v>
      </c>
      <c r="D985" t="s">
        <v>15</v>
      </c>
      <c r="E985" t="s">
        <v>11</v>
      </c>
      <c r="F985" t="s">
        <v>17</v>
      </c>
      <c r="G985">
        <v>58</v>
      </c>
      <c r="H985">
        <v>50</v>
      </c>
      <c r="I985">
        <v>47</v>
      </c>
      <c r="J985">
        <f>SUM(Table2[[#This Row],[math score]:[writing score]])</f>
        <v>155</v>
      </c>
      <c r="K985">
        <f>Table2[[#This Row],[Total score]]/3</f>
        <v>51.666666666666664</v>
      </c>
    </row>
    <row r="986" spans="1:11" x14ac:dyDescent="0.25">
      <c r="A986" t="s">
        <v>1013</v>
      </c>
      <c r="B986" t="s">
        <v>13</v>
      </c>
      <c r="C986" t="s">
        <v>14</v>
      </c>
      <c r="D986" t="s">
        <v>10</v>
      </c>
      <c r="E986" t="s">
        <v>11</v>
      </c>
      <c r="F986" t="s">
        <v>17</v>
      </c>
      <c r="G986">
        <v>63</v>
      </c>
      <c r="H986">
        <v>71</v>
      </c>
      <c r="I986">
        <v>75</v>
      </c>
      <c r="J986">
        <f>SUM(Table2[[#This Row],[math score]:[writing score]])</f>
        <v>209</v>
      </c>
      <c r="K986">
        <f>Table2[[#This Row],[Total score]]/3</f>
        <v>69.666666666666671</v>
      </c>
    </row>
    <row r="987" spans="1:11" x14ac:dyDescent="0.25">
      <c r="A987" t="s">
        <v>1014</v>
      </c>
      <c r="B987" t="s">
        <v>8</v>
      </c>
      <c r="C987" t="s">
        <v>18</v>
      </c>
      <c r="D987" t="s">
        <v>21</v>
      </c>
      <c r="E987" t="s">
        <v>11</v>
      </c>
      <c r="F987" t="s">
        <v>17</v>
      </c>
      <c r="G987">
        <v>74</v>
      </c>
      <c r="H987">
        <v>73</v>
      </c>
      <c r="I987">
        <v>67</v>
      </c>
      <c r="J987">
        <f>SUM(Table2[[#This Row],[math score]:[writing score]])</f>
        <v>214</v>
      </c>
      <c r="K987">
        <f>Table2[[#This Row],[Total score]]/3</f>
        <v>71.333333333333329</v>
      </c>
    </row>
    <row r="988" spans="1:11" x14ac:dyDescent="0.25">
      <c r="A988" t="s">
        <v>1015</v>
      </c>
      <c r="B988" t="s">
        <v>8</v>
      </c>
      <c r="C988" t="s">
        <v>18</v>
      </c>
      <c r="D988" t="s">
        <v>19</v>
      </c>
      <c r="E988" t="s">
        <v>16</v>
      </c>
      <c r="F988" t="s">
        <v>17</v>
      </c>
      <c r="G988">
        <v>78</v>
      </c>
      <c r="H988">
        <v>84</v>
      </c>
      <c r="I988">
        <v>77</v>
      </c>
      <c r="J988">
        <f>SUM(Table2[[#This Row],[math score]:[writing score]])</f>
        <v>239</v>
      </c>
      <c r="K988">
        <f>Table2[[#This Row],[Total score]]/3</f>
        <v>79.666666666666671</v>
      </c>
    </row>
    <row r="989" spans="1:11" x14ac:dyDescent="0.25">
      <c r="A989" t="s">
        <v>1016</v>
      </c>
      <c r="B989" t="s">
        <v>8</v>
      </c>
      <c r="C989" t="s">
        <v>9</v>
      </c>
      <c r="D989" t="s">
        <v>19</v>
      </c>
      <c r="E989" t="s">
        <v>11</v>
      </c>
      <c r="F989" t="s">
        <v>12</v>
      </c>
      <c r="G989">
        <v>78</v>
      </c>
      <c r="H989">
        <v>78</v>
      </c>
      <c r="I989">
        <v>74</v>
      </c>
      <c r="J989">
        <f>SUM(Table2[[#This Row],[math score]:[writing score]])</f>
        <v>230</v>
      </c>
      <c r="K989">
        <f>Table2[[#This Row],[Total score]]/3</f>
        <v>76.666666666666671</v>
      </c>
    </row>
    <row r="990" spans="1:11" x14ac:dyDescent="0.25">
      <c r="A990" t="s">
        <v>1017</v>
      </c>
      <c r="B990" t="s">
        <v>13</v>
      </c>
      <c r="C990" t="s">
        <v>20</v>
      </c>
      <c r="D990" t="s">
        <v>19</v>
      </c>
      <c r="E990" t="s">
        <v>11</v>
      </c>
      <c r="F990" t="s">
        <v>17</v>
      </c>
      <c r="G990">
        <v>75</v>
      </c>
      <c r="H990">
        <v>76</v>
      </c>
      <c r="I990">
        <v>81</v>
      </c>
      <c r="J990">
        <f>SUM(Table2[[#This Row],[math score]:[writing score]])</f>
        <v>232</v>
      </c>
      <c r="K990">
        <f>Table2[[#This Row],[Total score]]/3</f>
        <v>77.333333333333329</v>
      </c>
    </row>
    <row r="991" spans="1:11" x14ac:dyDescent="0.25">
      <c r="A991" t="s">
        <v>1018</v>
      </c>
      <c r="B991" t="s">
        <v>8</v>
      </c>
      <c r="C991" t="s">
        <v>14</v>
      </c>
      <c r="D991" t="s">
        <v>19</v>
      </c>
      <c r="E991" t="s">
        <v>11</v>
      </c>
      <c r="F991" t="s">
        <v>12</v>
      </c>
      <c r="G991">
        <v>70</v>
      </c>
      <c r="H991">
        <v>60</v>
      </c>
      <c r="I991">
        <v>65</v>
      </c>
      <c r="J991">
        <f>SUM(Table2[[#This Row],[math score]:[writing score]])</f>
        <v>195</v>
      </c>
      <c r="K991">
        <f>Table2[[#This Row],[Total score]]/3</f>
        <v>65</v>
      </c>
    </row>
    <row r="992" spans="1:11" x14ac:dyDescent="0.25">
      <c r="A992" t="s">
        <v>1019</v>
      </c>
      <c r="B992" t="s">
        <v>8</v>
      </c>
      <c r="C992" t="s">
        <v>14</v>
      </c>
      <c r="D992" t="s">
        <v>19</v>
      </c>
      <c r="E992" t="s">
        <v>11</v>
      </c>
      <c r="F992" t="s">
        <v>17</v>
      </c>
      <c r="G992">
        <v>67</v>
      </c>
      <c r="H992">
        <v>55</v>
      </c>
      <c r="I992">
        <v>53</v>
      </c>
      <c r="J992">
        <f>SUM(Table2[[#This Row],[math score]:[writing score]])</f>
        <v>175</v>
      </c>
      <c r="K992">
        <f>Table2[[#This Row],[Total score]]/3</f>
        <v>58.333333333333336</v>
      </c>
    </row>
    <row r="993" spans="1:11" x14ac:dyDescent="0.25">
      <c r="A993" t="s">
        <v>1020</v>
      </c>
      <c r="B993" t="s">
        <v>13</v>
      </c>
      <c r="C993" t="s">
        <v>23</v>
      </c>
      <c r="D993" t="s">
        <v>21</v>
      </c>
      <c r="E993" t="s">
        <v>11</v>
      </c>
      <c r="F993" t="s">
        <v>17</v>
      </c>
      <c r="G993">
        <v>87</v>
      </c>
      <c r="H993">
        <v>93</v>
      </c>
      <c r="I993">
        <v>88</v>
      </c>
      <c r="J993">
        <f>SUM(Table2[[#This Row],[math score]:[writing score]])</f>
        <v>268</v>
      </c>
      <c r="K993">
        <f>Table2[[#This Row],[Total score]]/3</f>
        <v>89.333333333333329</v>
      </c>
    </row>
    <row r="994" spans="1:11" x14ac:dyDescent="0.25">
      <c r="A994" t="s">
        <v>1021</v>
      </c>
      <c r="B994" t="s">
        <v>8</v>
      </c>
      <c r="C994" t="s">
        <v>23</v>
      </c>
      <c r="D994" t="s">
        <v>19</v>
      </c>
      <c r="E994" t="s">
        <v>11</v>
      </c>
      <c r="F994" t="s">
        <v>17</v>
      </c>
      <c r="G994">
        <v>69</v>
      </c>
      <c r="H994">
        <v>63</v>
      </c>
      <c r="I994">
        <v>66</v>
      </c>
      <c r="J994">
        <f>SUM(Table2[[#This Row],[math score]:[writing score]])</f>
        <v>198</v>
      </c>
      <c r="K994">
        <f>Table2[[#This Row],[Total score]]/3</f>
        <v>66</v>
      </c>
    </row>
    <row r="995" spans="1:11" x14ac:dyDescent="0.25">
      <c r="A995" t="s">
        <v>1022</v>
      </c>
      <c r="B995" t="s">
        <v>13</v>
      </c>
      <c r="C995" t="s">
        <v>9</v>
      </c>
      <c r="D995" t="s">
        <v>21</v>
      </c>
      <c r="E995" t="s">
        <v>11</v>
      </c>
      <c r="F995" t="s">
        <v>17</v>
      </c>
      <c r="G995">
        <v>58</v>
      </c>
      <c r="H995">
        <v>54</v>
      </c>
      <c r="I995">
        <v>58</v>
      </c>
      <c r="J995">
        <f>SUM(Table2[[#This Row],[math score]:[writing score]])</f>
        <v>170</v>
      </c>
      <c r="K995">
        <f>Table2[[#This Row],[Total score]]/3</f>
        <v>56.666666666666664</v>
      </c>
    </row>
    <row r="996" spans="1:11" x14ac:dyDescent="0.25">
      <c r="A996" t="s">
        <v>1023</v>
      </c>
      <c r="B996" t="s">
        <v>8</v>
      </c>
      <c r="C996" t="s">
        <v>18</v>
      </c>
      <c r="D996" t="s">
        <v>10</v>
      </c>
      <c r="E996" t="s">
        <v>16</v>
      </c>
      <c r="F996" t="s">
        <v>12</v>
      </c>
      <c r="G996">
        <v>86</v>
      </c>
      <c r="H996">
        <v>82</v>
      </c>
      <c r="I996">
        <v>75</v>
      </c>
      <c r="J996">
        <f>SUM(Table2[[#This Row],[math score]:[writing score]])</f>
        <v>243</v>
      </c>
      <c r="K996">
        <f>Table2[[#This Row],[Total score]]/3</f>
        <v>81</v>
      </c>
    </row>
    <row r="997" spans="1:11" x14ac:dyDescent="0.25">
      <c r="A997" t="s">
        <v>1024</v>
      </c>
      <c r="B997" t="s">
        <v>8</v>
      </c>
      <c r="C997" t="s">
        <v>23</v>
      </c>
      <c r="D997" t="s">
        <v>10</v>
      </c>
      <c r="E997" t="s">
        <v>11</v>
      </c>
      <c r="F997" t="s">
        <v>17</v>
      </c>
      <c r="G997">
        <v>73</v>
      </c>
      <c r="H997">
        <v>70</v>
      </c>
      <c r="I997">
        <v>65</v>
      </c>
      <c r="J997">
        <f>SUM(Table2[[#This Row],[math score]:[writing score]])</f>
        <v>208</v>
      </c>
      <c r="K997">
        <f>Table2[[#This Row],[Total score]]/3</f>
        <v>69.333333333333329</v>
      </c>
    </row>
    <row r="998" spans="1:11" x14ac:dyDescent="0.25">
      <c r="A998" t="s">
        <v>1025</v>
      </c>
      <c r="B998" t="s">
        <v>8</v>
      </c>
      <c r="C998" t="s">
        <v>14</v>
      </c>
      <c r="D998" t="s">
        <v>21</v>
      </c>
      <c r="E998" t="s">
        <v>16</v>
      </c>
      <c r="F998" t="s">
        <v>12</v>
      </c>
      <c r="G998">
        <v>85</v>
      </c>
      <c r="H998">
        <v>91</v>
      </c>
      <c r="I998">
        <v>92</v>
      </c>
      <c r="J998">
        <f>SUM(Table2[[#This Row],[math score]:[writing score]])</f>
        <v>268</v>
      </c>
      <c r="K998">
        <f>Table2[[#This Row],[Total score]]/3</f>
        <v>89.333333333333329</v>
      </c>
    </row>
    <row r="999" spans="1:11" x14ac:dyDescent="0.25">
      <c r="A999" t="s">
        <v>1026</v>
      </c>
      <c r="B999" t="s">
        <v>13</v>
      </c>
      <c r="C999" t="s">
        <v>23</v>
      </c>
      <c r="D999" t="s">
        <v>15</v>
      </c>
      <c r="E999" t="s">
        <v>16</v>
      </c>
      <c r="F999" t="s">
        <v>17</v>
      </c>
      <c r="G999">
        <v>32</v>
      </c>
      <c r="H999">
        <v>35</v>
      </c>
      <c r="I999">
        <v>41</v>
      </c>
      <c r="J999">
        <f>SUM(Table2[[#This Row],[math score]:[writing score]])</f>
        <v>108</v>
      </c>
      <c r="K999">
        <f>Table2[[#This Row],[Total score]]/3</f>
        <v>36</v>
      </c>
    </row>
    <row r="1000" spans="1:11" x14ac:dyDescent="0.25">
      <c r="A1000" t="s">
        <v>1027</v>
      </c>
      <c r="B1000" t="s">
        <v>13</v>
      </c>
      <c r="C1000" t="s">
        <v>23</v>
      </c>
      <c r="D1000" t="s">
        <v>19</v>
      </c>
      <c r="E1000" t="s">
        <v>11</v>
      </c>
      <c r="F1000" t="s">
        <v>17</v>
      </c>
      <c r="G1000">
        <v>73</v>
      </c>
      <c r="H1000">
        <v>74</v>
      </c>
      <c r="I1000">
        <v>82</v>
      </c>
      <c r="J1000">
        <f>SUM(Table2[[#This Row],[math score]:[writing score]])</f>
        <v>229</v>
      </c>
      <c r="K1000">
        <f>Table2[[#This Row],[Total score]]/3</f>
        <v>76.333333333333329</v>
      </c>
    </row>
    <row r="1001" spans="1:11" x14ac:dyDescent="0.25">
      <c r="A1001" t="s">
        <v>1028</v>
      </c>
      <c r="B1001" t="s">
        <v>8</v>
      </c>
      <c r="C1001" t="s">
        <v>9</v>
      </c>
      <c r="D1001" t="s">
        <v>19</v>
      </c>
      <c r="E1001" t="s">
        <v>11</v>
      </c>
      <c r="F1001" t="s">
        <v>12</v>
      </c>
      <c r="G1001">
        <v>65</v>
      </c>
      <c r="H1001">
        <v>60</v>
      </c>
      <c r="I1001">
        <v>62</v>
      </c>
      <c r="J1001">
        <f>SUM(Table2[[#This Row],[math score]:[writing score]])</f>
        <v>187</v>
      </c>
      <c r="K1001">
        <f>Table2[[#This Row],[Total score]]/3</f>
        <v>62.333333333333336</v>
      </c>
    </row>
  </sheetData>
  <phoneticPr fontId="18"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exams</vt:lpstr>
      <vt:lpstr>Dashboard</vt:lpstr>
      <vt:lpstr>Pivot chart</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 PC</dc:creator>
  <cp:lastModifiedBy>PERSONAL PC</cp:lastModifiedBy>
  <dcterms:created xsi:type="dcterms:W3CDTF">2023-08-26T14:13:54Z</dcterms:created>
  <dcterms:modified xsi:type="dcterms:W3CDTF">2023-10-01T20:59:45Z</dcterms:modified>
</cp:coreProperties>
</file>