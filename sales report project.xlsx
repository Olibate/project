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USER\Desktop\Data Analysis Doc\Excel Projects\"/>
    </mc:Choice>
  </mc:AlternateContent>
  <bookViews>
    <workbookView xWindow="-120" yWindow="-120" windowWidth="20730" windowHeight="11160"/>
  </bookViews>
  <sheets>
    <sheet name="Supermarket_Sales" sheetId="1" r:id="rId1"/>
    <sheet name="Cleaning" sheetId="2" r:id="rId2"/>
    <sheet name="Sheet5" sheetId="6" r:id="rId3"/>
    <sheet name="Sheet6" sheetId="7" r:id="rId4"/>
    <sheet name="Sheet7" sheetId="8" r:id="rId5"/>
    <sheet name="Dashboard Pivot" sheetId="4" r:id="rId6"/>
    <sheet name="Table" sheetId="3" r:id="rId7"/>
    <sheet name="Dashboard" sheetId="5" r:id="rId8"/>
  </sheets>
  <definedNames>
    <definedName name="Slicer_Branch">#N/A</definedName>
    <definedName name="Slicer_Days">#N/A</definedName>
    <definedName name="Slicer_Gender">#N/A</definedName>
    <definedName name="Slicer_Months">#N/A</definedName>
  </definedNames>
  <calcPr calcId="152511"/>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G990" i="3" l="1"/>
  <c r="G986" i="3"/>
  <c r="G984" i="3"/>
  <c r="G985" i="3"/>
  <c r="J3" i="3"/>
  <c r="J7" i="3"/>
  <c r="J2" i="3"/>
  <c r="J4" i="3"/>
  <c r="J5" i="3"/>
  <c r="J6"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H2" i="3"/>
  <c r="H3" i="3"/>
  <c r="H4" i="3"/>
  <c r="H5" i="3"/>
  <c r="H6" i="3"/>
  <c r="H7" i="3"/>
  <c r="H8" i="3"/>
  <c r="H9" i="3"/>
  <c r="H10" i="3"/>
  <c r="H11" i="3"/>
  <c r="H12" i="3"/>
  <c r="H13" i="3"/>
  <c r="H14" i="3"/>
  <c r="H15" i="3"/>
  <c r="H16" i="3"/>
  <c r="H17" i="3"/>
  <c r="H18" i="3"/>
  <c r="H19" i="3"/>
  <c r="H20" i="3"/>
  <c r="H21" i="3"/>
  <c r="H22" i="3"/>
  <c r="H23" i="3"/>
  <c r="H24" i="3"/>
  <c r="H1001" i="3"/>
  <c r="G1001" i="3"/>
  <c r="H1000" i="3"/>
  <c r="G1000" i="3"/>
  <c r="H999" i="3"/>
  <c r="G999" i="3"/>
  <c r="H998" i="3"/>
  <c r="G998" i="3"/>
  <c r="H997" i="3"/>
  <c r="G997" i="3"/>
  <c r="H996" i="3"/>
  <c r="G996" i="3"/>
  <c r="H995" i="3"/>
  <c r="G995" i="3"/>
  <c r="H994" i="3"/>
  <c r="G994" i="3"/>
  <c r="H993" i="3"/>
  <c r="H992" i="3"/>
  <c r="G992" i="3"/>
  <c r="H991" i="3"/>
  <c r="G991" i="3"/>
  <c r="H990" i="3"/>
  <c r="H989" i="3"/>
  <c r="G989" i="3"/>
  <c r="H988" i="3"/>
  <c r="G988" i="3"/>
  <c r="H987" i="3"/>
  <c r="G987" i="3"/>
  <c r="H986" i="3"/>
  <c r="H985" i="3"/>
  <c r="H984" i="3"/>
  <c r="H983" i="3"/>
  <c r="G983" i="3"/>
  <c r="H982" i="3"/>
  <c r="G982" i="3"/>
  <c r="H981" i="3"/>
  <c r="G981" i="3"/>
  <c r="H980" i="3"/>
  <c r="G980" i="3"/>
  <c r="H979" i="3"/>
  <c r="G979" i="3"/>
  <c r="H978" i="3"/>
  <c r="G978" i="3"/>
  <c r="H977" i="3"/>
  <c r="G977" i="3"/>
  <c r="H976" i="3"/>
  <c r="G976" i="3"/>
  <c r="H975" i="3"/>
  <c r="G975" i="3"/>
  <c r="H974" i="3"/>
  <c r="G974" i="3"/>
  <c r="H973" i="3"/>
  <c r="G973" i="3"/>
  <c r="H972" i="3"/>
  <c r="G972" i="3"/>
  <c r="H971" i="3"/>
  <c r="G971" i="3"/>
  <c r="H970" i="3"/>
  <c r="G970" i="3"/>
  <c r="H969" i="3"/>
  <c r="G969" i="3"/>
  <c r="H968" i="3"/>
  <c r="G968" i="3"/>
  <c r="H967" i="3"/>
  <c r="G967" i="3"/>
  <c r="H966" i="3"/>
  <c r="G966" i="3"/>
  <c r="H965" i="3"/>
  <c r="G965" i="3"/>
  <c r="H964" i="3"/>
  <c r="G964" i="3"/>
  <c r="H963" i="3"/>
  <c r="G963" i="3"/>
  <c r="H962" i="3"/>
  <c r="G962" i="3"/>
  <c r="H961" i="3"/>
  <c r="G961" i="3"/>
  <c r="H960" i="3"/>
  <c r="G960" i="3"/>
  <c r="H959" i="3"/>
  <c r="G959" i="3"/>
  <c r="H958" i="3"/>
  <c r="G958" i="3"/>
  <c r="H957" i="3"/>
  <c r="G957" i="3"/>
  <c r="H956" i="3"/>
  <c r="G956" i="3"/>
  <c r="H955" i="3"/>
  <c r="G955" i="3"/>
  <c r="H954" i="3"/>
  <c r="G954" i="3"/>
  <c r="H953" i="3"/>
  <c r="G953" i="3"/>
  <c r="H952" i="3"/>
  <c r="G952" i="3"/>
  <c r="H951" i="3"/>
  <c r="G951" i="3"/>
  <c r="H950" i="3"/>
  <c r="G950" i="3"/>
  <c r="H949" i="3"/>
  <c r="G949" i="3"/>
  <c r="H948" i="3"/>
  <c r="G948" i="3"/>
  <c r="H947" i="3"/>
  <c r="G947" i="3"/>
  <c r="H946" i="3"/>
  <c r="G946" i="3"/>
  <c r="H945" i="3"/>
  <c r="G945" i="3"/>
  <c r="H944" i="3"/>
  <c r="G944" i="3"/>
  <c r="H943" i="3"/>
  <c r="G943" i="3"/>
  <c r="H942" i="3"/>
  <c r="G942" i="3"/>
  <c r="H941" i="3"/>
  <c r="G941" i="3"/>
  <c r="H940" i="3"/>
  <c r="G940" i="3"/>
  <c r="H939" i="3"/>
  <c r="G939" i="3"/>
  <c r="H938" i="3"/>
  <c r="G938" i="3"/>
  <c r="H937" i="3"/>
  <c r="G937" i="3"/>
  <c r="H936" i="3"/>
  <c r="G936" i="3"/>
  <c r="H935" i="3"/>
  <c r="G935" i="3"/>
  <c r="H934" i="3"/>
  <c r="G934" i="3"/>
  <c r="H933" i="3"/>
  <c r="G933" i="3"/>
  <c r="H932" i="3"/>
  <c r="G932" i="3"/>
  <c r="H931" i="3"/>
  <c r="G931" i="3"/>
  <c r="H930" i="3"/>
  <c r="G930" i="3"/>
  <c r="H929" i="3"/>
  <c r="G929" i="3"/>
  <c r="H928" i="3"/>
  <c r="G928" i="3"/>
  <c r="H927" i="3"/>
  <c r="G927" i="3"/>
  <c r="H926" i="3"/>
  <c r="G926" i="3"/>
  <c r="H925" i="3"/>
  <c r="G925" i="3"/>
  <c r="H924" i="3"/>
  <c r="G924" i="3"/>
  <c r="H923" i="3"/>
  <c r="G923" i="3"/>
  <c r="H922" i="3"/>
  <c r="G922" i="3"/>
  <c r="H921" i="3"/>
  <c r="G921" i="3"/>
  <c r="H920" i="3"/>
  <c r="G920" i="3"/>
  <c r="H919" i="3"/>
  <c r="G919" i="3"/>
  <c r="H918" i="3"/>
  <c r="G918" i="3"/>
  <c r="H917" i="3"/>
  <c r="G917" i="3"/>
  <c r="H916" i="3"/>
  <c r="G916" i="3"/>
  <c r="H915" i="3"/>
  <c r="G915" i="3"/>
  <c r="H914" i="3"/>
  <c r="G914" i="3"/>
  <c r="H913" i="3"/>
  <c r="G913" i="3"/>
  <c r="H912" i="3"/>
  <c r="G912" i="3"/>
  <c r="H911" i="3"/>
  <c r="G911" i="3"/>
  <c r="H910" i="3"/>
  <c r="G910" i="3"/>
  <c r="H909" i="3"/>
  <c r="G909" i="3"/>
  <c r="H908" i="3"/>
  <c r="G908" i="3"/>
  <c r="H907" i="3"/>
  <c r="G907" i="3"/>
  <c r="H906" i="3"/>
  <c r="G906" i="3"/>
  <c r="H905" i="3"/>
  <c r="G905" i="3"/>
  <c r="H904" i="3"/>
  <c r="G904" i="3"/>
  <c r="H903" i="3"/>
  <c r="G903" i="3"/>
  <c r="H902" i="3"/>
  <c r="G902" i="3"/>
  <c r="H901" i="3"/>
  <c r="G901" i="3"/>
  <c r="H900" i="3"/>
  <c r="G900" i="3"/>
  <c r="H899" i="3"/>
  <c r="G899" i="3"/>
  <c r="H898" i="3"/>
  <c r="G898" i="3"/>
  <c r="H897" i="3"/>
  <c r="G897" i="3"/>
  <c r="H896" i="3"/>
  <c r="G896" i="3"/>
  <c r="H895" i="3"/>
  <c r="G895" i="3"/>
  <c r="H894" i="3"/>
  <c r="G894" i="3"/>
  <c r="H893" i="3"/>
  <c r="G893" i="3"/>
  <c r="H892" i="3"/>
  <c r="G892" i="3"/>
  <c r="H891" i="3"/>
  <c r="G891" i="3"/>
  <c r="H890" i="3"/>
  <c r="G890" i="3"/>
  <c r="H889" i="3"/>
  <c r="G889" i="3"/>
  <c r="H888" i="3"/>
  <c r="G888" i="3"/>
  <c r="H887" i="3"/>
  <c r="G887" i="3"/>
  <c r="H886" i="3"/>
  <c r="G886" i="3"/>
  <c r="H885" i="3"/>
  <c r="G885" i="3"/>
  <c r="H884" i="3"/>
  <c r="G884" i="3"/>
  <c r="H883" i="3"/>
  <c r="G883" i="3"/>
  <c r="H882" i="3"/>
  <c r="G882" i="3"/>
  <c r="H881" i="3"/>
  <c r="G881" i="3"/>
  <c r="H880" i="3"/>
  <c r="G880" i="3"/>
  <c r="H879" i="3"/>
  <c r="G879" i="3"/>
  <c r="H878" i="3"/>
  <c r="G878" i="3"/>
  <c r="H877" i="3"/>
  <c r="G877" i="3"/>
  <c r="H876" i="3"/>
  <c r="G876" i="3"/>
  <c r="H875" i="3"/>
  <c r="G875" i="3"/>
  <c r="H874" i="3"/>
  <c r="G874" i="3"/>
  <c r="H873" i="3"/>
  <c r="G873" i="3"/>
  <c r="H872" i="3"/>
  <c r="G872" i="3"/>
  <c r="H871" i="3"/>
  <c r="G871" i="3"/>
  <c r="H870" i="3"/>
  <c r="G870" i="3"/>
  <c r="H869" i="3"/>
  <c r="G869" i="3"/>
  <c r="H868" i="3"/>
  <c r="G868" i="3"/>
  <c r="H867" i="3"/>
  <c r="G867" i="3"/>
  <c r="H866" i="3"/>
  <c r="G866" i="3"/>
  <c r="H865" i="3"/>
  <c r="G865" i="3"/>
  <c r="H864" i="3"/>
  <c r="G864" i="3"/>
  <c r="H863" i="3"/>
  <c r="G863" i="3"/>
  <c r="H862" i="3"/>
  <c r="G862" i="3"/>
  <c r="H861" i="3"/>
  <c r="G861" i="3"/>
  <c r="H860" i="3"/>
  <c r="G860" i="3"/>
  <c r="H859" i="3"/>
  <c r="G859" i="3"/>
  <c r="H858" i="3"/>
  <c r="G858" i="3"/>
  <c r="H857" i="3"/>
  <c r="G857" i="3"/>
  <c r="H856" i="3"/>
  <c r="G856" i="3"/>
  <c r="H855" i="3"/>
  <c r="G855" i="3"/>
  <c r="H854" i="3"/>
  <c r="G854" i="3"/>
  <c r="H853" i="3"/>
  <c r="G853" i="3"/>
  <c r="H852" i="3"/>
  <c r="G852" i="3"/>
  <c r="H851" i="3"/>
  <c r="G851" i="3"/>
  <c r="H850" i="3"/>
  <c r="G850" i="3"/>
  <c r="H849" i="3"/>
  <c r="G849" i="3"/>
  <c r="H848" i="3"/>
  <c r="G848" i="3"/>
  <c r="H847" i="3"/>
  <c r="G847" i="3"/>
  <c r="H846" i="3"/>
  <c r="G846" i="3"/>
  <c r="H845" i="3"/>
  <c r="G845" i="3"/>
  <c r="H844" i="3"/>
  <c r="G844" i="3"/>
  <c r="H843" i="3"/>
  <c r="G843" i="3"/>
  <c r="H842" i="3"/>
  <c r="G842" i="3"/>
  <c r="H841" i="3"/>
  <c r="G841" i="3"/>
  <c r="H840" i="3"/>
  <c r="G840" i="3"/>
  <c r="H839" i="3"/>
  <c r="G839" i="3"/>
  <c r="H838" i="3"/>
  <c r="G838" i="3"/>
  <c r="H837" i="3"/>
  <c r="G837" i="3"/>
  <c r="H836" i="3"/>
  <c r="G836" i="3"/>
  <c r="H835" i="3"/>
  <c r="G835" i="3"/>
  <c r="H834" i="3"/>
  <c r="G834" i="3"/>
  <c r="H833" i="3"/>
  <c r="G833" i="3"/>
  <c r="H832" i="3"/>
  <c r="G832" i="3"/>
  <c r="H831" i="3"/>
  <c r="G831" i="3"/>
  <c r="H830" i="3"/>
  <c r="G830" i="3"/>
  <c r="H829" i="3"/>
  <c r="G829" i="3"/>
  <c r="H828" i="3"/>
  <c r="G828" i="3"/>
  <c r="H827" i="3"/>
  <c r="G827" i="3"/>
  <c r="H826" i="3"/>
  <c r="G826" i="3"/>
  <c r="H825" i="3"/>
  <c r="G825" i="3"/>
  <c r="H824" i="3"/>
  <c r="G824" i="3"/>
  <c r="H823" i="3"/>
  <c r="G823" i="3"/>
  <c r="H822" i="3"/>
  <c r="G822" i="3"/>
  <c r="H821" i="3"/>
  <c r="G821" i="3"/>
  <c r="H820" i="3"/>
  <c r="G820" i="3"/>
  <c r="H819" i="3"/>
  <c r="G819" i="3"/>
  <c r="H818" i="3"/>
  <c r="G818" i="3"/>
  <c r="H817" i="3"/>
  <c r="G817" i="3"/>
  <c r="H816" i="3"/>
  <c r="G816" i="3"/>
  <c r="H815" i="3"/>
  <c r="G815" i="3"/>
  <c r="H814" i="3"/>
  <c r="G814" i="3"/>
  <c r="H813" i="3"/>
  <c r="G813" i="3"/>
  <c r="H812" i="3"/>
  <c r="G812" i="3"/>
  <c r="H811" i="3"/>
  <c r="G811" i="3"/>
  <c r="H810" i="3"/>
  <c r="G810" i="3"/>
  <c r="H809" i="3"/>
  <c r="G809" i="3"/>
  <c r="H808" i="3"/>
  <c r="G808" i="3"/>
  <c r="H807" i="3"/>
  <c r="G807" i="3"/>
  <c r="H806" i="3"/>
  <c r="G806" i="3"/>
  <c r="H805" i="3"/>
  <c r="G805" i="3"/>
  <c r="H804" i="3"/>
  <c r="G804" i="3"/>
  <c r="H803" i="3"/>
  <c r="G803" i="3"/>
  <c r="H802" i="3"/>
  <c r="G802" i="3"/>
  <c r="H801" i="3"/>
  <c r="G801" i="3"/>
  <c r="H800" i="3"/>
  <c r="G800" i="3"/>
  <c r="H799" i="3"/>
  <c r="G799" i="3"/>
  <c r="H798" i="3"/>
  <c r="G798" i="3"/>
  <c r="H797" i="3"/>
  <c r="G797" i="3"/>
  <c r="H796" i="3"/>
  <c r="G796" i="3"/>
  <c r="H795" i="3"/>
  <c r="G795" i="3"/>
  <c r="H794" i="3"/>
  <c r="G794" i="3"/>
  <c r="H793" i="3"/>
  <c r="G793" i="3"/>
  <c r="H792" i="3"/>
  <c r="G792" i="3"/>
  <c r="H791" i="3"/>
  <c r="G791" i="3"/>
  <c r="H790" i="3"/>
  <c r="G790" i="3"/>
  <c r="H789" i="3"/>
  <c r="G789" i="3"/>
  <c r="H788" i="3"/>
  <c r="G788" i="3"/>
  <c r="H787" i="3"/>
  <c r="G787" i="3"/>
  <c r="H786" i="3"/>
  <c r="G786" i="3"/>
  <c r="H785" i="3"/>
  <c r="G785" i="3"/>
  <c r="H784" i="3"/>
  <c r="G784" i="3"/>
  <c r="H783" i="3"/>
  <c r="G783" i="3"/>
  <c r="H782" i="3"/>
  <c r="G782" i="3"/>
  <c r="H781" i="3"/>
  <c r="G781" i="3"/>
  <c r="H780" i="3"/>
  <c r="G780" i="3"/>
  <c r="H779" i="3"/>
  <c r="G779" i="3"/>
  <c r="H778" i="3"/>
  <c r="G778" i="3"/>
  <c r="H777" i="3"/>
  <c r="G777" i="3"/>
  <c r="H776" i="3"/>
  <c r="G776" i="3"/>
  <c r="H775" i="3"/>
  <c r="G775" i="3"/>
  <c r="H774" i="3"/>
  <c r="G774" i="3"/>
  <c r="H773" i="3"/>
  <c r="G773" i="3"/>
  <c r="H772" i="3"/>
  <c r="G772" i="3"/>
  <c r="H771" i="3"/>
  <c r="G771" i="3"/>
  <c r="H770" i="3"/>
  <c r="G770" i="3"/>
  <c r="H769" i="3"/>
  <c r="G769" i="3"/>
  <c r="H768" i="3"/>
  <c r="G768" i="3"/>
  <c r="H767" i="3"/>
  <c r="G767" i="3"/>
  <c r="H766" i="3"/>
  <c r="G766" i="3"/>
  <c r="H765" i="3"/>
  <c r="G765" i="3"/>
  <c r="H764" i="3"/>
  <c r="G764" i="3"/>
  <c r="H763" i="3"/>
  <c r="G763" i="3"/>
  <c r="H762" i="3"/>
  <c r="G762" i="3"/>
  <c r="H761" i="3"/>
  <c r="G761" i="3"/>
  <c r="H760" i="3"/>
  <c r="G760" i="3"/>
  <c r="H759" i="3"/>
  <c r="G759" i="3"/>
  <c r="H758" i="3"/>
  <c r="G758" i="3"/>
  <c r="H757" i="3"/>
  <c r="G757" i="3"/>
  <c r="H756" i="3"/>
  <c r="G756" i="3"/>
  <c r="H755" i="3"/>
  <c r="G755" i="3"/>
  <c r="H754" i="3"/>
  <c r="G754" i="3"/>
  <c r="H753" i="3"/>
  <c r="G753" i="3"/>
  <c r="H752" i="3"/>
  <c r="G752" i="3"/>
  <c r="H751" i="3"/>
  <c r="G751" i="3"/>
  <c r="H750" i="3"/>
  <c r="G750" i="3"/>
  <c r="H749" i="3"/>
  <c r="G749" i="3"/>
  <c r="H748" i="3"/>
  <c r="G748" i="3"/>
  <c r="H747" i="3"/>
  <c r="G747" i="3"/>
  <c r="H746" i="3"/>
  <c r="G746" i="3"/>
  <c r="H745" i="3"/>
  <c r="G745" i="3"/>
  <c r="H744" i="3"/>
  <c r="G744" i="3"/>
  <c r="H743" i="3"/>
  <c r="G743" i="3"/>
  <c r="H742" i="3"/>
  <c r="G742" i="3"/>
  <c r="H741" i="3"/>
  <c r="G741" i="3"/>
  <c r="H740" i="3"/>
  <c r="G740" i="3"/>
  <c r="H739" i="3"/>
  <c r="G739" i="3"/>
  <c r="H738" i="3"/>
  <c r="G738" i="3"/>
  <c r="H737" i="3"/>
  <c r="G737" i="3"/>
  <c r="H736" i="3"/>
  <c r="G736" i="3"/>
  <c r="H735" i="3"/>
  <c r="G735" i="3"/>
  <c r="H734" i="3"/>
  <c r="G734" i="3"/>
  <c r="H733" i="3"/>
  <c r="G733" i="3"/>
  <c r="H732" i="3"/>
  <c r="G732" i="3"/>
  <c r="H731" i="3"/>
  <c r="G731" i="3"/>
  <c r="H730" i="3"/>
  <c r="G730" i="3"/>
  <c r="H729" i="3"/>
  <c r="G729" i="3"/>
  <c r="H728" i="3"/>
  <c r="G728" i="3"/>
  <c r="H727" i="3"/>
  <c r="G727" i="3"/>
  <c r="H726" i="3"/>
  <c r="G726" i="3"/>
  <c r="H725" i="3"/>
  <c r="G725" i="3"/>
  <c r="H724" i="3"/>
  <c r="G724" i="3"/>
  <c r="H723" i="3"/>
  <c r="G723" i="3"/>
  <c r="H722" i="3"/>
  <c r="G722" i="3"/>
  <c r="H721" i="3"/>
  <c r="G721" i="3"/>
  <c r="H720" i="3"/>
  <c r="G720" i="3"/>
  <c r="H719" i="3"/>
  <c r="G719" i="3"/>
  <c r="H718" i="3"/>
  <c r="G718" i="3"/>
  <c r="H717" i="3"/>
  <c r="G717" i="3"/>
  <c r="H716" i="3"/>
  <c r="G716" i="3"/>
  <c r="H715" i="3"/>
  <c r="G715" i="3"/>
  <c r="H714" i="3"/>
  <c r="G714" i="3"/>
  <c r="H713" i="3"/>
  <c r="G713" i="3"/>
  <c r="H712" i="3"/>
  <c r="G712" i="3"/>
  <c r="H711" i="3"/>
  <c r="G711" i="3"/>
  <c r="H710" i="3"/>
  <c r="G710" i="3"/>
  <c r="H709" i="3"/>
  <c r="G709" i="3"/>
  <c r="H708" i="3"/>
  <c r="G708" i="3"/>
  <c r="H707" i="3"/>
  <c r="G707" i="3"/>
  <c r="H706" i="3"/>
  <c r="G706" i="3"/>
  <c r="H705" i="3"/>
  <c r="G705" i="3"/>
  <c r="H704" i="3"/>
  <c r="G704" i="3"/>
  <c r="H703" i="3"/>
  <c r="G703" i="3"/>
  <c r="H702" i="3"/>
  <c r="G702" i="3"/>
  <c r="H701" i="3"/>
  <c r="G701" i="3"/>
  <c r="H700" i="3"/>
  <c r="G700" i="3"/>
  <c r="H699" i="3"/>
  <c r="G699" i="3"/>
  <c r="H698" i="3"/>
  <c r="G698" i="3"/>
  <c r="H697" i="3"/>
  <c r="G697" i="3"/>
  <c r="H696" i="3"/>
  <c r="G696" i="3"/>
  <c r="H695" i="3"/>
  <c r="G695" i="3"/>
  <c r="H694" i="3"/>
  <c r="G694" i="3"/>
  <c r="H693" i="3"/>
  <c r="G693" i="3"/>
  <c r="H692" i="3"/>
  <c r="G692" i="3"/>
  <c r="H691" i="3"/>
  <c r="G691" i="3"/>
  <c r="H690" i="3"/>
  <c r="G690" i="3"/>
  <c r="H689" i="3"/>
  <c r="G689" i="3"/>
  <c r="H688" i="3"/>
  <c r="G688" i="3"/>
  <c r="H687" i="3"/>
  <c r="G687" i="3"/>
  <c r="H686" i="3"/>
  <c r="G686" i="3"/>
  <c r="H685" i="3"/>
  <c r="G685" i="3"/>
  <c r="H684" i="3"/>
  <c r="G684" i="3"/>
  <c r="H683" i="3"/>
  <c r="G683" i="3"/>
  <c r="H682" i="3"/>
  <c r="G682" i="3"/>
  <c r="H681" i="3"/>
  <c r="G681" i="3"/>
  <c r="H680" i="3"/>
  <c r="G680" i="3"/>
  <c r="H679" i="3"/>
  <c r="G679" i="3"/>
  <c r="H678" i="3"/>
  <c r="G678" i="3"/>
  <c r="H677" i="3"/>
  <c r="G677" i="3"/>
  <c r="H676" i="3"/>
  <c r="G676" i="3"/>
  <c r="H675" i="3"/>
  <c r="G675" i="3"/>
  <c r="H674" i="3"/>
  <c r="G674" i="3"/>
  <c r="H673" i="3"/>
  <c r="G673" i="3"/>
  <c r="H672" i="3"/>
  <c r="G672" i="3"/>
  <c r="H671" i="3"/>
  <c r="G671" i="3"/>
  <c r="H670" i="3"/>
  <c r="G670" i="3"/>
  <c r="H669" i="3"/>
  <c r="G669" i="3"/>
  <c r="H668" i="3"/>
  <c r="G668" i="3"/>
  <c r="H667" i="3"/>
  <c r="G667" i="3"/>
  <c r="H666" i="3"/>
  <c r="G666" i="3"/>
  <c r="H665" i="3"/>
  <c r="G665" i="3"/>
  <c r="H664" i="3"/>
  <c r="G664" i="3"/>
  <c r="H663" i="3"/>
  <c r="G663" i="3"/>
  <c r="H662" i="3"/>
  <c r="G662" i="3"/>
  <c r="H661" i="3"/>
  <c r="G661" i="3"/>
  <c r="H660" i="3"/>
  <c r="G660" i="3"/>
  <c r="H659" i="3"/>
  <c r="G659" i="3"/>
  <c r="H658" i="3"/>
  <c r="G658" i="3"/>
  <c r="H657" i="3"/>
  <c r="G657" i="3"/>
  <c r="H656" i="3"/>
  <c r="G656" i="3"/>
  <c r="H655" i="3"/>
  <c r="G655" i="3"/>
  <c r="H654" i="3"/>
  <c r="G654" i="3"/>
  <c r="H653" i="3"/>
  <c r="G653" i="3"/>
  <c r="H652" i="3"/>
  <c r="G652" i="3"/>
  <c r="H651" i="3"/>
  <c r="G651" i="3"/>
  <c r="H650" i="3"/>
  <c r="G650" i="3"/>
  <c r="H649" i="3"/>
  <c r="G649" i="3"/>
  <c r="H648" i="3"/>
  <c r="G648" i="3"/>
  <c r="H647" i="3"/>
  <c r="G647" i="3"/>
  <c r="H646" i="3"/>
  <c r="G646" i="3"/>
  <c r="H645" i="3"/>
  <c r="G645" i="3"/>
  <c r="H644" i="3"/>
  <c r="G644" i="3"/>
  <c r="H643" i="3"/>
  <c r="G643" i="3"/>
  <c r="H642" i="3"/>
  <c r="G642" i="3"/>
  <c r="H641" i="3"/>
  <c r="G641" i="3"/>
  <c r="H640" i="3"/>
  <c r="G640" i="3"/>
  <c r="H639" i="3"/>
  <c r="G639" i="3"/>
  <c r="H638" i="3"/>
  <c r="G638" i="3"/>
  <c r="H637" i="3"/>
  <c r="G637" i="3"/>
  <c r="H636" i="3"/>
  <c r="G636" i="3"/>
  <c r="H635" i="3"/>
  <c r="G635" i="3"/>
  <c r="H634" i="3"/>
  <c r="G634" i="3"/>
  <c r="H633" i="3"/>
  <c r="G633" i="3"/>
  <c r="H632" i="3"/>
  <c r="G632" i="3"/>
  <c r="H631" i="3"/>
  <c r="G631" i="3"/>
  <c r="H630" i="3"/>
  <c r="G630" i="3"/>
  <c r="H629" i="3"/>
  <c r="G629" i="3"/>
  <c r="H628" i="3"/>
  <c r="G628" i="3"/>
  <c r="H627" i="3"/>
  <c r="G627" i="3"/>
  <c r="H626" i="3"/>
  <c r="G626" i="3"/>
  <c r="H625" i="3"/>
  <c r="G625" i="3"/>
  <c r="H624" i="3"/>
  <c r="G624" i="3"/>
  <c r="H623" i="3"/>
  <c r="G623" i="3"/>
  <c r="H622" i="3"/>
  <c r="G622" i="3"/>
  <c r="H621" i="3"/>
  <c r="G621" i="3"/>
  <c r="H620" i="3"/>
  <c r="G620" i="3"/>
  <c r="H619" i="3"/>
  <c r="G619" i="3"/>
  <c r="H618" i="3"/>
  <c r="G618" i="3"/>
  <c r="H617" i="3"/>
  <c r="G617" i="3"/>
  <c r="H616" i="3"/>
  <c r="G616" i="3"/>
  <c r="H615" i="3"/>
  <c r="G615" i="3"/>
  <c r="H614" i="3"/>
  <c r="G614" i="3"/>
  <c r="H613" i="3"/>
  <c r="G613" i="3"/>
  <c r="H612" i="3"/>
  <c r="G612" i="3"/>
  <c r="H611" i="3"/>
  <c r="G611" i="3"/>
  <c r="H610" i="3"/>
  <c r="G610" i="3"/>
  <c r="H609" i="3"/>
  <c r="G609" i="3"/>
  <c r="H608" i="3"/>
  <c r="G608" i="3"/>
  <c r="H607" i="3"/>
  <c r="G607" i="3"/>
  <c r="H606" i="3"/>
  <c r="G606" i="3"/>
  <c r="H605" i="3"/>
  <c r="G605" i="3"/>
  <c r="H604" i="3"/>
  <c r="G604" i="3"/>
  <c r="H603" i="3"/>
  <c r="G603" i="3"/>
  <c r="H602" i="3"/>
  <c r="G602" i="3"/>
  <c r="H601" i="3"/>
  <c r="G601" i="3"/>
  <c r="H600" i="3"/>
  <c r="G600" i="3"/>
  <c r="H599" i="3"/>
  <c r="G599" i="3"/>
  <c r="H598" i="3"/>
  <c r="G598" i="3"/>
  <c r="H597" i="3"/>
  <c r="G597" i="3"/>
  <c r="H596" i="3"/>
  <c r="G596" i="3"/>
  <c r="H595" i="3"/>
  <c r="G595" i="3"/>
  <c r="H594" i="3"/>
  <c r="G594" i="3"/>
  <c r="H593" i="3"/>
  <c r="G593" i="3"/>
  <c r="H592" i="3"/>
  <c r="G592" i="3"/>
  <c r="H591" i="3"/>
  <c r="G591" i="3"/>
  <c r="H590" i="3"/>
  <c r="G590" i="3"/>
  <c r="H589" i="3"/>
  <c r="G589" i="3"/>
  <c r="H588" i="3"/>
  <c r="G588" i="3"/>
  <c r="H587" i="3"/>
  <c r="G587" i="3"/>
  <c r="H586" i="3"/>
  <c r="G586" i="3"/>
  <c r="H585" i="3"/>
  <c r="G585" i="3"/>
  <c r="H584" i="3"/>
  <c r="G584" i="3"/>
  <c r="H583" i="3"/>
  <c r="G583" i="3"/>
  <c r="H582" i="3"/>
  <c r="G582" i="3"/>
  <c r="H581" i="3"/>
  <c r="G581" i="3"/>
  <c r="H580" i="3"/>
  <c r="G580" i="3"/>
  <c r="H579" i="3"/>
  <c r="G579" i="3"/>
  <c r="H578" i="3"/>
  <c r="G578" i="3"/>
  <c r="H577" i="3"/>
  <c r="G577" i="3"/>
  <c r="H576" i="3"/>
  <c r="G576" i="3"/>
  <c r="H575" i="3"/>
  <c r="G575" i="3"/>
  <c r="H574" i="3"/>
  <c r="G574" i="3"/>
  <c r="H573" i="3"/>
  <c r="G573" i="3"/>
  <c r="H572" i="3"/>
  <c r="G572" i="3"/>
  <c r="H571" i="3"/>
  <c r="G571" i="3"/>
  <c r="H570" i="3"/>
  <c r="G570" i="3"/>
  <c r="H569" i="3"/>
  <c r="G569" i="3"/>
  <c r="H568" i="3"/>
  <c r="G568" i="3"/>
  <c r="H567" i="3"/>
  <c r="G567" i="3"/>
  <c r="H566" i="3"/>
  <c r="G566" i="3"/>
  <c r="H565" i="3"/>
  <c r="G565" i="3"/>
  <c r="H564" i="3"/>
  <c r="G564" i="3"/>
  <c r="H563" i="3"/>
  <c r="G563" i="3"/>
  <c r="H562" i="3"/>
  <c r="G562" i="3"/>
  <c r="H561" i="3"/>
  <c r="G561" i="3"/>
  <c r="H560" i="3"/>
  <c r="G560" i="3"/>
  <c r="H559" i="3"/>
  <c r="G559" i="3"/>
  <c r="H558" i="3"/>
  <c r="G558" i="3"/>
  <c r="H557" i="3"/>
  <c r="G557" i="3"/>
  <c r="H556" i="3"/>
  <c r="G556" i="3"/>
  <c r="H555" i="3"/>
  <c r="G555" i="3"/>
  <c r="H554" i="3"/>
  <c r="G554" i="3"/>
  <c r="H553" i="3"/>
  <c r="G553" i="3"/>
  <c r="H552" i="3"/>
  <c r="G552" i="3"/>
  <c r="H551" i="3"/>
  <c r="G551" i="3"/>
  <c r="H550" i="3"/>
  <c r="G550" i="3"/>
  <c r="H549" i="3"/>
  <c r="G549" i="3"/>
  <c r="H548" i="3"/>
  <c r="G548" i="3"/>
  <c r="H547" i="3"/>
  <c r="G547" i="3"/>
  <c r="H546" i="3"/>
  <c r="G546" i="3"/>
  <c r="H545" i="3"/>
  <c r="G545" i="3"/>
  <c r="H544" i="3"/>
  <c r="G544" i="3"/>
  <c r="H543" i="3"/>
  <c r="G543" i="3"/>
  <c r="H542" i="3"/>
  <c r="G542" i="3"/>
  <c r="H541" i="3"/>
  <c r="G541" i="3"/>
  <c r="H540" i="3"/>
  <c r="G540" i="3"/>
  <c r="H539" i="3"/>
  <c r="G539" i="3"/>
  <c r="H538" i="3"/>
  <c r="G538" i="3"/>
  <c r="H537" i="3"/>
  <c r="G537" i="3"/>
  <c r="H536" i="3"/>
  <c r="G536" i="3"/>
  <c r="H535" i="3"/>
  <c r="G535" i="3"/>
  <c r="H534" i="3"/>
  <c r="G534" i="3"/>
  <c r="H533" i="3"/>
  <c r="G533" i="3"/>
  <c r="H532" i="3"/>
  <c r="G532" i="3"/>
  <c r="H531" i="3"/>
  <c r="G531" i="3"/>
  <c r="H530" i="3"/>
  <c r="G530" i="3"/>
  <c r="H529" i="3"/>
  <c r="G529" i="3"/>
  <c r="H528" i="3"/>
  <c r="G528" i="3"/>
  <c r="H527" i="3"/>
  <c r="G527" i="3"/>
  <c r="H526" i="3"/>
  <c r="G526" i="3"/>
  <c r="H525" i="3"/>
  <c r="G525" i="3"/>
  <c r="H524" i="3"/>
  <c r="G524" i="3"/>
  <c r="H523" i="3"/>
  <c r="G523" i="3"/>
  <c r="H522" i="3"/>
  <c r="G522" i="3"/>
  <c r="H521" i="3"/>
  <c r="G521" i="3"/>
  <c r="H520" i="3"/>
  <c r="G520" i="3"/>
  <c r="H519" i="3"/>
  <c r="G519" i="3"/>
  <c r="H518" i="3"/>
  <c r="G518" i="3"/>
  <c r="H517" i="3"/>
  <c r="G517" i="3"/>
  <c r="H516" i="3"/>
  <c r="G516" i="3"/>
  <c r="H515" i="3"/>
  <c r="G515" i="3"/>
  <c r="H514" i="3"/>
  <c r="G514" i="3"/>
  <c r="H513" i="3"/>
  <c r="G513" i="3"/>
  <c r="H512" i="3"/>
  <c r="G512" i="3"/>
  <c r="H511" i="3"/>
  <c r="G511" i="3"/>
  <c r="H510" i="3"/>
  <c r="G510" i="3"/>
  <c r="H509" i="3"/>
  <c r="G509" i="3"/>
  <c r="H508" i="3"/>
  <c r="G508" i="3"/>
  <c r="H507" i="3"/>
  <c r="G507" i="3"/>
  <c r="H506" i="3"/>
  <c r="G506" i="3"/>
  <c r="H505" i="3"/>
  <c r="G505" i="3"/>
  <c r="H504" i="3"/>
  <c r="G504" i="3"/>
  <c r="H503" i="3"/>
  <c r="G503" i="3"/>
  <c r="H502" i="3"/>
  <c r="G502" i="3"/>
  <c r="H501" i="3"/>
  <c r="G501" i="3"/>
  <c r="H500" i="3"/>
  <c r="G500" i="3"/>
  <c r="H499" i="3"/>
  <c r="G499" i="3"/>
  <c r="H498" i="3"/>
  <c r="G498" i="3"/>
  <c r="H497" i="3"/>
  <c r="G497" i="3"/>
  <c r="H496" i="3"/>
  <c r="G496" i="3"/>
  <c r="H495" i="3"/>
  <c r="G495" i="3"/>
  <c r="H494" i="3"/>
  <c r="G494" i="3"/>
  <c r="H493" i="3"/>
  <c r="G493" i="3"/>
  <c r="H492" i="3"/>
  <c r="G492" i="3"/>
  <c r="H491" i="3"/>
  <c r="G491" i="3"/>
  <c r="H490" i="3"/>
  <c r="G490" i="3"/>
  <c r="H489" i="3"/>
  <c r="G489" i="3"/>
  <c r="H488" i="3"/>
  <c r="G488" i="3"/>
  <c r="H487" i="3"/>
  <c r="G487" i="3"/>
  <c r="H486" i="3"/>
  <c r="G486" i="3"/>
  <c r="H485" i="3"/>
  <c r="G485" i="3"/>
  <c r="H484" i="3"/>
  <c r="G484" i="3"/>
  <c r="H483" i="3"/>
  <c r="G483" i="3"/>
  <c r="H482" i="3"/>
  <c r="G482" i="3"/>
  <c r="H481" i="3"/>
  <c r="G481" i="3"/>
  <c r="H480" i="3"/>
  <c r="G480" i="3"/>
  <c r="H479" i="3"/>
  <c r="G479" i="3"/>
  <c r="H478" i="3"/>
  <c r="G478" i="3"/>
  <c r="H477" i="3"/>
  <c r="G477" i="3"/>
  <c r="H476" i="3"/>
  <c r="G476" i="3"/>
  <c r="H475" i="3"/>
  <c r="G475" i="3"/>
  <c r="H474" i="3"/>
  <c r="G474" i="3"/>
  <c r="H473" i="3"/>
  <c r="G473" i="3"/>
  <c r="H472" i="3"/>
  <c r="G472" i="3"/>
  <c r="H471" i="3"/>
  <c r="G471" i="3"/>
  <c r="H470" i="3"/>
  <c r="G470" i="3"/>
  <c r="H469" i="3"/>
  <c r="G469" i="3"/>
  <c r="H468" i="3"/>
  <c r="G468" i="3"/>
  <c r="H467" i="3"/>
  <c r="G467" i="3"/>
  <c r="H466" i="3"/>
  <c r="G466" i="3"/>
  <c r="H465" i="3"/>
  <c r="G465" i="3"/>
  <c r="H464" i="3"/>
  <c r="G464" i="3"/>
  <c r="H463" i="3"/>
  <c r="G463" i="3"/>
  <c r="H462" i="3"/>
  <c r="G462" i="3"/>
  <c r="H461" i="3"/>
  <c r="G461" i="3"/>
  <c r="H460" i="3"/>
  <c r="G460" i="3"/>
  <c r="H459" i="3"/>
  <c r="G459" i="3"/>
  <c r="H458" i="3"/>
  <c r="G458" i="3"/>
  <c r="H457" i="3"/>
  <c r="G457" i="3"/>
  <c r="H456" i="3"/>
  <c r="G456" i="3"/>
  <c r="H455" i="3"/>
  <c r="G455" i="3"/>
  <c r="H454" i="3"/>
  <c r="G454" i="3"/>
  <c r="H453" i="3"/>
  <c r="G453" i="3"/>
  <c r="H452" i="3"/>
  <c r="G452" i="3"/>
  <c r="H451" i="3"/>
  <c r="G451" i="3"/>
  <c r="H450" i="3"/>
  <c r="G450" i="3"/>
  <c r="H449" i="3"/>
  <c r="G449" i="3"/>
  <c r="H448" i="3"/>
  <c r="G448" i="3"/>
  <c r="H447" i="3"/>
  <c r="G447" i="3"/>
  <c r="H446" i="3"/>
  <c r="G446" i="3"/>
  <c r="H445" i="3"/>
  <c r="G445" i="3"/>
  <c r="H444" i="3"/>
  <c r="G444" i="3"/>
  <c r="H443" i="3"/>
  <c r="G443" i="3"/>
  <c r="H442" i="3"/>
  <c r="G442" i="3"/>
  <c r="H441" i="3"/>
  <c r="G441" i="3"/>
  <c r="H440" i="3"/>
  <c r="G440" i="3"/>
  <c r="H439" i="3"/>
  <c r="G439" i="3"/>
  <c r="H438" i="3"/>
  <c r="G438" i="3"/>
  <c r="H437" i="3"/>
  <c r="G437" i="3"/>
  <c r="H436" i="3"/>
  <c r="G436" i="3"/>
  <c r="H435" i="3"/>
  <c r="G435" i="3"/>
  <c r="H434" i="3"/>
  <c r="G434" i="3"/>
  <c r="H433" i="3"/>
  <c r="G433" i="3"/>
  <c r="H432" i="3"/>
  <c r="G432" i="3"/>
  <c r="H431" i="3"/>
  <c r="G431" i="3"/>
  <c r="H430" i="3"/>
  <c r="G430" i="3"/>
  <c r="H429" i="3"/>
  <c r="G429" i="3"/>
  <c r="H428" i="3"/>
  <c r="G428" i="3"/>
  <c r="H427" i="3"/>
  <c r="G427" i="3"/>
  <c r="H426" i="3"/>
  <c r="G426" i="3"/>
  <c r="H425" i="3"/>
  <c r="G425" i="3"/>
  <c r="H424" i="3"/>
  <c r="G424" i="3"/>
  <c r="H423" i="3"/>
  <c r="G423" i="3"/>
  <c r="H422" i="3"/>
  <c r="G422" i="3"/>
  <c r="H421" i="3"/>
  <c r="G421" i="3"/>
  <c r="H420" i="3"/>
  <c r="G420" i="3"/>
  <c r="H419" i="3"/>
  <c r="G419" i="3"/>
  <c r="H418" i="3"/>
  <c r="G418" i="3"/>
  <c r="H417" i="3"/>
  <c r="G417" i="3"/>
  <c r="H416" i="3"/>
  <c r="G416" i="3"/>
  <c r="H415" i="3"/>
  <c r="G415" i="3"/>
  <c r="H414" i="3"/>
  <c r="G414" i="3"/>
  <c r="H413" i="3"/>
  <c r="G413" i="3"/>
  <c r="H412" i="3"/>
  <c r="G412" i="3"/>
  <c r="H411" i="3"/>
  <c r="G411" i="3"/>
  <c r="H410" i="3"/>
  <c r="G410" i="3"/>
  <c r="H409" i="3"/>
  <c r="G409" i="3"/>
  <c r="H408" i="3"/>
  <c r="G408" i="3"/>
  <c r="H407" i="3"/>
  <c r="G407" i="3"/>
  <c r="H406" i="3"/>
  <c r="G406" i="3"/>
  <c r="H405" i="3"/>
  <c r="G405" i="3"/>
  <c r="H404" i="3"/>
  <c r="G404" i="3"/>
  <c r="H403" i="3"/>
  <c r="G403" i="3"/>
  <c r="H402" i="3"/>
  <c r="G402" i="3"/>
  <c r="H401" i="3"/>
  <c r="G401" i="3"/>
  <c r="H400" i="3"/>
  <c r="G400" i="3"/>
  <c r="H399" i="3"/>
  <c r="G399" i="3"/>
  <c r="H398" i="3"/>
  <c r="G398" i="3"/>
  <c r="H397" i="3"/>
  <c r="G397" i="3"/>
  <c r="H396" i="3"/>
  <c r="G396" i="3"/>
  <c r="H395" i="3"/>
  <c r="G395" i="3"/>
  <c r="H394" i="3"/>
  <c r="G394" i="3"/>
  <c r="H393" i="3"/>
  <c r="G393" i="3"/>
  <c r="H392" i="3"/>
  <c r="G392" i="3"/>
  <c r="H391" i="3"/>
  <c r="G391" i="3"/>
  <c r="H390" i="3"/>
  <c r="G390" i="3"/>
  <c r="H389" i="3"/>
  <c r="G389" i="3"/>
  <c r="H388" i="3"/>
  <c r="G388" i="3"/>
  <c r="H387" i="3"/>
  <c r="G387" i="3"/>
  <c r="H386" i="3"/>
  <c r="G386" i="3"/>
  <c r="H385" i="3"/>
  <c r="G385" i="3"/>
  <c r="H384" i="3"/>
  <c r="G384" i="3"/>
  <c r="H383" i="3"/>
  <c r="G383" i="3"/>
  <c r="H382" i="3"/>
  <c r="G382" i="3"/>
  <c r="H381" i="3"/>
  <c r="G381" i="3"/>
  <c r="H380" i="3"/>
  <c r="G380" i="3"/>
  <c r="H379" i="3"/>
  <c r="G379" i="3"/>
  <c r="H378" i="3"/>
  <c r="G378" i="3"/>
  <c r="H377" i="3"/>
  <c r="G377" i="3"/>
  <c r="H376" i="3"/>
  <c r="G376" i="3"/>
  <c r="H375" i="3"/>
  <c r="G375" i="3"/>
  <c r="H374" i="3"/>
  <c r="G374" i="3"/>
  <c r="H373" i="3"/>
  <c r="G373" i="3"/>
  <c r="H372" i="3"/>
  <c r="G372" i="3"/>
  <c r="H371" i="3"/>
  <c r="G371" i="3"/>
  <c r="H370" i="3"/>
  <c r="G370" i="3"/>
  <c r="H369" i="3"/>
  <c r="G369" i="3"/>
  <c r="H368" i="3"/>
  <c r="G368" i="3"/>
  <c r="H367" i="3"/>
  <c r="G367" i="3"/>
  <c r="H366" i="3"/>
  <c r="G366" i="3"/>
  <c r="H365" i="3"/>
  <c r="G365" i="3"/>
  <c r="H364" i="3"/>
  <c r="G364" i="3"/>
  <c r="H363" i="3"/>
  <c r="G363" i="3"/>
  <c r="H362" i="3"/>
  <c r="G362" i="3"/>
  <c r="H361" i="3"/>
  <c r="G361" i="3"/>
  <c r="H360" i="3"/>
  <c r="G360" i="3"/>
  <c r="H359" i="3"/>
  <c r="G359" i="3"/>
  <c r="H358" i="3"/>
  <c r="G358" i="3"/>
  <c r="H357" i="3"/>
  <c r="G357" i="3"/>
  <c r="H356" i="3"/>
  <c r="G356" i="3"/>
  <c r="H355" i="3"/>
  <c r="G355" i="3"/>
  <c r="H354" i="3"/>
  <c r="G354" i="3"/>
  <c r="H353" i="3"/>
  <c r="G353" i="3"/>
  <c r="H352" i="3"/>
  <c r="G352" i="3"/>
  <c r="H351" i="3"/>
  <c r="G351" i="3"/>
  <c r="H350" i="3"/>
  <c r="G350" i="3"/>
  <c r="H349" i="3"/>
  <c r="G349" i="3"/>
  <c r="H348" i="3"/>
  <c r="G348" i="3"/>
  <c r="H347" i="3"/>
  <c r="G347" i="3"/>
  <c r="H346" i="3"/>
  <c r="G346" i="3"/>
  <c r="H345" i="3"/>
  <c r="G345" i="3"/>
  <c r="H344" i="3"/>
  <c r="G344" i="3"/>
  <c r="H343" i="3"/>
  <c r="G343" i="3"/>
  <c r="H342" i="3"/>
  <c r="G342" i="3"/>
  <c r="H341" i="3"/>
  <c r="G341" i="3"/>
  <c r="H340" i="3"/>
  <c r="G340" i="3"/>
  <c r="H339" i="3"/>
  <c r="G339" i="3"/>
  <c r="H338" i="3"/>
  <c r="G338" i="3"/>
  <c r="H337" i="3"/>
  <c r="G337" i="3"/>
  <c r="H336" i="3"/>
  <c r="G336" i="3"/>
  <c r="H335" i="3"/>
  <c r="G335" i="3"/>
  <c r="H334" i="3"/>
  <c r="G334" i="3"/>
  <c r="H333" i="3"/>
  <c r="G333" i="3"/>
  <c r="H332" i="3"/>
  <c r="G332" i="3"/>
  <c r="H331" i="3"/>
  <c r="G331" i="3"/>
  <c r="H330" i="3"/>
  <c r="G330" i="3"/>
  <c r="H329" i="3"/>
  <c r="G329" i="3"/>
  <c r="H328" i="3"/>
  <c r="G328" i="3"/>
  <c r="H327" i="3"/>
  <c r="G327" i="3"/>
  <c r="H326" i="3"/>
  <c r="G326" i="3"/>
  <c r="H325" i="3"/>
  <c r="G325" i="3"/>
  <c r="H324" i="3"/>
  <c r="G324" i="3"/>
  <c r="H323" i="3"/>
  <c r="G323" i="3"/>
  <c r="H322" i="3"/>
  <c r="G322" i="3"/>
  <c r="H321" i="3"/>
  <c r="G321" i="3"/>
  <c r="H320" i="3"/>
  <c r="G320" i="3"/>
  <c r="H319" i="3"/>
  <c r="G319" i="3"/>
  <c r="H318" i="3"/>
  <c r="G318" i="3"/>
  <c r="H317" i="3"/>
  <c r="G317" i="3"/>
  <c r="H316" i="3"/>
  <c r="G316" i="3"/>
  <c r="H315" i="3"/>
  <c r="G315" i="3"/>
  <c r="H314" i="3"/>
  <c r="G314" i="3"/>
  <c r="H313" i="3"/>
  <c r="G313" i="3"/>
  <c r="H312" i="3"/>
  <c r="G312" i="3"/>
  <c r="H311" i="3"/>
  <c r="G311" i="3"/>
  <c r="H310" i="3"/>
  <c r="G310" i="3"/>
  <c r="H309" i="3"/>
  <c r="G309" i="3"/>
  <c r="H308" i="3"/>
  <c r="G308" i="3"/>
  <c r="H307" i="3"/>
  <c r="G307" i="3"/>
  <c r="H306" i="3"/>
  <c r="G306" i="3"/>
  <c r="H305" i="3"/>
  <c r="G305" i="3"/>
  <c r="H304" i="3"/>
  <c r="G304" i="3"/>
  <c r="H303" i="3"/>
  <c r="G303" i="3"/>
  <c r="H302" i="3"/>
  <c r="G302" i="3"/>
  <c r="H301" i="3"/>
  <c r="G301" i="3"/>
  <c r="H300" i="3"/>
  <c r="G300" i="3"/>
  <c r="H299" i="3"/>
  <c r="G299" i="3"/>
  <c r="H298" i="3"/>
  <c r="G298" i="3"/>
  <c r="H297" i="3"/>
  <c r="G297" i="3"/>
  <c r="H296" i="3"/>
  <c r="G296" i="3"/>
  <c r="H295" i="3"/>
  <c r="G295" i="3"/>
  <c r="H294" i="3"/>
  <c r="G294" i="3"/>
  <c r="H293" i="3"/>
  <c r="G293" i="3"/>
  <c r="H292" i="3"/>
  <c r="G292" i="3"/>
  <c r="H291" i="3"/>
  <c r="G291" i="3"/>
  <c r="H290" i="3"/>
  <c r="G290" i="3"/>
  <c r="H289" i="3"/>
  <c r="G289" i="3"/>
  <c r="H288" i="3"/>
  <c r="G288" i="3"/>
  <c r="H287" i="3"/>
  <c r="G287" i="3"/>
  <c r="H286" i="3"/>
  <c r="G286" i="3"/>
  <c r="H285" i="3"/>
  <c r="G285" i="3"/>
  <c r="H284" i="3"/>
  <c r="G284" i="3"/>
  <c r="H283" i="3"/>
  <c r="G283" i="3"/>
  <c r="H282" i="3"/>
  <c r="G282" i="3"/>
  <c r="H281" i="3"/>
  <c r="G281" i="3"/>
  <c r="H280" i="3"/>
  <c r="G280" i="3"/>
  <c r="H279" i="3"/>
  <c r="G279" i="3"/>
  <c r="H278" i="3"/>
  <c r="G278" i="3"/>
  <c r="H277" i="3"/>
  <c r="G277" i="3"/>
  <c r="H276" i="3"/>
  <c r="G276" i="3"/>
  <c r="H275" i="3"/>
  <c r="G275" i="3"/>
  <c r="H274" i="3"/>
  <c r="G274" i="3"/>
  <c r="H273" i="3"/>
  <c r="G273" i="3"/>
  <c r="H272" i="3"/>
  <c r="G272" i="3"/>
  <c r="H271" i="3"/>
  <c r="G271" i="3"/>
  <c r="H270" i="3"/>
  <c r="G270" i="3"/>
  <c r="H269" i="3"/>
  <c r="G269" i="3"/>
  <c r="H268" i="3"/>
  <c r="G268" i="3"/>
  <c r="H267" i="3"/>
  <c r="G267" i="3"/>
  <c r="H266" i="3"/>
  <c r="G266" i="3"/>
  <c r="H265" i="3"/>
  <c r="G265" i="3"/>
  <c r="H264" i="3"/>
  <c r="G264" i="3"/>
  <c r="H263" i="3"/>
  <c r="G263" i="3"/>
  <c r="H262" i="3"/>
  <c r="G262" i="3"/>
  <c r="H261" i="3"/>
  <c r="G261" i="3"/>
  <c r="H260" i="3"/>
  <c r="G260" i="3"/>
  <c r="H259" i="3"/>
  <c r="G259" i="3"/>
  <c r="H258" i="3"/>
  <c r="G258" i="3"/>
  <c r="H257" i="3"/>
  <c r="G257" i="3"/>
  <c r="H256" i="3"/>
  <c r="G256" i="3"/>
  <c r="H255" i="3"/>
  <c r="G255" i="3"/>
  <c r="H254" i="3"/>
  <c r="G254" i="3"/>
  <c r="H253" i="3"/>
  <c r="G253" i="3"/>
  <c r="H252" i="3"/>
  <c r="G252" i="3"/>
  <c r="H251" i="3"/>
  <c r="G251" i="3"/>
  <c r="H250" i="3"/>
  <c r="G250" i="3"/>
  <c r="H249" i="3"/>
  <c r="G249" i="3"/>
  <c r="H248" i="3"/>
  <c r="G248" i="3"/>
  <c r="H247" i="3"/>
  <c r="G247" i="3"/>
  <c r="H246" i="3"/>
  <c r="G246" i="3"/>
  <c r="H245" i="3"/>
  <c r="G245" i="3"/>
  <c r="H244" i="3"/>
  <c r="G244" i="3"/>
  <c r="H243" i="3"/>
  <c r="G243" i="3"/>
  <c r="H242" i="3"/>
  <c r="G242" i="3"/>
  <c r="H241" i="3"/>
  <c r="G241" i="3"/>
  <c r="H240" i="3"/>
  <c r="G240" i="3"/>
  <c r="H239" i="3"/>
  <c r="G239" i="3"/>
  <c r="H238" i="3"/>
  <c r="G238" i="3"/>
  <c r="H237" i="3"/>
  <c r="G237" i="3"/>
  <c r="H236" i="3"/>
  <c r="G236" i="3"/>
  <c r="H235" i="3"/>
  <c r="G235" i="3"/>
  <c r="H234" i="3"/>
  <c r="G234" i="3"/>
  <c r="H233" i="3"/>
  <c r="G233" i="3"/>
  <c r="H232" i="3"/>
  <c r="G232" i="3"/>
  <c r="H231" i="3"/>
  <c r="G231" i="3"/>
  <c r="H230" i="3"/>
  <c r="G230" i="3"/>
  <c r="H229" i="3"/>
  <c r="G229" i="3"/>
  <c r="H228" i="3"/>
  <c r="G228" i="3"/>
  <c r="H227" i="3"/>
  <c r="G227" i="3"/>
  <c r="H226" i="3"/>
  <c r="G226" i="3"/>
  <c r="H225" i="3"/>
  <c r="G225" i="3"/>
  <c r="H224" i="3"/>
  <c r="G224" i="3"/>
  <c r="H223" i="3"/>
  <c r="G223" i="3"/>
  <c r="H222" i="3"/>
  <c r="G222" i="3"/>
  <c r="H221" i="3"/>
  <c r="G221" i="3"/>
  <c r="H220" i="3"/>
  <c r="G220" i="3"/>
  <c r="H219" i="3"/>
  <c r="G219" i="3"/>
  <c r="H218" i="3"/>
  <c r="G218" i="3"/>
  <c r="H217" i="3"/>
  <c r="G217" i="3"/>
  <c r="H216" i="3"/>
  <c r="G216" i="3"/>
  <c r="H215" i="3"/>
  <c r="G215" i="3"/>
  <c r="H214" i="3"/>
  <c r="G214" i="3"/>
  <c r="H213" i="3"/>
  <c r="G213" i="3"/>
  <c r="H212" i="3"/>
  <c r="G212" i="3"/>
  <c r="H211" i="3"/>
  <c r="G211" i="3"/>
  <c r="H210" i="3"/>
  <c r="G210" i="3"/>
  <c r="H209" i="3"/>
  <c r="G209" i="3"/>
  <c r="H208" i="3"/>
  <c r="G208" i="3"/>
  <c r="H207" i="3"/>
  <c r="G207" i="3"/>
  <c r="H206" i="3"/>
  <c r="G206" i="3"/>
  <c r="H205" i="3"/>
  <c r="G205" i="3"/>
  <c r="H204" i="3"/>
  <c r="G204" i="3"/>
  <c r="H203" i="3"/>
  <c r="G203" i="3"/>
  <c r="H202" i="3"/>
  <c r="G202" i="3"/>
  <c r="H201" i="3"/>
  <c r="G201" i="3"/>
  <c r="H200" i="3"/>
  <c r="G200" i="3"/>
  <c r="H199" i="3"/>
  <c r="G199" i="3"/>
  <c r="H198" i="3"/>
  <c r="G198" i="3"/>
  <c r="H197" i="3"/>
  <c r="G197" i="3"/>
  <c r="H196" i="3"/>
  <c r="G196" i="3"/>
  <c r="H195" i="3"/>
  <c r="G195" i="3"/>
  <c r="H194" i="3"/>
  <c r="G194" i="3"/>
  <c r="H193" i="3"/>
  <c r="G193" i="3"/>
  <c r="H192" i="3"/>
  <c r="G192" i="3"/>
  <c r="H191" i="3"/>
  <c r="G191" i="3"/>
  <c r="H190" i="3"/>
  <c r="G190" i="3"/>
  <c r="H189" i="3"/>
  <c r="G189" i="3"/>
  <c r="H188" i="3"/>
  <c r="G188" i="3"/>
  <c r="H187" i="3"/>
  <c r="G187" i="3"/>
  <c r="H186" i="3"/>
  <c r="G186" i="3"/>
  <c r="H185" i="3"/>
  <c r="G185" i="3"/>
  <c r="H184" i="3"/>
  <c r="G184" i="3"/>
  <c r="H183" i="3"/>
  <c r="G183" i="3"/>
  <c r="H182" i="3"/>
  <c r="G182" i="3"/>
  <c r="H181" i="3"/>
  <c r="G181" i="3"/>
  <c r="H180" i="3"/>
  <c r="G180" i="3"/>
  <c r="H179" i="3"/>
  <c r="G179" i="3"/>
  <c r="H178" i="3"/>
  <c r="G178" i="3"/>
  <c r="H177" i="3"/>
  <c r="G177" i="3"/>
  <c r="H176" i="3"/>
  <c r="G176" i="3"/>
  <c r="H175" i="3"/>
  <c r="G175" i="3"/>
  <c r="H174" i="3"/>
  <c r="G174" i="3"/>
  <c r="H173" i="3"/>
  <c r="G173" i="3"/>
  <c r="H172" i="3"/>
  <c r="G172" i="3"/>
  <c r="H171" i="3"/>
  <c r="G171" i="3"/>
  <c r="H170" i="3"/>
  <c r="G170" i="3"/>
  <c r="H169" i="3"/>
  <c r="G169" i="3"/>
  <c r="H168" i="3"/>
  <c r="G168" i="3"/>
  <c r="H167" i="3"/>
  <c r="G167" i="3"/>
  <c r="H166" i="3"/>
  <c r="G166" i="3"/>
  <c r="H165" i="3"/>
  <c r="G165" i="3"/>
  <c r="H164" i="3"/>
  <c r="G164" i="3"/>
  <c r="H163" i="3"/>
  <c r="G163" i="3"/>
  <c r="H162" i="3"/>
  <c r="G162" i="3"/>
  <c r="H161" i="3"/>
  <c r="G161" i="3"/>
  <c r="H160" i="3"/>
  <c r="G160" i="3"/>
  <c r="H159" i="3"/>
  <c r="G159" i="3"/>
  <c r="H158" i="3"/>
  <c r="G158" i="3"/>
  <c r="H157" i="3"/>
  <c r="G157" i="3"/>
  <c r="H156" i="3"/>
  <c r="G156" i="3"/>
  <c r="H155" i="3"/>
  <c r="G155" i="3"/>
  <c r="H154" i="3"/>
  <c r="G154" i="3"/>
  <c r="H153" i="3"/>
  <c r="G153" i="3"/>
  <c r="H152" i="3"/>
  <c r="G152" i="3"/>
  <c r="H151" i="3"/>
  <c r="G151" i="3"/>
  <c r="H150" i="3"/>
  <c r="G150" i="3"/>
  <c r="H149" i="3"/>
  <c r="G149" i="3"/>
  <c r="H148" i="3"/>
  <c r="G148" i="3"/>
  <c r="H147" i="3"/>
  <c r="G147" i="3"/>
  <c r="H146" i="3"/>
  <c r="G146" i="3"/>
  <c r="H145" i="3"/>
  <c r="G145" i="3"/>
  <c r="H144" i="3"/>
  <c r="G144" i="3"/>
  <c r="H143" i="3"/>
  <c r="G143" i="3"/>
  <c r="H142" i="3"/>
  <c r="G142" i="3"/>
  <c r="H141" i="3"/>
  <c r="G141" i="3"/>
  <c r="H140" i="3"/>
  <c r="G140" i="3"/>
  <c r="H139" i="3"/>
  <c r="G139" i="3"/>
  <c r="H138" i="3"/>
  <c r="G138" i="3"/>
  <c r="H137" i="3"/>
  <c r="G137" i="3"/>
  <c r="H136" i="3"/>
  <c r="G136" i="3"/>
  <c r="H135" i="3"/>
  <c r="G135" i="3"/>
  <c r="H134" i="3"/>
  <c r="G134" i="3"/>
  <c r="H133" i="3"/>
  <c r="G133" i="3"/>
  <c r="H132" i="3"/>
  <c r="G132" i="3"/>
  <c r="H131" i="3"/>
  <c r="G131" i="3"/>
  <c r="H130" i="3"/>
  <c r="G130" i="3"/>
  <c r="H129" i="3"/>
  <c r="G129" i="3"/>
  <c r="H128" i="3"/>
  <c r="G128" i="3"/>
  <c r="H127" i="3"/>
  <c r="G127" i="3"/>
  <c r="H126" i="3"/>
  <c r="G126" i="3"/>
  <c r="H125" i="3"/>
  <c r="G125" i="3"/>
  <c r="H124" i="3"/>
  <c r="G124" i="3"/>
  <c r="H123" i="3"/>
  <c r="G123" i="3"/>
  <c r="H122" i="3"/>
  <c r="G122" i="3"/>
  <c r="H121" i="3"/>
  <c r="G121" i="3"/>
  <c r="H120" i="3"/>
  <c r="G120" i="3"/>
  <c r="H119" i="3"/>
  <c r="G119" i="3"/>
  <c r="H118" i="3"/>
  <c r="G118" i="3"/>
  <c r="H117" i="3"/>
  <c r="G117" i="3"/>
  <c r="H116" i="3"/>
  <c r="G116" i="3"/>
  <c r="H115" i="3"/>
  <c r="G115" i="3"/>
  <c r="H114" i="3"/>
  <c r="G114" i="3"/>
  <c r="H113" i="3"/>
  <c r="G113" i="3"/>
  <c r="H112" i="3"/>
  <c r="G112" i="3"/>
  <c r="H111" i="3"/>
  <c r="G111" i="3"/>
  <c r="H110" i="3"/>
  <c r="G110" i="3"/>
  <c r="H109" i="3"/>
  <c r="G109" i="3"/>
  <c r="H108" i="3"/>
  <c r="G108" i="3"/>
  <c r="H107" i="3"/>
  <c r="G107" i="3"/>
  <c r="H106" i="3"/>
  <c r="G106" i="3"/>
  <c r="H105" i="3"/>
  <c r="G105" i="3"/>
  <c r="H104" i="3"/>
  <c r="G104" i="3"/>
  <c r="H103" i="3"/>
  <c r="G103" i="3"/>
  <c r="H102" i="3"/>
  <c r="G102" i="3"/>
  <c r="H101" i="3"/>
  <c r="G101" i="3"/>
  <c r="H100" i="3"/>
  <c r="G100" i="3"/>
  <c r="H99" i="3"/>
  <c r="G99" i="3"/>
  <c r="H98" i="3"/>
  <c r="G98" i="3"/>
  <c r="H97" i="3"/>
  <c r="G97" i="3"/>
  <c r="H96" i="3"/>
  <c r="G96" i="3"/>
  <c r="H95" i="3"/>
  <c r="G95" i="3"/>
  <c r="H94" i="3"/>
  <c r="G94" i="3"/>
  <c r="H93" i="3"/>
  <c r="G93" i="3"/>
  <c r="H92" i="3"/>
  <c r="G92" i="3"/>
  <c r="H91" i="3"/>
  <c r="G91" i="3"/>
  <c r="H90" i="3"/>
  <c r="G90" i="3"/>
  <c r="H89" i="3"/>
  <c r="G89" i="3"/>
  <c r="H88" i="3"/>
  <c r="G88" i="3"/>
  <c r="H87" i="3"/>
  <c r="G87" i="3"/>
  <c r="H86" i="3"/>
  <c r="G86" i="3"/>
  <c r="H85" i="3"/>
  <c r="G85" i="3"/>
  <c r="H84" i="3"/>
  <c r="G84" i="3"/>
  <c r="H83" i="3"/>
  <c r="G83" i="3"/>
  <c r="H82" i="3"/>
  <c r="G82" i="3"/>
  <c r="H81" i="3"/>
  <c r="G81" i="3"/>
  <c r="H80" i="3"/>
  <c r="G80" i="3"/>
  <c r="H79" i="3"/>
  <c r="G79" i="3"/>
  <c r="H78" i="3"/>
  <c r="G78" i="3"/>
  <c r="H77" i="3"/>
  <c r="G77" i="3"/>
  <c r="H76" i="3"/>
  <c r="G76" i="3"/>
  <c r="H75" i="3"/>
  <c r="G75" i="3"/>
  <c r="H74" i="3"/>
  <c r="G74" i="3"/>
  <c r="H73" i="3"/>
  <c r="G73" i="3"/>
  <c r="H72" i="3"/>
  <c r="G72" i="3"/>
  <c r="H71" i="3"/>
  <c r="G71" i="3"/>
  <c r="H70" i="3"/>
  <c r="G70" i="3"/>
  <c r="H69" i="3"/>
  <c r="G69" i="3"/>
  <c r="H68" i="3"/>
  <c r="G68" i="3"/>
  <c r="H67" i="3"/>
  <c r="G67" i="3"/>
  <c r="H66" i="3"/>
  <c r="G66" i="3"/>
  <c r="H65" i="3"/>
  <c r="G65" i="3"/>
  <c r="H64" i="3"/>
  <c r="G64" i="3"/>
  <c r="H63" i="3"/>
  <c r="G63" i="3"/>
  <c r="H62" i="3"/>
  <c r="G62" i="3"/>
  <c r="H61" i="3"/>
  <c r="G61" i="3"/>
  <c r="H60" i="3"/>
  <c r="G60" i="3"/>
  <c r="H59" i="3"/>
  <c r="G59" i="3"/>
  <c r="H58" i="3"/>
  <c r="G58" i="3"/>
  <c r="H57" i="3"/>
  <c r="G57" i="3"/>
  <c r="H56" i="3"/>
  <c r="G56" i="3"/>
  <c r="H55" i="3"/>
  <c r="G55" i="3"/>
  <c r="H54" i="3"/>
  <c r="G54" i="3"/>
  <c r="H53" i="3"/>
  <c r="G53" i="3"/>
  <c r="H52" i="3"/>
  <c r="G52" i="3"/>
  <c r="H51" i="3"/>
  <c r="G51" i="3"/>
  <c r="H50" i="3"/>
  <c r="G50" i="3"/>
  <c r="H49" i="3"/>
  <c r="G49" i="3"/>
  <c r="H48" i="3"/>
  <c r="G48" i="3"/>
  <c r="H47" i="3"/>
  <c r="G47" i="3"/>
  <c r="H46" i="3"/>
  <c r="G46" i="3"/>
  <c r="H45" i="3"/>
  <c r="G45" i="3"/>
  <c r="H44" i="3"/>
  <c r="G44" i="3"/>
  <c r="H43" i="3"/>
  <c r="G43" i="3"/>
  <c r="H42" i="3"/>
  <c r="G42" i="3"/>
  <c r="H41" i="3"/>
  <c r="G41" i="3"/>
  <c r="H40" i="3"/>
  <c r="G40" i="3"/>
  <c r="H39" i="3"/>
  <c r="G39" i="3"/>
  <c r="H38" i="3"/>
  <c r="G38" i="3"/>
  <c r="H37" i="3"/>
  <c r="G37" i="3"/>
  <c r="H36" i="3"/>
  <c r="G36" i="3"/>
  <c r="H35" i="3"/>
  <c r="G35" i="3"/>
  <c r="H34" i="3"/>
  <c r="G34" i="3"/>
  <c r="H33" i="3"/>
  <c r="G33" i="3"/>
  <c r="H32" i="3"/>
  <c r="G32" i="3"/>
  <c r="H31" i="3"/>
  <c r="G31" i="3"/>
  <c r="H30" i="3"/>
  <c r="G30" i="3"/>
  <c r="H29" i="3"/>
  <c r="G29" i="3"/>
  <c r="H28" i="3"/>
  <c r="G28" i="3"/>
  <c r="H27" i="3"/>
  <c r="G27" i="3"/>
  <c r="H26" i="3"/>
  <c r="G26" i="3"/>
  <c r="H25" i="3"/>
  <c r="G25" i="3"/>
  <c r="G24" i="3"/>
  <c r="G23" i="3"/>
  <c r="G22" i="3"/>
  <c r="G21" i="3"/>
  <c r="G20" i="3"/>
  <c r="G19" i="3"/>
  <c r="G18" i="3"/>
  <c r="G17" i="3"/>
  <c r="G16" i="3"/>
  <c r="G15" i="3"/>
  <c r="G14" i="3"/>
  <c r="G13" i="3"/>
  <c r="G12" i="3"/>
  <c r="G11" i="3"/>
  <c r="G10" i="3"/>
  <c r="G9" i="3"/>
  <c r="G8" i="3"/>
  <c r="G7" i="3"/>
  <c r="G6" i="3"/>
  <c r="G5" i="3"/>
  <c r="G4" i="3"/>
  <c r="G3" i="3"/>
  <c r="G2" i="3"/>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2" i="2"/>
  <c r="E2" i="4"/>
  <c r="B2" i="4"/>
  <c r="B1" i="4"/>
  <c r="G1" i="4"/>
  <c r="F3" i="5" l="1"/>
  <c r="G1" i="5"/>
  <c r="AE14" i="5"/>
</calcChain>
</file>

<file path=xl/sharedStrings.xml><?xml version="1.0" encoding="utf-8"?>
<sst xmlns="http://schemas.openxmlformats.org/spreadsheetml/2006/main" count="51128" uniqueCount="1056">
  <si>
    <t>Invoice ID</t>
  </si>
  <si>
    <t>Branch</t>
  </si>
  <si>
    <t>City</t>
  </si>
  <si>
    <t>Customer type</t>
  </si>
  <si>
    <t>Gender</t>
  </si>
  <si>
    <t>Product line</t>
  </si>
  <si>
    <t>Quantity</t>
  </si>
  <si>
    <t>Date</t>
  </si>
  <si>
    <t>Time</t>
  </si>
  <si>
    <t>Payment</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</si>
  <si>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</si>
  <si>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</si>
  <si>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</si>
  <si>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</si>
  <si>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</si>
  <si>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</si>
  <si>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</si>
  <si>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</si>
  <si>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</si>
  <si>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</si>
  <si>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</si>
  <si>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</si>
  <si>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</si>
  <si>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</si>
  <si>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</si>
  <si>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</si>
  <si>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</si>
  <si>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</si>
  <si>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</si>
  <si>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</si>
  <si>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</si>
  <si>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</si>
  <si>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</si>
  <si>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</si>
  <si>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</si>
  <si>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</si>
  <si>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</si>
  <si>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</si>
  <si>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</si>
  <si>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</si>
  <si>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</si>
  <si>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</si>
  <si>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</si>
  <si>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</si>
  <si>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</si>
  <si>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</si>
  <si>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</si>
  <si>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</si>
  <si>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</si>
  <si>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</si>
  <si>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</si>
  <si>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</si>
  <si>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</si>
  <si>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</si>
  <si>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</si>
  <si>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</si>
  <si>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</si>
  <si>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</si>
  <si>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</si>
  <si>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</si>
  <si>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</si>
  <si>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</si>
  <si>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</si>
  <si>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</si>
  <si>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</si>
  <si>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</si>
  <si>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</si>
  <si>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</si>
  <si>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</si>
  <si>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</si>
  <si>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</si>
  <si>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</si>
  <si>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</si>
  <si>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</si>
  <si>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</si>
  <si>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</si>
  <si>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</si>
  <si>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</si>
  <si>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</si>
  <si>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</si>
  <si>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</si>
  <si>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</si>
  <si>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</si>
  <si>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</si>
  <si>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</si>
  <si>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</si>
  <si>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</si>
  <si>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</si>
  <si>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</si>
  <si>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</si>
  <si>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</si>
  <si>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</si>
  <si>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</si>
  <si>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</si>
  <si>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</si>
  <si>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</si>
  <si>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</si>
  <si>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</si>
  <si>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</si>
  <si>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</si>
  <si>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</si>
  <si>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</si>
  <si>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</si>
  <si>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</si>
  <si>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</si>
  <si>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</si>
  <si>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</si>
  <si>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</si>
  <si>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</si>
  <si>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</si>
  <si>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</si>
  <si>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</si>
  <si>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</si>
  <si>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</si>
  <si>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</si>
  <si>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</si>
  <si>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</si>
  <si>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</si>
  <si>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</si>
  <si>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</si>
  <si>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</si>
  <si>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</si>
  <si>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</si>
  <si>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</si>
  <si>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</si>
  <si>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</si>
  <si>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</si>
  <si>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</si>
  <si>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</si>
  <si>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</si>
  <si>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</si>
  <si>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</si>
  <si>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</si>
  <si>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</si>
  <si>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</si>
  <si>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</si>
  <si>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</si>
  <si>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</si>
  <si>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</si>
  <si>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</si>
  <si>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</si>
  <si>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</si>
  <si>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</si>
  <si>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</si>
  <si>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</si>
  <si>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</si>
  <si>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</si>
  <si>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</si>
  <si>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</si>
  <si>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</si>
  <si>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</si>
  <si>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</si>
  <si>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</si>
  <si>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</si>
  <si>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</si>
  <si>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</si>
  <si>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</si>
  <si>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</si>
  <si>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</si>
  <si>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</si>
  <si>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</si>
  <si>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</si>
  <si>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</si>
  <si>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</si>
  <si>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</si>
  <si>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</si>
  <si>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</si>
  <si>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</si>
  <si>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</si>
  <si>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</si>
  <si>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</si>
  <si>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</si>
  <si>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</si>
  <si>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</si>
  <si>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</si>
  <si>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</si>
  <si>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</si>
  <si>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</si>
  <si>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</si>
  <si>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</si>
  <si>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</si>
  <si>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</si>
  <si>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</si>
  <si>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</si>
  <si>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</si>
  <si>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</si>
  <si>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</si>
  <si>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</si>
  <si>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</si>
  <si>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</si>
  <si>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</si>
  <si>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</si>
  <si>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</si>
  <si>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</si>
  <si>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</si>
  <si>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</si>
  <si>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</si>
  <si>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</si>
  <si>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</si>
  <si>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</si>
  <si>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</si>
  <si>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</si>
  <si>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</si>
  <si>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</si>
  <si>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</si>
  <si>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</si>
  <si>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</si>
  <si>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</si>
  <si>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</si>
  <si>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</si>
  <si>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</si>
  <si>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</si>
  <si>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</si>
  <si>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</si>
  <si>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</si>
  <si>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</si>
  <si>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</si>
  <si>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</si>
  <si>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</si>
  <si>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</si>
  <si>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</si>
  <si>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</si>
  <si>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</si>
  <si>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</si>
  <si>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</si>
  <si>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</si>
  <si>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</si>
  <si>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</si>
  <si>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</si>
  <si>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</si>
  <si>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</si>
  <si>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</si>
  <si>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</si>
  <si>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</si>
  <si>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</si>
  <si>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</si>
  <si>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</si>
  <si>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</si>
  <si>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</si>
  <si>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</si>
  <si>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</si>
  <si>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</si>
  <si>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</si>
  <si>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</si>
  <si>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</si>
  <si>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</si>
  <si>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</si>
  <si>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</si>
  <si>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</si>
  <si>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</si>
  <si>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</si>
  <si>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</si>
  <si>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</si>
  <si>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</si>
  <si>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</si>
  <si>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</si>
  <si>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</si>
  <si>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</si>
  <si>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</si>
  <si>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</si>
  <si>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</si>
  <si>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</si>
  <si>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</si>
  <si>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</si>
  <si>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</si>
  <si>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</si>
  <si>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</si>
  <si>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</si>
  <si>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</si>
  <si>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</si>
  <si>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</si>
  <si>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</si>
  <si>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</si>
  <si>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</si>
  <si>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</si>
  <si>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</si>
  <si>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</si>
  <si>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</si>
  <si>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</si>
  <si>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</si>
  <si>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</si>
  <si>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</si>
  <si>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</si>
  <si>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</si>
  <si>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</si>
  <si>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</si>
  <si>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</si>
  <si>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</si>
  <si>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</si>
  <si>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</si>
  <si>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</si>
  <si>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</si>
  <si>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</si>
  <si>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</si>
  <si>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</si>
  <si>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</si>
  <si>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</si>
  <si>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</si>
  <si>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</si>
  <si>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</si>
  <si>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</si>
  <si>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</si>
  <si>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</si>
  <si>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</si>
  <si>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</si>
  <si>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</si>
  <si>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</si>
  <si>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</si>
  <si>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</si>
  <si>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</si>
  <si>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</si>
  <si>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</si>
  <si>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</si>
  <si>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</si>
  <si>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</si>
  <si>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</si>
  <si>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</si>
  <si>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</si>
  <si>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</si>
  <si>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</si>
  <si>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</si>
  <si>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</si>
  <si>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</si>
  <si>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</si>
  <si>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</si>
  <si>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</si>
  <si>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</si>
  <si>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</si>
  <si>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</si>
  <si>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</si>
  <si>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</si>
  <si>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</si>
  <si>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</si>
  <si>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</si>
  <si>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</si>
  <si>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</si>
  <si>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</si>
  <si>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</si>
  <si>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</si>
  <si>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</si>
  <si>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</si>
  <si>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</si>
  <si>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</si>
  <si>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</si>
  <si>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</si>
  <si>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</si>
  <si>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</si>
  <si>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</si>
  <si>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</si>
  <si>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</si>
  <si>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</si>
  <si>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</si>
  <si>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</si>
  <si>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</si>
  <si>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</si>
  <si>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</si>
  <si>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</si>
  <si>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</si>
  <si>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</si>
  <si>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</si>
  <si>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</si>
  <si>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</si>
  <si>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</si>
  <si>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</si>
  <si>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</si>
  <si>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</si>
  <si>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</si>
  <si>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</si>
  <si>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</si>
  <si>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</si>
  <si>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</si>
  <si>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</si>
  <si>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</si>
  <si>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</si>
  <si>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</si>
  <si>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</si>
  <si>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</si>
  <si>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</si>
  <si>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</si>
  <si>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</si>
  <si>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</si>
  <si>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</si>
  <si>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</si>
  <si>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</si>
  <si>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</si>
  <si>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</si>
  <si>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</si>
  <si>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</si>
  <si>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</si>
  <si>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</si>
  <si>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</si>
  <si>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</si>
  <si>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</si>
  <si>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</si>
  <si>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</si>
  <si>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</si>
  <si>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</si>
  <si>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</si>
  <si>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</si>
  <si>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</si>
  <si>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</si>
  <si>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</si>
  <si>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</si>
  <si>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</si>
  <si>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</si>
  <si>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</si>
  <si>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</si>
  <si>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</si>
  <si>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</si>
  <si>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</si>
  <si>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</si>
  <si>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</si>
  <si>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</si>
  <si>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</si>
  <si>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</si>
  <si>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</si>
  <si>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</si>
  <si>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</si>
  <si>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</si>
  <si>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</si>
  <si>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</si>
  <si>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</si>
  <si>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</si>
  <si>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</si>
  <si>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</si>
  <si>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</si>
  <si>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</si>
  <si>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</si>
  <si>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</si>
  <si>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</si>
  <si>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</si>
  <si>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</si>
  <si>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</si>
  <si>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</si>
  <si>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</si>
  <si>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</si>
  <si>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</si>
  <si>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</si>
  <si>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</si>
  <si>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</si>
  <si>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</si>
  <si>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</si>
  <si>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</si>
  <si>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</si>
  <si>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</si>
  <si>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</si>
  <si>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</si>
  <si>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</si>
  <si>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</si>
  <si>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</si>
  <si>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</si>
  <si>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</si>
  <si>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</si>
  <si>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</si>
  <si>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</si>
  <si>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</si>
  <si>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</si>
  <si>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</si>
  <si>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</si>
  <si>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</si>
  <si>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</si>
  <si>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</si>
  <si>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</si>
  <si>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</si>
  <si>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</si>
  <si>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</si>
  <si>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</si>
  <si>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</si>
  <si>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</si>
  <si>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</si>
  <si>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</si>
  <si>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</si>
  <si>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</si>
  <si>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</si>
  <si>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</si>
  <si>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</si>
  <si>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</si>
  <si>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</si>
  <si>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</si>
  <si>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</si>
  <si>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</si>
  <si>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</si>
  <si>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</si>
  <si>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</si>
  <si>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</si>
  <si>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</si>
  <si>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</si>
  <si>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</si>
  <si>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</si>
  <si>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</si>
  <si>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</si>
  <si>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</si>
  <si>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</si>
  <si>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</si>
  <si>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</si>
  <si>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</si>
  <si>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</si>
  <si>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</si>
  <si>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</si>
  <si>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</si>
  <si>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</si>
  <si>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</si>
  <si>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</si>
  <si>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</si>
  <si>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</si>
  <si>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</si>
  <si>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</si>
  <si>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</si>
  <si>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</si>
  <si>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</si>
  <si>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</si>
  <si>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</si>
  <si>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</si>
  <si>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</si>
  <si>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</si>
  <si>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</si>
  <si>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</si>
  <si>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</si>
  <si>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</si>
  <si>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</si>
  <si>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</si>
  <si>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</si>
  <si>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</si>
  <si>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</si>
  <si>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</si>
  <si>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</si>
  <si>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</si>
  <si>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</si>
  <si>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</si>
  <si>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</si>
  <si>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</si>
  <si>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</si>
  <si>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</si>
  <si>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</si>
  <si>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</si>
  <si>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</si>
  <si>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</si>
  <si>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</si>
  <si>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</si>
  <si>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</si>
  <si>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</si>
  <si>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</si>
  <si>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</si>
  <si>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</si>
  <si>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</si>
  <si>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</si>
  <si>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</si>
  <si>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</si>
  <si>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</si>
  <si>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</si>
  <si>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</si>
  <si>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</si>
  <si>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</si>
  <si>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</si>
  <si>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</si>
  <si>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</si>
  <si>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</si>
  <si>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</si>
  <si>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</si>
  <si>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</si>
  <si>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</si>
  <si>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</si>
  <si>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</si>
  <si>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</si>
  <si>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</si>
  <si>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</si>
  <si>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</si>
  <si>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</si>
  <si>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</si>
  <si>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</si>
  <si>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</si>
  <si>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</si>
  <si>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</si>
  <si>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</si>
  <si>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</si>
  <si>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</si>
  <si>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</si>
  <si>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</si>
  <si>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</si>
  <si>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</si>
  <si>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</si>
  <si>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</si>
  <si>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</si>
  <si>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</si>
  <si>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</si>
  <si>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</si>
  <si>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</si>
  <si>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</si>
  <si>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</si>
  <si>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</si>
  <si>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</si>
  <si>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</si>
  <si>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</si>
  <si>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</si>
  <si>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</si>
  <si>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</si>
  <si>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</si>
  <si>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</si>
  <si>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</si>
  <si>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</si>
  <si>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</si>
  <si>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</si>
  <si>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</si>
  <si>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</si>
  <si>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</si>
  <si>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</si>
  <si>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</si>
  <si>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</si>
  <si>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</si>
  <si>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</si>
  <si>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</si>
  <si>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</si>
  <si>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</si>
  <si>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</si>
  <si>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</si>
  <si>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</si>
  <si>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</si>
  <si>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</si>
  <si>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</si>
  <si>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</si>
  <si>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</si>
  <si>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</si>
  <si>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</si>
  <si>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</si>
  <si>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</si>
  <si>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</si>
  <si>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</si>
  <si>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</si>
  <si>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</si>
  <si>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</si>
  <si>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</si>
  <si>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</si>
  <si>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</si>
  <si>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</si>
  <si>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</si>
  <si>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</si>
  <si>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</si>
  <si>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</si>
  <si>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</si>
  <si>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</si>
  <si>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</si>
  <si>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</si>
  <si>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</si>
  <si>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</si>
  <si>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</si>
  <si>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</si>
  <si>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</si>
  <si>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</si>
  <si>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</si>
  <si>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</si>
  <si>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</si>
  <si>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</si>
  <si>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</si>
  <si>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</si>
  <si>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</si>
  <si>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</si>
  <si>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</si>
  <si>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</si>
  <si>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</si>
  <si>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</si>
  <si>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</si>
  <si>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</si>
  <si>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</si>
  <si>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</si>
  <si>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</si>
  <si>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</si>
  <si>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</si>
  <si>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</si>
  <si>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</si>
  <si>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</si>
  <si>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</si>
  <si>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</si>
  <si>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</si>
  <si>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</si>
  <si>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</si>
  <si>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</si>
  <si>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</si>
  <si>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</si>
  <si>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</si>
  <si>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</si>
  <si>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</si>
  <si>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</si>
  <si>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</si>
  <si>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</si>
  <si>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</si>
  <si>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</si>
  <si>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</si>
  <si>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</si>
  <si>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</si>
  <si>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</si>
  <si>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</si>
  <si>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</si>
  <si>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</si>
  <si>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</si>
  <si>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</si>
  <si>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</si>
  <si>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</si>
  <si>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</si>
  <si>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</si>
  <si>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</si>
  <si>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</si>
  <si>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</si>
  <si>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</si>
  <si>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</si>
  <si>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</si>
  <si>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</si>
  <si>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</si>
  <si>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</si>
  <si>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</si>
  <si>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</si>
  <si>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</si>
  <si>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</si>
  <si>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</si>
  <si>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</si>
  <si>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</si>
  <si>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</si>
  <si>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</si>
  <si>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</si>
  <si>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</si>
  <si>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</si>
  <si>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</si>
  <si>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</si>
  <si>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</si>
  <si>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</si>
  <si>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</si>
  <si>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</si>
  <si>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</si>
  <si>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</si>
  <si>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</si>
  <si>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</si>
  <si>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</si>
  <si>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</si>
  <si>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</si>
  <si>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</si>
  <si>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</si>
  <si>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</si>
  <si>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</si>
  <si>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</si>
  <si>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</si>
  <si>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</si>
  <si>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</si>
  <si>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</si>
  <si>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</si>
  <si>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</si>
  <si>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</si>
  <si>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</si>
  <si>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</si>
  <si>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</si>
  <si>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</si>
  <si>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</si>
  <si>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</si>
  <si>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</si>
  <si>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</si>
  <si>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</si>
  <si>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</si>
  <si>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</si>
  <si>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</si>
  <si>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</si>
  <si>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</si>
  <si>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</si>
  <si>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</si>
  <si>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</si>
  <si>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</si>
  <si>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</si>
  <si>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</si>
  <si>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</si>
  <si>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</si>
  <si>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</si>
  <si>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</si>
  <si>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</si>
  <si>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</si>
  <si>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</si>
  <si>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</si>
  <si>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</si>
  <si>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</si>
  <si>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</si>
  <si>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</si>
  <si>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</si>
  <si>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</si>
  <si>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</si>
  <si>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</si>
  <si>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</si>
  <si>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</si>
  <si>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</si>
  <si>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</si>
  <si>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</si>
  <si>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</si>
  <si>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</si>
  <si>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</si>
  <si>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</si>
  <si>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</si>
  <si>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</si>
  <si>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</si>
  <si>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</si>
  <si>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</si>
  <si>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</si>
  <si>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</si>
  <si>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</si>
  <si>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</si>
  <si>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</si>
  <si>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</si>
  <si>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</si>
  <si>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</si>
  <si>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</si>
  <si>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</si>
  <si>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</si>
  <si>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</si>
  <si>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</si>
  <si>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</si>
  <si>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</si>
  <si>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</si>
  <si>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</si>
  <si>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</si>
  <si>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</si>
  <si>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</si>
  <si>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</si>
  <si>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</si>
  <si>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</si>
  <si>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</si>
  <si>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</si>
  <si>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</si>
  <si>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</si>
  <si>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</si>
  <si>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</si>
  <si>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</si>
  <si>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</si>
  <si>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</si>
  <si>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</si>
  <si>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</si>
  <si>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</si>
  <si>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</si>
  <si>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</si>
  <si>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</si>
  <si>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</si>
  <si>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</si>
  <si>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</si>
  <si>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</si>
  <si>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</si>
  <si>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</si>
  <si>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</si>
  <si>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</si>
  <si>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</si>
  <si>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</si>
  <si>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</si>
  <si>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</si>
  <si>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</si>
  <si>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</si>
  <si>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</si>
  <si>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</si>
  <si>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</si>
  <si>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</si>
  <si>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</si>
  <si>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</si>
  <si>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</si>
  <si>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</si>
  <si>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</si>
  <si>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</si>
  <si>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</si>
  <si>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</si>
  <si>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</si>
  <si>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</si>
  <si>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</si>
  <si>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</si>
  <si>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</si>
  <si>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</si>
  <si>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</si>
  <si>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</si>
  <si>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</si>
  <si>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</si>
  <si>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</si>
  <si>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</si>
  <si>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</si>
  <si>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</si>
  <si>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</si>
  <si>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</si>
  <si>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</si>
  <si>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</si>
  <si>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</si>
  <si>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</si>
  <si>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</si>
  <si>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</si>
  <si>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</si>
  <si>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</si>
  <si>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</si>
  <si>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</si>
  <si>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</si>
  <si>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</si>
  <si>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</si>
  <si>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</si>
  <si>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</si>
  <si>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</si>
  <si>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</si>
  <si>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</si>
  <si>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</si>
  <si>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</si>
  <si>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</si>
  <si>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</si>
  <si>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</si>
  <si>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</si>
  <si>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</si>
  <si>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</si>
  <si>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</si>
  <si>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</si>
  <si>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</si>
  <si>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</si>
  <si>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</si>
  <si>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</si>
  <si>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</si>
  <si>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</si>
  <si>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</si>
  <si>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</si>
  <si>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</si>
  <si>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</si>
  <si>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</si>
  <si>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</si>
  <si>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</si>
  <si>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</si>
  <si>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</si>
  <si>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</si>
  <si>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</si>
  <si>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</si>
  <si>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</si>
  <si>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</si>
  <si>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</si>
  <si>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</si>
  <si>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</si>
  <si>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</si>
  <si>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</si>
  <si>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</si>
  <si>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</si>
  <si>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</si>
  <si>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</si>
  <si>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</si>
  <si>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</si>
  <si>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</si>
  <si>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</si>
  <si>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</si>
  <si>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</si>
  <si>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</si>
  <si>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</si>
  <si>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</si>
  <si>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</si>
  <si>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</si>
  <si>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</si>
  <si>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</si>
  <si>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</si>
  <si>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</si>
  <si>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</si>
  <si>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</si>
  <si>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</si>
  <si>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</si>
  <si>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</si>
  <si>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</si>
  <si>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</si>
  <si>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</si>
  <si>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</si>
  <si>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</si>
  <si>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</si>
  <si>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</si>
  <si>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</si>
  <si>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</si>
  <si>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</si>
  <si>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</si>
  <si>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</si>
  <si>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</si>
  <si>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</si>
  <si>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</si>
  <si>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</si>
  <si>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</si>
  <si>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</si>
  <si>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</si>
  <si>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</si>
  <si>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</si>
  <si>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</si>
  <si>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</si>
  <si>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</si>
  <si>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</si>
  <si>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</si>
  <si>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</si>
  <si>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</si>
  <si>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</si>
  <si>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</si>
  <si>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</si>
  <si>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</si>
  <si>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</si>
  <si>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</si>
  <si>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</si>
  <si>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</si>
  <si>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</si>
  <si>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</si>
  <si>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</si>
  <si>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</si>
  <si>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</si>
  <si>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</si>
  <si>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</si>
  <si>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</si>
  <si>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</si>
  <si>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</si>
  <si>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</si>
  <si>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</si>
  <si>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</si>
  <si>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</si>
  <si>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</si>
  <si>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</si>
  <si>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</si>
  <si>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</si>
  <si>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</si>
  <si>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</si>
  <si>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</si>
  <si>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</si>
  <si>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</si>
  <si>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</si>
  <si>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</si>
  <si>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</si>
  <si>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</si>
  <si>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</si>
  <si>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</si>
  <si>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</si>
  <si>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</si>
  <si>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</si>
  <si>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</si>
  <si>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</si>
  <si>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</si>
  <si>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</si>
  <si>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</si>
  <si>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</si>
  <si>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</si>
  <si>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</si>
  <si>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</si>
  <si>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</si>
  <si>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</si>
  <si>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Periods</t>
  </si>
  <si>
    <t>Days</t>
  </si>
  <si>
    <t>Months</t>
  </si>
  <si>
    <t>Sunday</t>
  </si>
  <si>
    <t>Monday</t>
  </si>
  <si>
    <t>Tuesday</t>
  </si>
  <si>
    <t>Wednesday</t>
  </si>
  <si>
    <t>Thursday</t>
  </si>
  <si>
    <t>Friday</t>
  </si>
  <si>
    <t>Saturday</t>
  </si>
  <si>
    <t>Jan</t>
  </si>
  <si>
    <t>Feb</t>
  </si>
  <si>
    <t>Mar</t>
  </si>
  <si>
    <t>Morning</t>
  </si>
  <si>
    <t>Afternoon</t>
  </si>
  <si>
    <t>Evening</t>
  </si>
  <si>
    <t>Total Customers</t>
  </si>
  <si>
    <t>Customer Type</t>
  </si>
  <si>
    <t>Product Line</t>
  </si>
  <si>
    <t>Periond</t>
  </si>
  <si>
    <t>Total Income</t>
  </si>
  <si>
    <t>(blank)</t>
  </si>
  <si>
    <t>months</t>
  </si>
  <si>
    <t>Average Rating</t>
  </si>
  <si>
    <t>Total Order</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</si>
</sst>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_(&quot;$&quot;* \(#,##0.00\);_(&quot;$&quot;* &quot;-&quot;??_);_(@_)"/>
    <numFmt numFmtId="164" formatCode="0.0"/>
    <numFmt numFmtId="165" formatCode="&quot;$&quot;#,##0.00"/>
    <numFmt numFmtId="166" formatCode="&quot;$&quot;#,##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19" fontId="0" fillId="0" borderId="0" xfId="0" applyNumberFormat="1"/>
    <xf numFmtId="164" fontId="0" fillId="0" borderId="0" xfId="0" applyNumberFormat="1"/>
    <xf numFmtId="0" fontId="16" fillId="0" borderId="0" xfId="0" applyFont="1"/>
    <xf numFmtId="14" fontId="16" fillId="0" borderId="0" xfId="0" applyNumberFormat="1" applyFont="1"/>
    <xf numFmtId="20" fontId="16" fillId="0" borderId="0" xfId="0" applyNumberFormat="1" applyFont="1"/>
    <xf numFmtId="165" fontId="16" fillId="0" borderId="0" xfId="1" applyNumberFormat="1" applyFont="1"/>
    <xf numFmtId="166" fontId="0" fillId="0" borderId="0" xfId="0" applyNumberFormat="1"/>
    <xf numFmtId="166" fontId="0" fillId="0" borderId="0" xfId="0" applyNumberFormat="1" applyAlignment="1">
      <alignment horizontal="left"/>
    </xf>
    <xf numFmtId="165"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9">
    <dxf>
      <font>
        <b/>
      </font>
    </dxf>
    <dxf>
      <font>
        <b/>
      </font>
      <numFmt numFmtId="165" formatCode="&quot;$&quot;#,##0.00"/>
    </dxf>
    <dxf>
      <font>
        <b/>
      </font>
    </dxf>
    <dxf>
      <font>
        <b/>
      </font>
      <numFmt numFmtId="25" formatCode="h:mm"/>
    </dxf>
    <dxf>
      <font>
        <b/>
      </font>
      <numFmt numFmtId="19" formatCode="m/d/yyyy"/>
    </dxf>
    <dxf>
      <font>
        <b/>
      </font>
      <numFmt numFmtId="19" formatCode="m/d/yyyy"/>
    </dxf>
    <dxf>
      <font>
        <b/>
      </font>
    </dxf>
    <dxf>
      <font>
        <b/>
      </font>
    </dxf>
    <dxf>
      <font>
        <b/>
      </font>
    </dxf>
    <dxf>
      <font>
        <b/>
      </font>
    </dxf>
    <dxf>
      <font>
        <b/>
      </font>
    </dxf>
    <dxf>
      <font>
        <b/>
      </font>
    </dxf>
    <dxf>
      <font>
        <b/>
      </font>
    </dxf>
    <dxf>
      <font>
        <b/>
      </font>
    </dxf>
    <dxf>
      <font>
        <b/>
      </font>
    </dxf>
    <dxf>
      <numFmt numFmtId="166" formatCode="&quot;$&quot;#,##0.0"/>
    </dxf>
    <dxf>
      <numFmt numFmtId="166" formatCode="&quot;$&quot;#,##0.0"/>
    </dxf>
    <dxf>
      <numFmt numFmtId="166" formatCode="&quot;$&quot;#,##0.0"/>
    </dxf>
    <dxf>
      <numFmt numFmtId="166" formatCode="&quot;$&quot;#,##0.0"/>
    </dxf>
    <dxf>
      <numFmt numFmtId="164" formatCode="0.0"/>
    </dxf>
    <dxf>
      <numFmt numFmtId="166" formatCode="&quot;$&quot;#,##0.0"/>
    </dxf>
    <dxf>
      <numFmt numFmtId="166" formatCode="&quot;$&quot;#,##0.0"/>
    </dxf>
    <dxf>
      <numFmt numFmtId="166" formatCode="&quot;$&quot;#,##0.0"/>
    </dxf>
    <dxf>
      <numFmt numFmtId="24" formatCode="h:mm:ss\ AM/PM"/>
    </dxf>
    <dxf>
      <numFmt numFmtId="19" formatCode="m/d/yyyy"/>
    </dxf>
    <dxf>
      <numFmt numFmtId="24" formatCode="h:mm:ss\ AM/PM"/>
    </dxf>
    <dxf>
      <numFmt numFmtId="19" formatCode="m/d/yyyy"/>
    </dxf>
    <dxf>
      <numFmt numFmtId="24" formatCode="h:mm:ss\ AM/PM"/>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project.xlsx]Dashboard Pivot!Gender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s>
    <c:plotArea>
      <c:layout/>
      <c:pieChart>
        <c:varyColors val="1"/>
        <c:ser>
          <c:idx val="0"/>
          <c:order val="0"/>
          <c:tx>
            <c:strRef>
              <c:f>'Dashboard Pivot'!$B$8</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34FD-4C39-BDC4-5648CF6B861C}"/>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34FD-4C39-BDC4-5648CF6B861C}"/>
              </c:ext>
            </c:extLst>
          </c:dPt>
          <c:cat>
            <c:strRef>
              <c:f>'Dashboard Pivot'!$A$9:$A$10</c:f>
              <c:strCache>
                <c:ptCount val="2"/>
                <c:pt idx="0">
                  <c:v>Female</c:v>
                </c:pt>
                <c:pt idx="1">
                  <c:v>Male</c:v>
                </c:pt>
              </c:strCache>
            </c:strRef>
          </c:cat>
          <c:val>
            <c:numRef>
              <c:f>'Dashboard Pivot'!$B$9:$B$10</c:f>
              <c:numCache>
                <c:formatCode>"$"#,##0.0</c:formatCode>
                <c:ptCount val="2"/>
                <c:pt idx="0">
                  <c:v>7994.425000000002</c:v>
                </c:pt>
                <c:pt idx="1">
                  <c:v>7384.9440000000022</c:v>
                </c:pt>
              </c:numCache>
            </c:numRef>
          </c:val>
          <c:extLst xmlns:c16r2="http://schemas.microsoft.com/office/drawing/2015/06/chart">
            <c:ext xmlns:c16="http://schemas.microsoft.com/office/drawing/2014/chart" uri="{C3380CC4-5D6E-409C-BE32-E72D297353CC}">
              <c16:uniqueId val="{00000002-71AA-4DBD-90CE-FA905599BFC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project.xlsx]Dashboard Pivot!Customer Type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'Dashboard Pivot'!$B$18</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3B5E-4C13-980C-84342624C081}"/>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3B5E-4C13-980C-84342624C081}"/>
              </c:ext>
            </c:extLst>
          </c:dPt>
          <c:cat>
            <c:strRef>
              <c:f>'Dashboard Pivot'!$A$19:$A$20</c:f>
              <c:strCache>
                <c:ptCount val="2"/>
                <c:pt idx="0">
                  <c:v>Member</c:v>
                </c:pt>
                <c:pt idx="1">
                  <c:v>Normal</c:v>
                </c:pt>
              </c:strCache>
            </c:strRef>
          </c:cat>
          <c:val>
            <c:numRef>
              <c:f>'Dashboard Pivot'!$B$19:$B$20</c:f>
              <c:numCache>
                <c:formatCode>"$"#,##0.0</c:formatCode>
                <c:ptCount val="2"/>
                <c:pt idx="0">
                  <c:v>7820.1640000000016</c:v>
                </c:pt>
                <c:pt idx="1">
                  <c:v>7559.2050000000027</c:v>
                </c:pt>
              </c:numCache>
            </c:numRef>
          </c:val>
          <c:extLst xmlns:c16r2="http://schemas.microsoft.com/office/drawing/2015/06/chart">
            <c:ext xmlns:c16="http://schemas.microsoft.com/office/drawing/2014/chart" uri="{C3380CC4-5D6E-409C-BE32-E72D297353CC}">
              <c16:uniqueId val="{00000004-56B1-4D1B-AA40-6C767FAEB42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project.xlsx]Dashboard Pivot!Months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manualLayout>
          <c:layoutTarget val="inner"/>
          <c:xMode val="edge"/>
          <c:yMode val="edge"/>
          <c:x val="0.23177092929608964"/>
          <c:y val="0.2401367016622922"/>
          <c:w val="0.59237419825833026"/>
          <c:h val="0.6293157626130067"/>
        </c:manualLayout>
      </c:layout>
      <c:barChart>
        <c:barDir val="col"/>
        <c:grouping val="clustered"/>
        <c:varyColors val="0"/>
        <c:ser>
          <c:idx val="0"/>
          <c:order val="0"/>
          <c:tx>
            <c:strRef>
              <c:f>'Dashboard Pivot'!$E$23</c:f>
              <c:strCache>
                <c:ptCount val="1"/>
                <c:pt idx="0">
                  <c:v>Total</c:v>
                </c:pt>
              </c:strCache>
            </c:strRef>
          </c:tx>
          <c:spPr>
            <a:solidFill>
              <a:schemeClr val="accent1"/>
            </a:solidFill>
            <a:ln>
              <a:noFill/>
            </a:ln>
            <a:effectLst/>
          </c:spPr>
          <c:invertIfNegative val="0"/>
          <c:cat>
            <c:strRef>
              <c:f>'Dashboard Pivot'!$D$24:$D$26</c:f>
              <c:strCache>
                <c:ptCount val="3"/>
                <c:pt idx="0">
                  <c:v>Jan</c:v>
                </c:pt>
                <c:pt idx="1">
                  <c:v>Feb</c:v>
                </c:pt>
                <c:pt idx="2">
                  <c:v>Mar</c:v>
                </c:pt>
              </c:strCache>
            </c:strRef>
          </c:cat>
          <c:val>
            <c:numRef>
              <c:f>'Dashboard Pivot'!$E$24:$E$26</c:f>
              <c:numCache>
                <c:formatCode>"$"#,##0.0</c:formatCode>
                <c:ptCount val="3"/>
                <c:pt idx="0">
                  <c:v>5537.7079999999987</c:v>
                </c:pt>
                <c:pt idx="1">
                  <c:v>4629.4940000000006</c:v>
                </c:pt>
                <c:pt idx="2">
                  <c:v>5212.1670000000058</c:v>
                </c:pt>
              </c:numCache>
            </c:numRef>
          </c:val>
          <c:extLst xmlns:c16r2="http://schemas.microsoft.com/office/drawing/2015/06/chart">
            <c:ext xmlns:c16="http://schemas.microsoft.com/office/drawing/2014/chart" uri="{C3380CC4-5D6E-409C-BE32-E72D297353CC}">
              <c16:uniqueId val="{00000000-2BEC-4DCE-99F7-1FCCCA531856}"/>
            </c:ext>
          </c:extLst>
        </c:ser>
        <c:dLbls>
          <c:showLegendKey val="0"/>
          <c:showVal val="0"/>
          <c:showCatName val="0"/>
          <c:showSerName val="0"/>
          <c:showPercent val="0"/>
          <c:showBubbleSize val="0"/>
        </c:dLbls>
        <c:gapWidth val="182"/>
        <c:axId val="274800328"/>
        <c:axId val="274800712"/>
      </c:barChart>
      <c:catAx>
        <c:axId val="274800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00712"/>
        <c:crosses val="autoZero"/>
        <c:auto val="1"/>
        <c:lblAlgn val="ctr"/>
        <c:lblOffset val="100"/>
        <c:noMultiLvlLbl val="0"/>
      </c:catAx>
      <c:valAx>
        <c:axId val="274800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00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project.xlsx]Dashboard Pivot!City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'Dashboard Pivot'!$B$13</c:f>
              <c:strCache>
                <c:ptCount val="1"/>
                <c:pt idx="0">
                  <c:v>Total</c:v>
                </c:pt>
              </c:strCache>
            </c:strRef>
          </c:tx>
          <c:dPt>
            <c:idx val="0"/>
            <c:bubble3D val="0"/>
            <c:spPr>
              <a:solidFill>
                <a:schemeClr val="accent1"/>
              </a:solidFill>
              <a:ln>
                <a:noFill/>
              </a:ln>
              <a:effectLst/>
            </c:spPr>
            <c:extLst xmlns:c16r2="http://schemas.microsoft.com/office/drawing/2015/06/chart">
              <c:ext xmlns:c16="http://schemas.microsoft.com/office/drawing/2014/chart" uri="{C3380CC4-5D6E-409C-BE32-E72D297353CC}">
                <c16:uniqueId val="{00000001-BA8F-44B5-87FB-AD5305A1CD5E}"/>
              </c:ext>
            </c:extLst>
          </c:dPt>
          <c:dPt>
            <c:idx val="1"/>
            <c:bubble3D val="0"/>
            <c:spPr>
              <a:solidFill>
                <a:schemeClr val="accent2"/>
              </a:solidFill>
              <a:ln>
                <a:noFill/>
              </a:ln>
              <a:effectLst/>
            </c:spPr>
            <c:extLst xmlns:c16r2="http://schemas.microsoft.com/office/drawing/2015/06/chart">
              <c:ext xmlns:c16="http://schemas.microsoft.com/office/drawing/2014/chart" uri="{C3380CC4-5D6E-409C-BE32-E72D297353CC}">
                <c16:uniqueId val="{00000003-BA8F-44B5-87FB-AD5305A1CD5E}"/>
              </c:ext>
            </c:extLst>
          </c:dPt>
          <c:dPt>
            <c:idx val="2"/>
            <c:bubble3D val="0"/>
            <c:spPr>
              <a:solidFill>
                <a:schemeClr val="accent3"/>
              </a:solidFill>
              <a:ln>
                <a:noFill/>
              </a:ln>
              <a:effectLst/>
            </c:spPr>
            <c:extLst xmlns:c16r2="http://schemas.microsoft.com/office/drawing/2015/06/chart">
              <c:ext xmlns:c16="http://schemas.microsoft.com/office/drawing/2014/chart" uri="{C3380CC4-5D6E-409C-BE32-E72D297353CC}">
                <c16:uniqueId val="{00000005-BA8F-44B5-87FB-AD5305A1CD5E}"/>
              </c:ext>
            </c:extLst>
          </c:dPt>
          <c:cat>
            <c:strRef>
              <c:f>'Dashboard Pivot'!$A$14:$A$16</c:f>
              <c:strCache>
                <c:ptCount val="3"/>
                <c:pt idx="0">
                  <c:v>Mandalay</c:v>
                </c:pt>
                <c:pt idx="1">
                  <c:v>Naypyitaw</c:v>
                </c:pt>
                <c:pt idx="2">
                  <c:v>Yangon</c:v>
                </c:pt>
              </c:strCache>
            </c:strRef>
          </c:cat>
          <c:val>
            <c:numRef>
              <c:f>'Dashboard Pivot'!$B$14:$B$16</c:f>
              <c:numCache>
                <c:formatCode>"$"#,##0.0</c:formatCode>
                <c:ptCount val="3"/>
                <c:pt idx="0">
                  <c:v>332</c:v>
                </c:pt>
                <c:pt idx="1">
                  <c:v>328</c:v>
                </c:pt>
                <c:pt idx="2">
                  <c:v>340</c:v>
                </c:pt>
              </c:numCache>
            </c:numRef>
          </c:val>
          <c:extLst xmlns:c16r2="http://schemas.microsoft.com/office/drawing/2015/06/chart">
            <c:ext xmlns:c16="http://schemas.microsoft.com/office/drawing/2014/chart" uri="{C3380CC4-5D6E-409C-BE32-E72D297353CC}">
              <c16:uniqueId val="{00000006-2FEA-4569-9138-227CCD79C36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project.xlsx]Dashboard Pivot!Product line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'Dashboard Pivot'!$B$22</c:f>
              <c:strCache>
                <c:ptCount val="1"/>
                <c:pt idx="0">
                  <c:v>Total</c:v>
                </c:pt>
              </c:strCache>
            </c:strRef>
          </c:tx>
          <c:spPr>
            <a:solidFill>
              <a:schemeClr val="accent1"/>
            </a:solidFill>
            <a:ln>
              <a:noFill/>
            </a:ln>
            <a:effectLst/>
          </c:spPr>
          <c:invertIfNegative val="0"/>
          <c:cat>
            <c:strRef>
              <c:f>'Dashboard Pivot'!$A$23:$A$28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'Dashboard Pivot'!$B$23:$B$28</c:f>
              <c:numCache>
                <c:formatCode>"$"#,##0.0</c:formatCode>
                <c:ptCount val="6"/>
                <c:pt idx="0">
                  <c:v>2587.5015000000017</c:v>
                </c:pt>
                <c:pt idx="1">
                  <c:v>2585.9949999999999</c:v>
                </c:pt>
                <c:pt idx="2">
                  <c:v>2673.5639999999994</c:v>
                </c:pt>
                <c:pt idx="3">
                  <c:v>2342.5589999999993</c:v>
                </c:pt>
                <c:pt idx="4">
                  <c:v>2564.8530000000019</c:v>
                </c:pt>
                <c:pt idx="5">
                  <c:v>2624.8964999999994</c:v>
                </c:pt>
              </c:numCache>
            </c:numRef>
          </c:val>
          <c:extLst xmlns:c16r2="http://schemas.microsoft.com/office/drawing/2015/06/chart">
            <c:ext xmlns:c16="http://schemas.microsoft.com/office/drawing/2014/chart" uri="{C3380CC4-5D6E-409C-BE32-E72D297353CC}">
              <c16:uniqueId val="{00000000-B24B-4458-8D7C-ED53E3A5A6DC}"/>
            </c:ext>
          </c:extLst>
        </c:ser>
        <c:dLbls>
          <c:showLegendKey val="0"/>
          <c:showVal val="0"/>
          <c:showCatName val="0"/>
          <c:showSerName val="0"/>
          <c:showPercent val="0"/>
          <c:showBubbleSize val="0"/>
        </c:dLbls>
        <c:gapWidth val="182"/>
        <c:axId val="273899088"/>
        <c:axId val="274079872"/>
      </c:barChart>
      <c:catAx>
        <c:axId val="27389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079872"/>
        <c:crosses val="autoZero"/>
        <c:auto val="1"/>
        <c:lblAlgn val="ctr"/>
        <c:lblOffset val="100"/>
        <c:noMultiLvlLbl val="0"/>
      </c:catAx>
      <c:valAx>
        <c:axId val="2740798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89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project.xlsx]Dashboard Pivot!Period</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'Dashboard Pivot'!$E$8</c:f>
              <c:strCache>
                <c:ptCount val="1"/>
                <c:pt idx="0">
                  <c:v>Total</c:v>
                </c:pt>
              </c:strCache>
            </c:strRef>
          </c:tx>
          <c:spPr>
            <a:solidFill>
              <a:schemeClr val="accent1"/>
            </a:solidFill>
            <a:ln>
              <a:noFill/>
            </a:ln>
            <a:effectLst/>
          </c:spPr>
          <c:invertIfNegative val="0"/>
          <c:cat>
            <c:strRef>
              <c:f>'Dashboard Pivot'!$D$9:$D$11</c:f>
              <c:strCache>
                <c:ptCount val="3"/>
                <c:pt idx="0">
                  <c:v>Evening</c:v>
                </c:pt>
                <c:pt idx="1">
                  <c:v>Afternoon</c:v>
                </c:pt>
                <c:pt idx="2">
                  <c:v>Morning</c:v>
                </c:pt>
              </c:strCache>
            </c:strRef>
          </c:cat>
          <c:val>
            <c:numRef>
              <c:f>'Dashboard Pivot'!$E$9:$E$11</c:f>
              <c:numCache>
                <c:formatCode>"$"#,##0.0</c:formatCode>
                <c:ptCount val="3"/>
                <c:pt idx="0">
                  <c:v>6589.0915000000041</c:v>
                </c:pt>
                <c:pt idx="1">
                  <c:v>5847.4769999999962</c:v>
                </c:pt>
                <c:pt idx="2">
                  <c:v>2942.8005000000003</c:v>
                </c:pt>
              </c:numCache>
            </c:numRef>
          </c:val>
          <c:extLst xmlns:c16r2="http://schemas.microsoft.com/office/drawing/2015/06/chart">
            <c:ext xmlns:c16="http://schemas.microsoft.com/office/drawing/2014/chart" uri="{C3380CC4-5D6E-409C-BE32-E72D297353CC}">
              <c16:uniqueId val="{00000000-F415-463F-B22E-759033022785}"/>
            </c:ext>
          </c:extLst>
        </c:ser>
        <c:dLbls>
          <c:showLegendKey val="0"/>
          <c:showVal val="0"/>
          <c:showCatName val="0"/>
          <c:showSerName val="0"/>
          <c:showPercent val="0"/>
          <c:showBubbleSize val="0"/>
        </c:dLbls>
        <c:gapWidth val="219"/>
        <c:overlap val="-27"/>
        <c:axId val="274837448"/>
        <c:axId val="274837832"/>
      </c:barChart>
      <c:catAx>
        <c:axId val="274837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37832"/>
        <c:crosses val="autoZero"/>
        <c:auto val="1"/>
        <c:lblAlgn val="ctr"/>
        <c:lblOffset val="100"/>
        <c:noMultiLvlLbl val="0"/>
      </c:catAx>
      <c:valAx>
        <c:axId val="2748378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37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project.xlsx]Dashboard Pivot!Days</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'Dashboard Pivot'!$E$13</c:f>
              <c:strCache>
                <c:ptCount val="1"/>
                <c:pt idx="0">
                  <c:v>Total</c:v>
                </c:pt>
              </c:strCache>
            </c:strRef>
          </c:tx>
          <c:spPr>
            <a:solidFill>
              <a:schemeClr val="accent1"/>
            </a:solidFill>
            <a:ln>
              <a:noFill/>
            </a:ln>
            <a:effectLst/>
          </c:spPr>
          <c:invertIfNegative val="0"/>
          <c:cat>
            <c:strRef>
              <c:f>'Dashboard Pivot'!$D$14:$D$21</c:f>
              <c:strCache>
                <c:ptCount val="8"/>
                <c:pt idx="0">
                  <c:v>Tuesday</c:v>
                </c:pt>
                <c:pt idx="1">
                  <c:v>Monday</c:v>
                </c:pt>
                <c:pt idx="2">
                  <c:v>Thursday</c:v>
                </c:pt>
                <c:pt idx="3">
                  <c:v>Wednesday</c:v>
                </c:pt>
                <c:pt idx="4">
                  <c:v>Sunday</c:v>
                </c:pt>
                <c:pt idx="5">
                  <c:v>Saturday</c:v>
                </c:pt>
                <c:pt idx="6">
                  <c:v>Friday</c:v>
                </c:pt>
                <c:pt idx="7">
                  <c:v>(blank)</c:v>
                </c:pt>
              </c:strCache>
            </c:strRef>
          </c:cat>
          <c:val>
            <c:numRef>
              <c:f>'Dashboard Pivot'!$E$14:$E$21</c:f>
              <c:numCache>
                <c:formatCode>General</c:formatCode>
                <c:ptCount val="8"/>
                <c:pt idx="0">
                  <c:v>178</c:v>
                </c:pt>
                <c:pt idx="1">
                  <c:v>169</c:v>
                </c:pt>
                <c:pt idx="2">
                  <c:v>168</c:v>
                </c:pt>
                <c:pt idx="3">
                  <c:v>155</c:v>
                </c:pt>
                <c:pt idx="4">
                  <c:v>145</c:v>
                </c:pt>
                <c:pt idx="5">
                  <c:v>98</c:v>
                </c:pt>
                <c:pt idx="6">
                  <c:v>86</c:v>
                </c:pt>
                <c:pt idx="7">
                  <c:v>1</c:v>
                </c:pt>
              </c:numCache>
            </c:numRef>
          </c:val>
          <c:extLst xmlns:c16r2="http://schemas.microsoft.com/office/drawing/2015/06/chart">
            <c:ext xmlns:c16="http://schemas.microsoft.com/office/drawing/2014/chart" uri="{C3380CC4-5D6E-409C-BE32-E72D297353CC}">
              <c16:uniqueId val="{00000000-B556-4C51-A612-CC755A52C2F3}"/>
            </c:ext>
          </c:extLst>
        </c:ser>
        <c:dLbls>
          <c:showLegendKey val="0"/>
          <c:showVal val="0"/>
          <c:showCatName val="0"/>
          <c:showSerName val="0"/>
          <c:showPercent val="0"/>
          <c:showBubbleSize val="0"/>
        </c:dLbls>
        <c:gapWidth val="219"/>
        <c:overlap val="-27"/>
        <c:axId val="274814824"/>
        <c:axId val="274819920"/>
      </c:barChart>
      <c:catAx>
        <c:axId val="274814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19920"/>
        <c:crosses val="autoZero"/>
        <c:auto val="1"/>
        <c:lblAlgn val="ctr"/>
        <c:lblOffset val="100"/>
        <c:noMultiLvlLbl val="0"/>
      </c:catAx>
      <c:valAx>
        <c:axId val="27481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14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project.xlsx]Dashboard Pivot!PivotTable14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'Dashboard Pivot'!$E$29</c:f>
              <c:strCache>
                <c:ptCount val="1"/>
                <c:pt idx="0">
                  <c:v>Total</c:v>
                </c:pt>
              </c:strCache>
            </c:strRef>
          </c:tx>
          <c:spPr>
            <a:solidFill>
              <a:schemeClr val="accent1"/>
            </a:solidFill>
            <a:ln>
              <a:noFill/>
            </a:ln>
            <a:effectLst/>
          </c:spPr>
          <c:invertIfNegative val="0"/>
          <c:cat>
            <c:strRef>
              <c:f>'Dashboard Pivot'!$D$30:$D$32</c:f>
              <c:strCache>
                <c:ptCount val="3"/>
                <c:pt idx="0">
                  <c:v>A</c:v>
                </c:pt>
                <c:pt idx="1">
                  <c:v>B</c:v>
                </c:pt>
                <c:pt idx="2">
                  <c:v>C</c:v>
                </c:pt>
              </c:strCache>
            </c:strRef>
          </c:cat>
          <c:val>
            <c:numRef>
              <c:f>'Dashboard Pivot'!$E$30:$E$32</c:f>
              <c:numCache>
                <c:formatCode>"$"#,##0.0</c:formatCode>
                <c:ptCount val="3"/>
                <c:pt idx="0">
                  <c:v>5057.1605000000018</c:v>
                </c:pt>
                <c:pt idx="1">
                  <c:v>5057.0320000000029</c:v>
                </c:pt>
                <c:pt idx="2">
                  <c:v>5265.1765000000023</c:v>
                </c:pt>
              </c:numCache>
            </c:numRef>
          </c:val>
          <c:extLst xmlns:c16r2="http://schemas.microsoft.com/office/drawing/2015/06/chart">
            <c:ext xmlns:c16="http://schemas.microsoft.com/office/drawing/2014/chart" uri="{C3380CC4-5D6E-409C-BE32-E72D297353CC}">
              <c16:uniqueId val="{00000000-1AAB-4089-8452-D07453152FCF}"/>
            </c:ext>
          </c:extLst>
        </c:ser>
        <c:dLbls>
          <c:showLegendKey val="0"/>
          <c:showVal val="0"/>
          <c:showCatName val="0"/>
          <c:showSerName val="0"/>
          <c:showPercent val="0"/>
          <c:showBubbleSize val="0"/>
        </c:dLbls>
        <c:gapWidth val="219"/>
        <c:overlap val="-27"/>
        <c:axId val="274815216"/>
        <c:axId val="274813256"/>
      </c:barChart>
      <c:catAx>
        <c:axId val="27481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13256"/>
        <c:crosses val="autoZero"/>
        <c:auto val="1"/>
        <c:lblAlgn val="ctr"/>
        <c:lblOffset val="100"/>
        <c:noMultiLvlLbl val="0"/>
      </c:catAx>
      <c:valAx>
        <c:axId val="2748132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1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report project.xlsx]Dashboard Pivot!Gender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Total Income by Gender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8"/>
        <c:spPr>
          <a:solidFill>
            <a:schemeClr val="accent5"/>
          </a:solidFill>
          <a:ln w="19050">
            <a:solidFill>
              <a:schemeClr val="lt1"/>
            </a:solidFill>
          </a:ln>
          <a:effectLst/>
        </c:spPr>
      </c:pivotFmt>
      <c:pivotFmt>
        <c:idx val="9"/>
        <c:spPr>
          <a:solidFill>
            <a:schemeClr val="accent5">
              <a:shade val="76000"/>
            </a:schemeClr>
          </a:solidFill>
          <a:ln w="19050">
            <a:solidFill>
              <a:schemeClr val="lt1"/>
            </a:solidFill>
          </a:ln>
          <a:effectLst/>
        </c:spPr>
      </c:pivotFmt>
      <c:pivotFmt>
        <c:idx val="10"/>
        <c:spPr>
          <a:solidFill>
            <a:schemeClr val="accent5">
              <a:tint val="77000"/>
            </a:schemeClr>
          </a:solidFill>
          <a:ln w="19050">
            <a:solidFill>
              <a:schemeClr val="lt1"/>
            </a:solidFill>
          </a:ln>
          <a:effectLst/>
        </c:spPr>
      </c:pivotFmt>
    </c:pivotFmts>
    <c:plotArea>
      <c:layout>
        <c:manualLayout>
          <c:layoutTarget val="inner"/>
          <c:xMode val="edge"/>
          <c:yMode val="edge"/>
          <c:x val="0.32728779715932638"/>
          <c:y val="0.22334317585301838"/>
          <c:w val="0.40284092478870764"/>
          <c:h val="0.58467884222805477"/>
        </c:manualLayout>
      </c:layout>
      <c:pieChart>
        <c:varyColors val="1"/>
        <c:ser>
          <c:idx val="0"/>
          <c:order val="0"/>
          <c:tx>
            <c:strRef>
              <c:f>'Dashboard Pivot'!$B$8</c:f>
              <c:strCache>
                <c:ptCount val="1"/>
                <c:pt idx="0">
                  <c:v>Total</c:v>
                </c:pt>
              </c:strCache>
            </c:strRef>
          </c:tx>
          <c:dPt>
            <c:idx val="0"/>
            <c:bubble3D val="0"/>
            <c:spPr>
              <a:solidFill>
                <a:schemeClr val="accent5">
                  <a:shade val="76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1-BCF2-4F55-A559-6D72520686FB}"/>
              </c:ext>
            </c:extLst>
          </c:dPt>
          <c:dPt>
            <c:idx val="1"/>
            <c:bubble3D val="0"/>
            <c:spPr>
              <a:solidFill>
                <a:schemeClr val="accent5">
                  <a:tint val="77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3-BCF2-4F55-A559-6D72520686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'Dashboard Pivot'!$A$9:$A$10</c:f>
              <c:strCache>
                <c:ptCount val="2"/>
                <c:pt idx="0">
                  <c:v>Female</c:v>
                </c:pt>
                <c:pt idx="1">
                  <c:v>Male</c:v>
                </c:pt>
              </c:strCache>
            </c:strRef>
          </c:cat>
          <c:val>
            <c:numRef>
              <c:f>'Dashboard Pivot'!$B$9:$B$10</c:f>
              <c:numCache>
                <c:formatCode>"$"#,##0.0</c:formatCode>
                <c:ptCount val="2"/>
                <c:pt idx="0">
                  <c:v>7994.425000000002</c:v>
                </c:pt>
                <c:pt idx="1">
                  <c:v>7384.9440000000022</c:v>
                </c:pt>
              </c:numCache>
            </c:numRef>
          </c:val>
          <c:extLst xmlns:c16r2="http://schemas.microsoft.com/office/drawing/2015/06/chart">
            <c:ext xmlns:c16="http://schemas.microsoft.com/office/drawing/2014/chart" uri="{C3380CC4-5D6E-409C-BE32-E72D297353CC}">
              <c16:uniqueId val="{00000002-EAB8-42E5-B962-2CF2CAC7B35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report project.xlsx]Dashboard Pivot!Customer Type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Total Income by Customer Type</a:t>
            </a:r>
          </a:p>
        </c:rich>
      </c:tx>
      <c:layout>
        <c:manualLayout>
          <c:xMode val="edge"/>
          <c:yMode val="edge"/>
          <c:x val="0.15740259740259743"/>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8"/>
        <c:spPr>
          <a:solidFill>
            <a:schemeClr val="accent5">
              <a:shade val="76000"/>
            </a:schemeClr>
          </a:solidFill>
          <a:ln w="19050">
            <a:solidFill>
              <a:schemeClr val="lt1"/>
            </a:solidFill>
          </a:ln>
          <a:effectLst/>
        </c:spPr>
      </c:pivotFmt>
      <c:pivotFmt>
        <c:idx val="9"/>
        <c:spPr>
          <a:solidFill>
            <a:schemeClr val="accent5">
              <a:tint val="77000"/>
            </a:schemeClr>
          </a:solidFill>
          <a:ln w="19050">
            <a:solidFill>
              <a:schemeClr val="lt1"/>
            </a:solidFill>
          </a:ln>
          <a:effectLst/>
        </c:spPr>
      </c:pivotFmt>
    </c:pivotFmts>
    <c:plotArea>
      <c:layout/>
      <c:pieChart>
        <c:varyColors val="1"/>
        <c:ser>
          <c:idx val="0"/>
          <c:order val="0"/>
          <c:tx>
            <c:strRef>
              <c:f>'Dashboard Pivot'!$B$18</c:f>
              <c:strCache>
                <c:ptCount val="1"/>
                <c:pt idx="0">
                  <c:v>Total</c:v>
                </c:pt>
              </c:strCache>
            </c:strRef>
          </c:tx>
          <c:dPt>
            <c:idx val="0"/>
            <c:bubble3D val="0"/>
            <c:spPr>
              <a:solidFill>
                <a:schemeClr val="accent5">
                  <a:shade val="76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1-172A-4968-990C-695981EEA10D}"/>
              </c:ext>
            </c:extLst>
          </c:dPt>
          <c:dPt>
            <c:idx val="1"/>
            <c:bubble3D val="0"/>
            <c:spPr>
              <a:solidFill>
                <a:schemeClr val="accent5">
                  <a:tint val="77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3-172A-4968-990C-695981EEA1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'Dashboard Pivot'!$A$19:$A$20</c:f>
              <c:strCache>
                <c:ptCount val="2"/>
                <c:pt idx="0">
                  <c:v>Member</c:v>
                </c:pt>
                <c:pt idx="1">
                  <c:v>Normal</c:v>
                </c:pt>
              </c:strCache>
            </c:strRef>
          </c:cat>
          <c:val>
            <c:numRef>
              <c:f>'Dashboard Pivot'!$B$19:$B$20</c:f>
              <c:numCache>
                <c:formatCode>"$"#,##0.0</c:formatCode>
                <c:ptCount val="2"/>
                <c:pt idx="0">
                  <c:v>7820.1640000000016</c:v>
                </c:pt>
                <c:pt idx="1">
                  <c:v>7559.2050000000027</c:v>
                </c:pt>
              </c:numCache>
            </c:numRef>
          </c:val>
          <c:extLst xmlns:c16r2="http://schemas.microsoft.com/office/drawing/2015/06/chart">
            <c:ext xmlns:c16="http://schemas.microsoft.com/office/drawing/2014/chart" uri="{C3380CC4-5D6E-409C-BE32-E72D297353CC}">
              <c16:uniqueId val="{00000004-5839-46E0-A92E-2068980E766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project.xlsx]Dashboard Pivot!Months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Total</a:t>
            </a:r>
            <a:r>
              <a:rPr lang="en-US" sz="1200" b="1" baseline="0"/>
              <a:t> income by Month</a:t>
            </a:r>
            <a:endParaRPr lang="en-US" sz="12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0.23177092929608964"/>
          <c:y val="0.2401367016622922"/>
          <c:w val="0.59237419825833026"/>
          <c:h val="0.6293157626130067"/>
        </c:manualLayout>
      </c:layout>
      <c:barChart>
        <c:barDir val="col"/>
        <c:grouping val="clustered"/>
        <c:varyColors val="0"/>
        <c:ser>
          <c:idx val="0"/>
          <c:order val="0"/>
          <c:tx>
            <c:strRef>
              <c:f>'Dashboard Pivot'!$E$23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 Pivot'!$D$24:$D$26</c:f>
              <c:strCache>
                <c:ptCount val="3"/>
                <c:pt idx="0">
                  <c:v>Jan</c:v>
                </c:pt>
                <c:pt idx="1">
                  <c:v>Feb</c:v>
                </c:pt>
                <c:pt idx="2">
                  <c:v>Mar</c:v>
                </c:pt>
              </c:strCache>
            </c:strRef>
          </c:cat>
          <c:val>
            <c:numRef>
              <c:f>'Dashboard Pivot'!$E$24:$E$26</c:f>
              <c:numCache>
                <c:formatCode>"$"#,##0.0</c:formatCode>
                <c:ptCount val="3"/>
                <c:pt idx="0">
                  <c:v>5537.7079999999987</c:v>
                </c:pt>
                <c:pt idx="1">
                  <c:v>4629.4940000000006</c:v>
                </c:pt>
                <c:pt idx="2">
                  <c:v>5212.1670000000058</c:v>
                </c:pt>
              </c:numCache>
            </c:numRef>
          </c:val>
          <c:extLst xmlns:c16r2="http://schemas.microsoft.com/office/drawing/2015/06/chart">
            <c:ext xmlns:c16="http://schemas.microsoft.com/office/drawing/2014/chart" uri="{C3380CC4-5D6E-409C-BE32-E72D297353CC}">
              <c16:uniqueId val="{00000000-52C9-465B-9DEB-0AE7E9BD48FE}"/>
            </c:ext>
          </c:extLst>
        </c:ser>
        <c:dLbls>
          <c:dLblPos val="outEnd"/>
          <c:showLegendKey val="0"/>
          <c:showVal val="1"/>
          <c:showCatName val="0"/>
          <c:showSerName val="0"/>
          <c:showPercent val="0"/>
          <c:showBubbleSize val="0"/>
        </c:dLbls>
        <c:gapWidth val="182"/>
        <c:axId val="274816392"/>
        <c:axId val="274812864"/>
      </c:barChart>
      <c:catAx>
        <c:axId val="274816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12864"/>
        <c:crosses val="autoZero"/>
        <c:auto val="1"/>
        <c:lblAlgn val="ctr"/>
        <c:lblOffset val="100"/>
        <c:noMultiLvlLbl val="0"/>
      </c:catAx>
      <c:valAx>
        <c:axId val="274812864"/>
        <c:scaling>
          <c:orientation val="minMax"/>
        </c:scaling>
        <c:delete val="1"/>
        <c:axPos val="l"/>
        <c:numFmt formatCode="&quot;$&quot;#,##0.0" sourceLinked="1"/>
        <c:majorTickMark val="none"/>
        <c:minorTickMark val="none"/>
        <c:tickLblPos val="nextTo"/>
        <c:crossAx val="27481639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report project.xlsx]Dashboard Pivot!City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Income by City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pivotFmt>
      <c:pivotFmt>
        <c:idx val="3"/>
      </c:pivotFmt>
      <c:pivotFmt>
        <c:idx val="4"/>
      </c:pivotFmt>
      <c:pivotFmt>
        <c:idx val="5"/>
        <c:spPr>
          <a:solidFill>
            <a:schemeClr val="accent5"/>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6"/>
        <c:spPr>
          <a:solidFill>
            <a:schemeClr val="accent5">
              <a:shade val="65000"/>
            </a:schemeClr>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tint val="65000"/>
            </a:schemeClr>
          </a:solidFill>
          <a:ln w="19050">
            <a:solidFill>
              <a:schemeClr val="lt1"/>
            </a:solidFill>
          </a:ln>
          <a:effectLst/>
        </c:spPr>
      </c:pivotFmt>
    </c:pivotFmts>
    <c:plotArea>
      <c:layout/>
      <c:pieChart>
        <c:varyColors val="1"/>
        <c:ser>
          <c:idx val="0"/>
          <c:order val="0"/>
          <c:tx>
            <c:strRef>
              <c:f>'Dashboard Pivot'!$B$13</c:f>
              <c:strCache>
                <c:ptCount val="1"/>
                <c:pt idx="0">
                  <c:v>Total</c:v>
                </c:pt>
              </c:strCache>
            </c:strRef>
          </c:tx>
          <c:dPt>
            <c:idx val="0"/>
            <c:bubble3D val="0"/>
            <c:spPr>
              <a:solidFill>
                <a:schemeClr val="accent5">
                  <a:shade val="6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1-ADB9-4BA6-980C-8D5D7610AE56}"/>
              </c:ext>
            </c:extLst>
          </c:dPt>
          <c:dPt>
            <c:idx val="1"/>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3-ADB9-4BA6-980C-8D5D7610AE56}"/>
              </c:ext>
            </c:extLst>
          </c:dPt>
          <c:dPt>
            <c:idx val="2"/>
            <c:bubble3D val="0"/>
            <c:spPr>
              <a:solidFill>
                <a:schemeClr val="accent5">
                  <a:tint val="6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5-ADB9-4BA6-980C-8D5D7610AE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'Dashboard Pivot'!$A$14:$A$16</c:f>
              <c:strCache>
                <c:ptCount val="3"/>
                <c:pt idx="0">
                  <c:v>Mandalay</c:v>
                </c:pt>
                <c:pt idx="1">
                  <c:v>Naypyitaw</c:v>
                </c:pt>
                <c:pt idx="2">
                  <c:v>Yangon</c:v>
                </c:pt>
              </c:strCache>
            </c:strRef>
          </c:cat>
          <c:val>
            <c:numRef>
              <c:f>'Dashboard Pivot'!$B$14:$B$16</c:f>
              <c:numCache>
                <c:formatCode>"$"#,##0.0</c:formatCode>
                <c:ptCount val="3"/>
                <c:pt idx="0">
                  <c:v>332</c:v>
                </c:pt>
                <c:pt idx="1">
                  <c:v>328</c:v>
                </c:pt>
                <c:pt idx="2">
                  <c:v>340</c:v>
                </c:pt>
              </c:numCache>
            </c:numRef>
          </c:val>
          <c:extLst xmlns:c16r2="http://schemas.microsoft.com/office/drawing/2015/06/chart">
            <c:ext xmlns:c16="http://schemas.microsoft.com/office/drawing/2014/chart" uri="{C3380CC4-5D6E-409C-BE32-E72D297353CC}">
              <c16:uniqueId val="{00000006-81DB-4E56-B586-2E8D8549F0C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project.xlsx]Dashboard Pivot!Product line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Total </a:t>
            </a:r>
            <a:r>
              <a:rPr lang="en-US" sz="1200" b="1" baseline="0"/>
              <a:t> Income by product Line </a:t>
            </a:r>
            <a:endParaRPr lang="en-US" sz="12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'Dashboard Pivot'!$B$22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 Pivot'!$A$23:$A$28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'Dashboard Pivot'!$B$23:$B$28</c:f>
              <c:numCache>
                <c:formatCode>"$"#,##0.0</c:formatCode>
                <c:ptCount val="6"/>
                <c:pt idx="0">
                  <c:v>2587.5015000000017</c:v>
                </c:pt>
                <c:pt idx="1">
                  <c:v>2585.9949999999999</c:v>
                </c:pt>
                <c:pt idx="2">
                  <c:v>2673.5639999999994</c:v>
                </c:pt>
                <c:pt idx="3">
                  <c:v>2342.5589999999993</c:v>
                </c:pt>
                <c:pt idx="4">
                  <c:v>2564.8530000000019</c:v>
                </c:pt>
                <c:pt idx="5">
                  <c:v>2624.8964999999994</c:v>
                </c:pt>
              </c:numCache>
            </c:numRef>
          </c:val>
          <c:extLst xmlns:c16r2="http://schemas.microsoft.com/office/drawing/2015/06/chart">
            <c:ext xmlns:c16="http://schemas.microsoft.com/office/drawing/2014/chart" uri="{C3380CC4-5D6E-409C-BE32-E72D297353CC}">
              <c16:uniqueId val="{00000000-19F2-4DD7-B19D-A1202F560A40}"/>
            </c:ext>
          </c:extLst>
        </c:ser>
        <c:dLbls>
          <c:dLblPos val="outEnd"/>
          <c:showLegendKey val="0"/>
          <c:showVal val="1"/>
          <c:showCatName val="0"/>
          <c:showSerName val="0"/>
          <c:showPercent val="0"/>
          <c:showBubbleSize val="0"/>
        </c:dLbls>
        <c:gapWidth val="182"/>
        <c:axId val="276120832"/>
        <c:axId val="276118872"/>
      </c:barChart>
      <c:catAx>
        <c:axId val="276120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118872"/>
        <c:crosses val="autoZero"/>
        <c:auto val="1"/>
        <c:lblAlgn val="ctr"/>
        <c:lblOffset val="100"/>
        <c:noMultiLvlLbl val="0"/>
      </c:catAx>
      <c:valAx>
        <c:axId val="276118872"/>
        <c:scaling>
          <c:orientation val="minMax"/>
        </c:scaling>
        <c:delete val="1"/>
        <c:axPos val="b"/>
        <c:numFmt formatCode="&quot;$&quot;#,##0.0" sourceLinked="1"/>
        <c:majorTickMark val="none"/>
        <c:minorTickMark val="none"/>
        <c:tickLblPos val="nextTo"/>
        <c:crossAx val="2761208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project.xlsx]Dashboard Pivot!Period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t>Total Income by Period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1.3973576956229255E-2"/>
          <c:y val="0.11165330926135231"/>
          <c:w val="0.93851626139259126"/>
          <c:h val="0.73797360950962132"/>
        </c:manualLayout>
      </c:layout>
      <c:barChart>
        <c:barDir val="col"/>
        <c:grouping val="clustered"/>
        <c:varyColors val="0"/>
        <c:ser>
          <c:idx val="0"/>
          <c:order val="0"/>
          <c:tx>
            <c:strRef>
              <c:f>'Dashboard Pivot'!$E$8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 Pivot'!$D$9:$D$11</c:f>
              <c:strCache>
                <c:ptCount val="3"/>
                <c:pt idx="0">
                  <c:v>Evening</c:v>
                </c:pt>
                <c:pt idx="1">
                  <c:v>Afternoon</c:v>
                </c:pt>
                <c:pt idx="2">
                  <c:v>Morning</c:v>
                </c:pt>
              </c:strCache>
            </c:strRef>
          </c:cat>
          <c:val>
            <c:numRef>
              <c:f>'Dashboard Pivot'!$E$9:$E$11</c:f>
              <c:numCache>
                <c:formatCode>"$"#,##0.0</c:formatCode>
                <c:ptCount val="3"/>
                <c:pt idx="0">
                  <c:v>6589.0915000000041</c:v>
                </c:pt>
                <c:pt idx="1">
                  <c:v>5847.4769999999962</c:v>
                </c:pt>
                <c:pt idx="2">
                  <c:v>2942.8005000000003</c:v>
                </c:pt>
              </c:numCache>
            </c:numRef>
          </c:val>
          <c:extLst xmlns:c16r2="http://schemas.microsoft.com/office/drawing/2015/06/chart">
            <c:ext xmlns:c16="http://schemas.microsoft.com/office/drawing/2014/chart" uri="{C3380CC4-5D6E-409C-BE32-E72D297353CC}">
              <c16:uniqueId val="{00000000-FC65-429D-B30B-03DA17A628F7}"/>
            </c:ext>
          </c:extLst>
        </c:ser>
        <c:dLbls>
          <c:dLblPos val="outEnd"/>
          <c:showLegendKey val="0"/>
          <c:showVal val="1"/>
          <c:showCatName val="0"/>
          <c:showSerName val="0"/>
          <c:showPercent val="0"/>
          <c:showBubbleSize val="0"/>
        </c:dLbls>
        <c:gapWidth val="219"/>
        <c:overlap val="-27"/>
        <c:axId val="276121224"/>
        <c:axId val="276117696"/>
      </c:barChart>
      <c:catAx>
        <c:axId val="276121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117696"/>
        <c:crosses val="autoZero"/>
        <c:auto val="1"/>
        <c:lblAlgn val="ctr"/>
        <c:lblOffset val="100"/>
        <c:noMultiLvlLbl val="0"/>
      </c:catAx>
      <c:valAx>
        <c:axId val="276117696"/>
        <c:scaling>
          <c:orientation val="minMax"/>
        </c:scaling>
        <c:delete val="1"/>
        <c:axPos val="l"/>
        <c:numFmt formatCode="&quot;$&quot;#,##0.0" sourceLinked="1"/>
        <c:majorTickMark val="none"/>
        <c:minorTickMark val="none"/>
        <c:tickLblPos val="nextTo"/>
        <c:crossAx val="27612122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project.xlsx]Dashboard Pivot!Days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Total Order by Weekdays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3.3333333333333333E-2"/>
          <c:y val="0.16041666666666665"/>
          <c:w val="0.93888888888888888"/>
          <c:h val="0.60611621463983667"/>
        </c:manualLayout>
      </c:layout>
      <c:barChart>
        <c:barDir val="col"/>
        <c:grouping val="clustered"/>
        <c:varyColors val="0"/>
        <c:ser>
          <c:idx val="0"/>
          <c:order val="0"/>
          <c:tx>
            <c:strRef>
              <c:f>'Dashboard Pivot'!$E$13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 Pivot'!$D$14:$D$21</c:f>
              <c:strCache>
                <c:ptCount val="8"/>
                <c:pt idx="0">
                  <c:v>Tuesday</c:v>
                </c:pt>
                <c:pt idx="1">
                  <c:v>Monday</c:v>
                </c:pt>
                <c:pt idx="2">
                  <c:v>Thursday</c:v>
                </c:pt>
                <c:pt idx="3">
                  <c:v>Wednesday</c:v>
                </c:pt>
                <c:pt idx="4">
                  <c:v>Sunday</c:v>
                </c:pt>
                <c:pt idx="5">
                  <c:v>Saturday</c:v>
                </c:pt>
                <c:pt idx="6">
                  <c:v>Friday</c:v>
                </c:pt>
                <c:pt idx="7">
                  <c:v>(blank)</c:v>
                </c:pt>
              </c:strCache>
            </c:strRef>
          </c:cat>
          <c:val>
            <c:numRef>
              <c:f>'Dashboard Pivot'!$E$14:$E$21</c:f>
              <c:numCache>
                <c:formatCode>General</c:formatCode>
                <c:ptCount val="8"/>
                <c:pt idx="0">
                  <c:v>178</c:v>
                </c:pt>
                <c:pt idx="1">
                  <c:v>169</c:v>
                </c:pt>
                <c:pt idx="2">
                  <c:v>168</c:v>
                </c:pt>
                <c:pt idx="3">
                  <c:v>155</c:v>
                </c:pt>
                <c:pt idx="4">
                  <c:v>145</c:v>
                </c:pt>
                <c:pt idx="5">
                  <c:v>98</c:v>
                </c:pt>
                <c:pt idx="6">
                  <c:v>86</c:v>
                </c:pt>
                <c:pt idx="7">
                  <c:v>1</c:v>
                </c:pt>
              </c:numCache>
            </c:numRef>
          </c:val>
          <c:extLst xmlns:c16r2="http://schemas.microsoft.com/office/drawing/2015/06/chart">
            <c:ext xmlns:c16="http://schemas.microsoft.com/office/drawing/2014/chart" uri="{C3380CC4-5D6E-409C-BE32-E72D297353CC}">
              <c16:uniqueId val="{00000000-BB36-432A-B111-2F4B8B22494E}"/>
            </c:ext>
          </c:extLst>
        </c:ser>
        <c:dLbls>
          <c:dLblPos val="outEnd"/>
          <c:showLegendKey val="0"/>
          <c:showVal val="1"/>
          <c:showCatName val="0"/>
          <c:showSerName val="0"/>
          <c:showPercent val="0"/>
          <c:showBubbleSize val="0"/>
        </c:dLbls>
        <c:gapWidth val="219"/>
        <c:overlap val="-27"/>
        <c:axId val="276116520"/>
        <c:axId val="276122792"/>
      </c:barChart>
      <c:catAx>
        <c:axId val="276116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122792"/>
        <c:crosses val="autoZero"/>
        <c:auto val="1"/>
        <c:lblAlgn val="ctr"/>
        <c:lblOffset val="100"/>
        <c:noMultiLvlLbl val="0"/>
      </c:catAx>
      <c:valAx>
        <c:axId val="276122792"/>
        <c:scaling>
          <c:orientation val="minMax"/>
        </c:scaling>
        <c:delete val="1"/>
        <c:axPos val="l"/>
        <c:numFmt formatCode="General" sourceLinked="1"/>
        <c:majorTickMark val="none"/>
        <c:minorTickMark val="none"/>
        <c:tickLblPos val="nextTo"/>
        <c:crossAx val="27611652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project.xlsx]Dashboard Pivot!PivotTable14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200" b="1"/>
              <a:t>Total</a:t>
            </a:r>
            <a:r>
              <a:rPr lang="en-US" sz="1200" b="1" baseline="0"/>
              <a:t> Income by Branch</a:t>
            </a:r>
            <a:endParaRPr lang="en-US" b="1"/>
          </a:p>
        </c:rich>
      </c:tx>
      <c:layout>
        <c:manualLayout>
          <c:xMode val="edge"/>
          <c:yMode val="edge"/>
          <c:x val="0.30470822397200348"/>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2.7777777777777776E-2"/>
          <c:y val="0.16245370370370371"/>
          <c:w val="0.93888888888888888"/>
          <c:h val="0.72088764946048411"/>
        </c:manualLayout>
      </c:layout>
      <c:barChart>
        <c:barDir val="col"/>
        <c:grouping val="clustered"/>
        <c:varyColors val="0"/>
        <c:ser>
          <c:idx val="0"/>
          <c:order val="0"/>
          <c:tx>
            <c:strRef>
              <c:f>'Dashboard Pivot'!$E$29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 Pivot'!$D$30:$D$32</c:f>
              <c:strCache>
                <c:ptCount val="3"/>
                <c:pt idx="0">
                  <c:v>A</c:v>
                </c:pt>
                <c:pt idx="1">
                  <c:v>B</c:v>
                </c:pt>
                <c:pt idx="2">
                  <c:v>C</c:v>
                </c:pt>
              </c:strCache>
            </c:strRef>
          </c:cat>
          <c:val>
            <c:numRef>
              <c:f>'Dashboard Pivot'!$E$30:$E$32</c:f>
              <c:numCache>
                <c:formatCode>"$"#,##0.0</c:formatCode>
                <c:ptCount val="3"/>
                <c:pt idx="0">
                  <c:v>5057.1605000000018</c:v>
                </c:pt>
                <c:pt idx="1">
                  <c:v>5057.0320000000029</c:v>
                </c:pt>
                <c:pt idx="2">
                  <c:v>5265.1765000000023</c:v>
                </c:pt>
              </c:numCache>
            </c:numRef>
          </c:val>
          <c:extLst xmlns:c16r2="http://schemas.microsoft.com/office/drawing/2015/06/chart">
            <c:ext xmlns:c16="http://schemas.microsoft.com/office/drawing/2014/chart" uri="{C3380CC4-5D6E-409C-BE32-E72D297353CC}">
              <c16:uniqueId val="{00000000-03C4-4607-A272-6AD38FE74A68}"/>
            </c:ext>
          </c:extLst>
        </c:ser>
        <c:dLbls>
          <c:dLblPos val="outEnd"/>
          <c:showLegendKey val="0"/>
          <c:showVal val="1"/>
          <c:showCatName val="0"/>
          <c:showSerName val="0"/>
          <c:showPercent val="0"/>
          <c:showBubbleSize val="0"/>
        </c:dLbls>
        <c:gapWidth val="219"/>
        <c:overlap val="-27"/>
        <c:axId val="276122008"/>
        <c:axId val="276122400"/>
      </c:barChart>
      <c:catAx>
        <c:axId val="276122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122400"/>
        <c:crosses val="autoZero"/>
        <c:auto val="1"/>
        <c:lblAlgn val="ctr"/>
        <c:lblOffset val="100"/>
        <c:noMultiLvlLbl val="0"/>
      </c:catAx>
      <c:valAx>
        <c:axId val="276122400"/>
        <c:scaling>
          <c:orientation val="minMax"/>
        </c:scaling>
        <c:delete val="1"/>
        <c:axPos val="l"/>
        <c:numFmt formatCode="&quot;$&quot;#,##0.0" sourceLinked="1"/>
        <c:majorTickMark val="none"/>
        <c:minorTickMark val="none"/>
        <c:tickLblPos val="nextTo"/>
        <c:crossAx val="27612200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5</xdr:col>
      <xdr:colOff>523875</xdr:colOff>
      <xdr:row>3</xdr:row>
      <xdr:rowOff>0</xdr:rowOff>
    </xdr:from>
    <xdr:to>
      <xdr:col>8</xdr:col>
      <xdr:colOff>171450</xdr:colOff>
      <xdr:row>16</xdr:row>
      <xdr:rowOff>47625</xdr:rowOff>
    </xdr:to>
    <mc:AlternateContent xmlns:mc="http://schemas.openxmlformats.org/markup-compatibility/2006" xmlns:a14="http://schemas.microsoft.com/office/drawing/2010/main">
      <mc:Choice Requires="a14">
        <xdr:graphicFrame macro="">
          <xdr:nvGraphicFramePr>
            <xdr:cNvPr id="3" name="Branch">
              <a:extLst>
                <a:ext uri="{FF2B5EF4-FFF2-40B4-BE49-F238E27FC236}">
                  <a16:creationId xmlns:a16="http://schemas.microsoft.com/office/drawing/2014/main" xmlns="" id="{6353FFD2-89CD-BF6C-CEAC-ED07F7104721}"/>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4352925" y="571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361950</xdr:colOff>
      <xdr:row>1</xdr:row>
      <xdr:rowOff>104775</xdr:rowOff>
    </xdr:from>
    <xdr:to>
      <xdr:col>14</xdr:col>
      <xdr:colOff>361950</xdr:colOff>
      <xdr:row>14</xdr:row>
      <xdr:rowOff>152400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xmlns="" id="{CBC32CF9-92BC-6418-8231-C90C00E6958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201025" y="295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514350</xdr:colOff>
      <xdr:row>6</xdr:row>
      <xdr:rowOff>133350</xdr:rowOff>
    </xdr:from>
    <xdr:to>
      <xdr:col>14</xdr:col>
      <xdr:colOff>514350</xdr:colOff>
      <xdr:row>19</xdr:row>
      <xdr:rowOff>180975</xdr:rowOff>
    </xdr:to>
    <mc:AlternateContent xmlns:mc="http://schemas.openxmlformats.org/markup-compatibility/2006" xmlns:a14="http://schemas.microsoft.com/office/drawing/2010/main">
      <mc:Choice Requires="a14">
        <xdr:graphicFrame macro="">
          <xdr:nvGraphicFramePr>
            <xdr:cNvPr id="6" name="Days">
              <a:extLst>
                <a:ext uri="{FF2B5EF4-FFF2-40B4-BE49-F238E27FC236}">
                  <a16:creationId xmlns:a16="http://schemas.microsoft.com/office/drawing/2014/main" xmlns="" id="{25DB1FAE-90BD-C9EA-5F01-1213EEA259B5}"/>
                </a:ext>
              </a:extLst>
            </xdr:cNvPr>
            <xdr:cNvGraphicFramePr/>
          </xdr:nvGraphicFramePr>
          <xdr:xfrm>
            <a:off x="0" y="0"/>
            <a:ext cx="0" cy="0"/>
          </xdr:xfrm>
          <a:graphic>
            <a:graphicData uri="http://schemas.microsoft.com/office/drawing/2010/slicer">
              <sle:slicer xmlns:sle="http://schemas.microsoft.com/office/drawing/2010/slicer" name="Days"/>
            </a:graphicData>
          </a:graphic>
        </xdr:graphicFrame>
      </mc:Choice>
      <mc:Fallback xmlns="">
        <xdr:sp macro="" textlink="">
          <xdr:nvSpPr>
            <xdr:cNvPr id="0" name=""/>
            <xdr:cNvSpPr>
              <a:spLocks noTextEdit="1"/>
            </xdr:cNvSpPr>
          </xdr:nvSpPr>
          <xdr:spPr>
            <a:xfrm>
              <a:off x="8353425" y="1276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581025</xdr:colOff>
      <xdr:row>5</xdr:row>
      <xdr:rowOff>161925</xdr:rowOff>
    </xdr:from>
    <xdr:to>
      <xdr:col>14</xdr:col>
      <xdr:colOff>581025</xdr:colOff>
      <xdr:row>19</xdr:row>
      <xdr:rowOff>19050</xdr:rowOff>
    </xdr:to>
    <mc:AlternateContent xmlns:mc="http://schemas.openxmlformats.org/markup-compatibility/2006" xmlns:a14="http://schemas.microsoft.com/office/drawing/2010/main">
      <mc:Choice Requires="a14">
        <xdr:graphicFrame macro="">
          <xdr:nvGraphicFramePr>
            <xdr:cNvPr id="7" name="Months">
              <a:extLst>
                <a:ext uri="{FF2B5EF4-FFF2-40B4-BE49-F238E27FC236}">
                  <a16:creationId xmlns:a16="http://schemas.microsoft.com/office/drawing/2014/main" xmlns="" id="{81A52A3B-F56F-1D9D-5066-6882E4478B2A}"/>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8420100" y="1114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419100</xdr:colOff>
      <xdr:row>5</xdr:row>
      <xdr:rowOff>176212</xdr:rowOff>
    </xdr:from>
    <xdr:to>
      <xdr:col>14</xdr:col>
      <xdr:colOff>133350</xdr:colOff>
      <xdr:row>20</xdr:row>
      <xdr:rowOff>61912</xdr:rowOff>
    </xdr:to>
    <xdr:graphicFrame macro="">
      <xdr:nvGraphicFramePr>
        <xdr:cNvPr id="8" name="Chart 7">
          <a:extLst>
            <a:ext uri="{FF2B5EF4-FFF2-40B4-BE49-F238E27FC236}">
              <a16:creationId xmlns:a16="http://schemas.microsoft.com/office/drawing/2014/main" xmlns="" id="{FA62F30E-63CC-1A83-39CE-D5774FA90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409575</xdr:colOff>
      <xdr:row>20</xdr:row>
      <xdr:rowOff>80962</xdr:rowOff>
    </xdr:from>
    <xdr:to>
      <xdr:col>13</xdr:col>
      <xdr:colOff>419100</xdr:colOff>
      <xdr:row>34</xdr:row>
      <xdr:rowOff>157162</xdr:rowOff>
    </xdr:to>
    <xdr:graphicFrame macro="">
      <xdr:nvGraphicFramePr>
        <xdr:cNvPr id="9" name="Chart 8">
          <a:extLst>
            <a:ext uri="{FF2B5EF4-FFF2-40B4-BE49-F238E27FC236}">
              <a16:creationId xmlns:a16="http://schemas.microsoft.com/office/drawing/2014/main" xmlns="" id="{FCD1E16F-C57A-F1C8-B3D9-CC56AF60D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180975</xdr:colOff>
      <xdr:row>35</xdr:row>
      <xdr:rowOff>90487</xdr:rowOff>
    </xdr:from>
    <xdr:to>
      <xdr:col>14</xdr:col>
      <xdr:colOff>228600</xdr:colOff>
      <xdr:row>49</xdr:row>
      <xdr:rowOff>166687</xdr:rowOff>
    </xdr:to>
    <xdr:graphicFrame macro="">
      <xdr:nvGraphicFramePr>
        <xdr:cNvPr id="10" name="Chart 9">
          <a:extLst>
            <a:ext uri="{FF2B5EF4-FFF2-40B4-BE49-F238E27FC236}">
              <a16:creationId xmlns:a16="http://schemas.microsoft.com/office/drawing/2014/main" xmlns="" id="{0D600C2A-558A-977F-88CB-0F301763B1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371475</xdr:colOff>
      <xdr:row>35</xdr:row>
      <xdr:rowOff>14287</xdr:rowOff>
    </xdr:from>
    <xdr:to>
      <xdr:col>6</xdr:col>
      <xdr:colOff>552450</xdr:colOff>
      <xdr:row>49</xdr:row>
      <xdr:rowOff>90487</xdr:rowOff>
    </xdr:to>
    <xdr:graphicFrame macro="">
      <xdr:nvGraphicFramePr>
        <xdr:cNvPr id="11" name="Chart 10">
          <a:extLst>
            <a:ext uri="{FF2B5EF4-FFF2-40B4-BE49-F238E27FC236}">
              <a16:creationId xmlns:a16="http://schemas.microsoft.com/office/drawing/2014/main" xmlns="" id="{432BE826-F451-5A24-829D-17BF5C484A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219075</xdr:colOff>
      <xdr:row>49</xdr:row>
      <xdr:rowOff>119062</xdr:rowOff>
    </xdr:from>
    <xdr:to>
      <xdr:col>14</xdr:col>
      <xdr:colOff>523875</xdr:colOff>
      <xdr:row>64</xdr:row>
      <xdr:rowOff>4762</xdr:rowOff>
    </xdr:to>
    <xdr:graphicFrame macro="">
      <xdr:nvGraphicFramePr>
        <xdr:cNvPr id="13" name="Chart 12">
          <a:extLst>
            <a:ext uri="{FF2B5EF4-FFF2-40B4-BE49-F238E27FC236}">
              <a16:creationId xmlns:a16="http://schemas.microsoft.com/office/drawing/2014/main" xmlns="" id="{6BAA9987-0AF8-2159-A39A-A873E76E7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266700</xdr:colOff>
      <xdr:row>64</xdr:row>
      <xdr:rowOff>80962</xdr:rowOff>
    </xdr:from>
    <xdr:to>
      <xdr:col>14</xdr:col>
      <xdr:colOff>571500</xdr:colOff>
      <xdr:row>78</xdr:row>
      <xdr:rowOff>157162</xdr:rowOff>
    </xdr:to>
    <xdr:graphicFrame macro="">
      <xdr:nvGraphicFramePr>
        <xdr:cNvPr id="14" name="Chart 13">
          <a:extLst>
            <a:ext uri="{FF2B5EF4-FFF2-40B4-BE49-F238E27FC236}">
              <a16:creationId xmlns:a16="http://schemas.microsoft.com/office/drawing/2014/main" xmlns="" id="{511D804C-6EDD-E4C5-5078-86992FBCC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438150</xdr:colOff>
      <xdr:row>65</xdr:row>
      <xdr:rowOff>128587</xdr:rowOff>
    </xdr:from>
    <xdr:to>
      <xdr:col>7</xdr:col>
      <xdr:colOff>9525</xdr:colOff>
      <xdr:row>80</xdr:row>
      <xdr:rowOff>14287</xdr:rowOff>
    </xdr:to>
    <xdr:graphicFrame macro="">
      <xdr:nvGraphicFramePr>
        <xdr:cNvPr id="15" name="Chart 14">
          <a:extLst>
            <a:ext uri="{FF2B5EF4-FFF2-40B4-BE49-F238E27FC236}">
              <a16:creationId xmlns:a16="http://schemas.microsoft.com/office/drawing/2014/main" xmlns="" id="{5D9412A8-0EFC-C2B1-3F28-5EAC5B90A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361950</xdr:colOff>
      <xdr:row>29</xdr:row>
      <xdr:rowOff>14287</xdr:rowOff>
    </xdr:from>
    <xdr:to>
      <xdr:col>7</xdr:col>
      <xdr:colOff>409575</xdr:colOff>
      <xdr:row>43</xdr:row>
      <xdr:rowOff>90487</xdr:rowOff>
    </xdr:to>
    <xdr:graphicFrame macro="">
      <xdr:nvGraphicFramePr>
        <xdr:cNvPr id="16" name="Chart 15">
          <a:extLst>
            <a:ext uri="{FF2B5EF4-FFF2-40B4-BE49-F238E27FC236}">
              <a16:creationId xmlns:a16="http://schemas.microsoft.com/office/drawing/2014/main" xmlns="" id="{C1E53879-2055-F720-8F56-FD9C2953B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228600</xdr:colOff>
      <xdr:row>5</xdr:row>
      <xdr:rowOff>161925</xdr:rowOff>
    </xdr:from>
    <xdr:to>
      <xdr:col>7</xdr:col>
      <xdr:colOff>485775</xdr:colOff>
      <xdr:row>19</xdr:row>
      <xdr:rowOff>19050</xdr:rowOff>
    </xdr:to>
    <mc:AlternateContent xmlns:mc="http://schemas.openxmlformats.org/markup-compatibility/2006" xmlns:a14="http://schemas.microsoft.com/office/drawing/2010/main">
      <mc:Choice Requires="a14">
        <xdr:graphicFrame macro="">
          <xdr:nvGraphicFramePr>
            <xdr:cNvPr id="17" name="Days 1">
              <a:extLst>
                <a:ext uri="{FF2B5EF4-FFF2-40B4-BE49-F238E27FC236}">
                  <a16:creationId xmlns:a16="http://schemas.microsoft.com/office/drawing/2014/main" xmlns="" id="{5B8D857F-0AF6-D26B-EDE3-00317AEB3C35}"/>
                </a:ext>
              </a:extLst>
            </xdr:cNvPr>
            <xdr:cNvGraphicFramePr/>
          </xdr:nvGraphicFramePr>
          <xdr:xfrm>
            <a:off x="0" y="0"/>
            <a:ext cx="0" cy="0"/>
          </xdr:xfrm>
          <a:graphic>
            <a:graphicData uri="http://schemas.microsoft.com/office/drawing/2010/slicer">
              <sle:slicer xmlns:sle="http://schemas.microsoft.com/office/drawing/2010/slicer" name="Days 1"/>
            </a:graphicData>
          </a:graphic>
        </xdr:graphicFrame>
      </mc:Choice>
      <mc:Fallback xmlns="">
        <xdr:sp macro="" textlink="">
          <xdr:nvSpPr>
            <xdr:cNvPr id="0" name=""/>
            <xdr:cNvSpPr>
              <a:spLocks noTextEdit="1"/>
            </xdr:cNvSpPr>
          </xdr:nvSpPr>
          <xdr:spPr>
            <a:xfrm>
              <a:off x="4057650" y="1114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317499</xdr:colOff>
      <xdr:row>5</xdr:row>
      <xdr:rowOff>19844</xdr:rowOff>
    </xdr:from>
    <xdr:to>
      <xdr:col>39</xdr:col>
      <xdr:colOff>0</xdr:colOff>
      <xdr:row>56</xdr:row>
      <xdr:rowOff>59531</xdr:rowOff>
    </xdr:to>
    <xdr:sp macro="" textlink="">
      <xdr:nvSpPr>
        <xdr:cNvPr id="20" name="Rectangle 19">
          <a:extLst>
            <a:ext uri="{FF2B5EF4-FFF2-40B4-BE49-F238E27FC236}">
              <a16:creationId xmlns:a16="http://schemas.microsoft.com/office/drawing/2014/main" xmlns="" id="{E55A2523-28D8-ABBD-C8D2-E07BA0913810}"/>
            </a:ext>
          </a:extLst>
        </xdr:cNvPr>
        <xdr:cNvSpPr/>
      </xdr:nvSpPr>
      <xdr:spPr>
        <a:xfrm>
          <a:off x="4008437" y="19844"/>
          <a:ext cx="15061407" cy="10160000"/>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124239</xdr:colOff>
      <xdr:row>14</xdr:row>
      <xdr:rowOff>141557</xdr:rowOff>
    </xdr:from>
    <xdr:to>
      <xdr:col>35</xdr:col>
      <xdr:colOff>574942</xdr:colOff>
      <xdr:row>25</xdr:row>
      <xdr:rowOff>121745</xdr:rowOff>
    </xdr:to>
    <xdr:graphicFrame macro="">
      <xdr:nvGraphicFramePr>
        <xdr:cNvPr id="2" name="Chart 1">
          <a:extLst>
            <a:ext uri="{FF2B5EF4-FFF2-40B4-BE49-F238E27FC236}">
              <a16:creationId xmlns:a16="http://schemas.microsoft.com/office/drawing/2014/main" xmlns="" id="{DBEB3B29-D05C-4A5B-A65C-EC8691A34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552448</xdr:colOff>
      <xdr:row>14</xdr:row>
      <xdr:rowOff>100144</xdr:rowOff>
    </xdr:from>
    <xdr:to>
      <xdr:col>21</xdr:col>
      <xdr:colOff>414130</xdr:colOff>
      <xdr:row>25</xdr:row>
      <xdr:rowOff>81094</xdr:rowOff>
    </xdr:to>
    <xdr:graphicFrame macro="">
      <xdr:nvGraphicFramePr>
        <xdr:cNvPr id="3" name="Chart 2">
          <a:extLst>
            <a:ext uri="{FF2B5EF4-FFF2-40B4-BE49-F238E27FC236}">
              <a16:creationId xmlns:a16="http://schemas.microsoft.com/office/drawing/2014/main" xmlns="" id="{A7FB48E2-7A1F-4D50-AE1F-F0414403E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533400</xdr:colOff>
      <xdr:row>26</xdr:row>
      <xdr:rowOff>21103</xdr:rowOff>
    </xdr:from>
    <xdr:to>
      <xdr:col>21</xdr:col>
      <xdr:colOff>581025</xdr:colOff>
      <xdr:row>40</xdr:row>
      <xdr:rowOff>90618</xdr:rowOff>
    </xdr:to>
    <xdr:graphicFrame macro="">
      <xdr:nvGraphicFramePr>
        <xdr:cNvPr id="4" name="Chart 3">
          <a:extLst>
            <a:ext uri="{FF2B5EF4-FFF2-40B4-BE49-F238E27FC236}">
              <a16:creationId xmlns:a16="http://schemas.microsoft.com/office/drawing/2014/main" xmlns="" id="{CD935D5B-B039-4198-BDFC-88CFC29B8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13804</xdr:colOff>
      <xdr:row>14</xdr:row>
      <xdr:rowOff>113949</xdr:rowOff>
    </xdr:from>
    <xdr:to>
      <xdr:col>28</xdr:col>
      <xdr:colOff>455543</xdr:colOff>
      <xdr:row>25</xdr:row>
      <xdr:rowOff>94137</xdr:rowOff>
    </xdr:to>
    <xdr:graphicFrame macro="">
      <xdr:nvGraphicFramePr>
        <xdr:cNvPr id="5" name="Chart 4">
          <a:extLst>
            <a:ext uri="{FF2B5EF4-FFF2-40B4-BE49-F238E27FC236}">
              <a16:creationId xmlns:a16="http://schemas.microsoft.com/office/drawing/2014/main" xmlns="" id="{70B7C736-0FDD-45AC-8FA7-0E32BC880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432955</xdr:colOff>
      <xdr:row>40</xdr:row>
      <xdr:rowOff>181098</xdr:rowOff>
    </xdr:from>
    <xdr:to>
      <xdr:col>35</xdr:col>
      <xdr:colOff>591415</xdr:colOff>
      <xdr:row>56</xdr:row>
      <xdr:rowOff>15305</xdr:rowOff>
    </xdr:to>
    <xdr:graphicFrame macro="">
      <xdr:nvGraphicFramePr>
        <xdr:cNvPr id="7" name="Chart 6">
          <a:extLst>
            <a:ext uri="{FF2B5EF4-FFF2-40B4-BE49-F238E27FC236}">
              <a16:creationId xmlns:a16="http://schemas.microsoft.com/office/drawing/2014/main" xmlns="" id="{8FDD9A8D-BD97-4484-AF94-B0E90D1A6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64076</xdr:colOff>
      <xdr:row>26</xdr:row>
      <xdr:rowOff>40396</xdr:rowOff>
    </xdr:from>
    <xdr:to>
      <xdr:col>29</xdr:col>
      <xdr:colOff>365412</xdr:colOff>
      <xdr:row>40</xdr:row>
      <xdr:rowOff>116595</xdr:rowOff>
    </xdr:to>
    <xdr:graphicFrame macro="">
      <xdr:nvGraphicFramePr>
        <xdr:cNvPr id="8" name="Chart 7">
          <a:extLst>
            <a:ext uri="{FF2B5EF4-FFF2-40B4-BE49-F238E27FC236}">
              <a16:creationId xmlns:a16="http://schemas.microsoft.com/office/drawing/2014/main" xmlns="" id="{ED2AAE57-DA12-407D-8B4C-3F0EC7E45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523875</xdr:colOff>
      <xdr:row>40</xdr:row>
      <xdr:rowOff>176341</xdr:rowOff>
    </xdr:from>
    <xdr:to>
      <xdr:col>24</xdr:col>
      <xdr:colOff>259772</xdr:colOff>
      <xdr:row>56</xdr:row>
      <xdr:rowOff>1500</xdr:rowOff>
    </xdr:to>
    <xdr:graphicFrame macro="">
      <xdr:nvGraphicFramePr>
        <xdr:cNvPr id="9" name="Chart 8">
          <a:extLst>
            <a:ext uri="{FF2B5EF4-FFF2-40B4-BE49-F238E27FC236}">
              <a16:creationId xmlns:a16="http://schemas.microsoft.com/office/drawing/2014/main" xmlns="" id="{3DD2DB5E-2A2C-4754-B320-4F94C6DCE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579285</xdr:colOff>
      <xdr:row>26</xdr:row>
      <xdr:rowOff>38736</xdr:rowOff>
    </xdr:from>
    <xdr:to>
      <xdr:col>35</xdr:col>
      <xdr:colOff>588810</xdr:colOff>
      <xdr:row>40</xdr:row>
      <xdr:rowOff>109819</xdr:rowOff>
    </xdr:to>
    <xdr:graphicFrame macro="">
      <xdr:nvGraphicFramePr>
        <xdr:cNvPr id="10" name="Chart 9">
          <a:extLst>
            <a:ext uri="{FF2B5EF4-FFF2-40B4-BE49-F238E27FC236}">
              <a16:creationId xmlns:a16="http://schemas.microsoft.com/office/drawing/2014/main" xmlns="" id="{F67CF98E-7B9F-44C3-8244-EB2B71638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36</xdr:col>
      <xdr:colOff>33423</xdr:colOff>
      <xdr:row>14</xdr:row>
      <xdr:rowOff>133685</xdr:rowOff>
    </xdr:from>
    <xdr:to>
      <xdr:col>38</xdr:col>
      <xdr:colOff>567625</xdr:colOff>
      <xdr:row>32</xdr:row>
      <xdr:rowOff>25401</xdr:rowOff>
    </xdr:to>
    <mc:AlternateContent xmlns:mc="http://schemas.openxmlformats.org/markup-compatibility/2006" xmlns:a14="http://schemas.microsoft.com/office/drawing/2010/main">
      <mc:Choice Requires="a14">
        <xdr:graphicFrame macro="">
          <xdr:nvGraphicFramePr>
            <xdr:cNvPr id="11" name="Days 2">
              <a:extLst>
                <a:ext uri="{FF2B5EF4-FFF2-40B4-BE49-F238E27FC236}">
                  <a16:creationId xmlns:a16="http://schemas.microsoft.com/office/drawing/2014/main" xmlns="" id="{88B4238A-B261-44D6-ADA9-29A02D968F02}"/>
                </a:ext>
              </a:extLst>
            </xdr:cNvPr>
            <xdr:cNvGraphicFramePr/>
          </xdr:nvGraphicFramePr>
          <xdr:xfrm>
            <a:off x="0" y="0"/>
            <a:ext cx="0" cy="0"/>
          </xdr:xfrm>
          <a:graphic>
            <a:graphicData uri="http://schemas.microsoft.com/office/drawing/2010/slicer">
              <sle:slicer xmlns:sle="http://schemas.microsoft.com/office/drawing/2010/slicer" name="Days 2"/>
            </a:graphicData>
          </a:graphic>
        </xdr:graphicFrame>
      </mc:Choice>
      <mc:Fallback xmlns="">
        <xdr:sp macro="" textlink="">
          <xdr:nvSpPr>
            <xdr:cNvPr id="0" name=""/>
            <xdr:cNvSpPr>
              <a:spLocks noTextEdit="1"/>
            </xdr:cNvSpPr>
          </xdr:nvSpPr>
          <xdr:spPr>
            <a:xfrm>
              <a:off x="16847119" y="1810913"/>
              <a:ext cx="1735180" cy="32461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66840</xdr:colOff>
      <xdr:row>34</xdr:row>
      <xdr:rowOff>133685</xdr:rowOff>
    </xdr:from>
    <xdr:to>
      <xdr:col>38</xdr:col>
      <xdr:colOff>601042</xdr:colOff>
      <xdr:row>56</xdr:row>
      <xdr:rowOff>21658</xdr:rowOff>
    </xdr:to>
    <mc:AlternateContent xmlns:mc="http://schemas.openxmlformats.org/markup-compatibility/2006" xmlns:a14="http://schemas.microsoft.com/office/drawing/2010/main">
      <mc:Choice Requires="a14">
        <xdr:graphicFrame macro="">
          <xdr:nvGraphicFramePr>
            <xdr:cNvPr id="12" name="Gender 1">
              <a:extLst>
                <a:ext uri="{FF2B5EF4-FFF2-40B4-BE49-F238E27FC236}">
                  <a16:creationId xmlns:a16="http://schemas.microsoft.com/office/drawing/2014/main" xmlns="" id="{26B55F2B-EC0B-4570-86E6-971A983A449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7211840" y="5395114"/>
              <a:ext cx="1758845" cy="3879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551448</xdr:colOff>
      <xdr:row>10</xdr:row>
      <xdr:rowOff>174401</xdr:rowOff>
    </xdr:from>
    <xdr:to>
      <xdr:col>21</xdr:col>
      <xdr:colOff>417763</xdr:colOff>
      <xdr:row>13</xdr:row>
      <xdr:rowOff>177878</xdr:rowOff>
    </xdr:to>
    <xdr:sp macro="" textlink="'Dashboard Pivot'!B1">
      <xdr:nvSpPr>
        <xdr:cNvPr id="13" name="TextBox 12">
          <a:extLst>
            <a:ext uri="{FF2B5EF4-FFF2-40B4-BE49-F238E27FC236}">
              <a16:creationId xmlns:a16="http://schemas.microsoft.com/office/drawing/2014/main" xmlns="" id="{87A8BD4C-F02A-F116-06B9-1896A2F8BF6F}"/>
            </a:ext>
          </a:extLst>
        </xdr:cNvPr>
        <xdr:cNvSpPr txBox="1"/>
      </xdr:nvSpPr>
      <xdr:spPr>
        <a:xfrm>
          <a:off x="9003209" y="2052570"/>
          <a:ext cx="4092195" cy="5669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44A1F6-1234-47D8-9DF4-9775594994A2}" type="TxLink">
            <a:rPr lang="en-US" sz="4000" b="0" i="0" u="none" strike="noStrike">
              <a:solidFill>
                <a:srgbClr val="000000"/>
              </a:solidFill>
              <a:latin typeface="Calibri"/>
              <a:cs typeface="Calibri"/>
            </a:rPr>
            <a:pPr algn="ctr"/>
            <a:t>1000</a:t>
          </a:fld>
          <a:endParaRPr lang="en-US" sz="23900"/>
        </a:p>
      </xdr:txBody>
    </xdr:sp>
    <xdr:clientData/>
  </xdr:twoCellAnchor>
  <xdr:twoCellAnchor>
    <xdr:from>
      <xdr:col>14</xdr:col>
      <xdr:colOff>563452</xdr:colOff>
      <xdr:row>9</xdr:row>
      <xdr:rowOff>40243</xdr:rowOff>
    </xdr:from>
    <xdr:to>
      <xdr:col>21</xdr:col>
      <xdr:colOff>402467</xdr:colOff>
      <xdr:row>10</xdr:row>
      <xdr:rowOff>160982</xdr:rowOff>
    </xdr:to>
    <xdr:sp macro="" textlink="">
      <xdr:nvSpPr>
        <xdr:cNvPr id="14" name="TextBox 13">
          <a:extLst>
            <a:ext uri="{FF2B5EF4-FFF2-40B4-BE49-F238E27FC236}">
              <a16:creationId xmlns:a16="http://schemas.microsoft.com/office/drawing/2014/main" xmlns="" id="{855536CA-1AC6-E100-E9D0-166CACADF403}"/>
            </a:ext>
          </a:extLst>
        </xdr:cNvPr>
        <xdr:cNvSpPr txBox="1"/>
      </xdr:nvSpPr>
      <xdr:spPr>
        <a:xfrm>
          <a:off x="9015213" y="1730595"/>
          <a:ext cx="4064895" cy="308556"/>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Total Order</a:t>
          </a:r>
        </a:p>
      </xdr:txBody>
    </xdr:sp>
    <xdr:clientData/>
  </xdr:twoCellAnchor>
  <xdr:twoCellAnchor>
    <xdr:from>
      <xdr:col>22</xdr:col>
      <xdr:colOff>13417</xdr:colOff>
      <xdr:row>10</xdr:row>
      <xdr:rowOff>160986</xdr:rowOff>
    </xdr:from>
    <xdr:to>
      <xdr:col>28</xdr:col>
      <xdr:colOff>469544</xdr:colOff>
      <xdr:row>13</xdr:row>
      <xdr:rowOff>160985</xdr:rowOff>
    </xdr:to>
    <xdr:sp macro="" textlink="'Dashboard Pivot'!E2">
      <xdr:nvSpPr>
        <xdr:cNvPr id="15" name="TextBox 14">
          <a:extLst>
            <a:ext uri="{FF2B5EF4-FFF2-40B4-BE49-F238E27FC236}">
              <a16:creationId xmlns:a16="http://schemas.microsoft.com/office/drawing/2014/main" xmlns="" id="{E17C0A30-7991-F964-8D02-A2B061E62F9C}"/>
            </a:ext>
          </a:extLst>
        </xdr:cNvPr>
        <xdr:cNvSpPr txBox="1"/>
      </xdr:nvSpPr>
      <xdr:spPr>
        <a:xfrm>
          <a:off x="13294755" y="2039155"/>
          <a:ext cx="4078310" cy="563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E680C0B-7363-4C0E-8883-8FAED3A11884}" type="TxLink">
            <a:rPr lang="en-US" sz="3600" b="1" i="0" u="none" strike="noStrike">
              <a:solidFill>
                <a:srgbClr val="000000"/>
              </a:solidFill>
              <a:latin typeface="Calibri"/>
              <a:cs typeface="Calibri"/>
            </a:rPr>
            <a:pPr algn="ctr"/>
            <a:t>$15,379.37</a:t>
          </a:fld>
          <a:endParaRPr lang="en-US" sz="8000" b="1"/>
        </a:p>
      </xdr:txBody>
    </xdr:sp>
    <xdr:clientData/>
  </xdr:twoCellAnchor>
  <xdr:twoCellAnchor>
    <xdr:from>
      <xdr:col>22</xdr:col>
      <xdr:colOff>26830</xdr:colOff>
      <xdr:row>9</xdr:row>
      <xdr:rowOff>40243</xdr:rowOff>
    </xdr:from>
    <xdr:to>
      <xdr:col>28</xdr:col>
      <xdr:colOff>469541</xdr:colOff>
      <xdr:row>10</xdr:row>
      <xdr:rowOff>147567</xdr:rowOff>
    </xdr:to>
    <xdr:sp macro="" textlink="">
      <xdr:nvSpPr>
        <xdr:cNvPr id="16" name="TextBox 15">
          <a:extLst>
            <a:ext uri="{FF2B5EF4-FFF2-40B4-BE49-F238E27FC236}">
              <a16:creationId xmlns:a16="http://schemas.microsoft.com/office/drawing/2014/main" xmlns="" id="{1E7A6C5C-E856-2862-FD8A-3C6E29864FEB}"/>
            </a:ext>
          </a:extLst>
        </xdr:cNvPr>
        <xdr:cNvSpPr txBox="1"/>
      </xdr:nvSpPr>
      <xdr:spPr>
        <a:xfrm>
          <a:off x="13308168" y="1730595"/>
          <a:ext cx="4064894" cy="295141"/>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Total Income</a:t>
          </a:r>
        </a:p>
      </xdr:txBody>
    </xdr:sp>
    <xdr:clientData/>
  </xdr:twoCellAnchor>
  <xdr:twoCellAnchor>
    <xdr:from>
      <xdr:col>29</xdr:col>
      <xdr:colOff>134161</xdr:colOff>
      <xdr:row>11</xdr:row>
      <xdr:rowOff>80496</xdr:rowOff>
    </xdr:from>
    <xdr:to>
      <xdr:col>35</xdr:col>
      <xdr:colOff>576867</xdr:colOff>
      <xdr:row>14</xdr:row>
      <xdr:rowOff>3</xdr:rowOff>
    </xdr:to>
    <xdr:sp macro="" textlink="'Dashboard Pivot'!G1">
      <xdr:nvSpPr>
        <xdr:cNvPr id="17" name="TextBox 16">
          <a:extLst>
            <a:ext uri="{FF2B5EF4-FFF2-40B4-BE49-F238E27FC236}">
              <a16:creationId xmlns:a16="http://schemas.microsoft.com/office/drawing/2014/main" xmlns="" id="{EAD48C48-5F9E-8595-B46C-D0ED78CB4429}"/>
            </a:ext>
          </a:extLst>
        </xdr:cNvPr>
        <xdr:cNvSpPr txBox="1"/>
      </xdr:nvSpPr>
      <xdr:spPr>
        <a:xfrm>
          <a:off x="17641379" y="2146482"/>
          <a:ext cx="4064889" cy="4829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0BD92C2-6A92-4C67-A81A-0E2AFCAE23FF}" type="TxLink">
            <a:rPr lang="en-US" sz="2400" b="0" i="0" u="none" strike="noStrike">
              <a:solidFill>
                <a:srgbClr val="000000"/>
              </a:solidFill>
              <a:latin typeface="Calibri"/>
              <a:cs typeface="Calibri"/>
            </a:rPr>
            <a:pPr algn="ctr"/>
            <a:t>6.9727</a:t>
          </a:fld>
          <a:endParaRPr lang="en-US" sz="2400"/>
        </a:p>
      </xdr:txBody>
    </xdr:sp>
    <xdr:clientData/>
  </xdr:twoCellAnchor>
  <xdr:twoCellAnchor>
    <xdr:from>
      <xdr:col>29</xdr:col>
      <xdr:colOff>134155</xdr:colOff>
      <xdr:row>9</xdr:row>
      <xdr:rowOff>80493</xdr:rowOff>
    </xdr:from>
    <xdr:to>
      <xdr:col>35</xdr:col>
      <xdr:colOff>576867</xdr:colOff>
      <xdr:row>11</xdr:row>
      <xdr:rowOff>53662</xdr:rowOff>
    </xdr:to>
    <xdr:sp macro="" textlink="">
      <xdr:nvSpPr>
        <xdr:cNvPr id="18" name="TextBox 17">
          <a:extLst>
            <a:ext uri="{FF2B5EF4-FFF2-40B4-BE49-F238E27FC236}">
              <a16:creationId xmlns:a16="http://schemas.microsoft.com/office/drawing/2014/main" xmlns="" id="{DADD1907-D2CD-FF34-7269-BA28BAD15C51}"/>
            </a:ext>
          </a:extLst>
        </xdr:cNvPr>
        <xdr:cNvSpPr txBox="1"/>
      </xdr:nvSpPr>
      <xdr:spPr>
        <a:xfrm>
          <a:off x="17641373" y="1770845"/>
          <a:ext cx="4064895" cy="348803"/>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Average Rating</a:t>
          </a:r>
        </a:p>
      </xdr:txBody>
    </xdr:sp>
    <xdr:clientData/>
  </xdr:twoCellAnchor>
  <xdr:twoCellAnchor>
    <xdr:from>
      <xdr:col>14</xdr:col>
      <xdr:colOff>561729</xdr:colOff>
      <xdr:row>5</xdr:row>
      <xdr:rowOff>122115</xdr:rowOff>
    </xdr:from>
    <xdr:to>
      <xdr:col>35</xdr:col>
      <xdr:colOff>561731</xdr:colOff>
      <xdr:row>8</xdr:row>
      <xdr:rowOff>146538</xdr:rowOff>
    </xdr:to>
    <xdr:sp macro="" textlink="">
      <xdr:nvSpPr>
        <xdr:cNvPr id="19" name="TextBox 18">
          <a:extLst>
            <a:ext uri="{FF2B5EF4-FFF2-40B4-BE49-F238E27FC236}">
              <a16:creationId xmlns:a16="http://schemas.microsoft.com/office/drawing/2014/main" xmlns="" id="{A4C19A93-3A31-D6BA-C704-8E6FC929C962}"/>
            </a:ext>
          </a:extLst>
        </xdr:cNvPr>
        <xdr:cNvSpPr txBox="1"/>
      </xdr:nvSpPr>
      <xdr:spPr>
        <a:xfrm>
          <a:off x="9109806" y="1099038"/>
          <a:ext cx="12822117" cy="610577"/>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SOLA LEARNING CAMP SALES </a:t>
          </a:r>
          <a:r>
            <a:rPr lang="en-US" sz="3200" b="1" baseline="0"/>
            <a:t> REPORTS</a:t>
          </a:r>
          <a:endParaRPr lang="en-US" sz="3200" b="1"/>
        </a:p>
      </xdr:txBody>
    </xdr:sp>
    <xdr:clientData/>
  </xdr:twoCellAnchor>
  <xdr:twoCellAnchor editAs="oneCell">
    <xdr:from>
      <xdr:col>36</xdr:col>
      <xdr:colOff>39689</xdr:colOff>
      <xdr:row>5</xdr:row>
      <xdr:rowOff>119062</xdr:rowOff>
    </xdr:from>
    <xdr:to>
      <xdr:col>38</xdr:col>
      <xdr:colOff>486569</xdr:colOff>
      <xdr:row>13</xdr:row>
      <xdr:rowOff>186763</xdr:rowOff>
    </xdr:to>
    <xdr:pic>
      <xdr:nvPicPr>
        <xdr:cNvPr id="22" name="Picture 21">
          <a:extLst>
            <a:ext uri="{FF2B5EF4-FFF2-40B4-BE49-F238E27FC236}">
              <a16:creationId xmlns:a16="http://schemas.microsoft.com/office/drawing/2014/main" xmlns="" id="{FD61D141-BB5A-5D41-9AEE-5F45164E13C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7264064" y="119062"/>
          <a:ext cx="1677193" cy="16668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ERSONAL PC" refreshedDate="45145.181581018522" createdVersion="8" refreshedVersion="8" minRefreshableVersion="3" recordCount="1000">
  <cacheSource type="worksheet">
    <worksheetSource name="Table"/>
  </cacheSource>
  <cacheFields count="14">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Days" numFmtId="0">
      <sharedItems containsBlank="1" count="8">
        <s v="Sunday"/>
        <s v="Monday"/>
        <s v="Wednesday"/>
        <s v="Thursday"/>
        <s v="Saturday"/>
        <s v="Tuesday"/>
        <s v="Friday"/>
        <m/>
      </sharedItems>
    </cacheField>
    <cacheField name="Months" numFmtId="0">
      <sharedItems count="3">
        <s v="Jan"/>
        <s v="Mar"/>
        <s v="Feb"/>
      </sharedItems>
    </cacheField>
    <cacheField name="Date" numFmtId="14">
      <sharedItems containsSemiMixedTypes="0" containsNonDate="0" containsDate="1" containsString="0" minDate="2019-01-01T00:00:00" maxDate="2019-03-31T00:00:00"/>
    </cacheField>
    <cacheField name="Periods" numFmtId="14">
      <sharedItems count="3">
        <s v="Afternoon"/>
        <s v="Morning"/>
        <s v="Evening"/>
      </sharedItems>
    </cacheField>
    <cacheField name="Time" numFmtId="20">
      <sharedItems containsSemiMixedTypes="0" containsNonDate="0" containsDate="1" containsString="0" minDate="1899-12-30T10:00:00" maxDate="1899-12-30T20:59:00"/>
    </cacheField>
    <cacheField name="Payment" numFmtId="0">
      <sharedItems/>
    </cacheField>
    <cacheField name="gross income" numFmtId="165">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1893833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x v="0"/>
    <x v="0"/>
    <d v="2019-01-05T00:00:00"/>
    <x v="0"/>
    <d v="1899-12-30T13:08:00"/>
    <s v="Ewallet"/>
    <n v="26.141500000000001"/>
    <n v="9.1"/>
  </r>
  <r>
    <s v="226-31-3081"/>
    <x v="1"/>
    <x v="1"/>
    <x v="1"/>
    <x v="0"/>
    <x v="1"/>
    <x v="1"/>
    <x v="1"/>
    <d v="2019-03-08T00:00:00"/>
    <x v="1"/>
    <d v="1899-12-30T10:29:00"/>
    <s v="Cash"/>
    <n v="3.82"/>
    <n v="9.6"/>
  </r>
  <r>
    <s v="631-41-3108"/>
    <x v="0"/>
    <x v="0"/>
    <x v="1"/>
    <x v="1"/>
    <x v="2"/>
    <x v="1"/>
    <x v="1"/>
    <d v="2019-03-03T00:00:00"/>
    <x v="0"/>
    <d v="1899-12-30T13:23:00"/>
    <s v="Credit card"/>
    <n v="16.215499999999999"/>
    <n v="7.4"/>
  </r>
  <r>
    <s v="123-19-1176"/>
    <x v="0"/>
    <x v="0"/>
    <x v="0"/>
    <x v="1"/>
    <x v="0"/>
    <x v="2"/>
    <x v="0"/>
    <d v="2019-01-27T00:00:00"/>
    <x v="2"/>
    <d v="1899-12-30T20:33:00"/>
    <s v="Ewallet"/>
    <n v="23.288"/>
    <n v="8.4"/>
  </r>
  <r>
    <s v="373-73-7910"/>
    <x v="0"/>
    <x v="0"/>
    <x v="1"/>
    <x v="1"/>
    <x v="3"/>
    <x v="3"/>
    <x v="2"/>
    <d v="2019-02-08T00:00:00"/>
    <x v="1"/>
    <d v="1899-12-30T10:37:00"/>
    <s v="Ewallet"/>
    <n v="30.208500000000001"/>
    <n v="5.3"/>
  </r>
  <r>
    <s v="699-14-3026"/>
    <x v="1"/>
    <x v="1"/>
    <x v="1"/>
    <x v="1"/>
    <x v="1"/>
    <x v="3"/>
    <x v="1"/>
    <d v="2019-03-25T00:00:00"/>
    <x v="2"/>
    <d v="1899-12-30T18:30:00"/>
    <s v="Ewallet"/>
    <n v="29.886500000000002"/>
    <n v="4.0999999999999996"/>
  </r>
  <r>
    <s v="355-53-5943"/>
    <x v="0"/>
    <x v="0"/>
    <x v="0"/>
    <x v="0"/>
    <x v="1"/>
    <x v="0"/>
    <x v="2"/>
    <d v="2019-02-25T00:00:00"/>
    <x v="0"/>
    <d v="1899-12-30T14:36:00"/>
    <s v="Ewallet"/>
    <n v="20.652000000000001"/>
    <n v="5.8"/>
  </r>
  <r>
    <s v="315-22-5665"/>
    <x v="1"/>
    <x v="1"/>
    <x v="1"/>
    <x v="0"/>
    <x v="2"/>
    <x v="0"/>
    <x v="2"/>
    <d v="2019-02-24T00:00:00"/>
    <x v="1"/>
    <d v="1899-12-30T11:38:00"/>
    <s v="Ewallet"/>
    <n v="36.78"/>
    <n v="8"/>
  </r>
  <r>
    <s v="665-32-9167"/>
    <x v="0"/>
    <x v="0"/>
    <x v="0"/>
    <x v="0"/>
    <x v="0"/>
    <x v="0"/>
    <x v="0"/>
    <d v="2019-01-10T00:00:00"/>
    <x v="2"/>
    <d v="1899-12-30T17:15:00"/>
    <s v="Credit card"/>
    <n v="3.6259999999999999"/>
    <n v="7.2"/>
  </r>
  <r>
    <s v="692-92-5582"/>
    <x v="2"/>
    <x v="2"/>
    <x v="0"/>
    <x v="0"/>
    <x v="4"/>
    <x v="4"/>
    <x v="2"/>
    <d v="2019-02-20T00:00:00"/>
    <x v="0"/>
    <d v="1899-12-30T13:27:00"/>
    <s v="Credit card"/>
    <n v="8.2260000000000009"/>
    <n v="5.9"/>
  </r>
  <r>
    <s v="351-62-0822"/>
    <x v="2"/>
    <x v="2"/>
    <x v="0"/>
    <x v="0"/>
    <x v="5"/>
    <x v="3"/>
    <x v="2"/>
    <d v="2019-02-06T00:00:00"/>
    <x v="2"/>
    <d v="1899-12-30T18:07:00"/>
    <s v="Ewallet"/>
    <n v="2.8959999999999999"/>
    <n v="4.5"/>
  </r>
  <r>
    <s v="529-56-3974"/>
    <x v="2"/>
    <x v="2"/>
    <x v="0"/>
    <x v="1"/>
    <x v="1"/>
    <x v="5"/>
    <x v="1"/>
    <d v="2019-03-09T00:00:00"/>
    <x v="2"/>
    <d v="1899-12-30T17:03:00"/>
    <s v="Cash"/>
    <n v="5.1020000000000003"/>
    <n v="6.8"/>
  </r>
  <r>
    <s v="365-64-0515"/>
    <x v="0"/>
    <x v="0"/>
    <x v="1"/>
    <x v="0"/>
    <x v="1"/>
    <x v="6"/>
    <x v="2"/>
    <d v="2019-02-12T00:00:00"/>
    <x v="1"/>
    <d v="1899-12-30T10:25:00"/>
    <s v="Ewallet"/>
    <n v="11.737500000000001"/>
    <n v="7.1"/>
  </r>
  <r>
    <s v="252-56-2699"/>
    <x v="0"/>
    <x v="0"/>
    <x v="1"/>
    <x v="1"/>
    <x v="4"/>
    <x v="3"/>
    <x v="2"/>
    <d v="2019-02-07T00:00:00"/>
    <x v="2"/>
    <d v="1899-12-30T16:48:00"/>
    <s v="Ewallet"/>
    <n v="21.594999999999999"/>
    <n v="8.1999999999999993"/>
  </r>
  <r>
    <s v="829-34-3910"/>
    <x v="0"/>
    <x v="0"/>
    <x v="1"/>
    <x v="0"/>
    <x v="0"/>
    <x v="3"/>
    <x v="1"/>
    <d v="2019-03-29T00:00:00"/>
    <x v="2"/>
    <d v="1899-12-30T19:21:00"/>
    <s v="Cash"/>
    <n v="35.69"/>
    <n v="5.7"/>
  </r>
  <r>
    <s v="299-46-1805"/>
    <x v="2"/>
    <x v="2"/>
    <x v="0"/>
    <x v="0"/>
    <x v="3"/>
    <x v="1"/>
    <x v="0"/>
    <d v="2019-01-15T00:00:00"/>
    <x v="2"/>
    <d v="1899-12-30T16:19:00"/>
    <s v="Cash"/>
    <n v="28.116"/>
    <n v="4.5"/>
  </r>
  <r>
    <s v="656-95-9349"/>
    <x v="0"/>
    <x v="0"/>
    <x v="0"/>
    <x v="0"/>
    <x v="0"/>
    <x v="5"/>
    <x v="1"/>
    <d v="2019-03-11T00:00:00"/>
    <x v="1"/>
    <d v="1899-12-30T11:03:00"/>
    <s v="Credit card"/>
    <n v="24.125499999999999"/>
    <n v="4.5999999999999996"/>
  </r>
  <r>
    <s v="765-26-6951"/>
    <x v="0"/>
    <x v="0"/>
    <x v="1"/>
    <x v="1"/>
    <x v="3"/>
    <x v="4"/>
    <x v="0"/>
    <d v="2019-01-01T00:00:00"/>
    <x v="1"/>
    <d v="1899-12-30T10:39:00"/>
    <s v="Credit card"/>
    <n v="21.783000000000001"/>
    <n v="6.9"/>
  </r>
  <r>
    <s v="329-62-1586"/>
    <x v="0"/>
    <x v="0"/>
    <x v="1"/>
    <x v="1"/>
    <x v="4"/>
    <x v="5"/>
    <x v="0"/>
    <d v="2019-01-21T00:00:00"/>
    <x v="2"/>
    <d v="1899-12-30T18:00:00"/>
    <s v="Credit card"/>
    <n v="8.2004999999999999"/>
    <n v="8.6"/>
  </r>
  <r>
    <s v="319-50-3348"/>
    <x v="2"/>
    <x v="2"/>
    <x v="1"/>
    <x v="0"/>
    <x v="2"/>
    <x v="5"/>
    <x v="1"/>
    <d v="2019-03-11T00:00:00"/>
    <x v="0"/>
    <d v="1899-12-30T15:30:00"/>
    <s v="Ewallet"/>
    <n v="4.03"/>
    <n v="4.4000000000000004"/>
  </r>
  <r>
    <s v="300-71-4605"/>
    <x v="1"/>
    <x v="1"/>
    <x v="0"/>
    <x v="1"/>
    <x v="1"/>
    <x v="0"/>
    <x v="2"/>
    <d v="2019-02-25T00:00:00"/>
    <x v="1"/>
    <d v="1899-12-30T11:24:00"/>
    <s v="Ewallet"/>
    <n v="21.51"/>
    <n v="4.8"/>
  </r>
  <r>
    <s v="371-85-5789"/>
    <x v="2"/>
    <x v="2"/>
    <x v="1"/>
    <x v="1"/>
    <x v="0"/>
    <x v="1"/>
    <x v="1"/>
    <d v="2019-03-05T00:00:00"/>
    <x v="1"/>
    <d v="1899-12-30T10:40:00"/>
    <s v="Ewallet"/>
    <n v="13.196999999999999"/>
    <n v="5.0999999999999996"/>
  </r>
  <r>
    <s v="273-16-6619"/>
    <x v="2"/>
    <x v="2"/>
    <x v="1"/>
    <x v="1"/>
    <x v="2"/>
    <x v="5"/>
    <x v="1"/>
    <d v="2019-03-15T00:00:00"/>
    <x v="0"/>
    <d v="1899-12-30T12:20:00"/>
    <s v="Credit card"/>
    <n v="3.32"/>
    <n v="4.4000000000000004"/>
  </r>
  <r>
    <s v="636-48-8204"/>
    <x v="0"/>
    <x v="0"/>
    <x v="1"/>
    <x v="1"/>
    <x v="1"/>
    <x v="4"/>
    <x v="2"/>
    <d v="2019-02-17T00:00:00"/>
    <x v="1"/>
    <d v="1899-12-30T11:15:00"/>
    <s v="Ewallet"/>
    <n v="8.64"/>
    <n v="9.9"/>
  </r>
  <r>
    <s v="549-59-1358"/>
    <x v="0"/>
    <x v="0"/>
    <x v="0"/>
    <x v="1"/>
    <x v="3"/>
    <x v="1"/>
    <x v="1"/>
    <d v="2019-03-02T00:00:00"/>
    <x v="2"/>
    <d v="1899-12-30T17:36:00"/>
    <s v="Ewallet"/>
    <n v="13.294499999999999"/>
    <n v="6"/>
  </r>
  <r>
    <s v="227-03-5010"/>
    <x v="0"/>
    <x v="0"/>
    <x v="0"/>
    <x v="0"/>
    <x v="2"/>
    <x v="2"/>
    <x v="1"/>
    <d v="2019-03-22T00:00:00"/>
    <x v="2"/>
    <d v="1899-12-30T19:20:00"/>
    <s v="Credit card"/>
    <n v="21.036000000000001"/>
    <n v="8.5"/>
  </r>
  <r>
    <s v="649-29-6775"/>
    <x v="2"/>
    <x v="2"/>
    <x v="1"/>
    <x v="1"/>
    <x v="5"/>
    <x v="3"/>
    <x v="2"/>
    <d v="2019-02-08T00:00:00"/>
    <x v="0"/>
    <d v="1899-12-30T15:31:00"/>
    <s v="Cash"/>
    <n v="1.6759999999999999"/>
    <n v="6.7"/>
  </r>
  <r>
    <s v="189-17-4241"/>
    <x v="0"/>
    <x v="0"/>
    <x v="1"/>
    <x v="0"/>
    <x v="5"/>
    <x v="5"/>
    <x v="1"/>
    <d v="2019-03-10T00:00:00"/>
    <x v="0"/>
    <d v="1899-12-30T12:17:00"/>
    <s v="Credit card"/>
    <n v="8.7669999999999995"/>
    <n v="7.7"/>
  </r>
  <r>
    <s v="145-94-9061"/>
    <x v="2"/>
    <x v="2"/>
    <x v="1"/>
    <x v="0"/>
    <x v="4"/>
    <x v="5"/>
    <x v="0"/>
    <d v="2019-01-25T00:00:00"/>
    <x v="2"/>
    <d v="1899-12-30T19:48:00"/>
    <s v="Cash"/>
    <n v="22.09"/>
    <n v="9.6"/>
  </r>
  <r>
    <s v="848-62-7243"/>
    <x v="0"/>
    <x v="0"/>
    <x v="1"/>
    <x v="1"/>
    <x v="0"/>
    <x v="5"/>
    <x v="1"/>
    <d v="2019-03-15T00:00:00"/>
    <x v="0"/>
    <d v="1899-12-30T15:36:00"/>
    <s v="Cash"/>
    <n v="11.2005"/>
    <n v="7.4"/>
  </r>
  <r>
    <s v="871-79-8483"/>
    <x v="2"/>
    <x v="2"/>
    <x v="1"/>
    <x v="1"/>
    <x v="5"/>
    <x v="0"/>
    <x v="2"/>
    <d v="2019-02-25T00:00:00"/>
    <x v="2"/>
    <d v="1899-12-30T19:39:00"/>
    <s v="Credit card"/>
    <n v="23.532499999999999"/>
    <n v="4.8"/>
  </r>
  <r>
    <s v="149-71-6266"/>
    <x v="2"/>
    <x v="2"/>
    <x v="0"/>
    <x v="1"/>
    <x v="3"/>
    <x v="2"/>
    <x v="0"/>
    <d v="2019-01-28T00:00:00"/>
    <x v="0"/>
    <d v="1899-12-30T12:43:00"/>
    <s v="Cash"/>
    <n v="35.131500000000003"/>
    <n v="4.5"/>
  </r>
  <r>
    <s v="640-49-2076"/>
    <x v="2"/>
    <x v="2"/>
    <x v="1"/>
    <x v="1"/>
    <x v="3"/>
    <x v="0"/>
    <x v="0"/>
    <d v="2019-01-10T00:00:00"/>
    <x v="0"/>
    <d v="1899-12-30T14:49:00"/>
    <s v="Cash"/>
    <n v="33.512"/>
    <n v="5.0999999999999996"/>
  </r>
  <r>
    <s v="595-11-5460"/>
    <x v="0"/>
    <x v="0"/>
    <x v="1"/>
    <x v="1"/>
    <x v="0"/>
    <x v="5"/>
    <x v="1"/>
    <d v="2019-03-15T00:00:00"/>
    <x v="1"/>
    <d v="1899-12-30T10:12:00"/>
    <s v="Credit card"/>
    <n v="9.6579999999999995"/>
    <n v="5.0999999999999996"/>
  </r>
  <r>
    <s v="183-56-6882"/>
    <x v="1"/>
    <x v="1"/>
    <x v="0"/>
    <x v="0"/>
    <x v="4"/>
    <x v="3"/>
    <x v="2"/>
    <d v="2019-02-06T00:00:00"/>
    <x v="1"/>
    <d v="1899-12-30T10:42:00"/>
    <s v="Ewallet"/>
    <n v="19.884"/>
    <n v="7.5"/>
  </r>
  <r>
    <s v="232-16-2483"/>
    <x v="1"/>
    <x v="1"/>
    <x v="0"/>
    <x v="0"/>
    <x v="3"/>
    <x v="0"/>
    <x v="0"/>
    <d v="2019-01-07T00:00:00"/>
    <x v="0"/>
    <d v="1899-12-30T12:28:00"/>
    <s v="Ewallet"/>
    <n v="3.4060000000000001"/>
    <n v="6.8"/>
  </r>
  <r>
    <s v="129-29-8530"/>
    <x v="0"/>
    <x v="0"/>
    <x v="0"/>
    <x v="1"/>
    <x v="3"/>
    <x v="5"/>
    <x v="1"/>
    <d v="2019-03-10T00:00:00"/>
    <x v="2"/>
    <d v="1899-12-30T19:15:00"/>
    <s v="Ewallet"/>
    <n v="15.654999999999999"/>
    <n v="7"/>
  </r>
  <r>
    <s v="272-65-1806"/>
    <x v="0"/>
    <x v="0"/>
    <x v="1"/>
    <x v="0"/>
    <x v="1"/>
    <x v="1"/>
    <x v="0"/>
    <d v="2019-01-15T00:00:00"/>
    <x v="2"/>
    <d v="1899-12-30T17:17:00"/>
    <s v="Ewallet"/>
    <n v="27.396000000000001"/>
    <n v="4.7"/>
  </r>
  <r>
    <s v="333-73-7901"/>
    <x v="1"/>
    <x v="1"/>
    <x v="1"/>
    <x v="0"/>
    <x v="0"/>
    <x v="3"/>
    <x v="1"/>
    <d v="2019-03-23T00:00:00"/>
    <x v="0"/>
    <d v="1899-12-30T13:24:00"/>
    <s v="Ewallet"/>
    <n v="21.968"/>
    <n v="7.6"/>
  </r>
  <r>
    <s v="777-82-7220"/>
    <x v="2"/>
    <x v="2"/>
    <x v="0"/>
    <x v="1"/>
    <x v="2"/>
    <x v="1"/>
    <x v="1"/>
    <d v="2019-03-03T00:00:00"/>
    <x v="0"/>
    <d v="1899-12-30T13:01:00"/>
    <s v="Cash"/>
    <n v="12.048"/>
    <n v="7.7"/>
  </r>
  <r>
    <s v="280-35-5823"/>
    <x v="2"/>
    <x v="2"/>
    <x v="0"/>
    <x v="0"/>
    <x v="2"/>
    <x v="1"/>
    <x v="0"/>
    <d v="2019-01-17T00:00:00"/>
    <x v="2"/>
    <d v="1899-12-30T18:45:00"/>
    <s v="Ewallet"/>
    <n v="4.3360000000000003"/>
    <n v="7.9"/>
  </r>
  <r>
    <s v="554-53-8700"/>
    <x v="1"/>
    <x v="1"/>
    <x v="0"/>
    <x v="1"/>
    <x v="2"/>
    <x v="3"/>
    <x v="2"/>
    <d v="2019-02-02T00:00:00"/>
    <x v="1"/>
    <d v="1899-12-30T10:11:00"/>
    <s v="Cash"/>
    <n v="5.6109999999999998"/>
    <n v="6.3"/>
  </r>
  <r>
    <s v="354-25-5821"/>
    <x v="2"/>
    <x v="2"/>
    <x v="0"/>
    <x v="0"/>
    <x v="3"/>
    <x v="3"/>
    <x v="2"/>
    <d v="2019-02-08T00:00:00"/>
    <x v="0"/>
    <d v="1899-12-30T13:03:00"/>
    <s v="Cash"/>
    <n v="20.736000000000001"/>
    <n v="5.6"/>
  </r>
  <r>
    <s v="228-96-1411"/>
    <x v="1"/>
    <x v="1"/>
    <x v="0"/>
    <x v="0"/>
    <x v="4"/>
    <x v="1"/>
    <x v="1"/>
    <d v="2019-03-04T00:00:00"/>
    <x v="2"/>
    <d v="1899-12-30T20:39:00"/>
    <s v="Cash"/>
    <n v="39.479999999999997"/>
    <n v="7.6"/>
  </r>
  <r>
    <s v="617-15-4209"/>
    <x v="1"/>
    <x v="1"/>
    <x v="0"/>
    <x v="1"/>
    <x v="0"/>
    <x v="2"/>
    <x v="1"/>
    <d v="2019-03-16T00:00:00"/>
    <x v="2"/>
    <d v="1899-12-30T19:47:00"/>
    <s v="Cash"/>
    <n v="1.5369999999999999"/>
    <n v="7.2"/>
  </r>
  <r>
    <s v="132-32-9879"/>
    <x v="2"/>
    <x v="2"/>
    <x v="0"/>
    <x v="0"/>
    <x v="1"/>
    <x v="5"/>
    <x v="1"/>
    <d v="2019-03-09T00:00:00"/>
    <x v="2"/>
    <d v="1899-12-30T18:00:00"/>
    <s v="Cash"/>
    <n v="18.792000000000002"/>
    <n v="9.5"/>
  </r>
  <r>
    <s v="370-41-7321"/>
    <x v="2"/>
    <x v="2"/>
    <x v="0"/>
    <x v="1"/>
    <x v="0"/>
    <x v="0"/>
    <x v="2"/>
    <d v="2019-02-27T00:00:00"/>
    <x v="2"/>
    <d v="1899-12-30T17:24:00"/>
    <s v="Credit card"/>
    <n v="25.5105"/>
    <n v="8.4"/>
  </r>
  <r>
    <s v="727-46-3608"/>
    <x v="2"/>
    <x v="2"/>
    <x v="0"/>
    <x v="0"/>
    <x v="4"/>
    <x v="3"/>
    <x v="2"/>
    <d v="2019-02-06T00:00:00"/>
    <x v="0"/>
    <d v="1899-12-30T15:47:00"/>
    <s v="Ewallet"/>
    <n v="9.0045000000000002"/>
    <n v="4.0999999999999996"/>
  </r>
  <r>
    <s v="669-54-1719"/>
    <x v="2"/>
    <x v="2"/>
    <x v="0"/>
    <x v="1"/>
    <x v="1"/>
    <x v="6"/>
    <x v="2"/>
    <d v="2019-02-10T00:00:00"/>
    <x v="0"/>
    <d v="1899-12-30T12:45:00"/>
    <s v="Credit card"/>
    <n v="5.6790000000000003"/>
    <n v="8.1"/>
  </r>
  <r>
    <s v="574-22-5561"/>
    <x v="1"/>
    <x v="1"/>
    <x v="0"/>
    <x v="0"/>
    <x v="5"/>
    <x v="2"/>
    <x v="1"/>
    <d v="2019-03-19T00:00:00"/>
    <x v="2"/>
    <d v="1899-12-30T17:08:00"/>
    <s v="Ewallet"/>
    <n v="41.314999999999998"/>
    <n v="7.9"/>
  </r>
  <r>
    <s v="326-78-5178"/>
    <x v="1"/>
    <x v="1"/>
    <x v="0"/>
    <x v="1"/>
    <x v="4"/>
    <x v="3"/>
    <x v="2"/>
    <d v="2019-02-03T00:00:00"/>
    <x v="1"/>
    <d v="1899-12-30T10:19:00"/>
    <s v="Cash"/>
    <n v="31.99"/>
    <n v="9.5"/>
  </r>
  <r>
    <s v="162-48-8011"/>
    <x v="0"/>
    <x v="0"/>
    <x v="0"/>
    <x v="0"/>
    <x v="4"/>
    <x v="6"/>
    <x v="2"/>
    <d v="2019-02-10T00:00:00"/>
    <x v="0"/>
    <d v="1899-12-30T15:10:00"/>
    <s v="Cash"/>
    <n v="11.147500000000001"/>
    <n v="8.5"/>
  </r>
  <r>
    <s v="616-24-2851"/>
    <x v="2"/>
    <x v="2"/>
    <x v="0"/>
    <x v="0"/>
    <x v="5"/>
    <x v="2"/>
    <x v="1"/>
    <d v="2019-03-22T00:00:00"/>
    <x v="0"/>
    <d v="1899-12-30T14:42:00"/>
    <s v="Ewallet"/>
    <n v="3.5739999999999998"/>
    <n v="6.5"/>
  </r>
  <r>
    <s v="778-71-5554"/>
    <x v="1"/>
    <x v="1"/>
    <x v="0"/>
    <x v="1"/>
    <x v="5"/>
    <x v="5"/>
    <x v="0"/>
    <d v="2019-01-25T00:00:00"/>
    <x v="0"/>
    <d v="1899-12-30T15:46:00"/>
    <s v="Credit card"/>
    <n v="0.77149999999999996"/>
    <n v="6.1"/>
  </r>
  <r>
    <s v="242-55-6721"/>
    <x v="2"/>
    <x v="2"/>
    <x v="1"/>
    <x v="1"/>
    <x v="2"/>
    <x v="1"/>
    <x v="1"/>
    <d v="2019-03-07T00:00:00"/>
    <x v="1"/>
    <d v="1899-12-30T11:49:00"/>
    <s v="Ewallet"/>
    <n v="1.6160000000000001"/>
    <n v="6.5"/>
  </r>
  <r>
    <s v="399-46-5918"/>
    <x v="1"/>
    <x v="1"/>
    <x v="1"/>
    <x v="0"/>
    <x v="1"/>
    <x v="0"/>
    <x v="2"/>
    <d v="2019-02-28T00:00:00"/>
    <x v="2"/>
    <d v="1899-12-30T19:01:00"/>
    <s v="Cash"/>
    <n v="34.392000000000003"/>
    <n v="8.1999999999999993"/>
  </r>
  <r>
    <s v="106-35-6779"/>
    <x v="0"/>
    <x v="0"/>
    <x v="0"/>
    <x v="1"/>
    <x v="2"/>
    <x v="3"/>
    <x v="1"/>
    <d v="2019-03-27T00:00:00"/>
    <x v="1"/>
    <d v="1899-12-30T11:26:00"/>
    <s v="Cash"/>
    <n v="4.4340000000000002"/>
    <n v="5.8"/>
  </r>
  <r>
    <s v="635-40-6220"/>
    <x v="0"/>
    <x v="0"/>
    <x v="1"/>
    <x v="1"/>
    <x v="0"/>
    <x v="3"/>
    <x v="2"/>
    <d v="2019-02-07T00:00:00"/>
    <x v="1"/>
    <d v="1899-12-30T11:28:00"/>
    <s v="Ewallet"/>
    <n v="35.840000000000003"/>
    <n v="6.6"/>
  </r>
  <r>
    <s v="817-48-8732"/>
    <x v="0"/>
    <x v="0"/>
    <x v="0"/>
    <x v="0"/>
    <x v="2"/>
    <x v="5"/>
    <x v="0"/>
    <d v="2019-01-20T00:00:00"/>
    <x v="0"/>
    <d v="1899-12-30T15:55:00"/>
    <s v="Cash"/>
    <n v="36.174999999999997"/>
    <n v="5.4"/>
  </r>
  <r>
    <s v="120-06-4233"/>
    <x v="1"/>
    <x v="1"/>
    <x v="1"/>
    <x v="1"/>
    <x v="1"/>
    <x v="5"/>
    <x v="1"/>
    <d v="2019-03-12T00:00:00"/>
    <x v="2"/>
    <d v="1899-12-30T20:36:00"/>
    <s v="Cash"/>
    <n v="9.1829999999999998"/>
    <n v="9.3000000000000007"/>
  </r>
  <r>
    <s v="285-68-5083"/>
    <x v="1"/>
    <x v="1"/>
    <x v="0"/>
    <x v="0"/>
    <x v="3"/>
    <x v="6"/>
    <x v="2"/>
    <d v="2019-02-15T00:00:00"/>
    <x v="2"/>
    <d v="1899-12-30T17:47:00"/>
    <s v="Credit card"/>
    <n v="3.7109999999999999"/>
    <n v="10"/>
  </r>
  <r>
    <s v="803-83-5989"/>
    <x v="1"/>
    <x v="1"/>
    <x v="1"/>
    <x v="1"/>
    <x v="2"/>
    <x v="0"/>
    <x v="2"/>
    <d v="2019-02-24T00:00:00"/>
    <x v="1"/>
    <d v="1899-12-30T10:55:00"/>
    <s v="Ewallet"/>
    <n v="16.719000000000001"/>
    <n v="7"/>
  </r>
  <r>
    <s v="347-34-2234"/>
    <x v="2"/>
    <x v="2"/>
    <x v="0"/>
    <x v="0"/>
    <x v="3"/>
    <x v="3"/>
    <x v="2"/>
    <d v="2019-02-03T00:00:00"/>
    <x v="0"/>
    <d v="1899-12-30T13:40:00"/>
    <s v="Ewallet"/>
    <n v="24.781500000000001"/>
    <n v="10"/>
  </r>
  <r>
    <s v="199-75-8169"/>
    <x v="0"/>
    <x v="0"/>
    <x v="0"/>
    <x v="1"/>
    <x v="3"/>
    <x v="1"/>
    <x v="1"/>
    <d v="2019-03-06T00:00:00"/>
    <x v="0"/>
    <d v="1899-12-30T12:27:00"/>
    <s v="Credit card"/>
    <n v="7.9050000000000002"/>
    <n v="8.6"/>
  </r>
  <r>
    <s v="853-23-2453"/>
    <x v="2"/>
    <x v="2"/>
    <x v="0"/>
    <x v="1"/>
    <x v="0"/>
    <x v="6"/>
    <x v="2"/>
    <d v="2019-02-14T00:00:00"/>
    <x v="0"/>
    <d v="1899-12-30T14:35:00"/>
    <s v="Cash"/>
    <n v="15.148"/>
    <n v="7.6"/>
  </r>
  <r>
    <s v="877-22-3308"/>
    <x v="0"/>
    <x v="0"/>
    <x v="0"/>
    <x v="1"/>
    <x v="0"/>
    <x v="5"/>
    <x v="1"/>
    <d v="2019-03-13T00:00:00"/>
    <x v="2"/>
    <d v="1899-12-30T16:40:00"/>
    <s v="Cash"/>
    <n v="7.9349999999999996"/>
    <n v="5.8"/>
  </r>
  <r>
    <s v="838-78-4295"/>
    <x v="1"/>
    <x v="1"/>
    <x v="1"/>
    <x v="0"/>
    <x v="0"/>
    <x v="6"/>
    <x v="2"/>
    <d v="2019-02-10T00:00:00"/>
    <x v="0"/>
    <d v="1899-12-30T15:43:00"/>
    <s v="Ewallet"/>
    <n v="3.347"/>
    <n v="6.7"/>
  </r>
  <r>
    <s v="109-28-2512"/>
    <x v="2"/>
    <x v="2"/>
    <x v="0"/>
    <x v="0"/>
    <x v="5"/>
    <x v="0"/>
    <x v="0"/>
    <d v="2019-01-07T00:00:00"/>
    <x v="0"/>
    <d v="1899-12-30T15:01:00"/>
    <s v="Ewallet"/>
    <n v="29.283000000000001"/>
    <n v="9.9"/>
  </r>
  <r>
    <s v="232-11-3025"/>
    <x v="0"/>
    <x v="0"/>
    <x v="1"/>
    <x v="1"/>
    <x v="3"/>
    <x v="5"/>
    <x v="0"/>
    <d v="2019-01-24T00:00:00"/>
    <x v="1"/>
    <d v="1899-12-30T10:04:00"/>
    <s v="Cash"/>
    <n v="39.384999999999998"/>
    <n v="6.4"/>
  </r>
  <r>
    <s v="382-03-4532"/>
    <x v="0"/>
    <x v="0"/>
    <x v="0"/>
    <x v="0"/>
    <x v="0"/>
    <x v="3"/>
    <x v="2"/>
    <d v="2019-02-02T00:00:00"/>
    <x v="2"/>
    <d v="1899-12-30T18:50:00"/>
    <s v="Cash"/>
    <n v="0.91649999999999998"/>
    <n v="4.3"/>
  </r>
  <r>
    <s v="393-65-2792"/>
    <x v="1"/>
    <x v="1"/>
    <x v="1"/>
    <x v="1"/>
    <x v="4"/>
    <x v="0"/>
    <x v="0"/>
    <d v="2019-01-06T00:00:00"/>
    <x v="0"/>
    <d v="1899-12-30T12:46:00"/>
    <s v="Credit card"/>
    <n v="44.74"/>
    <n v="9.6"/>
  </r>
  <r>
    <s v="796-12-2025"/>
    <x v="1"/>
    <x v="1"/>
    <x v="1"/>
    <x v="1"/>
    <x v="5"/>
    <x v="6"/>
    <x v="2"/>
    <d v="2019-02-11T00:00:00"/>
    <x v="2"/>
    <d v="1899-12-30T16:19:00"/>
    <s v="Cash"/>
    <n v="31.06"/>
    <n v="5.9"/>
  </r>
  <r>
    <s v="510-95-6347"/>
    <x v="2"/>
    <x v="2"/>
    <x v="0"/>
    <x v="0"/>
    <x v="4"/>
    <x v="1"/>
    <x v="1"/>
    <d v="2019-03-05T00:00:00"/>
    <x v="2"/>
    <d v="1899-12-30T18:17:00"/>
    <s v="Ewallet"/>
    <n v="7.2779999999999996"/>
    <n v="4"/>
  </r>
  <r>
    <s v="841-35-6630"/>
    <x v="1"/>
    <x v="1"/>
    <x v="1"/>
    <x v="0"/>
    <x v="1"/>
    <x v="5"/>
    <x v="1"/>
    <d v="2019-03-09T00:00:00"/>
    <x v="2"/>
    <d v="1899-12-30T18:21:00"/>
    <s v="Cash"/>
    <n v="22.773"/>
    <n v="8.6999999999999993"/>
  </r>
  <r>
    <s v="287-21-9091"/>
    <x v="0"/>
    <x v="0"/>
    <x v="1"/>
    <x v="1"/>
    <x v="2"/>
    <x v="5"/>
    <x v="0"/>
    <d v="2019-01-22T00:00:00"/>
    <x v="1"/>
    <d v="1899-12-30T10:55:00"/>
    <s v="Ewallet"/>
    <n v="33.601500000000001"/>
    <n v="9.4"/>
  </r>
  <r>
    <s v="732-94-0499"/>
    <x v="1"/>
    <x v="1"/>
    <x v="1"/>
    <x v="0"/>
    <x v="1"/>
    <x v="1"/>
    <x v="0"/>
    <d v="2019-01-13T00:00:00"/>
    <x v="2"/>
    <d v="1899-12-30T17:04:00"/>
    <s v="Credit card"/>
    <n v="20.824999999999999"/>
    <n v="5.4"/>
  </r>
  <r>
    <s v="263-10-3913"/>
    <x v="1"/>
    <x v="1"/>
    <x v="0"/>
    <x v="1"/>
    <x v="5"/>
    <x v="0"/>
    <x v="0"/>
    <d v="2019-01-09T00:00:00"/>
    <x v="0"/>
    <d v="1899-12-30T14:20:00"/>
    <s v="Credit card"/>
    <n v="22.068000000000001"/>
    <n v="8.6"/>
  </r>
  <r>
    <s v="381-20-0914"/>
    <x v="0"/>
    <x v="0"/>
    <x v="0"/>
    <x v="0"/>
    <x v="5"/>
    <x v="1"/>
    <x v="0"/>
    <d v="2019-01-12T00:00:00"/>
    <x v="0"/>
    <d v="1899-12-30T15:48:00"/>
    <s v="Credit card"/>
    <n v="9.0045000000000002"/>
    <n v="5.7"/>
  </r>
  <r>
    <s v="829-49-1914"/>
    <x v="1"/>
    <x v="1"/>
    <x v="0"/>
    <x v="0"/>
    <x v="4"/>
    <x v="1"/>
    <x v="1"/>
    <d v="2019-03-05T00:00:00"/>
    <x v="2"/>
    <d v="1899-12-30T16:24:00"/>
    <s v="Ewallet"/>
    <n v="39.155000000000001"/>
    <n v="6.6"/>
  </r>
  <r>
    <s v="756-01-7507"/>
    <x v="1"/>
    <x v="1"/>
    <x v="1"/>
    <x v="0"/>
    <x v="0"/>
    <x v="5"/>
    <x v="0"/>
    <d v="2019-01-22T00:00:00"/>
    <x v="2"/>
    <d v="1899-12-30T18:56:00"/>
    <s v="Cash"/>
    <n v="5.0949999999999998"/>
    <n v="6"/>
  </r>
  <r>
    <s v="870-72-4431"/>
    <x v="1"/>
    <x v="1"/>
    <x v="1"/>
    <x v="0"/>
    <x v="0"/>
    <x v="5"/>
    <x v="0"/>
    <d v="2019-01-21T00:00:00"/>
    <x v="0"/>
    <d v="1899-12-30T14:42:00"/>
    <s v="Credit card"/>
    <n v="29.757000000000001"/>
    <n v="5.5"/>
  </r>
  <r>
    <s v="847-38-7188"/>
    <x v="2"/>
    <x v="2"/>
    <x v="1"/>
    <x v="0"/>
    <x v="4"/>
    <x v="2"/>
    <x v="0"/>
    <d v="2019-01-26T00:00:00"/>
    <x v="2"/>
    <d v="1899-12-30T19:56:00"/>
    <s v="Ewallet"/>
    <n v="14.502000000000001"/>
    <n v="6.4"/>
  </r>
  <r>
    <s v="480-63-2856"/>
    <x v="1"/>
    <x v="1"/>
    <x v="1"/>
    <x v="1"/>
    <x v="4"/>
    <x v="5"/>
    <x v="0"/>
    <d v="2019-01-23T00:00:00"/>
    <x v="2"/>
    <d v="1899-12-30T18:37:00"/>
    <s v="Ewallet"/>
    <n v="7.7"/>
    <n v="6.6"/>
  </r>
  <r>
    <s v="787-56-0757"/>
    <x v="1"/>
    <x v="1"/>
    <x v="0"/>
    <x v="0"/>
    <x v="4"/>
    <x v="0"/>
    <x v="2"/>
    <d v="2019-02-23T00:00:00"/>
    <x v="2"/>
    <d v="1899-12-30T18:45:00"/>
    <s v="Credit card"/>
    <n v="16.071999999999999"/>
    <n v="8.3000000000000007"/>
  </r>
  <r>
    <s v="360-39-5055"/>
    <x v="1"/>
    <x v="1"/>
    <x v="0"/>
    <x v="1"/>
    <x v="3"/>
    <x v="5"/>
    <x v="1"/>
    <d v="2019-03-09T00:00:00"/>
    <x v="1"/>
    <d v="1899-12-30T10:17:00"/>
    <s v="Cash"/>
    <n v="12.227499999999999"/>
    <n v="6.6"/>
  </r>
  <r>
    <s v="730-50-9884"/>
    <x v="1"/>
    <x v="1"/>
    <x v="1"/>
    <x v="0"/>
    <x v="3"/>
    <x v="1"/>
    <x v="1"/>
    <d v="2019-03-05T00:00:00"/>
    <x v="0"/>
    <d v="1899-12-30T14:31:00"/>
    <s v="Ewallet"/>
    <n v="29.071000000000002"/>
    <n v="4"/>
  </r>
  <r>
    <s v="362-58-8315"/>
    <x v="1"/>
    <x v="1"/>
    <x v="1"/>
    <x v="1"/>
    <x v="5"/>
    <x v="3"/>
    <x v="1"/>
    <d v="2019-03-25T00:00:00"/>
    <x v="1"/>
    <d v="1899-12-30T10:23:00"/>
    <s v="Cash"/>
    <n v="19.13"/>
    <n v="9.9"/>
  </r>
  <r>
    <s v="633-44-8566"/>
    <x v="0"/>
    <x v="0"/>
    <x v="0"/>
    <x v="1"/>
    <x v="4"/>
    <x v="3"/>
    <x v="1"/>
    <d v="2019-03-27T00:00:00"/>
    <x v="2"/>
    <d v="1899-12-30T20:35:00"/>
    <s v="Credit card"/>
    <n v="17.283000000000001"/>
    <n v="7.3"/>
  </r>
  <r>
    <s v="504-35-8843"/>
    <x v="0"/>
    <x v="0"/>
    <x v="1"/>
    <x v="1"/>
    <x v="3"/>
    <x v="4"/>
    <x v="0"/>
    <d v="2019-01-02T00:00:00"/>
    <x v="2"/>
    <d v="1899-12-30T16:57:00"/>
    <s v="Cash"/>
    <n v="2.1234999999999999"/>
    <n v="5.7"/>
  </r>
  <r>
    <s v="318-68-5053"/>
    <x v="2"/>
    <x v="2"/>
    <x v="1"/>
    <x v="0"/>
    <x v="0"/>
    <x v="0"/>
    <x v="2"/>
    <d v="2019-02-27T00:00:00"/>
    <x v="2"/>
    <d v="1899-12-30T17:55:00"/>
    <s v="Cash"/>
    <n v="23.097000000000001"/>
    <n v="6.1"/>
  </r>
  <r>
    <s v="565-80-5980"/>
    <x v="1"/>
    <x v="1"/>
    <x v="0"/>
    <x v="0"/>
    <x v="2"/>
    <x v="5"/>
    <x v="0"/>
    <d v="2019-01-23T00:00:00"/>
    <x v="1"/>
    <d v="1899-12-30T10:25:00"/>
    <s v="Cash"/>
    <n v="9.4760000000000009"/>
    <n v="7.1"/>
  </r>
  <r>
    <s v="225-32-0908"/>
    <x v="1"/>
    <x v="1"/>
    <x v="1"/>
    <x v="0"/>
    <x v="3"/>
    <x v="2"/>
    <x v="0"/>
    <d v="2019-01-26T00:00:00"/>
    <x v="2"/>
    <d v="1899-12-30T19:54:00"/>
    <s v="Ewallet"/>
    <n v="22.43"/>
    <n v="8.1999999999999993"/>
  </r>
  <r>
    <s v="873-51-0671"/>
    <x v="0"/>
    <x v="0"/>
    <x v="0"/>
    <x v="0"/>
    <x v="3"/>
    <x v="0"/>
    <x v="0"/>
    <d v="2019-01-10T00:00:00"/>
    <x v="2"/>
    <d v="1899-12-30T16:42:00"/>
    <s v="Ewallet"/>
    <n v="7.6929999999999996"/>
    <n v="5.0999999999999996"/>
  </r>
  <r>
    <s v="152-08-9985"/>
    <x v="2"/>
    <x v="2"/>
    <x v="0"/>
    <x v="1"/>
    <x v="0"/>
    <x v="5"/>
    <x v="1"/>
    <d v="2019-03-12T00:00:00"/>
    <x v="0"/>
    <d v="1899-12-30T12:09:00"/>
    <s v="Credit card"/>
    <n v="28.962"/>
    <n v="8.6"/>
  </r>
  <r>
    <s v="512-91-0811"/>
    <x v="1"/>
    <x v="1"/>
    <x v="1"/>
    <x v="1"/>
    <x v="0"/>
    <x v="3"/>
    <x v="2"/>
    <d v="2019-02-06T00:00:00"/>
    <x v="2"/>
    <d v="1899-12-30T20:05:00"/>
    <s v="Credit card"/>
    <n v="4.4874999999999998"/>
    <n v="6.6"/>
  </r>
  <r>
    <s v="594-34-4444"/>
    <x v="0"/>
    <x v="0"/>
    <x v="1"/>
    <x v="1"/>
    <x v="1"/>
    <x v="1"/>
    <x v="1"/>
    <d v="2019-03-08T00:00:00"/>
    <x v="2"/>
    <d v="1899-12-30T20:38:00"/>
    <s v="Ewallet"/>
    <n v="4.8579999999999997"/>
    <n v="7.2"/>
  </r>
  <r>
    <s v="766-85-7061"/>
    <x v="2"/>
    <x v="2"/>
    <x v="1"/>
    <x v="1"/>
    <x v="0"/>
    <x v="3"/>
    <x v="1"/>
    <d v="2019-03-29T00:00:00"/>
    <x v="1"/>
    <d v="1899-12-30T10:25:00"/>
    <s v="Ewallet"/>
    <n v="43.935000000000002"/>
    <n v="5.0999999999999996"/>
  </r>
  <r>
    <s v="871-39-9221"/>
    <x v="1"/>
    <x v="1"/>
    <x v="1"/>
    <x v="0"/>
    <x v="1"/>
    <x v="6"/>
    <x v="2"/>
    <d v="2019-02-09T00:00:00"/>
    <x v="0"/>
    <d v="1899-12-30T13:11:00"/>
    <s v="Cash"/>
    <n v="3.7349999999999999"/>
    <n v="4.0999999999999996"/>
  </r>
  <r>
    <s v="865-92-6136"/>
    <x v="0"/>
    <x v="0"/>
    <x v="1"/>
    <x v="1"/>
    <x v="4"/>
    <x v="3"/>
    <x v="1"/>
    <d v="2019-03-23T00:00:00"/>
    <x v="1"/>
    <d v="1899-12-30T10:16:00"/>
    <s v="Ewallet"/>
    <n v="7.9124999999999996"/>
    <n v="9.3000000000000007"/>
  </r>
  <r>
    <s v="733-01-9107"/>
    <x v="2"/>
    <x v="2"/>
    <x v="1"/>
    <x v="1"/>
    <x v="2"/>
    <x v="1"/>
    <x v="1"/>
    <d v="2019-03-05T00:00:00"/>
    <x v="2"/>
    <d v="1899-12-30T18:14:00"/>
    <s v="Cash"/>
    <n v="24.81"/>
    <n v="7.4"/>
  </r>
  <r>
    <s v="163-56-7055"/>
    <x v="1"/>
    <x v="1"/>
    <x v="0"/>
    <x v="1"/>
    <x v="5"/>
    <x v="3"/>
    <x v="1"/>
    <d v="2019-03-26T00:00:00"/>
    <x v="2"/>
    <d v="1899-12-30T19:20:00"/>
    <s v="Cash"/>
    <n v="2.4355000000000002"/>
    <n v="4.0999999999999996"/>
  </r>
  <r>
    <s v="189-98-2939"/>
    <x v="1"/>
    <x v="1"/>
    <x v="1"/>
    <x v="1"/>
    <x v="5"/>
    <x v="0"/>
    <x v="1"/>
    <d v="2019-03-01T00:00:00"/>
    <x v="0"/>
    <d v="1899-12-30T13:22:00"/>
    <s v="Cash"/>
    <n v="35.347499999999997"/>
    <n v="7.2"/>
  </r>
  <r>
    <s v="551-21-3069"/>
    <x v="1"/>
    <x v="1"/>
    <x v="1"/>
    <x v="0"/>
    <x v="1"/>
    <x v="2"/>
    <x v="2"/>
    <d v="2019-02-01T00:00:00"/>
    <x v="1"/>
    <d v="1899-12-30T11:27:00"/>
    <s v="Cash"/>
    <n v="10.381500000000001"/>
    <n v="4.9000000000000004"/>
  </r>
  <r>
    <s v="212-62-1842"/>
    <x v="0"/>
    <x v="0"/>
    <x v="1"/>
    <x v="1"/>
    <x v="4"/>
    <x v="3"/>
    <x v="1"/>
    <d v="2019-03-28T00:00:00"/>
    <x v="2"/>
    <d v="1899-12-30T16:44:00"/>
    <s v="Cash"/>
    <n v="17.478000000000002"/>
    <n v="9.9"/>
  </r>
  <r>
    <s v="716-39-1409"/>
    <x v="2"/>
    <x v="2"/>
    <x v="1"/>
    <x v="1"/>
    <x v="0"/>
    <x v="2"/>
    <x v="1"/>
    <d v="2019-03-19T00:00:00"/>
    <x v="2"/>
    <d v="1899-12-30T18:19:00"/>
    <s v="Cash"/>
    <n v="10.6225"/>
    <n v="8"/>
  </r>
  <r>
    <s v="704-48-3927"/>
    <x v="0"/>
    <x v="0"/>
    <x v="0"/>
    <x v="1"/>
    <x v="1"/>
    <x v="1"/>
    <x v="0"/>
    <d v="2019-01-12T00:00:00"/>
    <x v="0"/>
    <d v="1899-12-30T14:50:00"/>
    <s v="Ewallet"/>
    <n v="44.335000000000001"/>
    <n v="7.3"/>
  </r>
  <r>
    <s v="628-34-3388"/>
    <x v="1"/>
    <x v="1"/>
    <x v="1"/>
    <x v="1"/>
    <x v="5"/>
    <x v="0"/>
    <x v="0"/>
    <d v="2019-01-05T00:00:00"/>
    <x v="2"/>
    <d v="1899-12-30T20:54:00"/>
    <s v="Credit card"/>
    <n v="8.2140000000000004"/>
    <n v="7.9"/>
  </r>
  <r>
    <s v="630-74-5166"/>
    <x v="0"/>
    <x v="0"/>
    <x v="1"/>
    <x v="1"/>
    <x v="3"/>
    <x v="2"/>
    <x v="1"/>
    <d v="2019-03-22T00:00:00"/>
    <x v="2"/>
    <d v="1899-12-30T20:19:00"/>
    <s v="Cash"/>
    <n v="18.638999999999999"/>
    <n v="7.4"/>
  </r>
  <r>
    <s v="588-01-7461"/>
    <x v="1"/>
    <x v="1"/>
    <x v="1"/>
    <x v="0"/>
    <x v="4"/>
    <x v="3"/>
    <x v="1"/>
    <d v="2019-03-24T00:00:00"/>
    <x v="1"/>
    <d v="1899-12-30T10:43:00"/>
    <s v="Cash"/>
    <n v="15.291"/>
    <n v="4.2"/>
  </r>
  <r>
    <s v="861-77-0145"/>
    <x v="1"/>
    <x v="1"/>
    <x v="0"/>
    <x v="1"/>
    <x v="1"/>
    <x v="1"/>
    <x v="1"/>
    <d v="2019-03-03T00:00:00"/>
    <x v="0"/>
    <d v="1899-12-30T14:30:00"/>
    <s v="Cash"/>
    <n v="40.984999999999999"/>
    <n v="9.1999999999999993"/>
  </r>
  <r>
    <s v="479-26-8945"/>
    <x v="2"/>
    <x v="2"/>
    <x v="0"/>
    <x v="0"/>
    <x v="3"/>
    <x v="3"/>
    <x v="2"/>
    <d v="2019-02-05T00:00:00"/>
    <x v="1"/>
    <d v="1899-12-30T11:32:00"/>
    <s v="Ewallet"/>
    <n v="1.649"/>
    <n v="4.5999999999999996"/>
  </r>
  <r>
    <s v="210-67-5886"/>
    <x v="1"/>
    <x v="1"/>
    <x v="0"/>
    <x v="0"/>
    <x v="0"/>
    <x v="3"/>
    <x v="2"/>
    <d v="2019-02-05T00:00:00"/>
    <x v="1"/>
    <d v="1899-12-30T10:41:00"/>
    <s v="Credit card"/>
    <n v="14.7315"/>
    <n v="7.8"/>
  </r>
  <r>
    <s v="227-78-1148"/>
    <x v="2"/>
    <x v="2"/>
    <x v="1"/>
    <x v="0"/>
    <x v="5"/>
    <x v="6"/>
    <x v="2"/>
    <d v="2019-02-15T00:00:00"/>
    <x v="0"/>
    <d v="1899-12-30T12:44:00"/>
    <s v="Cash"/>
    <n v="25.494"/>
    <n v="8.4"/>
  </r>
  <r>
    <s v="645-44-1170"/>
    <x v="0"/>
    <x v="0"/>
    <x v="0"/>
    <x v="1"/>
    <x v="2"/>
    <x v="5"/>
    <x v="0"/>
    <d v="2019-01-19T00:00:00"/>
    <x v="2"/>
    <d v="1899-12-30T20:07:00"/>
    <s v="Ewallet"/>
    <n v="26.131499999999999"/>
    <n v="4.3"/>
  </r>
  <r>
    <s v="237-01-6122"/>
    <x v="1"/>
    <x v="1"/>
    <x v="0"/>
    <x v="0"/>
    <x v="2"/>
    <x v="2"/>
    <x v="2"/>
    <d v="2019-02-01T00:00:00"/>
    <x v="2"/>
    <d v="1899-12-30T20:31:00"/>
    <s v="Credit card"/>
    <n v="36.355499999999999"/>
    <n v="9.5"/>
  </r>
  <r>
    <s v="225-98-1496"/>
    <x v="1"/>
    <x v="1"/>
    <x v="1"/>
    <x v="0"/>
    <x v="5"/>
    <x v="1"/>
    <x v="1"/>
    <d v="2019-03-02T00:00:00"/>
    <x v="0"/>
    <d v="1899-12-30T13:01:00"/>
    <s v="Credit card"/>
    <n v="4.0529999999999999"/>
    <n v="7.1"/>
  </r>
  <r>
    <s v="291-32-1427"/>
    <x v="2"/>
    <x v="2"/>
    <x v="0"/>
    <x v="1"/>
    <x v="5"/>
    <x v="1"/>
    <x v="1"/>
    <d v="2019-03-05T00:00:00"/>
    <x v="0"/>
    <d v="1899-12-30T12:29:00"/>
    <s v="Ewallet"/>
    <n v="5.4850000000000003"/>
    <n v="5.3"/>
  </r>
  <r>
    <s v="659-65-8956"/>
    <x v="2"/>
    <x v="2"/>
    <x v="0"/>
    <x v="1"/>
    <x v="5"/>
    <x v="1"/>
    <x v="0"/>
    <d v="2019-01-16T00:00:00"/>
    <x v="0"/>
    <d v="1899-12-30T15:26:00"/>
    <s v="Ewallet"/>
    <n v="2.5680000000000001"/>
    <n v="5.2"/>
  </r>
  <r>
    <s v="642-32-2990"/>
    <x v="0"/>
    <x v="0"/>
    <x v="1"/>
    <x v="0"/>
    <x v="4"/>
    <x v="3"/>
    <x v="2"/>
    <d v="2019-02-02T00:00:00"/>
    <x v="2"/>
    <d v="1899-12-30T20:48:00"/>
    <s v="Ewallet"/>
    <n v="5.48"/>
    <n v="6"/>
  </r>
  <r>
    <s v="378-24-2715"/>
    <x v="2"/>
    <x v="2"/>
    <x v="1"/>
    <x v="1"/>
    <x v="2"/>
    <x v="5"/>
    <x v="0"/>
    <d v="2019-01-20T00:00:00"/>
    <x v="2"/>
    <d v="1899-12-30T20:38:00"/>
    <s v="Ewallet"/>
    <n v="5.3440000000000003"/>
    <n v="4.0999999999999996"/>
  </r>
  <r>
    <s v="638-60-7125"/>
    <x v="0"/>
    <x v="0"/>
    <x v="1"/>
    <x v="0"/>
    <x v="1"/>
    <x v="6"/>
    <x v="2"/>
    <d v="2019-02-14T00:00:00"/>
    <x v="2"/>
    <d v="1899-12-30T17:03:00"/>
    <s v="Credit card"/>
    <n v="39.823999999999998"/>
    <n v="5.2"/>
  </r>
  <r>
    <s v="659-36-1684"/>
    <x v="1"/>
    <x v="1"/>
    <x v="0"/>
    <x v="1"/>
    <x v="3"/>
    <x v="1"/>
    <x v="0"/>
    <d v="2019-01-12T00:00:00"/>
    <x v="0"/>
    <d v="1899-12-30T12:02:00"/>
    <s v="Credit card"/>
    <n v="19.992000000000001"/>
    <n v="6.5"/>
  </r>
  <r>
    <s v="219-22-9386"/>
    <x v="2"/>
    <x v="2"/>
    <x v="0"/>
    <x v="1"/>
    <x v="3"/>
    <x v="5"/>
    <x v="1"/>
    <d v="2019-03-09T00:00:00"/>
    <x v="2"/>
    <d v="1899-12-30T17:26:00"/>
    <s v="Credit card"/>
    <n v="44.981999999999999"/>
    <n v="4.2"/>
  </r>
  <r>
    <s v="336-78-2147"/>
    <x v="1"/>
    <x v="1"/>
    <x v="0"/>
    <x v="1"/>
    <x v="2"/>
    <x v="5"/>
    <x v="1"/>
    <d v="2019-03-13T00:00:00"/>
    <x v="2"/>
    <d v="1899-12-30T19:52:00"/>
    <s v="Credit card"/>
    <n v="25.564"/>
    <n v="4.5999999999999996"/>
  </r>
  <r>
    <s v="268-27-6179"/>
    <x v="2"/>
    <x v="2"/>
    <x v="0"/>
    <x v="0"/>
    <x v="5"/>
    <x v="5"/>
    <x v="1"/>
    <d v="2019-03-09T00:00:00"/>
    <x v="0"/>
    <d v="1899-12-30T14:57:00"/>
    <s v="Ewallet"/>
    <n v="22.588000000000001"/>
    <n v="7.3"/>
  </r>
  <r>
    <s v="668-90-8900"/>
    <x v="0"/>
    <x v="0"/>
    <x v="1"/>
    <x v="0"/>
    <x v="2"/>
    <x v="5"/>
    <x v="1"/>
    <d v="2019-03-10T00:00:00"/>
    <x v="2"/>
    <d v="1899-12-30T18:44:00"/>
    <s v="Credit card"/>
    <n v="32.791499999999999"/>
    <n v="4.5"/>
  </r>
  <r>
    <s v="870-54-3162"/>
    <x v="0"/>
    <x v="0"/>
    <x v="1"/>
    <x v="0"/>
    <x v="3"/>
    <x v="2"/>
    <x v="0"/>
    <d v="2019-01-27T00:00:00"/>
    <x v="0"/>
    <d v="1899-12-30T13:26:00"/>
    <s v="Cash"/>
    <n v="8.0625"/>
    <n v="9"/>
  </r>
  <r>
    <s v="189-08-9157"/>
    <x v="1"/>
    <x v="1"/>
    <x v="1"/>
    <x v="0"/>
    <x v="5"/>
    <x v="0"/>
    <x v="0"/>
    <d v="2019-01-08T00:00:00"/>
    <x v="2"/>
    <d v="1899-12-30T16:17:00"/>
    <s v="Credit card"/>
    <n v="14.278499999999999"/>
    <n v="5.9"/>
  </r>
  <r>
    <s v="663-86-9076"/>
    <x v="1"/>
    <x v="1"/>
    <x v="0"/>
    <x v="0"/>
    <x v="4"/>
    <x v="0"/>
    <x v="0"/>
    <d v="2019-01-08T00:00:00"/>
    <x v="0"/>
    <d v="1899-12-30T15:57:00"/>
    <s v="Ewallet"/>
    <n v="27.416"/>
    <n v="8.5"/>
  </r>
  <r>
    <s v="549-84-7482"/>
    <x v="2"/>
    <x v="2"/>
    <x v="1"/>
    <x v="0"/>
    <x v="3"/>
    <x v="3"/>
    <x v="2"/>
    <d v="2019-02-08T00:00:00"/>
    <x v="1"/>
    <d v="1899-12-30T11:15:00"/>
    <s v="Ewallet"/>
    <n v="40.625999999999998"/>
    <n v="7.2"/>
  </r>
  <r>
    <s v="191-10-6171"/>
    <x v="2"/>
    <x v="2"/>
    <x v="1"/>
    <x v="0"/>
    <x v="5"/>
    <x v="5"/>
    <x v="0"/>
    <d v="2019-01-25T00:00:00"/>
    <x v="0"/>
    <d v="1899-12-30T13:18:00"/>
    <s v="Cash"/>
    <n v="13.867000000000001"/>
    <n v="7.5"/>
  </r>
  <r>
    <s v="802-70-5316"/>
    <x v="0"/>
    <x v="0"/>
    <x v="0"/>
    <x v="0"/>
    <x v="3"/>
    <x v="1"/>
    <x v="1"/>
    <d v="2019-03-06T00:00:00"/>
    <x v="2"/>
    <d v="1899-12-30T20:34:00"/>
    <s v="Cash"/>
    <n v="27.638999999999999"/>
    <n v="8.3000000000000007"/>
  </r>
  <r>
    <s v="695-51-0018"/>
    <x v="2"/>
    <x v="2"/>
    <x v="1"/>
    <x v="0"/>
    <x v="3"/>
    <x v="6"/>
    <x v="2"/>
    <d v="2019-02-10T00:00:00"/>
    <x v="2"/>
    <d v="1899-12-30T18:36:00"/>
    <s v="Cash"/>
    <n v="6.968"/>
    <n v="7.4"/>
  </r>
  <r>
    <s v="590-83-4591"/>
    <x v="2"/>
    <x v="2"/>
    <x v="0"/>
    <x v="1"/>
    <x v="1"/>
    <x v="4"/>
    <x v="2"/>
    <d v="2019-02-17T00:00:00"/>
    <x v="0"/>
    <d v="1899-12-30T14:40:00"/>
    <s v="Credit card"/>
    <n v="26.234999999999999"/>
    <n v="8.8000000000000007"/>
  </r>
  <r>
    <s v="483-71-1164"/>
    <x v="1"/>
    <x v="1"/>
    <x v="1"/>
    <x v="0"/>
    <x v="0"/>
    <x v="1"/>
    <x v="1"/>
    <d v="2019-03-08T00:00:00"/>
    <x v="2"/>
    <d v="1899-12-30T16:43:00"/>
    <s v="Ewallet"/>
    <n v="24.39"/>
    <n v="5.3"/>
  </r>
  <r>
    <s v="597-78-7908"/>
    <x v="1"/>
    <x v="1"/>
    <x v="1"/>
    <x v="1"/>
    <x v="5"/>
    <x v="4"/>
    <x v="2"/>
    <d v="2019-02-18T00:00:00"/>
    <x v="2"/>
    <d v="1899-12-30T19:39:00"/>
    <s v="Cash"/>
    <n v="13.532999999999999"/>
    <n v="6.2"/>
  </r>
  <r>
    <s v="700-81-1757"/>
    <x v="0"/>
    <x v="0"/>
    <x v="1"/>
    <x v="0"/>
    <x v="1"/>
    <x v="1"/>
    <x v="0"/>
    <d v="2019-01-18T00:00:00"/>
    <x v="2"/>
    <d v="1899-12-30T20:59:00"/>
    <s v="Credit card"/>
    <n v="6.5774999999999997"/>
    <n v="8.8000000000000007"/>
  </r>
  <r>
    <s v="354-39-5160"/>
    <x v="0"/>
    <x v="0"/>
    <x v="0"/>
    <x v="0"/>
    <x v="2"/>
    <x v="4"/>
    <x v="2"/>
    <d v="2019-02-18T00:00:00"/>
    <x v="0"/>
    <d v="1899-12-30T15:39:00"/>
    <s v="Cash"/>
    <n v="10.326000000000001"/>
    <n v="9.8000000000000007"/>
  </r>
  <r>
    <s v="241-72-9525"/>
    <x v="2"/>
    <x v="2"/>
    <x v="1"/>
    <x v="1"/>
    <x v="3"/>
    <x v="4"/>
    <x v="2"/>
    <d v="2019-02-16T00:00:00"/>
    <x v="0"/>
    <d v="1899-12-30T12:21:00"/>
    <s v="Cash"/>
    <n v="25.954999999999998"/>
    <n v="8.1999999999999993"/>
  </r>
  <r>
    <s v="575-30-8091"/>
    <x v="0"/>
    <x v="0"/>
    <x v="1"/>
    <x v="1"/>
    <x v="3"/>
    <x v="2"/>
    <x v="1"/>
    <d v="2019-03-16T00:00:00"/>
    <x v="2"/>
    <d v="1899-12-30T19:25:00"/>
    <s v="Ewallet"/>
    <n v="29"/>
    <n v="9.1999999999999993"/>
  </r>
  <r>
    <s v="731-81-9469"/>
    <x v="1"/>
    <x v="1"/>
    <x v="0"/>
    <x v="0"/>
    <x v="3"/>
    <x v="5"/>
    <x v="0"/>
    <d v="2019-01-23T00:00:00"/>
    <x v="0"/>
    <d v="1899-12-30T13:00:00"/>
    <s v="Credit card"/>
    <n v="44.9"/>
    <n v="5.4"/>
  </r>
  <r>
    <s v="280-17-4359"/>
    <x v="1"/>
    <x v="1"/>
    <x v="0"/>
    <x v="1"/>
    <x v="0"/>
    <x v="5"/>
    <x v="0"/>
    <d v="2019-01-25T00:00:00"/>
    <x v="0"/>
    <d v="1899-12-30T13:48:00"/>
    <s v="Cash"/>
    <n v="45.25"/>
    <n v="8.1"/>
  </r>
  <r>
    <s v="338-65-2210"/>
    <x v="1"/>
    <x v="1"/>
    <x v="0"/>
    <x v="0"/>
    <x v="0"/>
    <x v="3"/>
    <x v="2"/>
    <d v="2019-02-05T00:00:00"/>
    <x v="2"/>
    <d v="1899-12-30T19:57:00"/>
    <s v="Cash"/>
    <n v="34.299999999999997"/>
    <n v="9.1"/>
  </r>
  <r>
    <s v="488-25-4221"/>
    <x v="1"/>
    <x v="1"/>
    <x v="0"/>
    <x v="0"/>
    <x v="4"/>
    <x v="4"/>
    <x v="2"/>
    <d v="2019-02-22T00:00:00"/>
    <x v="1"/>
    <d v="1899-12-30T10:36:00"/>
    <s v="Credit card"/>
    <n v="1.5205"/>
    <n v="8.4"/>
  </r>
  <r>
    <s v="239-10-7476"/>
    <x v="0"/>
    <x v="0"/>
    <x v="1"/>
    <x v="0"/>
    <x v="2"/>
    <x v="5"/>
    <x v="0"/>
    <d v="2019-01-21T00:00:00"/>
    <x v="2"/>
    <d v="1899-12-30T16:37:00"/>
    <s v="Ewallet"/>
    <n v="23.385000000000002"/>
    <n v="8"/>
  </r>
  <r>
    <s v="458-41-1477"/>
    <x v="1"/>
    <x v="1"/>
    <x v="1"/>
    <x v="0"/>
    <x v="0"/>
    <x v="1"/>
    <x v="1"/>
    <d v="2019-03-08T00:00:00"/>
    <x v="2"/>
    <d v="1899-12-30T17:11:00"/>
    <s v="Credit card"/>
    <n v="13.878"/>
    <n v="9.5"/>
  </r>
  <r>
    <s v="685-64-1609"/>
    <x v="0"/>
    <x v="0"/>
    <x v="0"/>
    <x v="0"/>
    <x v="5"/>
    <x v="6"/>
    <x v="2"/>
    <d v="2019-02-10T00:00:00"/>
    <x v="0"/>
    <d v="1899-12-30T12:28:00"/>
    <s v="Ewallet"/>
    <n v="15.07"/>
    <n v="9.1999999999999993"/>
  </r>
  <r>
    <s v="568-90-5112"/>
    <x v="1"/>
    <x v="1"/>
    <x v="1"/>
    <x v="1"/>
    <x v="0"/>
    <x v="2"/>
    <x v="1"/>
    <d v="2019-03-19T00:00:00"/>
    <x v="0"/>
    <d v="1899-12-30T12:46:00"/>
    <s v="Credit card"/>
    <n v="13.228"/>
    <n v="5.6"/>
  </r>
  <r>
    <s v="262-47-2794"/>
    <x v="2"/>
    <x v="2"/>
    <x v="0"/>
    <x v="1"/>
    <x v="2"/>
    <x v="1"/>
    <x v="1"/>
    <d v="2019-03-06T00:00:00"/>
    <x v="0"/>
    <d v="1899-12-30T15:07:00"/>
    <s v="Credit card"/>
    <n v="28.744"/>
    <n v="6.2"/>
  </r>
  <r>
    <s v="238-49-0436"/>
    <x v="0"/>
    <x v="0"/>
    <x v="1"/>
    <x v="1"/>
    <x v="0"/>
    <x v="3"/>
    <x v="1"/>
    <d v="2019-03-27T00:00:00"/>
    <x v="0"/>
    <d v="1899-12-30T13:48:00"/>
    <s v="Credit card"/>
    <n v="12.984"/>
    <n v="4.9000000000000004"/>
  </r>
  <r>
    <s v="608-96-3517"/>
    <x v="2"/>
    <x v="2"/>
    <x v="0"/>
    <x v="0"/>
    <x v="5"/>
    <x v="3"/>
    <x v="1"/>
    <d v="2019-03-23T00:00:00"/>
    <x v="2"/>
    <d v="1899-12-30T19:20:00"/>
    <s v="Credit card"/>
    <n v="18.308"/>
    <n v="4.8"/>
  </r>
  <r>
    <s v="584-86-7256"/>
    <x v="1"/>
    <x v="1"/>
    <x v="0"/>
    <x v="1"/>
    <x v="3"/>
    <x v="5"/>
    <x v="1"/>
    <d v="2019-03-11T00:00:00"/>
    <x v="2"/>
    <d v="1899-12-30T16:07:00"/>
    <s v="Credit card"/>
    <n v="12.096"/>
    <n v="7.3"/>
  </r>
  <r>
    <s v="746-94-0204"/>
    <x v="0"/>
    <x v="0"/>
    <x v="1"/>
    <x v="1"/>
    <x v="5"/>
    <x v="2"/>
    <x v="0"/>
    <d v="2019-01-29T00:00:00"/>
    <x v="1"/>
    <d v="1899-12-30T11:56:00"/>
    <s v="Credit card"/>
    <n v="37.457999999999998"/>
    <n v="7.4"/>
  </r>
  <r>
    <s v="214-17-6927"/>
    <x v="1"/>
    <x v="1"/>
    <x v="1"/>
    <x v="0"/>
    <x v="4"/>
    <x v="3"/>
    <x v="2"/>
    <d v="2019-02-07T00:00:00"/>
    <x v="2"/>
    <d v="1899-12-30T18:23:00"/>
    <s v="Ewallet"/>
    <n v="4.944"/>
    <n v="9.9"/>
  </r>
  <r>
    <s v="400-89-4171"/>
    <x v="1"/>
    <x v="1"/>
    <x v="1"/>
    <x v="0"/>
    <x v="3"/>
    <x v="2"/>
    <x v="0"/>
    <d v="2019-01-28T00:00:00"/>
    <x v="0"/>
    <d v="1899-12-30T13:05:00"/>
    <s v="Cash"/>
    <n v="32.387999999999998"/>
    <n v="9.3000000000000007"/>
  </r>
  <r>
    <s v="782-95-9291"/>
    <x v="0"/>
    <x v="0"/>
    <x v="0"/>
    <x v="1"/>
    <x v="4"/>
    <x v="4"/>
    <x v="2"/>
    <d v="2019-02-20T00:00:00"/>
    <x v="0"/>
    <d v="1899-12-30T15:55:00"/>
    <s v="Credit card"/>
    <n v="23.072500000000002"/>
    <n v="9"/>
  </r>
  <r>
    <s v="279-74-2924"/>
    <x v="2"/>
    <x v="2"/>
    <x v="0"/>
    <x v="1"/>
    <x v="1"/>
    <x v="4"/>
    <x v="0"/>
    <d v="2019-01-04T00:00:00"/>
    <x v="2"/>
    <d v="1899-12-30T19:40:00"/>
    <s v="Cash"/>
    <n v="3.6084999999999998"/>
    <n v="6.1"/>
  </r>
  <r>
    <s v="307-85-2293"/>
    <x v="2"/>
    <x v="2"/>
    <x v="1"/>
    <x v="1"/>
    <x v="2"/>
    <x v="1"/>
    <x v="1"/>
    <d v="2019-03-07T00:00:00"/>
    <x v="0"/>
    <d v="1899-12-30T13:58:00"/>
    <s v="Ewallet"/>
    <n v="12.57"/>
    <n v="9.6999999999999993"/>
  </r>
  <r>
    <s v="743-04-1105"/>
    <x v="2"/>
    <x v="2"/>
    <x v="0"/>
    <x v="1"/>
    <x v="0"/>
    <x v="6"/>
    <x v="1"/>
    <d v="2019-03-30T00:00:00"/>
    <x v="0"/>
    <d v="1899-12-30T14:43:00"/>
    <s v="Ewallet"/>
    <n v="43.749000000000002"/>
    <n v="6"/>
  </r>
  <r>
    <s v="423-57-2993"/>
    <x v="2"/>
    <x v="2"/>
    <x v="1"/>
    <x v="1"/>
    <x v="3"/>
    <x v="3"/>
    <x v="1"/>
    <d v="2019-03-27T00:00:00"/>
    <x v="2"/>
    <d v="1899-12-30T19:18:00"/>
    <s v="Ewallet"/>
    <n v="28.016999999999999"/>
    <n v="10"/>
  </r>
  <r>
    <s v="894-41-5205"/>
    <x v="1"/>
    <x v="1"/>
    <x v="1"/>
    <x v="0"/>
    <x v="4"/>
    <x v="5"/>
    <x v="0"/>
    <d v="2019-01-19T00:00:00"/>
    <x v="2"/>
    <d v="1899-12-30T19:39:00"/>
    <s v="Credit card"/>
    <n v="17.271999999999998"/>
    <n v="8.3000000000000007"/>
  </r>
  <r>
    <s v="275-28-0149"/>
    <x v="0"/>
    <x v="0"/>
    <x v="1"/>
    <x v="1"/>
    <x v="3"/>
    <x v="0"/>
    <x v="2"/>
    <d v="2019-02-25T00:00:00"/>
    <x v="2"/>
    <d v="1899-12-30T16:21:00"/>
    <s v="Cash"/>
    <n v="3.1844999999999999"/>
    <n v="6"/>
  </r>
  <r>
    <s v="101-17-6199"/>
    <x v="0"/>
    <x v="0"/>
    <x v="1"/>
    <x v="1"/>
    <x v="4"/>
    <x v="5"/>
    <x v="1"/>
    <d v="2019-03-13T00:00:00"/>
    <x v="2"/>
    <d v="1899-12-30T19:44:00"/>
    <s v="Credit card"/>
    <n v="16.026499999999999"/>
    <n v="7"/>
  </r>
  <r>
    <s v="423-80-0988"/>
    <x v="1"/>
    <x v="1"/>
    <x v="1"/>
    <x v="1"/>
    <x v="3"/>
    <x v="2"/>
    <x v="0"/>
    <d v="2019-01-30T00:00:00"/>
    <x v="2"/>
    <d v="1899-12-30T19:42:00"/>
    <s v="Ewallet"/>
    <n v="7.64"/>
    <n v="6.5"/>
  </r>
  <r>
    <s v="548-46-9322"/>
    <x v="2"/>
    <x v="2"/>
    <x v="1"/>
    <x v="1"/>
    <x v="4"/>
    <x v="4"/>
    <x v="2"/>
    <d v="2019-02-20T00:00:00"/>
    <x v="0"/>
    <d v="1899-12-30T15:24:00"/>
    <s v="Credit card"/>
    <n v="19.95"/>
    <n v="5.9"/>
  </r>
  <r>
    <s v="505-02-0892"/>
    <x v="2"/>
    <x v="2"/>
    <x v="0"/>
    <x v="1"/>
    <x v="0"/>
    <x v="0"/>
    <x v="2"/>
    <d v="2019-02-25T00:00:00"/>
    <x v="0"/>
    <d v="1899-12-30T14:12:00"/>
    <s v="Ewallet"/>
    <n v="17.027999999999999"/>
    <n v="5.6"/>
  </r>
  <r>
    <s v="234-65-2137"/>
    <x v="1"/>
    <x v="1"/>
    <x v="1"/>
    <x v="1"/>
    <x v="2"/>
    <x v="1"/>
    <x v="0"/>
    <d v="2019-01-16T00:00:00"/>
    <x v="0"/>
    <d v="1899-12-30T13:32:00"/>
    <s v="Cash"/>
    <n v="47.79"/>
    <n v="4.8"/>
  </r>
  <r>
    <s v="687-47-8271"/>
    <x v="0"/>
    <x v="0"/>
    <x v="1"/>
    <x v="1"/>
    <x v="5"/>
    <x v="3"/>
    <x v="2"/>
    <d v="2019-02-08T00:00:00"/>
    <x v="2"/>
    <d v="1899-12-30T16:20:00"/>
    <s v="Credit card"/>
    <n v="49.49"/>
    <n v="8.6999999999999993"/>
  </r>
  <r>
    <s v="796-32-9050"/>
    <x v="0"/>
    <x v="0"/>
    <x v="1"/>
    <x v="1"/>
    <x v="4"/>
    <x v="5"/>
    <x v="0"/>
    <d v="2019-01-19T00:00:00"/>
    <x v="2"/>
    <d v="1899-12-30T16:31:00"/>
    <s v="Cash"/>
    <n v="15.384"/>
    <n v="6.5"/>
  </r>
  <r>
    <s v="105-31-1824"/>
    <x v="0"/>
    <x v="0"/>
    <x v="0"/>
    <x v="1"/>
    <x v="3"/>
    <x v="2"/>
    <x v="2"/>
    <d v="2019-02-01T00:00:00"/>
    <x v="0"/>
    <d v="1899-12-30T15:10:00"/>
    <s v="Credit card"/>
    <n v="24.332000000000001"/>
    <n v="8.5"/>
  </r>
  <r>
    <s v="249-42-3782"/>
    <x v="0"/>
    <x v="0"/>
    <x v="1"/>
    <x v="1"/>
    <x v="0"/>
    <x v="4"/>
    <x v="0"/>
    <d v="2019-01-03T00:00:00"/>
    <x v="1"/>
    <d v="1899-12-30T11:36:00"/>
    <s v="Ewallet"/>
    <n v="17.502500000000001"/>
    <n v="5.5"/>
  </r>
  <r>
    <s v="316-55-4634"/>
    <x v="2"/>
    <x v="2"/>
    <x v="0"/>
    <x v="1"/>
    <x v="4"/>
    <x v="2"/>
    <x v="0"/>
    <d v="2019-01-26T00:00:00"/>
    <x v="0"/>
    <d v="1899-12-30T12:45:00"/>
    <s v="Credit card"/>
    <n v="20.012499999999999"/>
    <n v="9.4"/>
  </r>
  <r>
    <s v="733-33-4967"/>
    <x v="1"/>
    <x v="1"/>
    <x v="1"/>
    <x v="1"/>
    <x v="1"/>
    <x v="1"/>
    <x v="1"/>
    <d v="2019-03-03T00:00:00"/>
    <x v="2"/>
    <d v="1899-12-30T19:17:00"/>
    <s v="Cash"/>
    <n v="8.34"/>
    <n v="6.3"/>
  </r>
  <r>
    <s v="608-27-6295"/>
    <x v="2"/>
    <x v="2"/>
    <x v="0"/>
    <x v="1"/>
    <x v="1"/>
    <x v="5"/>
    <x v="0"/>
    <d v="2019-01-19T00:00:00"/>
    <x v="2"/>
    <d v="1899-12-30T17:34:00"/>
    <s v="Credit card"/>
    <n v="15.867000000000001"/>
    <n v="9.8000000000000007"/>
  </r>
  <r>
    <s v="414-12-7047"/>
    <x v="2"/>
    <x v="2"/>
    <x v="1"/>
    <x v="1"/>
    <x v="4"/>
    <x v="1"/>
    <x v="0"/>
    <d v="2019-01-18T00:00:00"/>
    <x v="0"/>
    <d v="1899-12-30T12:04:00"/>
    <s v="Ewallet"/>
    <n v="7.9160000000000004"/>
    <n v="8.6999999999999993"/>
  </r>
  <r>
    <s v="827-26-2100"/>
    <x v="0"/>
    <x v="0"/>
    <x v="0"/>
    <x v="1"/>
    <x v="2"/>
    <x v="2"/>
    <x v="1"/>
    <d v="2019-03-21T00:00:00"/>
    <x v="2"/>
    <d v="1899-12-30T16:21:00"/>
    <s v="Ewallet"/>
    <n v="15.228"/>
    <n v="8.8000000000000007"/>
  </r>
  <r>
    <s v="175-54-2529"/>
    <x v="0"/>
    <x v="0"/>
    <x v="0"/>
    <x v="1"/>
    <x v="4"/>
    <x v="1"/>
    <x v="1"/>
    <d v="2019-03-03T00:00:00"/>
    <x v="2"/>
    <d v="1899-12-30T17:01:00"/>
    <s v="Credit card"/>
    <n v="8.8680000000000003"/>
    <n v="9.6"/>
  </r>
  <r>
    <s v="139-52-2867"/>
    <x v="1"/>
    <x v="1"/>
    <x v="1"/>
    <x v="0"/>
    <x v="5"/>
    <x v="6"/>
    <x v="2"/>
    <d v="2019-02-13T00:00:00"/>
    <x v="1"/>
    <d v="1899-12-30T10:50:00"/>
    <s v="Credit card"/>
    <n v="7.8784999999999998"/>
    <n v="4.8"/>
  </r>
  <r>
    <s v="407-63-8975"/>
    <x v="0"/>
    <x v="0"/>
    <x v="1"/>
    <x v="1"/>
    <x v="4"/>
    <x v="3"/>
    <x v="1"/>
    <d v="2019-03-23T00:00:00"/>
    <x v="2"/>
    <d v="1899-12-30T19:16:00"/>
    <s v="Ewallet"/>
    <n v="22.164000000000001"/>
    <n v="4.4000000000000004"/>
  </r>
  <r>
    <s v="342-65-4817"/>
    <x v="1"/>
    <x v="1"/>
    <x v="0"/>
    <x v="1"/>
    <x v="0"/>
    <x v="2"/>
    <x v="0"/>
    <d v="2019-01-28T00:00:00"/>
    <x v="2"/>
    <d v="1899-12-30T16:47:00"/>
    <s v="Ewallet"/>
    <n v="13.02"/>
    <n v="9.9"/>
  </r>
  <r>
    <s v="130-98-8941"/>
    <x v="1"/>
    <x v="1"/>
    <x v="1"/>
    <x v="1"/>
    <x v="5"/>
    <x v="6"/>
    <x v="2"/>
    <d v="2019-02-09T00:00:00"/>
    <x v="1"/>
    <d v="1899-12-30T10:00:00"/>
    <s v="Cash"/>
    <n v="22.491"/>
    <n v="5.7"/>
  </r>
  <r>
    <s v="434-83-9547"/>
    <x v="1"/>
    <x v="1"/>
    <x v="0"/>
    <x v="1"/>
    <x v="4"/>
    <x v="5"/>
    <x v="0"/>
    <d v="2019-01-23T00:00:00"/>
    <x v="1"/>
    <d v="1899-12-30T11:51:00"/>
    <s v="Cash"/>
    <n v="15.388"/>
    <n v="7.7"/>
  </r>
  <r>
    <s v="851-28-6367"/>
    <x v="0"/>
    <x v="0"/>
    <x v="0"/>
    <x v="1"/>
    <x v="3"/>
    <x v="3"/>
    <x v="1"/>
    <d v="2019-03-23T00:00:00"/>
    <x v="1"/>
    <d v="1899-12-30T10:55:00"/>
    <s v="Ewallet"/>
    <n v="7.75"/>
    <n v="8"/>
  </r>
  <r>
    <s v="824-88-3614"/>
    <x v="1"/>
    <x v="1"/>
    <x v="1"/>
    <x v="1"/>
    <x v="0"/>
    <x v="5"/>
    <x v="0"/>
    <d v="2019-01-25T00:00:00"/>
    <x v="0"/>
    <d v="1899-12-30T15:00:00"/>
    <s v="Ewallet"/>
    <n v="13.724"/>
    <n v="5.7"/>
  </r>
  <r>
    <s v="586-25-0848"/>
    <x v="0"/>
    <x v="0"/>
    <x v="1"/>
    <x v="0"/>
    <x v="3"/>
    <x v="1"/>
    <x v="1"/>
    <d v="2019-03-04T00:00:00"/>
    <x v="1"/>
    <d v="1899-12-30T11:19:00"/>
    <s v="Credit card"/>
    <n v="4.319"/>
    <n v="6.7"/>
  </r>
  <r>
    <s v="895-66-0685"/>
    <x v="2"/>
    <x v="2"/>
    <x v="0"/>
    <x v="1"/>
    <x v="4"/>
    <x v="1"/>
    <x v="1"/>
    <d v="2019-03-05T00:00:00"/>
    <x v="2"/>
    <d v="1899-12-30T19:46:00"/>
    <s v="Ewallet"/>
    <n v="2.7120000000000002"/>
    <n v="8"/>
  </r>
  <r>
    <s v="305-14-0245"/>
    <x v="2"/>
    <x v="2"/>
    <x v="0"/>
    <x v="0"/>
    <x v="2"/>
    <x v="1"/>
    <x v="1"/>
    <d v="2019-03-03T00:00:00"/>
    <x v="2"/>
    <d v="1899-12-30T19:00:00"/>
    <s v="Ewallet"/>
    <n v="37.795999999999999"/>
    <n v="7.5"/>
  </r>
  <r>
    <s v="732-04-5373"/>
    <x v="2"/>
    <x v="2"/>
    <x v="0"/>
    <x v="1"/>
    <x v="2"/>
    <x v="3"/>
    <x v="2"/>
    <d v="2019-02-08T00:00:00"/>
    <x v="1"/>
    <d v="1899-12-30T10:53:00"/>
    <s v="Cash"/>
    <n v="9.2940000000000005"/>
    <n v="7"/>
  </r>
  <r>
    <s v="400-60-7251"/>
    <x v="0"/>
    <x v="0"/>
    <x v="1"/>
    <x v="1"/>
    <x v="2"/>
    <x v="6"/>
    <x v="2"/>
    <d v="2019-02-10T00:00:00"/>
    <x v="0"/>
    <d v="1899-12-30T12:50:00"/>
    <s v="Ewallet"/>
    <n v="3.7035"/>
    <n v="9.9"/>
  </r>
  <r>
    <s v="593-65-1552"/>
    <x v="1"/>
    <x v="1"/>
    <x v="1"/>
    <x v="0"/>
    <x v="2"/>
    <x v="2"/>
    <x v="0"/>
    <d v="2019-01-28T00:00:00"/>
    <x v="2"/>
    <d v="1899-12-30T20:50:00"/>
    <s v="Credit card"/>
    <n v="13.962"/>
    <n v="5.9"/>
  </r>
  <r>
    <s v="284-34-9626"/>
    <x v="2"/>
    <x v="2"/>
    <x v="1"/>
    <x v="0"/>
    <x v="2"/>
    <x v="6"/>
    <x v="2"/>
    <d v="2019-02-11T00:00:00"/>
    <x v="1"/>
    <d v="1899-12-30T10:39:00"/>
    <s v="Credit card"/>
    <n v="11.555999999999999"/>
    <n v="7.2"/>
  </r>
  <r>
    <s v="437-58-8131"/>
    <x v="2"/>
    <x v="2"/>
    <x v="1"/>
    <x v="0"/>
    <x v="5"/>
    <x v="1"/>
    <x v="0"/>
    <d v="2019-01-15T00:00:00"/>
    <x v="0"/>
    <d v="1899-12-30T13:41:00"/>
    <s v="Ewallet"/>
    <n v="7.3520000000000003"/>
    <n v="4.5999999999999996"/>
  </r>
  <r>
    <s v="286-43-6208"/>
    <x v="1"/>
    <x v="1"/>
    <x v="1"/>
    <x v="0"/>
    <x v="4"/>
    <x v="2"/>
    <x v="1"/>
    <d v="2019-03-16T00:00:00"/>
    <x v="2"/>
    <d v="1899-12-30T19:08:00"/>
    <s v="Cash"/>
    <n v="39.51"/>
    <n v="9.1999999999999993"/>
  </r>
  <r>
    <s v="641-43-2399"/>
    <x v="2"/>
    <x v="2"/>
    <x v="1"/>
    <x v="1"/>
    <x v="2"/>
    <x v="2"/>
    <x v="0"/>
    <d v="2019-01-26T00:00:00"/>
    <x v="2"/>
    <d v="1899-12-30T20:23:00"/>
    <s v="Ewallet"/>
    <n v="5.1100000000000003"/>
    <n v="5.7"/>
  </r>
  <r>
    <s v="831-07-6050"/>
    <x v="0"/>
    <x v="0"/>
    <x v="1"/>
    <x v="1"/>
    <x v="1"/>
    <x v="2"/>
    <x v="1"/>
    <d v="2019-03-19T00:00:00"/>
    <x v="1"/>
    <d v="1899-12-30T11:30:00"/>
    <s v="Credit card"/>
    <n v="8.1775000000000002"/>
    <n v="9.9"/>
  </r>
  <r>
    <s v="556-86-3144"/>
    <x v="1"/>
    <x v="1"/>
    <x v="0"/>
    <x v="0"/>
    <x v="5"/>
    <x v="1"/>
    <x v="0"/>
    <d v="2019-01-13T00:00:00"/>
    <x v="2"/>
    <d v="1899-12-30T19:30:00"/>
    <s v="Cash"/>
    <n v="3.7145000000000001"/>
    <n v="5"/>
  </r>
  <r>
    <s v="848-24-9445"/>
    <x v="1"/>
    <x v="1"/>
    <x v="0"/>
    <x v="1"/>
    <x v="0"/>
    <x v="3"/>
    <x v="1"/>
    <d v="2019-03-26T00:00:00"/>
    <x v="2"/>
    <d v="1899-12-30T18:03:00"/>
    <s v="Cash"/>
    <n v="4.37"/>
    <n v="4.9000000000000004"/>
  </r>
  <r>
    <s v="856-22-8149"/>
    <x v="0"/>
    <x v="0"/>
    <x v="1"/>
    <x v="0"/>
    <x v="2"/>
    <x v="3"/>
    <x v="1"/>
    <d v="2019-03-23T00:00:00"/>
    <x v="1"/>
    <d v="1899-12-30T10:13:00"/>
    <s v="Ewallet"/>
    <n v="1.2645"/>
    <n v="6.1"/>
  </r>
  <r>
    <s v="699-01-4164"/>
    <x v="1"/>
    <x v="1"/>
    <x v="1"/>
    <x v="1"/>
    <x v="0"/>
    <x v="5"/>
    <x v="1"/>
    <d v="2019-03-12T00:00:00"/>
    <x v="2"/>
    <d v="1899-12-30T19:58:00"/>
    <s v="Credit card"/>
    <n v="8.3000000000000007"/>
    <n v="8.1999999999999993"/>
  </r>
  <r>
    <s v="420-11-4919"/>
    <x v="1"/>
    <x v="1"/>
    <x v="0"/>
    <x v="0"/>
    <x v="4"/>
    <x v="4"/>
    <x v="2"/>
    <d v="2019-02-17T00:00:00"/>
    <x v="2"/>
    <d v="1899-12-30T19:57:00"/>
    <s v="Credit card"/>
    <n v="17.8475"/>
    <n v="5.5"/>
  </r>
  <r>
    <s v="606-80-4905"/>
    <x v="1"/>
    <x v="1"/>
    <x v="0"/>
    <x v="0"/>
    <x v="3"/>
    <x v="2"/>
    <x v="0"/>
    <d v="2019-01-29T00:00:00"/>
    <x v="1"/>
    <d v="1899-12-30T10:01:00"/>
    <s v="Credit card"/>
    <n v="5.7450000000000001"/>
    <n v="6.8"/>
  </r>
  <r>
    <s v="542-41-0513"/>
    <x v="2"/>
    <x v="2"/>
    <x v="0"/>
    <x v="0"/>
    <x v="1"/>
    <x v="5"/>
    <x v="1"/>
    <d v="2019-03-15T00:00:00"/>
    <x v="1"/>
    <d v="1899-12-30T11:57:00"/>
    <s v="Cash"/>
    <n v="11.497999999999999"/>
    <n v="6.6"/>
  </r>
  <r>
    <s v="426-39-2418"/>
    <x v="1"/>
    <x v="1"/>
    <x v="1"/>
    <x v="1"/>
    <x v="1"/>
    <x v="1"/>
    <x v="0"/>
    <d v="2019-01-14T00:00:00"/>
    <x v="1"/>
    <d v="1899-12-30T10:02:00"/>
    <s v="Cash"/>
    <n v="21.493500000000001"/>
    <n v="9.8000000000000007"/>
  </r>
  <r>
    <s v="875-46-5808"/>
    <x v="2"/>
    <x v="2"/>
    <x v="0"/>
    <x v="1"/>
    <x v="0"/>
    <x v="3"/>
    <x v="2"/>
    <d v="2019-02-06T00:00:00"/>
    <x v="0"/>
    <d v="1899-12-30T14:51:00"/>
    <s v="Ewallet"/>
    <n v="12.95"/>
    <n v="8.6999999999999993"/>
  </r>
  <r>
    <s v="394-43-4238"/>
    <x v="2"/>
    <x v="2"/>
    <x v="0"/>
    <x v="1"/>
    <x v="2"/>
    <x v="6"/>
    <x v="2"/>
    <d v="2019-02-15T00:00:00"/>
    <x v="0"/>
    <d v="1899-12-30T12:42:00"/>
    <s v="Credit card"/>
    <n v="4.4424999999999999"/>
    <n v="5.4"/>
  </r>
  <r>
    <s v="749-24-1565"/>
    <x v="0"/>
    <x v="0"/>
    <x v="1"/>
    <x v="0"/>
    <x v="0"/>
    <x v="4"/>
    <x v="0"/>
    <d v="2019-01-03T00:00:00"/>
    <x v="0"/>
    <d v="1899-12-30T12:02:00"/>
    <s v="Ewallet"/>
    <n v="10.3635"/>
    <n v="7.9"/>
  </r>
  <r>
    <s v="672-51-8681"/>
    <x v="1"/>
    <x v="1"/>
    <x v="0"/>
    <x v="0"/>
    <x v="1"/>
    <x v="4"/>
    <x v="0"/>
    <d v="2019-01-04T00:00:00"/>
    <x v="2"/>
    <d v="1899-12-30T18:19:00"/>
    <s v="Credit card"/>
    <n v="29.9925"/>
    <n v="9.6999999999999993"/>
  </r>
  <r>
    <s v="263-87-5680"/>
    <x v="1"/>
    <x v="1"/>
    <x v="0"/>
    <x v="0"/>
    <x v="2"/>
    <x v="2"/>
    <x v="1"/>
    <d v="2019-03-18T00:00:00"/>
    <x v="2"/>
    <d v="1899-12-30T17:38:00"/>
    <s v="Ewallet"/>
    <n v="14.265000000000001"/>
    <n v="7.8"/>
  </r>
  <r>
    <s v="573-58-9734"/>
    <x v="2"/>
    <x v="2"/>
    <x v="1"/>
    <x v="0"/>
    <x v="5"/>
    <x v="3"/>
    <x v="1"/>
    <d v="2019-03-28T00:00:00"/>
    <x v="0"/>
    <d v="1899-12-30T13:41:00"/>
    <s v="Ewallet"/>
    <n v="4.5555000000000003"/>
    <n v="5.0999999999999996"/>
  </r>
  <r>
    <s v="817-69-8206"/>
    <x v="2"/>
    <x v="2"/>
    <x v="1"/>
    <x v="0"/>
    <x v="1"/>
    <x v="1"/>
    <x v="1"/>
    <d v="2019-03-02T00:00:00"/>
    <x v="2"/>
    <d v="1899-12-30T19:42:00"/>
    <s v="Credit card"/>
    <n v="44.878500000000003"/>
    <n v="6.5"/>
  </r>
  <r>
    <s v="888-02-0338"/>
    <x v="0"/>
    <x v="0"/>
    <x v="1"/>
    <x v="1"/>
    <x v="1"/>
    <x v="5"/>
    <x v="0"/>
    <d v="2019-01-25T00:00:00"/>
    <x v="2"/>
    <d v="1899-12-30T20:24:00"/>
    <s v="Ewallet"/>
    <n v="11.8035"/>
    <n v="5.9"/>
  </r>
  <r>
    <s v="677-11-0152"/>
    <x v="1"/>
    <x v="1"/>
    <x v="1"/>
    <x v="0"/>
    <x v="4"/>
    <x v="1"/>
    <x v="0"/>
    <d v="2019-01-16T00:00:00"/>
    <x v="2"/>
    <d v="1899-12-30T18:08:00"/>
    <s v="Cash"/>
    <n v="41.966999999999999"/>
    <n v="8.8000000000000007"/>
  </r>
  <r>
    <s v="142-63-6033"/>
    <x v="2"/>
    <x v="2"/>
    <x v="1"/>
    <x v="1"/>
    <x v="2"/>
    <x v="2"/>
    <x v="1"/>
    <d v="2019-03-20T00:00:00"/>
    <x v="2"/>
    <d v="1899-12-30T19:17:00"/>
    <s v="Ewallet"/>
    <n v="23.09"/>
    <n v="4.9000000000000004"/>
  </r>
  <r>
    <s v="656-16-1063"/>
    <x v="2"/>
    <x v="2"/>
    <x v="1"/>
    <x v="1"/>
    <x v="3"/>
    <x v="4"/>
    <x v="0"/>
    <d v="2019-01-04T00:00:00"/>
    <x v="0"/>
    <d v="1899-12-30T13:24:00"/>
    <s v="Credit card"/>
    <n v="6.9630000000000001"/>
    <n v="4.4000000000000004"/>
  </r>
  <r>
    <s v="891-58-8335"/>
    <x v="2"/>
    <x v="2"/>
    <x v="0"/>
    <x v="0"/>
    <x v="3"/>
    <x v="5"/>
    <x v="1"/>
    <d v="2019-03-11T00:00:00"/>
    <x v="0"/>
    <d v="1899-12-30T15:53:00"/>
    <s v="Cash"/>
    <n v="10.3635"/>
    <n v="6.5"/>
  </r>
  <r>
    <s v="802-43-8934"/>
    <x v="0"/>
    <x v="0"/>
    <x v="1"/>
    <x v="1"/>
    <x v="2"/>
    <x v="2"/>
    <x v="1"/>
    <d v="2019-03-22T00:00:00"/>
    <x v="0"/>
    <d v="1899-12-30T15:05:00"/>
    <s v="Credit card"/>
    <n v="0.91400000000000003"/>
    <n v="8.3000000000000007"/>
  </r>
  <r>
    <s v="560-30-5617"/>
    <x v="2"/>
    <x v="2"/>
    <x v="1"/>
    <x v="0"/>
    <x v="3"/>
    <x v="3"/>
    <x v="1"/>
    <d v="2019-03-24T00:00:00"/>
    <x v="2"/>
    <d v="1899-12-30T18:27:00"/>
    <s v="Cash"/>
    <n v="6.1924999999999999"/>
    <n v="8.5"/>
  </r>
  <r>
    <s v="319-74-2561"/>
    <x v="0"/>
    <x v="0"/>
    <x v="0"/>
    <x v="0"/>
    <x v="1"/>
    <x v="4"/>
    <x v="2"/>
    <d v="2019-02-21T00:00:00"/>
    <x v="2"/>
    <d v="1899-12-30T16:55:00"/>
    <s v="Cash"/>
    <n v="14.196"/>
    <n v="5.5"/>
  </r>
  <r>
    <s v="549-03-9315"/>
    <x v="2"/>
    <x v="2"/>
    <x v="1"/>
    <x v="1"/>
    <x v="5"/>
    <x v="6"/>
    <x v="2"/>
    <d v="2019-02-12T00:00:00"/>
    <x v="0"/>
    <d v="1899-12-30T12:58:00"/>
    <s v="Ewallet"/>
    <n v="37.948"/>
    <n v="8.6999999999999993"/>
  </r>
  <r>
    <s v="790-29-1172"/>
    <x v="2"/>
    <x v="2"/>
    <x v="1"/>
    <x v="0"/>
    <x v="4"/>
    <x v="5"/>
    <x v="1"/>
    <d v="2019-03-10T00:00:00"/>
    <x v="2"/>
    <d v="1899-12-30T18:59:00"/>
    <s v="Credit card"/>
    <n v="8.6010000000000009"/>
    <n v="7.9"/>
  </r>
  <r>
    <s v="239-36-3640"/>
    <x v="2"/>
    <x v="2"/>
    <x v="1"/>
    <x v="1"/>
    <x v="1"/>
    <x v="2"/>
    <x v="0"/>
    <d v="2019-01-31T00:00:00"/>
    <x v="0"/>
    <d v="1899-12-30T13:44:00"/>
    <s v="Ewallet"/>
    <n v="13.605"/>
    <n v="6.1"/>
  </r>
  <r>
    <s v="468-01-2051"/>
    <x v="2"/>
    <x v="2"/>
    <x v="1"/>
    <x v="1"/>
    <x v="4"/>
    <x v="1"/>
    <x v="1"/>
    <d v="2019-03-06T00:00:00"/>
    <x v="0"/>
    <d v="1899-12-30T13:46:00"/>
    <s v="Ewallet"/>
    <n v="21.728000000000002"/>
    <n v="5.4"/>
  </r>
  <r>
    <s v="389-25-3394"/>
    <x v="1"/>
    <x v="1"/>
    <x v="1"/>
    <x v="1"/>
    <x v="1"/>
    <x v="4"/>
    <x v="2"/>
    <d v="2019-02-17T00:00:00"/>
    <x v="2"/>
    <d v="1899-12-30T18:06:00"/>
    <s v="Cash"/>
    <n v="2.9525000000000001"/>
    <n v="9.4"/>
  </r>
  <r>
    <s v="279-62-1445"/>
    <x v="1"/>
    <x v="1"/>
    <x v="0"/>
    <x v="0"/>
    <x v="5"/>
    <x v="4"/>
    <x v="2"/>
    <d v="2019-02-21T00:00:00"/>
    <x v="0"/>
    <d v="1899-12-30T12:38:00"/>
    <s v="Cash"/>
    <n v="0.627"/>
    <n v="8.1999999999999993"/>
  </r>
  <r>
    <s v="213-72-6612"/>
    <x v="0"/>
    <x v="0"/>
    <x v="1"/>
    <x v="1"/>
    <x v="4"/>
    <x v="2"/>
    <x v="1"/>
    <d v="2019-03-20T00:00:00"/>
    <x v="0"/>
    <d v="1899-12-30T15:56:00"/>
    <s v="Cash"/>
    <n v="4.3250000000000002"/>
    <n v="6.2"/>
  </r>
  <r>
    <s v="746-68-6593"/>
    <x v="1"/>
    <x v="1"/>
    <x v="0"/>
    <x v="0"/>
    <x v="3"/>
    <x v="0"/>
    <x v="0"/>
    <d v="2019-01-11T00:00:00"/>
    <x v="0"/>
    <d v="1899-12-30T14:29:00"/>
    <s v="Credit card"/>
    <n v="8.7159999999999993"/>
    <n v="9.6999999999999993"/>
  </r>
  <r>
    <s v="836-82-5858"/>
    <x v="2"/>
    <x v="2"/>
    <x v="0"/>
    <x v="1"/>
    <x v="0"/>
    <x v="2"/>
    <x v="0"/>
    <d v="2019-01-26T00:00:00"/>
    <x v="2"/>
    <d v="1899-12-30T19:14:00"/>
    <s v="Ewallet"/>
    <n v="31.2165"/>
    <n v="4"/>
  </r>
  <r>
    <s v="583-72-1480"/>
    <x v="1"/>
    <x v="1"/>
    <x v="0"/>
    <x v="1"/>
    <x v="1"/>
    <x v="2"/>
    <x v="0"/>
    <d v="2019-01-31T00:00:00"/>
    <x v="2"/>
    <d v="1899-12-30T16:24:00"/>
    <s v="Ewallet"/>
    <n v="7.4119999999999999"/>
    <n v="9.6999999999999993"/>
  </r>
  <r>
    <s v="466-61-5506"/>
    <x v="2"/>
    <x v="2"/>
    <x v="0"/>
    <x v="0"/>
    <x v="1"/>
    <x v="0"/>
    <x v="2"/>
    <d v="2019-02-26T00:00:00"/>
    <x v="1"/>
    <d v="1899-12-30T10:52:00"/>
    <s v="Cash"/>
    <n v="27.21"/>
    <n v="5.3"/>
  </r>
  <r>
    <s v="721-86-6247"/>
    <x v="0"/>
    <x v="0"/>
    <x v="1"/>
    <x v="0"/>
    <x v="2"/>
    <x v="5"/>
    <x v="1"/>
    <d v="2019-03-11T00:00:00"/>
    <x v="0"/>
    <d v="1899-12-30T12:55:00"/>
    <s v="Ewallet"/>
    <n v="25.367999999999999"/>
    <n v="7.4"/>
  </r>
  <r>
    <s v="289-65-5721"/>
    <x v="2"/>
    <x v="2"/>
    <x v="1"/>
    <x v="0"/>
    <x v="5"/>
    <x v="2"/>
    <x v="0"/>
    <d v="2019-01-26T00:00:00"/>
    <x v="2"/>
    <d v="1899-12-30T19:28:00"/>
    <s v="Cash"/>
    <n v="8.1370000000000005"/>
    <n v="6.5"/>
  </r>
  <r>
    <s v="545-46-3100"/>
    <x v="2"/>
    <x v="2"/>
    <x v="0"/>
    <x v="0"/>
    <x v="1"/>
    <x v="5"/>
    <x v="1"/>
    <d v="2019-03-12T00:00:00"/>
    <x v="0"/>
    <d v="1899-12-30T13:52:00"/>
    <s v="Credit card"/>
    <n v="1.5885"/>
    <n v="8.6999999999999993"/>
  </r>
  <r>
    <s v="418-02-5978"/>
    <x v="2"/>
    <x v="2"/>
    <x v="1"/>
    <x v="0"/>
    <x v="0"/>
    <x v="6"/>
    <x v="2"/>
    <d v="2019-02-11T00:00:00"/>
    <x v="1"/>
    <d v="1899-12-30T10:54:00"/>
    <s v="Cash"/>
    <n v="37.840499999999999"/>
    <n v="8"/>
  </r>
  <r>
    <s v="269-04-5750"/>
    <x v="2"/>
    <x v="2"/>
    <x v="0"/>
    <x v="1"/>
    <x v="5"/>
    <x v="4"/>
    <x v="2"/>
    <d v="2019-02-21T00:00:00"/>
    <x v="2"/>
    <d v="1899-12-30T18:31:00"/>
    <s v="Cash"/>
    <n v="14.763999999999999"/>
    <n v="6.7"/>
  </r>
  <r>
    <s v="157-13-5295"/>
    <x v="0"/>
    <x v="0"/>
    <x v="0"/>
    <x v="1"/>
    <x v="0"/>
    <x v="5"/>
    <x v="1"/>
    <d v="2019-03-09T00:00:00"/>
    <x v="2"/>
    <d v="1899-12-30T18:24:00"/>
    <s v="Ewallet"/>
    <n v="25.97"/>
    <n v="6.5"/>
  </r>
  <r>
    <s v="645-78-8093"/>
    <x v="0"/>
    <x v="0"/>
    <x v="1"/>
    <x v="0"/>
    <x v="3"/>
    <x v="5"/>
    <x v="0"/>
    <d v="2019-01-20T00:00:00"/>
    <x v="2"/>
    <d v="1899-12-30T18:09:00"/>
    <s v="Ewallet"/>
    <n v="9.3140000000000001"/>
    <n v="4.0999999999999996"/>
  </r>
  <r>
    <s v="211-30-9270"/>
    <x v="1"/>
    <x v="1"/>
    <x v="1"/>
    <x v="1"/>
    <x v="0"/>
    <x v="2"/>
    <x v="0"/>
    <d v="2019-01-28T00:00:00"/>
    <x v="0"/>
    <d v="1899-12-30T15:16:00"/>
    <s v="Credit card"/>
    <n v="4.3525"/>
    <n v="4.9000000000000004"/>
  </r>
  <r>
    <s v="755-12-3214"/>
    <x v="1"/>
    <x v="1"/>
    <x v="0"/>
    <x v="0"/>
    <x v="5"/>
    <x v="1"/>
    <x v="1"/>
    <d v="2019-03-05T00:00:00"/>
    <x v="2"/>
    <d v="1899-12-30T17:07:00"/>
    <s v="Credit card"/>
    <n v="11.055"/>
    <n v="8.6"/>
  </r>
  <r>
    <s v="346-84-3103"/>
    <x v="2"/>
    <x v="2"/>
    <x v="0"/>
    <x v="0"/>
    <x v="1"/>
    <x v="1"/>
    <x v="1"/>
    <d v="2019-03-02T00:00:00"/>
    <x v="2"/>
    <d v="1899-12-30T19:26:00"/>
    <s v="Cash"/>
    <n v="3.3050000000000002"/>
    <n v="4.3"/>
  </r>
  <r>
    <s v="478-06-7835"/>
    <x v="0"/>
    <x v="0"/>
    <x v="1"/>
    <x v="1"/>
    <x v="5"/>
    <x v="0"/>
    <x v="0"/>
    <d v="2019-01-11T00:00:00"/>
    <x v="1"/>
    <d v="1899-12-30T11:20:00"/>
    <s v="Ewallet"/>
    <n v="4.4844999999999997"/>
    <n v="4.9000000000000004"/>
  </r>
  <r>
    <s v="540-11-4336"/>
    <x v="0"/>
    <x v="0"/>
    <x v="1"/>
    <x v="1"/>
    <x v="4"/>
    <x v="0"/>
    <x v="0"/>
    <d v="2019-01-11T00:00:00"/>
    <x v="2"/>
    <d v="1899-12-30T16:49:00"/>
    <s v="Credit card"/>
    <n v="11.223000000000001"/>
    <n v="5.6"/>
  </r>
  <r>
    <s v="448-81-5016"/>
    <x v="0"/>
    <x v="0"/>
    <x v="1"/>
    <x v="1"/>
    <x v="0"/>
    <x v="5"/>
    <x v="1"/>
    <d v="2019-03-11T00:00:00"/>
    <x v="0"/>
    <d v="1899-12-30T12:01:00"/>
    <s v="Credit card"/>
    <n v="5.9770000000000003"/>
    <n v="5.8"/>
  </r>
  <r>
    <s v="142-72-4741"/>
    <x v="1"/>
    <x v="1"/>
    <x v="0"/>
    <x v="1"/>
    <x v="5"/>
    <x v="0"/>
    <x v="2"/>
    <d v="2019-02-28T00:00:00"/>
    <x v="2"/>
    <d v="1899-12-30T18:37:00"/>
    <s v="Credit card"/>
    <n v="9.32"/>
    <n v="6"/>
  </r>
  <r>
    <s v="217-58-1179"/>
    <x v="0"/>
    <x v="0"/>
    <x v="0"/>
    <x v="1"/>
    <x v="2"/>
    <x v="0"/>
    <x v="0"/>
    <d v="2019-01-05T00:00:00"/>
    <x v="1"/>
    <d v="1899-12-30T11:25:00"/>
    <s v="Cash"/>
    <n v="12.53"/>
    <n v="4.2"/>
  </r>
  <r>
    <s v="376-02-8238"/>
    <x v="2"/>
    <x v="2"/>
    <x v="1"/>
    <x v="1"/>
    <x v="2"/>
    <x v="3"/>
    <x v="2"/>
    <d v="2019-02-02T00:00:00"/>
    <x v="2"/>
    <d v="1899-12-30T18:42:00"/>
    <s v="Credit card"/>
    <n v="37.548000000000002"/>
    <n v="8.3000000000000007"/>
  </r>
  <r>
    <s v="530-90-9855"/>
    <x v="0"/>
    <x v="0"/>
    <x v="0"/>
    <x v="1"/>
    <x v="2"/>
    <x v="4"/>
    <x v="0"/>
    <d v="2019-01-01T00:00:00"/>
    <x v="0"/>
    <d v="1899-12-30T14:47:00"/>
    <s v="Cash"/>
    <n v="19.036000000000001"/>
    <n v="5.7"/>
  </r>
  <r>
    <s v="866-05-7563"/>
    <x v="2"/>
    <x v="2"/>
    <x v="0"/>
    <x v="0"/>
    <x v="1"/>
    <x v="6"/>
    <x v="2"/>
    <d v="2019-02-09T00:00:00"/>
    <x v="2"/>
    <d v="1899-12-30T19:43:00"/>
    <s v="Cash"/>
    <n v="12.21"/>
    <n v="4.8"/>
  </r>
  <r>
    <s v="604-70-6476"/>
    <x v="0"/>
    <x v="0"/>
    <x v="0"/>
    <x v="1"/>
    <x v="5"/>
    <x v="5"/>
    <x v="0"/>
    <d v="2019-01-23T00:00:00"/>
    <x v="0"/>
    <d v="1899-12-30T14:04:00"/>
    <s v="Ewallet"/>
    <n v="4.4850000000000003"/>
    <n v="6.8"/>
  </r>
  <r>
    <s v="799-71-1548"/>
    <x v="0"/>
    <x v="0"/>
    <x v="0"/>
    <x v="1"/>
    <x v="1"/>
    <x v="0"/>
    <x v="0"/>
    <d v="2019-01-07T00:00:00"/>
    <x v="2"/>
    <d v="1899-12-30T16:11:00"/>
    <s v="Credit card"/>
    <n v="15.544"/>
    <n v="8.8000000000000007"/>
  </r>
  <r>
    <s v="785-13-7708"/>
    <x v="2"/>
    <x v="2"/>
    <x v="1"/>
    <x v="1"/>
    <x v="4"/>
    <x v="1"/>
    <x v="0"/>
    <d v="2019-01-14T00:00:00"/>
    <x v="2"/>
    <d v="1899-12-30T19:06:00"/>
    <s v="Credit card"/>
    <n v="25.571000000000002"/>
    <n v="4.2"/>
  </r>
  <r>
    <s v="845-51-0542"/>
    <x v="2"/>
    <x v="2"/>
    <x v="0"/>
    <x v="1"/>
    <x v="4"/>
    <x v="3"/>
    <x v="2"/>
    <d v="2019-02-02T00:00:00"/>
    <x v="0"/>
    <d v="1899-12-30T15:34:00"/>
    <s v="Ewallet"/>
    <n v="20.947500000000002"/>
    <n v="6.4"/>
  </r>
  <r>
    <s v="662-47-5456"/>
    <x v="1"/>
    <x v="1"/>
    <x v="0"/>
    <x v="1"/>
    <x v="5"/>
    <x v="2"/>
    <x v="1"/>
    <d v="2019-03-17T00:00:00"/>
    <x v="2"/>
    <d v="1899-12-30T19:06:00"/>
    <s v="Credit card"/>
    <n v="17.594999999999999"/>
    <n v="8.4"/>
  </r>
  <r>
    <s v="883-17-4236"/>
    <x v="1"/>
    <x v="1"/>
    <x v="1"/>
    <x v="0"/>
    <x v="3"/>
    <x v="1"/>
    <x v="1"/>
    <d v="2019-03-02T00:00:00"/>
    <x v="2"/>
    <d v="1899-12-30T19:44:00"/>
    <s v="Credit card"/>
    <n v="1.4390000000000001"/>
    <n v="7.2"/>
  </r>
  <r>
    <s v="290-68-2984"/>
    <x v="0"/>
    <x v="0"/>
    <x v="1"/>
    <x v="1"/>
    <x v="2"/>
    <x v="2"/>
    <x v="1"/>
    <d v="2019-03-16T00:00:00"/>
    <x v="1"/>
    <d v="1899-12-30T11:22:00"/>
    <s v="Cash"/>
    <n v="4.75"/>
    <n v="5.2"/>
  </r>
  <r>
    <s v="704-11-6354"/>
    <x v="0"/>
    <x v="0"/>
    <x v="0"/>
    <x v="1"/>
    <x v="2"/>
    <x v="0"/>
    <x v="0"/>
    <d v="2019-01-06T00:00:00"/>
    <x v="1"/>
    <d v="1899-12-30T11:23:00"/>
    <s v="Cash"/>
    <n v="23.56"/>
    <n v="8.9"/>
  </r>
  <r>
    <s v="110-48-7033"/>
    <x v="2"/>
    <x v="2"/>
    <x v="0"/>
    <x v="1"/>
    <x v="5"/>
    <x v="2"/>
    <x v="0"/>
    <d v="2019-01-29T00:00:00"/>
    <x v="0"/>
    <d v="1899-12-30T14:12:00"/>
    <s v="Cash"/>
    <n v="6.524"/>
    <n v="9"/>
  </r>
  <r>
    <s v="366-93-0948"/>
    <x v="0"/>
    <x v="0"/>
    <x v="0"/>
    <x v="1"/>
    <x v="1"/>
    <x v="2"/>
    <x v="0"/>
    <d v="2019-01-31T00:00:00"/>
    <x v="1"/>
    <d v="1899-12-30T10:46:00"/>
    <s v="Credit card"/>
    <n v="3.3174999999999999"/>
    <n v="9.6999999999999993"/>
  </r>
  <r>
    <s v="729-09-9681"/>
    <x v="0"/>
    <x v="0"/>
    <x v="0"/>
    <x v="1"/>
    <x v="2"/>
    <x v="3"/>
    <x v="2"/>
    <d v="2019-02-05T00:00:00"/>
    <x v="1"/>
    <d v="1899-12-30T10:16:00"/>
    <s v="Ewallet"/>
    <n v="7.7729999999999997"/>
    <n v="8.6999999999999993"/>
  </r>
  <r>
    <s v="151-16-1484"/>
    <x v="0"/>
    <x v="0"/>
    <x v="0"/>
    <x v="1"/>
    <x v="1"/>
    <x v="6"/>
    <x v="2"/>
    <d v="2019-02-13T00:00:00"/>
    <x v="0"/>
    <d v="1899-12-30T12:38:00"/>
    <s v="Ewallet"/>
    <n v="6.45"/>
    <n v="6.5"/>
  </r>
  <r>
    <s v="380-94-4661"/>
    <x v="1"/>
    <x v="1"/>
    <x v="0"/>
    <x v="1"/>
    <x v="1"/>
    <x v="3"/>
    <x v="2"/>
    <d v="2019-02-07T00:00:00"/>
    <x v="0"/>
    <d v="1899-12-30T13:05:00"/>
    <s v="Credit card"/>
    <n v="13.188000000000001"/>
    <n v="6.9"/>
  </r>
  <r>
    <s v="850-41-9669"/>
    <x v="0"/>
    <x v="0"/>
    <x v="1"/>
    <x v="0"/>
    <x v="1"/>
    <x v="2"/>
    <x v="1"/>
    <d v="2019-03-19T00:00:00"/>
    <x v="0"/>
    <d v="1899-12-30T13:25:00"/>
    <s v="Ewallet"/>
    <n v="33.777000000000001"/>
    <n v="6.2"/>
  </r>
  <r>
    <s v="821-07-3596"/>
    <x v="1"/>
    <x v="1"/>
    <x v="1"/>
    <x v="0"/>
    <x v="5"/>
    <x v="1"/>
    <x v="1"/>
    <d v="2019-03-07T00:00:00"/>
    <x v="0"/>
    <d v="1899-12-30T14:53:00"/>
    <s v="Ewallet"/>
    <n v="3.29"/>
    <n v="5.6"/>
  </r>
  <r>
    <s v="655-85-5130"/>
    <x v="2"/>
    <x v="2"/>
    <x v="0"/>
    <x v="0"/>
    <x v="5"/>
    <x v="5"/>
    <x v="1"/>
    <d v="2019-03-13T00:00:00"/>
    <x v="2"/>
    <d v="1899-12-30T19:22:00"/>
    <s v="Cash"/>
    <n v="7.66"/>
    <n v="5.7"/>
  </r>
  <r>
    <s v="447-15-7839"/>
    <x v="0"/>
    <x v="0"/>
    <x v="0"/>
    <x v="0"/>
    <x v="3"/>
    <x v="6"/>
    <x v="2"/>
    <d v="2019-02-09T00:00:00"/>
    <x v="1"/>
    <d v="1899-12-30T11:00:00"/>
    <s v="Cash"/>
    <n v="11.12"/>
    <n v="4.2"/>
  </r>
  <r>
    <s v="154-74-7179"/>
    <x v="2"/>
    <x v="2"/>
    <x v="1"/>
    <x v="1"/>
    <x v="3"/>
    <x v="0"/>
    <x v="2"/>
    <d v="2019-02-26T00:00:00"/>
    <x v="2"/>
    <d v="1899-12-30T19:24:00"/>
    <s v="Ewallet"/>
    <n v="2.7225000000000001"/>
    <n v="7.9"/>
  </r>
  <r>
    <s v="253-12-6086"/>
    <x v="0"/>
    <x v="0"/>
    <x v="0"/>
    <x v="0"/>
    <x v="3"/>
    <x v="5"/>
    <x v="1"/>
    <d v="2019-03-12T00:00:00"/>
    <x v="0"/>
    <d v="1899-12-30T12:43:00"/>
    <s v="Credit card"/>
    <n v="34.44"/>
    <n v="8.6999999999999993"/>
  </r>
  <r>
    <s v="808-65-0703"/>
    <x v="1"/>
    <x v="1"/>
    <x v="1"/>
    <x v="1"/>
    <x v="2"/>
    <x v="5"/>
    <x v="1"/>
    <d v="2019-03-14T00:00:00"/>
    <x v="2"/>
    <d v="1899-12-30T17:22:00"/>
    <s v="Credit card"/>
    <n v="7.0940000000000003"/>
    <n v="6.9"/>
  </r>
  <r>
    <s v="571-94-0759"/>
    <x v="2"/>
    <x v="2"/>
    <x v="0"/>
    <x v="0"/>
    <x v="4"/>
    <x v="0"/>
    <x v="0"/>
    <d v="2019-01-08T00:00:00"/>
    <x v="2"/>
    <d v="1899-12-30T20:55:00"/>
    <s v="Cash"/>
    <n v="37.299999999999997"/>
    <n v="9.5"/>
  </r>
  <r>
    <s v="144-51-6085"/>
    <x v="0"/>
    <x v="0"/>
    <x v="0"/>
    <x v="1"/>
    <x v="2"/>
    <x v="0"/>
    <x v="0"/>
    <d v="2019-01-05T00:00:00"/>
    <x v="2"/>
    <d v="1899-12-30T16:05:00"/>
    <s v="Credit card"/>
    <n v="14.148"/>
    <n v="4.4000000000000004"/>
  </r>
  <r>
    <s v="731-14-2199"/>
    <x v="0"/>
    <x v="0"/>
    <x v="0"/>
    <x v="0"/>
    <x v="2"/>
    <x v="4"/>
    <x v="0"/>
    <d v="2019-01-04T00:00:00"/>
    <x v="0"/>
    <d v="1899-12-30T13:34:00"/>
    <s v="Ewallet"/>
    <n v="17.77"/>
    <n v="7"/>
  </r>
  <r>
    <s v="783-09-1637"/>
    <x v="2"/>
    <x v="2"/>
    <x v="1"/>
    <x v="0"/>
    <x v="3"/>
    <x v="1"/>
    <x v="1"/>
    <d v="2019-03-06T00:00:00"/>
    <x v="2"/>
    <d v="1899-12-30T18:13:00"/>
    <s v="Ewallet"/>
    <n v="16.857500000000002"/>
    <n v="6.3"/>
  </r>
  <r>
    <s v="687-15-1097"/>
    <x v="1"/>
    <x v="1"/>
    <x v="0"/>
    <x v="0"/>
    <x v="0"/>
    <x v="4"/>
    <x v="0"/>
    <d v="2019-01-03T00:00:00"/>
    <x v="2"/>
    <d v="1899-12-30T19:17:00"/>
    <s v="Cash"/>
    <n v="2.1120000000000001"/>
    <n v="9.6999999999999993"/>
  </r>
  <r>
    <s v="126-54-1082"/>
    <x v="0"/>
    <x v="0"/>
    <x v="0"/>
    <x v="0"/>
    <x v="2"/>
    <x v="0"/>
    <x v="0"/>
    <d v="2019-01-07T00:00:00"/>
    <x v="1"/>
    <d v="1899-12-30T11:44:00"/>
    <s v="Credit card"/>
    <n v="9.6929999999999996"/>
    <n v="8.8000000000000007"/>
  </r>
  <r>
    <s v="633-91-1052"/>
    <x v="0"/>
    <x v="0"/>
    <x v="1"/>
    <x v="0"/>
    <x v="2"/>
    <x v="2"/>
    <x v="0"/>
    <d v="2019-01-27T00:00:00"/>
    <x v="0"/>
    <d v="1899-12-30T15:51:00"/>
    <s v="Cash"/>
    <n v="1.2030000000000001"/>
    <n v="5.0999999999999996"/>
  </r>
  <r>
    <s v="477-24-6490"/>
    <x v="2"/>
    <x v="2"/>
    <x v="1"/>
    <x v="0"/>
    <x v="0"/>
    <x v="0"/>
    <x v="2"/>
    <d v="2019-02-26T00:00:00"/>
    <x v="2"/>
    <d v="1899-12-30T16:52:00"/>
    <s v="Ewallet"/>
    <n v="29.913"/>
    <n v="7.9"/>
  </r>
  <r>
    <s v="566-19-5475"/>
    <x v="2"/>
    <x v="2"/>
    <x v="1"/>
    <x v="1"/>
    <x v="5"/>
    <x v="0"/>
    <x v="0"/>
    <d v="2019-01-07T00:00:00"/>
    <x v="2"/>
    <d v="1899-12-30T20:52:00"/>
    <s v="Cash"/>
    <n v="16.7895"/>
    <n v="6.2"/>
  </r>
  <r>
    <s v="526-86-8552"/>
    <x v="1"/>
    <x v="1"/>
    <x v="0"/>
    <x v="0"/>
    <x v="2"/>
    <x v="0"/>
    <x v="0"/>
    <d v="2019-01-07T00:00:00"/>
    <x v="2"/>
    <d v="1899-12-30T17:36:00"/>
    <s v="Cash"/>
    <n v="10.91"/>
    <n v="7.1"/>
  </r>
  <r>
    <s v="376-56-3573"/>
    <x v="1"/>
    <x v="1"/>
    <x v="1"/>
    <x v="0"/>
    <x v="5"/>
    <x v="3"/>
    <x v="2"/>
    <d v="2019-02-02T00:00:00"/>
    <x v="0"/>
    <d v="1899-12-30T13:23:00"/>
    <s v="Ewallet"/>
    <n v="19.084"/>
    <n v="6.4"/>
  </r>
  <r>
    <s v="537-72-0426"/>
    <x v="1"/>
    <x v="1"/>
    <x v="0"/>
    <x v="1"/>
    <x v="5"/>
    <x v="2"/>
    <x v="1"/>
    <d v="2019-03-20T00:00:00"/>
    <x v="2"/>
    <d v="1899-12-30T16:28:00"/>
    <s v="Cash"/>
    <n v="35.494999999999997"/>
    <n v="5.7"/>
  </r>
  <r>
    <s v="828-61-5674"/>
    <x v="0"/>
    <x v="0"/>
    <x v="0"/>
    <x v="1"/>
    <x v="3"/>
    <x v="2"/>
    <x v="1"/>
    <d v="2019-03-20T00:00:00"/>
    <x v="2"/>
    <d v="1899-12-30T19:57:00"/>
    <s v="Credit card"/>
    <n v="22.01"/>
    <n v="9.6"/>
  </r>
  <r>
    <s v="136-08-6195"/>
    <x v="0"/>
    <x v="0"/>
    <x v="1"/>
    <x v="0"/>
    <x v="2"/>
    <x v="6"/>
    <x v="2"/>
    <d v="2019-02-15T00:00:00"/>
    <x v="2"/>
    <d v="1899-12-30T17:01:00"/>
    <s v="Credit card"/>
    <n v="27.984000000000002"/>
    <n v="6.4"/>
  </r>
  <r>
    <s v="523-38-0215"/>
    <x v="1"/>
    <x v="1"/>
    <x v="1"/>
    <x v="1"/>
    <x v="2"/>
    <x v="1"/>
    <x v="1"/>
    <d v="2019-03-06T00:00:00"/>
    <x v="0"/>
    <d v="1899-12-30T13:29:00"/>
    <s v="Credit card"/>
    <n v="1.85"/>
    <n v="7.9"/>
  </r>
  <r>
    <s v="490-29-1201"/>
    <x v="0"/>
    <x v="0"/>
    <x v="1"/>
    <x v="0"/>
    <x v="3"/>
    <x v="0"/>
    <x v="0"/>
    <d v="2019-01-06T00:00:00"/>
    <x v="1"/>
    <d v="1899-12-30T11:09:00"/>
    <s v="Cash"/>
    <n v="0.76700000000000002"/>
    <n v="6.5"/>
  </r>
  <r>
    <s v="667-92-0055"/>
    <x v="0"/>
    <x v="0"/>
    <x v="0"/>
    <x v="1"/>
    <x v="0"/>
    <x v="1"/>
    <x v="1"/>
    <d v="2019-03-04T00:00:00"/>
    <x v="0"/>
    <d v="1899-12-30T15:02:00"/>
    <s v="Ewallet"/>
    <n v="29.949000000000002"/>
    <n v="8.5"/>
  </r>
  <r>
    <s v="565-17-3836"/>
    <x v="0"/>
    <x v="0"/>
    <x v="0"/>
    <x v="0"/>
    <x v="0"/>
    <x v="5"/>
    <x v="1"/>
    <d v="2019-03-12T00:00:00"/>
    <x v="0"/>
    <d v="1899-12-30T14:21:00"/>
    <s v="Cash"/>
    <n v="9.5340000000000007"/>
    <n v="9.1"/>
  </r>
  <r>
    <s v="498-41-1961"/>
    <x v="2"/>
    <x v="2"/>
    <x v="1"/>
    <x v="1"/>
    <x v="0"/>
    <x v="4"/>
    <x v="2"/>
    <d v="2019-02-20T00:00:00"/>
    <x v="2"/>
    <d v="1899-12-30T18:01:00"/>
    <s v="Cash"/>
    <n v="16.670000000000002"/>
    <n v="7.6"/>
  </r>
  <r>
    <s v="593-95-4461"/>
    <x v="1"/>
    <x v="1"/>
    <x v="0"/>
    <x v="1"/>
    <x v="2"/>
    <x v="3"/>
    <x v="1"/>
    <d v="2019-03-24T00:00:00"/>
    <x v="0"/>
    <d v="1899-12-30T14:49:00"/>
    <s v="Cash"/>
    <n v="3.7429999999999999"/>
    <n v="6.9"/>
  </r>
  <r>
    <s v="226-71-3580"/>
    <x v="1"/>
    <x v="1"/>
    <x v="1"/>
    <x v="0"/>
    <x v="3"/>
    <x v="2"/>
    <x v="0"/>
    <d v="2019-01-31T00:00:00"/>
    <x v="0"/>
    <d v="1899-12-30T12:02:00"/>
    <s v="Cash"/>
    <n v="10.6875"/>
    <n v="9.5"/>
  </r>
  <r>
    <s v="283-79-9594"/>
    <x v="2"/>
    <x v="2"/>
    <x v="1"/>
    <x v="0"/>
    <x v="4"/>
    <x v="5"/>
    <x v="0"/>
    <d v="2019-01-25T00:00:00"/>
    <x v="0"/>
    <d v="1899-12-30T13:30:00"/>
    <s v="Credit card"/>
    <n v="16.9785"/>
    <n v="5.2"/>
  </r>
  <r>
    <s v="430-60-3493"/>
    <x v="0"/>
    <x v="0"/>
    <x v="0"/>
    <x v="0"/>
    <x v="2"/>
    <x v="3"/>
    <x v="2"/>
    <d v="2019-02-03T00:00:00"/>
    <x v="0"/>
    <d v="1899-12-30T14:38:00"/>
    <s v="Cash"/>
    <n v="33.207999999999998"/>
    <n v="4.2"/>
  </r>
  <r>
    <s v="139-20-0155"/>
    <x v="2"/>
    <x v="2"/>
    <x v="0"/>
    <x v="1"/>
    <x v="1"/>
    <x v="5"/>
    <x v="0"/>
    <d v="2019-01-24T00:00:00"/>
    <x v="2"/>
    <d v="1899-12-30T17:37:00"/>
    <s v="Credit card"/>
    <n v="20.149999999999999"/>
    <n v="7"/>
  </r>
  <r>
    <s v="558-80-4082"/>
    <x v="1"/>
    <x v="1"/>
    <x v="1"/>
    <x v="1"/>
    <x v="1"/>
    <x v="5"/>
    <x v="1"/>
    <d v="2019-03-14T00:00:00"/>
    <x v="2"/>
    <d v="1899-12-30T17:20:00"/>
    <s v="Ewallet"/>
    <n v="9.7475000000000005"/>
    <n v="6"/>
  </r>
  <r>
    <s v="278-97-7759"/>
    <x v="0"/>
    <x v="0"/>
    <x v="0"/>
    <x v="0"/>
    <x v="1"/>
    <x v="4"/>
    <x v="2"/>
    <d v="2019-02-18T00:00:00"/>
    <x v="2"/>
    <d v="1899-12-30T20:29:00"/>
    <s v="Cash"/>
    <n v="3.1240000000000001"/>
    <n v="4.7"/>
  </r>
  <r>
    <s v="316-68-6352"/>
    <x v="0"/>
    <x v="0"/>
    <x v="0"/>
    <x v="0"/>
    <x v="4"/>
    <x v="5"/>
    <x v="0"/>
    <d v="2019-01-21T00:00:00"/>
    <x v="1"/>
    <d v="1899-12-30T10:00:00"/>
    <s v="Cash"/>
    <n v="3.6360000000000001"/>
    <n v="7.1"/>
  </r>
  <r>
    <s v="585-03-5943"/>
    <x v="2"/>
    <x v="2"/>
    <x v="1"/>
    <x v="1"/>
    <x v="0"/>
    <x v="5"/>
    <x v="1"/>
    <d v="2019-03-13T00:00:00"/>
    <x v="1"/>
    <d v="1899-12-30T11:46:00"/>
    <s v="Ewallet"/>
    <n v="9.0549999999999997"/>
    <n v="5.9"/>
  </r>
  <r>
    <s v="211-05-0490"/>
    <x v="1"/>
    <x v="1"/>
    <x v="0"/>
    <x v="0"/>
    <x v="1"/>
    <x v="1"/>
    <x v="1"/>
    <d v="2019-03-03T00:00:00"/>
    <x v="0"/>
    <d v="1899-12-30T13:42:00"/>
    <s v="Cash"/>
    <n v="12.98"/>
    <n v="7.5"/>
  </r>
  <r>
    <s v="727-75-6477"/>
    <x v="1"/>
    <x v="1"/>
    <x v="1"/>
    <x v="1"/>
    <x v="1"/>
    <x v="3"/>
    <x v="1"/>
    <d v="2019-03-29T00:00:00"/>
    <x v="0"/>
    <d v="1899-12-30T14:44:00"/>
    <s v="Cash"/>
    <n v="5.7679999999999998"/>
    <n v="6.4"/>
  </r>
  <r>
    <s v="744-02-5987"/>
    <x v="0"/>
    <x v="0"/>
    <x v="0"/>
    <x v="1"/>
    <x v="2"/>
    <x v="0"/>
    <x v="0"/>
    <d v="2019-01-10T00:00:00"/>
    <x v="0"/>
    <d v="1899-12-30T14:16:00"/>
    <s v="Ewallet"/>
    <n v="23.513999999999999"/>
    <n v="5.8"/>
  </r>
  <r>
    <s v="307-83-9164"/>
    <x v="0"/>
    <x v="0"/>
    <x v="0"/>
    <x v="1"/>
    <x v="2"/>
    <x v="5"/>
    <x v="0"/>
    <d v="2019-01-25T00:00:00"/>
    <x v="0"/>
    <d v="1899-12-30T15:54:00"/>
    <s v="Cash"/>
    <n v="12.002000000000001"/>
    <n v="4.5"/>
  </r>
  <r>
    <s v="779-06-0012"/>
    <x v="1"/>
    <x v="1"/>
    <x v="0"/>
    <x v="0"/>
    <x v="2"/>
    <x v="5"/>
    <x v="0"/>
    <d v="2019-01-19T00:00:00"/>
    <x v="1"/>
    <d v="1899-12-30T10:21:00"/>
    <s v="Cash"/>
    <n v="4.4305000000000003"/>
    <n v="7.7"/>
  </r>
  <r>
    <s v="446-47-6729"/>
    <x v="1"/>
    <x v="1"/>
    <x v="1"/>
    <x v="1"/>
    <x v="5"/>
    <x v="4"/>
    <x v="0"/>
    <d v="2019-01-02T00:00:00"/>
    <x v="2"/>
    <d v="1899-12-30T18:09:00"/>
    <s v="Credit card"/>
    <n v="9.9819999999999993"/>
    <n v="6.7"/>
  </r>
  <r>
    <s v="573-10-3877"/>
    <x v="2"/>
    <x v="2"/>
    <x v="0"/>
    <x v="1"/>
    <x v="0"/>
    <x v="5"/>
    <x v="1"/>
    <d v="2019-03-12T00:00:00"/>
    <x v="2"/>
    <d v="1899-12-30T16:46:00"/>
    <s v="Credit card"/>
    <n v="1.9504999999999999"/>
    <n v="4.7"/>
  </r>
  <r>
    <s v="735-06-4124"/>
    <x v="1"/>
    <x v="1"/>
    <x v="1"/>
    <x v="1"/>
    <x v="4"/>
    <x v="0"/>
    <x v="2"/>
    <d v="2019-02-25T00:00:00"/>
    <x v="0"/>
    <d v="1899-12-30T15:31:00"/>
    <s v="Cash"/>
    <n v="2.4304999999999999"/>
    <n v="4.4000000000000004"/>
  </r>
  <r>
    <s v="439-54-7422"/>
    <x v="0"/>
    <x v="0"/>
    <x v="1"/>
    <x v="0"/>
    <x v="1"/>
    <x v="2"/>
    <x v="1"/>
    <d v="2019-03-18T00:00:00"/>
    <x v="2"/>
    <d v="1899-12-30T17:15:00"/>
    <s v="Credit card"/>
    <n v="10.238"/>
    <n v="4.7"/>
  </r>
  <r>
    <s v="396-90-2219"/>
    <x v="2"/>
    <x v="2"/>
    <x v="1"/>
    <x v="0"/>
    <x v="1"/>
    <x v="0"/>
    <x v="2"/>
    <d v="2019-02-23T00:00:00"/>
    <x v="0"/>
    <d v="1899-12-30T12:29:00"/>
    <s v="Cash"/>
    <n v="5.984"/>
    <n v="8.6"/>
  </r>
  <r>
    <s v="411-77-0180"/>
    <x v="0"/>
    <x v="0"/>
    <x v="0"/>
    <x v="1"/>
    <x v="1"/>
    <x v="3"/>
    <x v="1"/>
    <d v="2019-03-26T00:00:00"/>
    <x v="2"/>
    <d v="1899-12-30T20:14:00"/>
    <s v="Ewallet"/>
    <n v="25.27"/>
    <n v="4.3"/>
  </r>
  <r>
    <s v="286-01-5402"/>
    <x v="0"/>
    <x v="0"/>
    <x v="1"/>
    <x v="0"/>
    <x v="3"/>
    <x v="6"/>
    <x v="1"/>
    <d v="2019-03-30T00:00:00"/>
    <x v="0"/>
    <d v="1899-12-30T13:22:00"/>
    <s v="Cash"/>
    <n v="14.080500000000001"/>
    <n v="9.6"/>
  </r>
  <r>
    <s v="803-17-8013"/>
    <x v="0"/>
    <x v="0"/>
    <x v="0"/>
    <x v="0"/>
    <x v="2"/>
    <x v="4"/>
    <x v="2"/>
    <d v="2019-02-17T00:00:00"/>
    <x v="2"/>
    <d v="1899-12-30T17:09:00"/>
    <s v="Cash"/>
    <n v="35.515999999999998"/>
    <n v="4.0999999999999996"/>
  </r>
  <r>
    <s v="512-98-1403"/>
    <x v="0"/>
    <x v="0"/>
    <x v="0"/>
    <x v="0"/>
    <x v="1"/>
    <x v="2"/>
    <x v="1"/>
    <d v="2019-03-21T00:00:00"/>
    <x v="1"/>
    <d v="1899-12-30T10:40:00"/>
    <s v="Ewallet"/>
    <n v="3.972"/>
    <n v="4.7"/>
  </r>
  <r>
    <s v="848-42-2560"/>
    <x v="0"/>
    <x v="0"/>
    <x v="1"/>
    <x v="0"/>
    <x v="5"/>
    <x v="1"/>
    <x v="1"/>
    <d v="2019-03-05T00:00:00"/>
    <x v="2"/>
    <d v="1899-12-30T17:43:00"/>
    <s v="Cash"/>
    <n v="8.1910000000000007"/>
    <n v="7.8"/>
  </r>
  <r>
    <s v="532-59-7201"/>
    <x v="2"/>
    <x v="2"/>
    <x v="0"/>
    <x v="1"/>
    <x v="3"/>
    <x v="2"/>
    <x v="0"/>
    <d v="2019-01-31T00:00:00"/>
    <x v="0"/>
    <d v="1899-12-30T14:04:00"/>
    <s v="Cash"/>
    <n v="23.978999999999999"/>
    <n v="5.5"/>
  </r>
  <r>
    <s v="181-94-6432"/>
    <x v="1"/>
    <x v="1"/>
    <x v="0"/>
    <x v="1"/>
    <x v="5"/>
    <x v="3"/>
    <x v="2"/>
    <d v="2019-02-05T00:00:00"/>
    <x v="2"/>
    <d v="1899-12-30T19:05:00"/>
    <s v="Ewallet"/>
    <n v="6.9329999999999998"/>
    <n v="9.6999999999999993"/>
  </r>
  <r>
    <s v="870-76-1733"/>
    <x v="0"/>
    <x v="0"/>
    <x v="0"/>
    <x v="0"/>
    <x v="4"/>
    <x v="2"/>
    <x v="2"/>
    <d v="2019-02-01T00:00:00"/>
    <x v="1"/>
    <d v="1899-12-30T10:08:00"/>
    <s v="Credit card"/>
    <n v="3.5575000000000001"/>
    <n v="4.4000000000000004"/>
  </r>
  <r>
    <s v="423-64-4619"/>
    <x v="0"/>
    <x v="0"/>
    <x v="0"/>
    <x v="0"/>
    <x v="0"/>
    <x v="1"/>
    <x v="1"/>
    <d v="2019-03-07T00:00:00"/>
    <x v="0"/>
    <d v="1899-12-30T13:12:00"/>
    <s v="Cash"/>
    <n v="6.9974999999999996"/>
    <n v="5"/>
  </r>
  <r>
    <s v="227-07-4446"/>
    <x v="1"/>
    <x v="1"/>
    <x v="0"/>
    <x v="0"/>
    <x v="1"/>
    <x v="6"/>
    <x v="2"/>
    <d v="2019-02-10T00:00:00"/>
    <x v="2"/>
    <d v="1899-12-30T20:51:00"/>
    <s v="Cash"/>
    <n v="39.064999999999998"/>
    <n v="4.4000000000000004"/>
  </r>
  <r>
    <s v="174-36-3675"/>
    <x v="1"/>
    <x v="1"/>
    <x v="0"/>
    <x v="1"/>
    <x v="4"/>
    <x v="6"/>
    <x v="2"/>
    <d v="2019-02-14T00:00:00"/>
    <x v="2"/>
    <d v="1899-12-30T17:29:00"/>
    <s v="Cash"/>
    <n v="9.9369999999999994"/>
    <n v="5.2"/>
  </r>
  <r>
    <s v="428-83-5800"/>
    <x v="1"/>
    <x v="1"/>
    <x v="0"/>
    <x v="0"/>
    <x v="4"/>
    <x v="6"/>
    <x v="2"/>
    <d v="2019-02-09T00:00:00"/>
    <x v="1"/>
    <d v="1899-12-30T10:25:00"/>
    <s v="Cash"/>
    <n v="3.1619999999999999"/>
    <n v="7.3"/>
  </r>
  <r>
    <s v="603-07-0961"/>
    <x v="1"/>
    <x v="1"/>
    <x v="0"/>
    <x v="1"/>
    <x v="1"/>
    <x v="0"/>
    <x v="0"/>
    <d v="2019-01-10T00:00:00"/>
    <x v="1"/>
    <d v="1899-12-30T11:34:00"/>
    <s v="Cash"/>
    <n v="18.697500000000002"/>
    <n v="4.9000000000000004"/>
  </r>
  <r>
    <s v="704-20-4138"/>
    <x v="1"/>
    <x v="1"/>
    <x v="0"/>
    <x v="0"/>
    <x v="0"/>
    <x v="5"/>
    <x v="1"/>
    <d v="2019-03-11T00:00:00"/>
    <x v="2"/>
    <d v="1899-12-30T18:58:00"/>
    <s v="Credit card"/>
    <n v="10.384499999999999"/>
    <n v="8.1"/>
  </r>
  <r>
    <s v="787-15-1757"/>
    <x v="1"/>
    <x v="1"/>
    <x v="0"/>
    <x v="1"/>
    <x v="0"/>
    <x v="4"/>
    <x v="2"/>
    <d v="2019-02-18T00:00:00"/>
    <x v="2"/>
    <d v="1899-12-30T16:28:00"/>
    <s v="Ewallet"/>
    <n v="8.8140000000000001"/>
    <n v="8.4"/>
  </r>
  <r>
    <s v="649-11-3678"/>
    <x v="1"/>
    <x v="1"/>
    <x v="1"/>
    <x v="0"/>
    <x v="4"/>
    <x v="0"/>
    <x v="2"/>
    <d v="2019-02-26T00:00:00"/>
    <x v="2"/>
    <d v="1899-12-30T20:26:00"/>
    <s v="Cash"/>
    <n v="10.3185"/>
    <n v="5.5"/>
  </r>
  <r>
    <s v="622-20-1945"/>
    <x v="1"/>
    <x v="1"/>
    <x v="1"/>
    <x v="0"/>
    <x v="0"/>
    <x v="1"/>
    <x v="0"/>
    <d v="2019-01-18T00:00:00"/>
    <x v="0"/>
    <d v="1899-12-30T15:08:00"/>
    <s v="Cash"/>
    <n v="1.9710000000000001"/>
    <n v="8.4"/>
  </r>
  <r>
    <s v="372-94-8041"/>
    <x v="0"/>
    <x v="0"/>
    <x v="1"/>
    <x v="1"/>
    <x v="0"/>
    <x v="6"/>
    <x v="2"/>
    <d v="2019-02-15T00:00:00"/>
    <x v="2"/>
    <d v="1899-12-30T18:03:00"/>
    <s v="Ewallet"/>
    <n v="4.5780000000000003"/>
    <n v="9.8000000000000007"/>
  </r>
  <r>
    <s v="563-91-7120"/>
    <x v="0"/>
    <x v="0"/>
    <x v="1"/>
    <x v="0"/>
    <x v="5"/>
    <x v="1"/>
    <x v="1"/>
    <d v="2019-03-08T00:00:00"/>
    <x v="0"/>
    <d v="1899-12-30T13:21:00"/>
    <s v="Cash"/>
    <n v="15.442500000000001"/>
    <n v="6.7"/>
  </r>
  <r>
    <s v="746-54-5508"/>
    <x v="0"/>
    <x v="0"/>
    <x v="1"/>
    <x v="1"/>
    <x v="2"/>
    <x v="1"/>
    <x v="0"/>
    <d v="2019-01-17T00:00:00"/>
    <x v="0"/>
    <d v="1899-12-30T12:48:00"/>
    <s v="Credit card"/>
    <n v="6.4560000000000004"/>
    <n v="9.4"/>
  </r>
  <r>
    <s v="276-54-0879"/>
    <x v="2"/>
    <x v="2"/>
    <x v="1"/>
    <x v="1"/>
    <x v="3"/>
    <x v="5"/>
    <x v="1"/>
    <d v="2019-03-12T00:00:00"/>
    <x v="2"/>
    <d v="1899-12-30T19:53:00"/>
    <s v="Ewallet"/>
    <n v="19.547999999999998"/>
    <n v="6.4"/>
  </r>
  <r>
    <s v="815-11-1168"/>
    <x v="0"/>
    <x v="0"/>
    <x v="0"/>
    <x v="1"/>
    <x v="4"/>
    <x v="5"/>
    <x v="1"/>
    <d v="2019-03-09T00:00:00"/>
    <x v="2"/>
    <d v="1899-12-30T19:09:00"/>
    <s v="Cash"/>
    <n v="24.945"/>
    <n v="5.4"/>
  </r>
  <r>
    <s v="719-76-3868"/>
    <x v="1"/>
    <x v="1"/>
    <x v="0"/>
    <x v="1"/>
    <x v="4"/>
    <x v="5"/>
    <x v="1"/>
    <d v="2019-03-12T00:00:00"/>
    <x v="2"/>
    <d v="1899-12-30T16:30:00"/>
    <s v="Cash"/>
    <n v="18.852"/>
    <n v="8.6"/>
  </r>
  <r>
    <s v="730-61-8757"/>
    <x v="2"/>
    <x v="2"/>
    <x v="0"/>
    <x v="1"/>
    <x v="0"/>
    <x v="5"/>
    <x v="0"/>
    <d v="2019-01-25T00:00:00"/>
    <x v="1"/>
    <d v="1899-12-30T10:11:00"/>
    <s v="Credit card"/>
    <n v="10.226000000000001"/>
    <n v="4"/>
  </r>
  <r>
    <s v="340-66-0321"/>
    <x v="0"/>
    <x v="0"/>
    <x v="0"/>
    <x v="1"/>
    <x v="1"/>
    <x v="3"/>
    <x v="1"/>
    <d v="2019-03-25T00:00:00"/>
    <x v="0"/>
    <d v="1899-12-30T13:07:00"/>
    <s v="Cash"/>
    <n v="7.2720000000000002"/>
    <n v="7.6"/>
  </r>
  <r>
    <s v="868-81-1752"/>
    <x v="2"/>
    <x v="2"/>
    <x v="1"/>
    <x v="1"/>
    <x v="2"/>
    <x v="3"/>
    <x v="2"/>
    <d v="2019-02-07T00:00:00"/>
    <x v="2"/>
    <d v="1899-12-30T18:48:00"/>
    <s v="Cash"/>
    <n v="9.9090000000000007"/>
    <n v="6.8"/>
  </r>
  <r>
    <s v="634-97-8956"/>
    <x v="0"/>
    <x v="0"/>
    <x v="1"/>
    <x v="1"/>
    <x v="4"/>
    <x v="4"/>
    <x v="2"/>
    <d v="2019-02-17T00:00:00"/>
    <x v="2"/>
    <d v="1899-12-30T17:27:00"/>
    <s v="Credit card"/>
    <n v="4.9349999999999996"/>
    <n v="9.1"/>
  </r>
  <r>
    <s v="566-71-1091"/>
    <x v="0"/>
    <x v="0"/>
    <x v="1"/>
    <x v="1"/>
    <x v="5"/>
    <x v="3"/>
    <x v="2"/>
    <d v="2019-02-03T00:00:00"/>
    <x v="0"/>
    <d v="1899-12-30T15:59:00"/>
    <s v="Cash"/>
    <n v="19.254999999999999"/>
    <n v="5.5"/>
  </r>
  <r>
    <s v="442-48-3607"/>
    <x v="0"/>
    <x v="0"/>
    <x v="0"/>
    <x v="1"/>
    <x v="4"/>
    <x v="5"/>
    <x v="1"/>
    <d v="2019-03-14T00:00:00"/>
    <x v="1"/>
    <d v="1899-12-30T11:21:00"/>
    <s v="Credit card"/>
    <n v="2.3479999999999999"/>
    <n v="7.9"/>
  </r>
  <r>
    <s v="835-16-0096"/>
    <x v="1"/>
    <x v="1"/>
    <x v="0"/>
    <x v="1"/>
    <x v="3"/>
    <x v="3"/>
    <x v="1"/>
    <d v="2019-03-24T00:00:00"/>
    <x v="0"/>
    <d v="1899-12-30T13:48:00"/>
    <s v="Ewallet"/>
    <n v="3.6749999999999998"/>
    <n v="8.5"/>
  </r>
  <r>
    <s v="527-09-6272"/>
    <x v="0"/>
    <x v="0"/>
    <x v="0"/>
    <x v="0"/>
    <x v="1"/>
    <x v="2"/>
    <x v="1"/>
    <d v="2019-03-21T00:00:00"/>
    <x v="1"/>
    <d v="1899-12-30T10:17:00"/>
    <s v="Credit card"/>
    <n v="7.1124999999999998"/>
    <n v="9.1"/>
  </r>
  <r>
    <s v="898-04-2717"/>
    <x v="0"/>
    <x v="0"/>
    <x v="1"/>
    <x v="1"/>
    <x v="5"/>
    <x v="2"/>
    <x v="1"/>
    <d v="2019-03-19T00:00:00"/>
    <x v="0"/>
    <d v="1899-12-30T15:49:00"/>
    <s v="Ewallet"/>
    <n v="34.380000000000003"/>
    <n v="7.5"/>
  </r>
  <r>
    <s v="692-27-8933"/>
    <x v="2"/>
    <x v="2"/>
    <x v="1"/>
    <x v="0"/>
    <x v="3"/>
    <x v="0"/>
    <x v="2"/>
    <d v="2019-02-24T00:00:00"/>
    <x v="0"/>
    <d v="1899-12-30T13:02:00"/>
    <s v="Cash"/>
    <n v="17.385000000000002"/>
    <n v="5.2"/>
  </r>
  <r>
    <s v="633-09-3463"/>
    <x v="1"/>
    <x v="1"/>
    <x v="1"/>
    <x v="0"/>
    <x v="1"/>
    <x v="3"/>
    <x v="1"/>
    <d v="2019-03-28T00:00:00"/>
    <x v="0"/>
    <d v="1899-12-30T12:58:00"/>
    <s v="Credit card"/>
    <n v="7.1475"/>
    <n v="9.5"/>
  </r>
  <r>
    <s v="374-17-3652"/>
    <x v="2"/>
    <x v="2"/>
    <x v="0"/>
    <x v="0"/>
    <x v="4"/>
    <x v="3"/>
    <x v="2"/>
    <d v="2019-02-05T00:00:00"/>
    <x v="0"/>
    <d v="1899-12-30T15:26:00"/>
    <s v="Credit card"/>
    <n v="19.268999999999998"/>
    <n v="8.9"/>
  </r>
  <r>
    <s v="378-07-7001"/>
    <x v="2"/>
    <x v="2"/>
    <x v="0"/>
    <x v="1"/>
    <x v="1"/>
    <x v="6"/>
    <x v="2"/>
    <d v="2019-02-10T00:00:00"/>
    <x v="2"/>
    <d v="1899-12-30T18:23:00"/>
    <s v="Credit card"/>
    <n v="7.2134999999999998"/>
    <n v="7.8"/>
  </r>
  <r>
    <s v="433-75-6987"/>
    <x v="2"/>
    <x v="2"/>
    <x v="0"/>
    <x v="0"/>
    <x v="0"/>
    <x v="1"/>
    <x v="1"/>
    <d v="2019-03-05T00:00:00"/>
    <x v="2"/>
    <d v="1899-12-30T19:06:00"/>
    <s v="Ewallet"/>
    <n v="19.589500000000001"/>
    <n v="8.9"/>
  </r>
  <r>
    <s v="873-95-4984"/>
    <x v="2"/>
    <x v="2"/>
    <x v="0"/>
    <x v="0"/>
    <x v="0"/>
    <x v="6"/>
    <x v="2"/>
    <d v="2019-02-15T00:00:00"/>
    <x v="2"/>
    <d v="1899-12-30T20:21:00"/>
    <s v="Cash"/>
    <n v="26.914999999999999"/>
    <n v="7.7"/>
  </r>
  <r>
    <s v="416-13-5917"/>
    <x v="1"/>
    <x v="1"/>
    <x v="1"/>
    <x v="0"/>
    <x v="4"/>
    <x v="2"/>
    <x v="0"/>
    <d v="2019-01-30T00:00:00"/>
    <x v="2"/>
    <d v="1899-12-30T16:24:00"/>
    <s v="Ewallet"/>
    <n v="24.2575"/>
    <n v="9.3000000000000007"/>
  </r>
  <r>
    <s v="150-89-8043"/>
    <x v="0"/>
    <x v="0"/>
    <x v="1"/>
    <x v="1"/>
    <x v="3"/>
    <x v="6"/>
    <x v="2"/>
    <d v="2019-02-14T00:00:00"/>
    <x v="0"/>
    <d v="1899-12-30T15:04:00"/>
    <s v="Cash"/>
    <n v="6.6974999999999998"/>
    <n v="6.2"/>
  </r>
  <r>
    <s v="135-84-8019"/>
    <x v="0"/>
    <x v="0"/>
    <x v="1"/>
    <x v="0"/>
    <x v="5"/>
    <x v="0"/>
    <x v="2"/>
    <d v="2019-02-27T00:00:00"/>
    <x v="2"/>
    <d v="1899-12-30T16:10:00"/>
    <s v="Ewallet"/>
    <n v="35.0685"/>
    <n v="7.6"/>
  </r>
  <r>
    <s v="441-94-7118"/>
    <x v="0"/>
    <x v="0"/>
    <x v="0"/>
    <x v="1"/>
    <x v="1"/>
    <x v="3"/>
    <x v="2"/>
    <d v="2019-02-04T00:00:00"/>
    <x v="0"/>
    <d v="1899-12-30T12:14:00"/>
    <s v="Cash"/>
    <n v="3.5975000000000001"/>
    <n v="7.3"/>
  </r>
  <r>
    <s v="725-96-3778"/>
    <x v="1"/>
    <x v="1"/>
    <x v="0"/>
    <x v="0"/>
    <x v="2"/>
    <x v="5"/>
    <x v="0"/>
    <d v="2019-01-20T00:00:00"/>
    <x v="1"/>
    <d v="1899-12-30T10:13:00"/>
    <s v="Cash"/>
    <n v="35.700000000000003"/>
    <n v="4.7"/>
  </r>
  <r>
    <s v="531-80-1784"/>
    <x v="0"/>
    <x v="0"/>
    <x v="1"/>
    <x v="1"/>
    <x v="1"/>
    <x v="3"/>
    <x v="1"/>
    <d v="2019-03-28T00:00:00"/>
    <x v="2"/>
    <d v="1899-12-30T17:38:00"/>
    <s v="Cash"/>
    <n v="9.1069999999999993"/>
    <n v="5.0999999999999996"/>
  </r>
  <r>
    <s v="400-45-1220"/>
    <x v="2"/>
    <x v="2"/>
    <x v="1"/>
    <x v="0"/>
    <x v="0"/>
    <x v="0"/>
    <x v="2"/>
    <d v="2019-02-27T00:00:00"/>
    <x v="1"/>
    <d v="1899-12-30T11:06:00"/>
    <s v="Credit card"/>
    <n v="6.75"/>
    <n v="4.8"/>
  </r>
  <r>
    <s v="860-79-0874"/>
    <x v="1"/>
    <x v="1"/>
    <x v="0"/>
    <x v="0"/>
    <x v="5"/>
    <x v="6"/>
    <x v="2"/>
    <d v="2019-02-15T00:00:00"/>
    <x v="0"/>
    <d v="1899-12-30T14:53:00"/>
    <s v="Credit card"/>
    <n v="49.65"/>
    <n v="6.6"/>
  </r>
  <r>
    <s v="834-61-8124"/>
    <x v="0"/>
    <x v="0"/>
    <x v="1"/>
    <x v="1"/>
    <x v="1"/>
    <x v="2"/>
    <x v="0"/>
    <d v="2019-01-26T00:00:00"/>
    <x v="2"/>
    <d v="1899-12-30T18:22:00"/>
    <s v="Cash"/>
    <n v="18.0915"/>
    <n v="5.5"/>
  </r>
  <r>
    <s v="115-99-4379"/>
    <x v="2"/>
    <x v="2"/>
    <x v="0"/>
    <x v="0"/>
    <x v="5"/>
    <x v="5"/>
    <x v="1"/>
    <d v="2019-03-14T00:00:00"/>
    <x v="2"/>
    <d v="1899-12-30T19:02:00"/>
    <s v="Credit card"/>
    <n v="19.1555"/>
    <n v="8.5"/>
  </r>
  <r>
    <s v="565-67-6697"/>
    <x v="2"/>
    <x v="2"/>
    <x v="0"/>
    <x v="1"/>
    <x v="2"/>
    <x v="1"/>
    <x v="1"/>
    <d v="2019-03-02T00:00:00"/>
    <x v="0"/>
    <d v="1899-12-30T14:16:00"/>
    <s v="Cash"/>
    <n v="12.15"/>
    <n v="4.8"/>
  </r>
  <r>
    <s v="320-49-6392"/>
    <x v="1"/>
    <x v="1"/>
    <x v="1"/>
    <x v="0"/>
    <x v="1"/>
    <x v="1"/>
    <x v="1"/>
    <d v="2019-03-04T00:00:00"/>
    <x v="0"/>
    <d v="1899-12-30T15:44:00"/>
    <s v="Cash"/>
    <n v="1.512"/>
    <n v="8.4"/>
  </r>
  <r>
    <s v="889-04-9723"/>
    <x v="2"/>
    <x v="2"/>
    <x v="0"/>
    <x v="0"/>
    <x v="4"/>
    <x v="0"/>
    <x v="0"/>
    <d v="2019-01-07T00:00:00"/>
    <x v="0"/>
    <d v="1899-12-30T12:20:00"/>
    <s v="Credit card"/>
    <n v="17.827999999999999"/>
    <n v="7.8"/>
  </r>
  <r>
    <s v="632-90-0281"/>
    <x v="1"/>
    <x v="1"/>
    <x v="1"/>
    <x v="0"/>
    <x v="5"/>
    <x v="1"/>
    <x v="1"/>
    <d v="2019-03-08T00:00:00"/>
    <x v="2"/>
    <d v="1899-12-30T20:01:00"/>
    <s v="Credit card"/>
    <n v="18.774999999999999"/>
    <n v="9.3000000000000007"/>
  </r>
  <r>
    <s v="554-42-2417"/>
    <x v="1"/>
    <x v="1"/>
    <x v="1"/>
    <x v="0"/>
    <x v="3"/>
    <x v="0"/>
    <x v="0"/>
    <d v="2019-01-09T00:00:00"/>
    <x v="0"/>
    <d v="1899-12-30T13:45:00"/>
    <s v="Cash"/>
    <n v="47.72"/>
    <n v="5.2"/>
  </r>
  <r>
    <s v="453-63-6187"/>
    <x v="2"/>
    <x v="2"/>
    <x v="1"/>
    <x v="1"/>
    <x v="1"/>
    <x v="0"/>
    <x v="1"/>
    <d v="2019-03-01T00:00:00"/>
    <x v="0"/>
    <d v="1899-12-30T15:40:00"/>
    <s v="Ewallet"/>
    <n v="4.125"/>
    <n v="6.5"/>
  </r>
  <r>
    <s v="578-80-7669"/>
    <x v="2"/>
    <x v="2"/>
    <x v="1"/>
    <x v="1"/>
    <x v="3"/>
    <x v="2"/>
    <x v="1"/>
    <d v="2019-03-16T00:00:00"/>
    <x v="2"/>
    <d v="1899-12-30T16:58:00"/>
    <s v="Cash"/>
    <n v="3.7484999999999999"/>
    <n v="5.6"/>
  </r>
  <r>
    <s v="612-36-5536"/>
    <x v="0"/>
    <x v="0"/>
    <x v="0"/>
    <x v="1"/>
    <x v="4"/>
    <x v="4"/>
    <x v="2"/>
    <d v="2019-02-17T00:00:00"/>
    <x v="1"/>
    <d v="1899-12-30T11:12:00"/>
    <s v="Credit card"/>
    <n v="32.384"/>
    <n v="7.4"/>
  </r>
  <r>
    <s v="605-72-4132"/>
    <x v="1"/>
    <x v="1"/>
    <x v="1"/>
    <x v="0"/>
    <x v="4"/>
    <x v="0"/>
    <x v="2"/>
    <d v="2019-02-27T00:00:00"/>
    <x v="0"/>
    <d v="1899-12-30T15:12:00"/>
    <s v="Cash"/>
    <n v="37.787999999999997"/>
    <n v="9.1"/>
  </r>
  <r>
    <s v="471-41-2823"/>
    <x v="1"/>
    <x v="1"/>
    <x v="1"/>
    <x v="1"/>
    <x v="4"/>
    <x v="1"/>
    <x v="1"/>
    <d v="2019-03-07T00:00:00"/>
    <x v="2"/>
    <d v="1899-12-30T20:37:00"/>
    <s v="Ewallet"/>
    <n v="9.9789999999999992"/>
    <n v="8"/>
  </r>
  <r>
    <s v="462-67-9126"/>
    <x v="0"/>
    <x v="0"/>
    <x v="1"/>
    <x v="1"/>
    <x v="2"/>
    <x v="5"/>
    <x v="0"/>
    <d v="2019-01-21T00:00:00"/>
    <x v="2"/>
    <d v="1899-12-30T17:44:00"/>
    <s v="Cash"/>
    <n v="21.966000000000001"/>
    <n v="7.2"/>
  </r>
  <r>
    <s v="272-27-9238"/>
    <x v="1"/>
    <x v="1"/>
    <x v="1"/>
    <x v="0"/>
    <x v="4"/>
    <x v="4"/>
    <x v="2"/>
    <d v="2019-02-19T00:00:00"/>
    <x v="2"/>
    <d v="1899-12-30T16:23:00"/>
    <s v="Cash"/>
    <n v="8.2479999999999993"/>
    <n v="7.1"/>
  </r>
  <r>
    <s v="834-25-9262"/>
    <x v="1"/>
    <x v="1"/>
    <x v="1"/>
    <x v="0"/>
    <x v="5"/>
    <x v="0"/>
    <x v="0"/>
    <d v="2019-01-06T00:00:00"/>
    <x v="0"/>
    <d v="1899-12-30T12:12:00"/>
    <s v="Cash"/>
    <n v="16.335999999999999"/>
    <n v="9.1"/>
  </r>
  <r>
    <s v="122-61-9553"/>
    <x v="1"/>
    <x v="1"/>
    <x v="1"/>
    <x v="0"/>
    <x v="1"/>
    <x v="5"/>
    <x v="1"/>
    <d v="2019-03-14T00:00:00"/>
    <x v="2"/>
    <d v="1899-12-30T19:33:00"/>
    <s v="Cash"/>
    <n v="23.094000000000001"/>
    <n v="5.6"/>
  </r>
  <r>
    <s v="468-88-0009"/>
    <x v="0"/>
    <x v="0"/>
    <x v="0"/>
    <x v="1"/>
    <x v="2"/>
    <x v="3"/>
    <x v="1"/>
    <d v="2019-03-24T00:00:00"/>
    <x v="1"/>
    <d v="1899-12-30T10:29:00"/>
    <s v="Cash"/>
    <n v="13.188000000000001"/>
    <n v="6"/>
  </r>
  <r>
    <s v="613-59-9758"/>
    <x v="1"/>
    <x v="1"/>
    <x v="1"/>
    <x v="0"/>
    <x v="3"/>
    <x v="2"/>
    <x v="0"/>
    <d v="2019-01-27T00:00:00"/>
    <x v="0"/>
    <d v="1899-12-30T14:28:00"/>
    <s v="Cash"/>
    <n v="7.18"/>
    <n v="5.4"/>
  </r>
  <r>
    <s v="254-31-0042"/>
    <x v="0"/>
    <x v="0"/>
    <x v="0"/>
    <x v="1"/>
    <x v="1"/>
    <x v="1"/>
    <x v="1"/>
    <d v="2019-03-06T00:00:00"/>
    <x v="0"/>
    <d v="1899-12-30T12:46:00"/>
    <s v="Credit card"/>
    <n v="9.6750000000000007"/>
    <n v="7.8"/>
  </r>
  <r>
    <s v="201-86-2184"/>
    <x v="2"/>
    <x v="2"/>
    <x v="0"/>
    <x v="0"/>
    <x v="1"/>
    <x v="3"/>
    <x v="2"/>
    <d v="2019-02-02T00:00:00"/>
    <x v="2"/>
    <d v="1899-12-30T19:40:00"/>
    <s v="Cash"/>
    <n v="9.1910000000000007"/>
    <n v="9.9"/>
  </r>
  <r>
    <s v="261-12-8671"/>
    <x v="2"/>
    <x v="2"/>
    <x v="1"/>
    <x v="0"/>
    <x v="5"/>
    <x v="5"/>
    <x v="0"/>
    <d v="2019-01-25T00:00:00"/>
    <x v="2"/>
    <d v="1899-12-30T19:39:00"/>
    <s v="Credit card"/>
    <n v="6.0960000000000001"/>
    <n v="4.9000000000000004"/>
  </r>
  <r>
    <s v="730-70-9830"/>
    <x v="1"/>
    <x v="1"/>
    <x v="1"/>
    <x v="0"/>
    <x v="2"/>
    <x v="5"/>
    <x v="1"/>
    <d v="2019-03-14T00:00:00"/>
    <x v="2"/>
    <d v="1899-12-30T17:54:00"/>
    <s v="Ewallet"/>
    <n v="21.033000000000001"/>
    <n v="5.2"/>
  </r>
  <r>
    <s v="382-25-8917"/>
    <x v="1"/>
    <x v="1"/>
    <x v="1"/>
    <x v="1"/>
    <x v="5"/>
    <x v="2"/>
    <x v="0"/>
    <d v="2019-01-29T00:00:00"/>
    <x v="0"/>
    <d v="1899-12-30T12:25:00"/>
    <s v="Cash"/>
    <n v="12.624000000000001"/>
    <n v="8.9"/>
  </r>
  <r>
    <s v="422-29-8786"/>
    <x v="0"/>
    <x v="0"/>
    <x v="1"/>
    <x v="0"/>
    <x v="2"/>
    <x v="4"/>
    <x v="0"/>
    <d v="2019-01-03T00:00:00"/>
    <x v="2"/>
    <d v="1899-12-30T16:47:00"/>
    <s v="Credit card"/>
    <n v="16.772500000000001"/>
    <n v="9.1"/>
  </r>
  <r>
    <s v="667-23-5919"/>
    <x v="0"/>
    <x v="0"/>
    <x v="0"/>
    <x v="0"/>
    <x v="5"/>
    <x v="1"/>
    <x v="0"/>
    <d v="2019-01-14T00:00:00"/>
    <x v="0"/>
    <d v="1899-12-30T12:52:00"/>
    <s v="Ewallet"/>
    <n v="24.175000000000001"/>
    <n v="7"/>
  </r>
  <r>
    <s v="843-01-4703"/>
    <x v="2"/>
    <x v="2"/>
    <x v="0"/>
    <x v="0"/>
    <x v="2"/>
    <x v="0"/>
    <x v="0"/>
    <d v="2019-01-05T00:00:00"/>
    <x v="2"/>
    <d v="1899-12-30T19:50:00"/>
    <s v="Credit card"/>
    <n v="15.920999999999999"/>
    <n v="9.6"/>
  </r>
  <r>
    <s v="743-88-1662"/>
    <x v="1"/>
    <x v="1"/>
    <x v="1"/>
    <x v="1"/>
    <x v="3"/>
    <x v="4"/>
    <x v="2"/>
    <d v="2019-02-22T00:00:00"/>
    <x v="2"/>
    <d v="1899-12-30T18:17:00"/>
    <s v="Ewallet"/>
    <n v="33.421500000000002"/>
    <n v="8.6999999999999993"/>
  </r>
  <r>
    <s v="595-86-2894"/>
    <x v="1"/>
    <x v="1"/>
    <x v="0"/>
    <x v="1"/>
    <x v="5"/>
    <x v="3"/>
    <x v="2"/>
    <d v="2019-02-06T00:00:00"/>
    <x v="2"/>
    <d v="1899-12-30T17:20:00"/>
    <s v="Ewallet"/>
    <n v="19.396000000000001"/>
    <n v="9.4"/>
  </r>
  <r>
    <s v="182-69-8360"/>
    <x v="2"/>
    <x v="2"/>
    <x v="1"/>
    <x v="0"/>
    <x v="1"/>
    <x v="2"/>
    <x v="0"/>
    <d v="2019-01-30T00:00:00"/>
    <x v="0"/>
    <d v="1899-12-30T13:32:00"/>
    <s v="Credit card"/>
    <n v="4.7300000000000004"/>
    <n v="4"/>
  </r>
  <r>
    <s v="289-15-7034"/>
    <x v="0"/>
    <x v="0"/>
    <x v="0"/>
    <x v="1"/>
    <x v="3"/>
    <x v="0"/>
    <x v="0"/>
    <d v="2019-01-11T00:00:00"/>
    <x v="1"/>
    <d v="1899-12-30T10:37:00"/>
    <s v="Credit card"/>
    <n v="16.466000000000001"/>
    <n v="7.5"/>
  </r>
  <r>
    <s v="462-78-5240"/>
    <x v="1"/>
    <x v="1"/>
    <x v="1"/>
    <x v="0"/>
    <x v="1"/>
    <x v="2"/>
    <x v="1"/>
    <d v="2019-03-19T00:00:00"/>
    <x v="0"/>
    <d v="1899-12-30T14:35:00"/>
    <s v="Cash"/>
    <n v="2.661"/>
    <n v="4.2"/>
  </r>
  <r>
    <s v="868-52-7573"/>
    <x v="2"/>
    <x v="2"/>
    <x v="1"/>
    <x v="0"/>
    <x v="4"/>
    <x v="1"/>
    <x v="0"/>
    <d v="2019-01-14T00:00:00"/>
    <x v="0"/>
    <d v="1899-12-30T12:09:00"/>
    <s v="Cash"/>
    <n v="24.922499999999999"/>
    <n v="9.9"/>
  </r>
  <r>
    <s v="153-58-4872"/>
    <x v="1"/>
    <x v="1"/>
    <x v="0"/>
    <x v="0"/>
    <x v="4"/>
    <x v="0"/>
    <x v="1"/>
    <d v="2019-03-01T00:00:00"/>
    <x v="0"/>
    <d v="1899-12-30T15:32:00"/>
    <s v="Ewallet"/>
    <n v="14.978"/>
    <n v="4.2"/>
  </r>
  <r>
    <s v="662-72-2873"/>
    <x v="0"/>
    <x v="0"/>
    <x v="1"/>
    <x v="0"/>
    <x v="4"/>
    <x v="0"/>
    <x v="0"/>
    <d v="2019-01-06T00:00:00"/>
    <x v="0"/>
    <d v="1899-12-30T13:58:00"/>
    <s v="Ewallet"/>
    <n v="10.234999999999999"/>
    <n v="9.9"/>
  </r>
  <r>
    <s v="525-88-7307"/>
    <x v="2"/>
    <x v="2"/>
    <x v="0"/>
    <x v="1"/>
    <x v="3"/>
    <x v="2"/>
    <x v="0"/>
    <d v="2019-01-31T00:00:00"/>
    <x v="0"/>
    <d v="1899-12-30T13:19:00"/>
    <s v="Cash"/>
    <n v="3.7909999999999999"/>
    <n v="5.8"/>
  </r>
  <r>
    <s v="689-16-9784"/>
    <x v="1"/>
    <x v="1"/>
    <x v="1"/>
    <x v="1"/>
    <x v="4"/>
    <x v="5"/>
    <x v="1"/>
    <d v="2019-03-11T00:00:00"/>
    <x v="0"/>
    <d v="1899-12-30T13:37:00"/>
    <s v="Cash"/>
    <n v="14.031000000000001"/>
    <n v="6"/>
  </r>
  <r>
    <s v="725-56-0833"/>
    <x v="0"/>
    <x v="0"/>
    <x v="1"/>
    <x v="0"/>
    <x v="0"/>
    <x v="4"/>
    <x v="2"/>
    <d v="2019-02-20T00:00:00"/>
    <x v="2"/>
    <d v="1899-12-30T16:49:00"/>
    <s v="Credit card"/>
    <n v="16.16"/>
    <n v="10"/>
  </r>
  <r>
    <s v="394-41-0748"/>
    <x v="1"/>
    <x v="1"/>
    <x v="0"/>
    <x v="0"/>
    <x v="5"/>
    <x v="2"/>
    <x v="0"/>
    <d v="2019-01-27T00:00:00"/>
    <x v="0"/>
    <d v="1899-12-30T14:55:00"/>
    <s v="Ewallet"/>
    <n v="24.331499999999998"/>
    <n v="9.5"/>
  </r>
  <r>
    <s v="596-42-3999"/>
    <x v="2"/>
    <x v="2"/>
    <x v="1"/>
    <x v="1"/>
    <x v="4"/>
    <x v="5"/>
    <x v="1"/>
    <d v="2019-03-10T00:00:00"/>
    <x v="0"/>
    <d v="1899-12-30T14:04:00"/>
    <s v="Credit card"/>
    <n v="6.3769999999999998"/>
    <n v="6.6"/>
  </r>
  <r>
    <s v="541-89-9860"/>
    <x v="1"/>
    <x v="1"/>
    <x v="0"/>
    <x v="0"/>
    <x v="5"/>
    <x v="6"/>
    <x v="2"/>
    <d v="2019-02-15T00:00:00"/>
    <x v="0"/>
    <d v="1899-12-30T12:31:00"/>
    <s v="Cash"/>
    <n v="12.071999999999999"/>
    <n v="8.1"/>
  </r>
  <r>
    <s v="173-82-9529"/>
    <x v="2"/>
    <x v="2"/>
    <x v="1"/>
    <x v="0"/>
    <x v="5"/>
    <x v="2"/>
    <x v="0"/>
    <d v="2019-01-26T00:00:00"/>
    <x v="0"/>
    <d v="1899-12-30T14:51:00"/>
    <s v="Cash"/>
    <n v="18.975000000000001"/>
    <n v="9.6999999999999993"/>
  </r>
  <r>
    <s v="563-36-9814"/>
    <x v="0"/>
    <x v="0"/>
    <x v="0"/>
    <x v="1"/>
    <x v="1"/>
    <x v="6"/>
    <x v="2"/>
    <d v="2019-02-13T00:00:00"/>
    <x v="2"/>
    <d v="1899-12-30T18:27:00"/>
    <s v="Ewallet"/>
    <n v="3.8410000000000002"/>
    <n v="7.2"/>
  </r>
  <r>
    <s v="308-47-4913"/>
    <x v="0"/>
    <x v="0"/>
    <x v="0"/>
    <x v="0"/>
    <x v="3"/>
    <x v="5"/>
    <x v="1"/>
    <d v="2019-03-09T00:00:00"/>
    <x v="0"/>
    <d v="1899-12-30T12:45:00"/>
    <s v="Credit card"/>
    <n v="26.13"/>
    <n v="6.2"/>
  </r>
  <r>
    <s v="885-17-6250"/>
    <x v="0"/>
    <x v="0"/>
    <x v="1"/>
    <x v="0"/>
    <x v="0"/>
    <x v="1"/>
    <x v="1"/>
    <d v="2019-03-06T00:00:00"/>
    <x v="1"/>
    <d v="1899-12-30T10:36:00"/>
    <s v="Ewallet"/>
    <n v="3.9870000000000001"/>
    <n v="7.3"/>
  </r>
  <r>
    <s v="726-27-2396"/>
    <x v="0"/>
    <x v="0"/>
    <x v="1"/>
    <x v="0"/>
    <x v="0"/>
    <x v="5"/>
    <x v="0"/>
    <d v="2019-01-24T00:00:00"/>
    <x v="2"/>
    <d v="1899-12-30T20:36:00"/>
    <s v="Ewallet"/>
    <n v="19.375"/>
    <n v="4.3"/>
  </r>
  <r>
    <s v="316-01-3952"/>
    <x v="0"/>
    <x v="0"/>
    <x v="1"/>
    <x v="0"/>
    <x v="4"/>
    <x v="5"/>
    <x v="1"/>
    <d v="2019-03-13T00:00:00"/>
    <x v="0"/>
    <d v="1899-12-30T14:16:00"/>
    <s v="Ewallet"/>
    <n v="13.567500000000001"/>
    <n v="4.5999999999999996"/>
  </r>
  <r>
    <s v="760-54-1821"/>
    <x v="2"/>
    <x v="2"/>
    <x v="1"/>
    <x v="1"/>
    <x v="2"/>
    <x v="5"/>
    <x v="1"/>
    <d v="2019-03-15T00:00:00"/>
    <x v="1"/>
    <d v="1899-12-30T10:26:00"/>
    <s v="Cash"/>
    <n v="6.1154999999999999"/>
    <n v="5.8"/>
  </r>
  <r>
    <s v="793-10-3222"/>
    <x v="2"/>
    <x v="2"/>
    <x v="0"/>
    <x v="0"/>
    <x v="0"/>
    <x v="1"/>
    <x v="1"/>
    <d v="2019-03-05T00:00:00"/>
    <x v="0"/>
    <d v="1899-12-30T13:30:00"/>
    <s v="Credit card"/>
    <n v="12.318"/>
    <n v="8.3000000000000007"/>
  </r>
  <r>
    <s v="346-12-3257"/>
    <x v="2"/>
    <x v="2"/>
    <x v="0"/>
    <x v="1"/>
    <x v="1"/>
    <x v="1"/>
    <x v="1"/>
    <d v="2019-03-04T00:00:00"/>
    <x v="2"/>
    <d v="1899-12-30T16:28:00"/>
    <s v="Cash"/>
    <n v="8.6579999999999995"/>
    <n v="8"/>
  </r>
  <r>
    <s v="110-05-6330"/>
    <x v="1"/>
    <x v="1"/>
    <x v="1"/>
    <x v="0"/>
    <x v="4"/>
    <x v="3"/>
    <x v="1"/>
    <d v="2019-03-25T00:00:00"/>
    <x v="2"/>
    <d v="1899-12-30T20:18:00"/>
    <s v="Credit card"/>
    <n v="11.829000000000001"/>
    <n v="9.4"/>
  </r>
  <r>
    <s v="651-61-0874"/>
    <x v="1"/>
    <x v="1"/>
    <x v="1"/>
    <x v="1"/>
    <x v="2"/>
    <x v="5"/>
    <x v="1"/>
    <d v="2019-03-12T00:00:00"/>
    <x v="2"/>
    <d v="1899-12-30T20:04:00"/>
    <s v="Credit card"/>
    <n v="9.2439999999999998"/>
    <n v="6.2"/>
  </r>
  <r>
    <s v="236-86-3015"/>
    <x v="1"/>
    <x v="1"/>
    <x v="0"/>
    <x v="1"/>
    <x v="2"/>
    <x v="3"/>
    <x v="2"/>
    <d v="2019-02-04T00:00:00"/>
    <x v="0"/>
    <d v="1899-12-30T13:38:00"/>
    <s v="Ewallet"/>
    <n v="0.69899999999999995"/>
    <n v="9.8000000000000007"/>
  </r>
  <r>
    <s v="831-64-0259"/>
    <x v="2"/>
    <x v="2"/>
    <x v="1"/>
    <x v="0"/>
    <x v="5"/>
    <x v="4"/>
    <x v="2"/>
    <d v="2019-02-22T00:00:00"/>
    <x v="1"/>
    <d v="1899-12-30T10:43:00"/>
    <s v="Ewallet"/>
    <n v="9.9375"/>
    <n v="9.6"/>
  </r>
  <r>
    <s v="587-03-7455"/>
    <x v="1"/>
    <x v="1"/>
    <x v="0"/>
    <x v="0"/>
    <x v="5"/>
    <x v="4"/>
    <x v="2"/>
    <d v="2019-02-16T00:00:00"/>
    <x v="2"/>
    <d v="1899-12-30T17:30:00"/>
    <s v="Ewallet"/>
    <n v="34.226500000000001"/>
    <n v="4.9000000000000004"/>
  </r>
  <r>
    <s v="882-40-4577"/>
    <x v="0"/>
    <x v="0"/>
    <x v="0"/>
    <x v="1"/>
    <x v="3"/>
    <x v="5"/>
    <x v="0"/>
    <d v="2019-01-19T00:00:00"/>
    <x v="0"/>
    <d v="1899-12-30T15:28:00"/>
    <s v="Credit card"/>
    <n v="13.452"/>
    <n v="8"/>
  </r>
  <r>
    <s v="732-67-5346"/>
    <x v="0"/>
    <x v="0"/>
    <x v="1"/>
    <x v="1"/>
    <x v="4"/>
    <x v="0"/>
    <x v="0"/>
    <d v="2019-01-11T00:00:00"/>
    <x v="2"/>
    <d v="1899-12-30T19:07:00"/>
    <s v="Credit card"/>
    <n v="3.4474999999999998"/>
    <n v="7.8"/>
  </r>
  <r>
    <s v="725-32-9708"/>
    <x v="2"/>
    <x v="2"/>
    <x v="0"/>
    <x v="0"/>
    <x v="5"/>
    <x v="4"/>
    <x v="0"/>
    <d v="2019-01-04T00:00:00"/>
    <x v="2"/>
    <d v="1899-12-30T19:01:00"/>
    <s v="Cash"/>
    <n v="13.742000000000001"/>
    <n v="4.0999999999999996"/>
  </r>
  <r>
    <s v="256-08-8343"/>
    <x v="0"/>
    <x v="0"/>
    <x v="1"/>
    <x v="0"/>
    <x v="2"/>
    <x v="1"/>
    <x v="1"/>
    <d v="2019-03-04T00:00:00"/>
    <x v="2"/>
    <d v="1899-12-30T19:48:00"/>
    <s v="Ewallet"/>
    <n v="11.305999999999999"/>
    <n v="5.5"/>
  </r>
  <r>
    <s v="372-26-1506"/>
    <x v="1"/>
    <x v="1"/>
    <x v="1"/>
    <x v="0"/>
    <x v="5"/>
    <x v="2"/>
    <x v="0"/>
    <d v="2019-01-28T00:00:00"/>
    <x v="2"/>
    <d v="1899-12-30T19:24:00"/>
    <s v="Ewallet"/>
    <n v="5.9550000000000001"/>
    <n v="5.4"/>
  </r>
  <r>
    <s v="244-08-0162"/>
    <x v="2"/>
    <x v="2"/>
    <x v="1"/>
    <x v="0"/>
    <x v="0"/>
    <x v="4"/>
    <x v="0"/>
    <d v="2019-01-02T00:00:00"/>
    <x v="0"/>
    <d v="1899-12-30T13:00:00"/>
    <s v="Cash"/>
    <n v="17.105"/>
    <n v="5.0999999999999996"/>
  </r>
  <r>
    <s v="569-71-4390"/>
    <x v="2"/>
    <x v="2"/>
    <x v="1"/>
    <x v="1"/>
    <x v="3"/>
    <x v="5"/>
    <x v="0"/>
    <d v="2019-01-25T00:00:00"/>
    <x v="0"/>
    <d v="1899-12-30T14:29:00"/>
    <s v="Ewallet"/>
    <n v="2.1869999999999998"/>
    <n v="6.9"/>
  </r>
  <r>
    <s v="132-23-6451"/>
    <x v="0"/>
    <x v="0"/>
    <x v="0"/>
    <x v="1"/>
    <x v="0"/>
    <x v="4"/>
    <x v="0"/>
    <d v="2019-01-04T00:00:00"/>
    <x v="0"/>
    <d v="1899-12-30T13:21:00"/>
    <s v="Cash"/>
    <n v="5.2424999999999997"/>
    <n v="7.8"/>
  </r>
  <r>
    <s v="696-90-2548"/>
    <x v="0"/>
    <x v="0"/>
    <x v="1"/>
    <x v="1"/>
    <x v="3"/>
    <x v="5"/>
    <x v="1"/>
    <d v="2019-03-10T00:00:00"/>
    <x v="2"/>
    <d v="1899-12-30T18:55:00"/>
    <s v="Ewallet"/>
    <n v="3.8759999999999999"/>
    <n v="6.6"/>
  </r>
  <r>
    <s v="472-15-9636"/>
    <x v="0"/>
    <x v="0"/>
    <x v="1"/>
    <x v="1"/>
    <x v="2"/>
    <x v="2"/>
    <x v="1"/>
    <d v="2019-03-22T00:00:00"/>
    <x v="2"/>
    <d v="1899-12-30T19:36:00"/>
    <s v="Ewallet"/>
    <n v="20.372"/>
    <n v="9.1999999999999993"/>
  </r>
  <r>
    <s v="268-03-6164"/>
    <x v="2"/>
    <x v="2"/>
    <x v="1"/>
    <x v="1"/>
    <x v="0"/>
    <x v="5"/>
    <x v="0"/>
    <d v="2019-01-25T00:00:00"/>
    <x v="2"/>
    <d v="1899-12-30T16:28:00"/>
    <s v="Ewallet"/>
    <n v="4.8055000000000003"/>
    <n v="7.8"/>
  </r>
  <r>
    <s v="750-57-9686"/>
    <x v="1"/>
    <x v="1"/>
    <x v="1"/>
    <x v="0"/>
    <x v="2"/>
    <x v="0"/>
    <x v="0"/>
    <d v="2019-01-08T00:00:00"/>
    <x v="0"/>
    <d v="1899-12-30T13:48:00"/>
    <s v="Credit card"/>
    <n v="9.0760000000000005"/>
    <n v="8.6999999999999993"/>
  </r>
  <r>
    <s v="186-09-3669"/>
    <x v="1"/>
    <x v="1"/>
    <x v="0"/>
    <x v="0"/>
    <x v="0"/>
    <x v="5"/>
    <x v="0"/>
    <d v="2019-01-22T00:00:00"/>
    <x v="1"/>
    <d v="1899-12-30T10:57:00"/>
    <s v="Ewallet"/>
    <n v="4.0754999999999999"/>
    <n v="9.1999999999999993"/>
  </r>
  <r>
    <s v="848-07-1692"/>
    <x v="2"/>
    <x v="2"/>
    <x v="1"/>
    <x v="0"/>
    <x v="0"/>
    <x v="1"/>
    <x v="0"/>
    <d v="2019-01-12T00:00:00"/>
    <x v="2"/>
    <d v="1899-12-30T17:13:00"/>
    <s v="Ewallet"/>
    <n v="5.7220000000000004"/>
    <n v="8.3000000000000007"/>
  </r>
  <r>
    <s v="745-71-3520"/>
    <x v="0"/>
    <x v="0"/>
    <x v="0"/>
    <x v="0"/>
    <x v="1"/>
    <x v="3"/>
    <x v="2"/>
    <d v="2019-02-04T00:00:00"/>
    <x v="1"/>
    <d v="1899-12-30T10:23:00"/>
    <s v="Cash"/>
    <n v="8.827"/>
    <n v="8.1999999999999993"/>
  </r>
  <r>
    <s v="266-76-6436"/>
    <x v="1"/>
    <x v="1"/>
    <x v="0"/>
    <x v="0"/>
    <x v="4"/>
    <x v="3"/>
    <x v="1"/>
    <d v="2019-03-28T00:00:00"/>
    <x v="0"/>
    <d v="1899-12-30T13:57:00"/>
    <s v="Ewallet"/>
    <n v="5.79"/>
    <n v="7.5"/>
  </r>
  <r>
    <s v="740-22-2500"/>
    <x v="1"/>
    <x v="1"/>
    <x v="1"/>
    <x v="0"/>
    <x v="1"/>
    <x v="5"/>
    <x v="0"/>
    <d v="2019-01-23T00:00:00"/>
    <x v="0"/>
    <d v="1899-12-30T13:29:00"/>
    <s v="Cash"/>
    <n v="12.6075"/>
    <n v="9.8000000000000007"/>
  </r>
  <r>
    <s v="271-88-8734"/>
    <x v="1"/>
    <x v="1"/>
    <x v="0"/>
    <x v="0"/>
    <x v="5"/>
    <x v="3"/>
    <x v="2"/>
    <d v="2019-02-08T00:00:00"/>
    <x v="0"/>
    <d v="1899-12-30T13:00:00"/>
    <s v="Credit card"/>
    <n v="48.604999999999997"/>
    <n v="8.6999999999999993"/>
  </r>
  <r>
    <s v="301-81-8610"/>
    <x v="2"/>
    <x v="2"/>
    <x v="0"/>
    <x v="1"/>
    <x v="5"/>
    <x v="2"/>
    <x v="1"/>
    <d v="2019-03-19T00:00:00"/>
    <x v="2"/>
    <d v="1899-12-30T19:42:00"/>
    <s v="Credit card"/>
    <n v="10.167999999999999"/>
    <n v="6.7"/>
  </r>
  <r>
    <s v="489-64-4354"/>
    <x v="1"/>
    <x v="1"/>
    <x v="1"/>
    <x v="1"/>
    <x v="5"/>
    <x v="5"/>
    <x v="1"/>
    <d v="2019-03-09T00:00:00"/>
    <x v="0"/>
    <d v="1899-12-30T15:36:00"/>
    <s v="Cash"/>
    <n v="0.81399999999999995"/>
    <n v="5"/>
  </r>
  <r>
    <s v="198-84-7132"/>
    <x v="2"/>
    <x v="2"/>
    <x v="0"/>
    <x v="1"/>
    <x v="5"/>
    <x v="4"/>
    <x v="0"/>
    <d v="2019-01-02T00:00:00"/>
    <x v="0"/>
    <d v="1899-12-30T13:40:00"/>
    <s v="Cash"/>
    <n v="18.2745"/>
    <n v="7"/>
  </r>
  <r>
    <s v="269-10-8440"/>
    <x v="0"/>
    <x v="0"/>
    <x v="0"/>
    <x v="1"/>
    <x v="0"/>
    <x v="5"/>
    <x v="0"/>
    <d v="2019-01-21T00:00:00"/>
    <x v="2"/>
    <d v="1899-12-30T18:01:00"/>
    <s v="Cash"/>
    <n v="18.609500000000001"/>
    <n v="8.9"/>
  </r>
  <r>
    <s v="650-98-6268"/>
    <x v="2"/>
    <x v="2"/>
    <x v="0"/>
    <x v="0"/>
    <x v="4"/>
    <x v="2"/>
    <x v="1"/>
    <d v="2019-03-20T00:00:00"/>
    <x v="0"/>
    <d v="1899-12-30T13:53:00"/>
    <s v="Credit card"/>
    <n v="3.1305000000000001"/>
    <n v="8"/>
  </r>
  <r>
    <s v="741-73-3559"/>
    <x v="2"/>
    <x v="2"/>
    <x v="1"/>
    <x v="1"/>
    <x v="3"/>
    <x v="0"/>
    <x v="2"/>
    <d v="2019-02-27T00:00:00"/>
    <x v="2"/>
    <d v="1899-12-30T17:27:00"/>
    <s v="Cash"/>
    <n v="16.817499999999999"/>
    <n v="6.9"/>
  </r>
  <r>
    <s v="325-77-6186"/>
    <x v="0"/>
    <x v="0"/>
    <x v="0"/>
    <x v="0"/>
    <x v="2"/>
    <x v="1"/>
    <x v="1"/>
    <d v="2019-03-08T00:00:00"/>
    <x v="1"/>
    <d v="1899-12-30T10:53:00"/>
    <s v="Ewallet"/>
    <n v="45.325000000000003"/>
    <n v="7.3"/>
  </r>
  <r>
    <s v="286-75-7818"/>
    <x v="2"/>
    <x v="2"/>
    <x v="1"/>
    <x v="1"/>
    <x v="5"/>
    <x v="2"/>
    <x v="0"/>
    <d v="2019-01-31T00:00:00"/>
    <x v="2"/>
    <d v="1899-12-30T19:48:00"/>
    <s v="Credit card"/>
    <n v="6.9080000000000004"/>
    <n v="6.9"/>
  </r>
  <r>
    <s v="574-57-9721"/>
    <x v="1"/>
    <x v="1"/>
    <x v="1"/>
    <x v="1"/>
    <x v="4"/>
    <x v="1"/>
    <x v="1"/>
    <d v="2019-03-08T00:00:00"/>
    <x v="2"/>
    <d v="1899-12-30T16:53:00"/>
    <s v="Ewallet"/>
    <n v="4.327"/>
    <n v="5.7"/>
  </r>
  <r>
    <s v="459-50-7686"/>
    <x v="0"/>
    <x v="0"/>
    <x v="1"/>
    <x v="0"/>
    <x v="1"/>
    <x v="1"/>
    <x v="0"/>
    <d v="2019-01-13T00:00:00"/>
    <x v="2"/>
    <d v="1899-12-30T19:14:00"/>
    <s v="Ewallet"/>
    <n v="7.0380000000000003"/>
    <n v="6.4"/>
  </r>
  <r>
    <s v="616-87-0016"/>
    <x v="2"/>
    <x v="2"/>
    <x v="1"/>
    <x v="1"/>
    <x v="5"/>
    <x v="5"/>
    <x v="1"/>
    <d v="2019-03-09T00:00:00"/>
    <x v="0"/>
    <d v="1899-12-30T14:36:00"/>
    <s v="Credit card"/>
    <n v="33.439"/>
    <n v="9.6"/>
  </r>
  <r>
    <s v="837-55-7229"/>
    <x v="2"/>
    <x v="2"/>
    <x v="1"/>
    <x v="0"/>
    <x v="5"/>
    <x v="4"/>
    <x v="2"/>
    <d v="2019-02-22T00:00:00"/>
    <x v="2"/>
    <d v="1899-12-30T18:19:00"/>
    <s v="Credit card"/>
    <n v="2.3719999999999999"/>
    <n v="6.8"/>
  </r>
  <r>
    <s v="751-69-0068"/>
    <x v="1"/>
    <x v="1"/>
    <x v="1"/>
    <x v="1"/>
    <x v="3"/>
    <x v="2"/>
    <x v="1"/>
    <d v="2019-03-19T00:00:00"/>
    <x v="2"/>
    <d v="1899-12-30T19:09:00"/>
    <s v="Ewallet"/>
    <n v="44.658000000000001"/>
    <n v="9"/>
  </r>
  <r>
    <s v="257-73-1380"/>
    <x v="1"/>
    <x v="1"/>
    <x v="0"/>
    <x v="1"/>
    <x v="3"/>
    <x v="5"/>
    <x v="0"/>
    <d v="2019-01-20T00:00:00"/>
    <x v="2"/>
    <d v="1899-12-30T16:51:00"/>
    <s v="Ewallet"/>
    <n v="16.585999999999999"/>
    <n v="9.6"/>
  </r>
  <r>
    <s v="345-08-4992"/>
    <x v="0"/>
    <x v="0"/>
    <x v="1"/>
    <x v="1"/>
    <x v="2"/>
    <x v="1"/>
    <x v="1"/>
    <d v="2019-03-08T00:00:00"/>
    <x v="0"/>
    <d v="1899-12-30T15:37:00"/>
    <s v="Credit card"/>
    <n v="10.196999999999999"/>
    <n v="7.7"/>
  </r>
  <r>
    <s v="549-96-4200"/>
    <x v="1"/>
    <x v="1"/>
    <x v="0"/>
    <x v="1"/>
    <x v="4"/>
    <x v="1"/>
    <x v="1"/>
    <d v="2019-03-08T00:00:00"/>
    <x v="2"/>
    <d v="1899-12-30T20:15:00"/>
    <s v="Ewallet"/>
    <n v="3.4079999999999999"/>
    <n v="7"/>
  </r>
  <r>
    <s v="810-60-6344"/>
    <x v="1"/>
    <x v="1"/>
    <x v="1"/>
    <x v="0"/>
    <x v="1"/>
    <x v="3"/>
    <x v="2"/>
    <d v="2019-02-07T00:00:00"/>
    <x v="0"/>
    <d v="1899-12-30T14:38:00"/>
    <s v="Credit card"/>
    <n v="16.344000000000001"/>
    <n v="6.5"/>
  </r>
  <r>
    <s v="450-28-2866"/>
    <x v="1"/>
    <x v="1"/>
    <x v="0"/>
    <x v="1"/>
    <x v="4"/>
    <x v="1"/>
    <x v="0"/>
    <d v="2019-01-15T00:00:00"/>
    <x v="2"/>
    <d v="1899-12-30T19:25:00"/>
    <s v="Cash"/>
    <n v="4.3600000000000003"/>
    <n v="8.1"/>
  </r>
  <r>
    <s v="394-30-3170"/>
    <x v="2"/>
    <x v="2"/>
    <x v="0"/>
    <x v="0"/>
    <x v="3"/>
    <x v="2"/>
    <x v="1"/>
    <d v="2019-03-22T00:00:00"/>
    <x v="2"/>
    <d v="1899-12-30T19:35:00"/>
    <s v="Credit card"/>
    <n v="35.372"/>
    <n v="4.3"/>
  </r>
  <r>
    <s v="138-17-5109"/>
    <x v="0"/>
    <x v="0"/>
    <x v="0"/>
    <x v="0"/>
    <x v="2"/>
    <x v="1"/>
    <x v="0"/>
    <d v="2019-01-15T00:00:00"/>
    <x v="0"/>
    <d v="1899-12-30T15:42:00"/>
    <s v="Credit card"/>
    <n v="40.144500000000001"/>
    <n v="6.5"/>
  </r>
  <r>
    <s v="192-98-7397"/>
    <x v="1"/>
    <x v="1"/>
    <x v="1"/>
    <x v="1"/>
    <x v="5"/>
    <x v="0"/>
    <x v="0"/>
    <d v="2019-01-08T00:00:00"/>
    <x v="0"/>
    <d v="1899-12-30T14:11:00"/>
    <s v="Ewallet"/>
    <n v="0.63900000000000001"/>
    <n v="9.5"/>
  </r>
  <r>
    <s v="301-11-9629"/>
    <x v="0"/>
    <x v="0"/>
    <x v="1"/>
    <x v="0"/>
    <x v="3"/>
    <x v="1"/>
    <x v="0"/>
    <d v="2019-01-15T00:00:00"/>
    <x v="1"/>
    <d v="1899-12-30T10:43:00"/>
    <s v="Cash"/>
    <n v="6.6849999999999996"/>
    <n v="9.6999999999999993"/>
  </r>
  <r>
    <s v="390-80-5128"/>
    <x v="2"/>
    <x v="2"/>
    <x v="0"/>
    <x v="0"/>
    <x v="0"/>
    <x v="2"/>
    <x v="0"/>
    <d v="2019-01-28T00:00:00"/>
    <x v="2"/>
    <d v="1899-12-30T17:58:00"/>
    <s v="Credit card"/>
    <n v="0.95750000000000002"/>
    <n v="9.5"/>
  </r>
  <r>
    <s v="235-46-8343"/>
    <x v="1"/>
    <x v="1"/>
    <x v="0"/>
    <x v="1"/>
    <x v="4"/>
    <x v="6"/>
    <x v="2"/>
    <d v="2019-02-14T00:00:00"/>
    <x v="1"/>
    <d v="1899-12-30T11:26:00"/>
    <s v="Credit card"/>
    <n v="13.83"/>
    <n v="8.9"/>
  </r>
  <r>
    <s v="453-12-7053"/>
    <x v="1"/>
    <x v="1"/>
    <x v="1"/>
    <x v="1"/>
    <x v="5"/>
    <x v="5"/>
    <x v="1"/>
    <d v="2019-03-10T00:00:00"/>
    <x v="2"/>
    <d v="1899-12-30T17:38:00"/>
    <s v="Credit card"/>
    <n v="6.8609999999999998"/>
    <n v="6.5"/>
  </r>
  <r>
    <s v="296-11-7041"/>
    <x v="2"/>
    <x v="2"/>
    <x v="0"/>
    <x v="0"/>
    <x v="0"/>
    <x v="1"/>
    <x v="0"/>
    <d v="2019-01-12T00:00:00"/>
    <x v="2"/>
    <d v="1899-12-30T20:07:00"/>
    <s v="Credit card"/>
    <n v="1.3534999999999999"/>
    <n v="5.3"/>
  </r>
  <r>
    <s v="449-27-2918"/>
    <x v="2"/>
    <x v="2"/>
    <x v="0"/>
    <x v="0"/>
    <x v="3"/>
    <x v="3"/>
    <x v="1"/>
    <d v="2019-03-26T00:00:00"/>
    <x v="1"/>
    <d v="1899-12-30T11:02:00"/>
    <s v="Credit card"/>
    <n v="1.956"/>
    <n v="9.6"/>
  </r>
  <r>
    <s v="891-01-7034"/>
    <x v="2"/>
    <x v="2"/>
    <x v="1"/>
    <x v="0"/>
    <x v="1"/>
    <x v="4"/>
    <x v="0"/>
    <d v="2019-01-01T00:00:00"/>
    <x v="2"/>
    <d v="1899-12-30T19:07:00"/>
    <s v="Cash"/>
    <n v="22.413"/>
    <n v="6.7"/>
  </r>
  <r>
    <s v="744-09-5786"/>
    <x v="2"/>
    <x v="2"/>
    <x v="1"/>
    <x v="1"/>
    <x v="1"/>
    <x v="4"/>
    <x v="0"/>
    <d v="2019-01-02T00:00:00"/>
    <x v="2"/>
    <d v="1899-12-30T18:50:00"/>
    <s v="Cash"/>
    <n v="6.6029999999999998"/>
    <n v="7.6"/>
  </r>
  <r>
    <s v="727-17-0390"/>
    <x v="0"/>
    <x v="0"/>
    <x v="1"/>
    <x v="0"/>
    <x v="4"/>
    <x v="2"/>
    <x v="1"/>
    <d v="2019-03-16T00:00:00"/>
    <x v="0"/>
    <d v="1899-12-30T12:43:00"/>
    <s v="Ewallet"/>
    <n v="15.9025"/>
    <n v="4.8"/>
  </r>
  <r>
    <s v="568-88-3448"/>
    <x v="0"/>
    <x v="0"/>
    <x v="1"/>
    <x v="1"/>
    <x v="0"/>
    <x v="1"/>
    <x v="1"/>
    <d v="2019-03-03T00:00:00"/>
    <x v="0"/>
    <d v="1899-12-30T15:09:00"/>
    <s v="Ewallet"/>
    <n v="1.25"/>
    <n v="5.5"/>
  </r>
  <r>
    <s v="187-83-5490"/>
    <x v="0"/>
    <x v="0"/>
    <x v="0"/>
    <x v="1"/>
    <x v="1"/>
    <x v="2"/>
    <x v="0"/>
    <d v="2019-01-31T00:00:00"/>
    <x v="0"/>
    <d v="1899-12-30T13:47:00"/>
    <s v="Cash"/>
    <n v="4.1539999999999999"/>
    <n v="4.7"/>
  </r>
  <r>
    <s v="767-54-1907"/>
    <x v="2"/>
    <x v="2"/>
    <x v="0"/>
    <x v="0"/>
    <x v="5"/>
    <x v="6"/>
    <x v="2"/>
    <d v="2019-02-13T00:00:00"/>
    <x v="2"/>
    <d v="1899-12-30T16:59:00"/>
    <s v="Cash"/>
    <n v="7.39"/>
    <n v="6.9"/>
  </r>
  <r>
    <s v="710-46-4433"/>
    <x v="2"/>
    <x v="2"/>
    <x v="0"/>
    <x v="0"/>
    <x v="4"/>
    <x v="6"/>
    <x v="2"/>
    <d v="2019-02-15T00:00:00"/>
    <x v="0"/>
    <d v="1899-12-30T14:15:00"/>
    <s v="Credit card"/>
    <n v="34.83"/>
    <n v="4.5"/>
  </r>
  <r>
    <s v="533-33-5337"/>
    <x v="2"/>
    <x v="2"/>
    <x v="1"/>
    <x v="1"/>
    <x v="1"/>
    <x v="3"/>
    <x v="2"/>
    <d v="2019-02-07T00:00:00"/>
    <x v="2"/>
    <d v="1899-12-30T20:24:00"/>
    <s v="Cash"/>
    <n v="39.695"/>
    <n v="6.2"/>
  </r>
  <r>
    <s v="325-90-8763"/>
    <x v="1"/>
    <x v="1"/>
    <x v="0"/>
    <x v="0"/>
    <x v="1"/>
    <x v="2"/>
    <x v="0"/>
    <d v="2019-01-27T00:00:00"/>
    <x v="0"/>
    <d v="1899-12-30T13:58:00"/>
    <s v="Cash"/>
    <n v="23.285"/>
    <n v="7.6"/>
  </r>
  <r>
    <s v="729-46-7422"/>
    <x v="1"/>
    <x v="1"/>
    <x v="1"/>
    <x v="1"/>
    <x v="4"/>
    <x v="0"/>
    <x v="2"/>
    <d v="2019-02-23T00:00:00"/>
    <x v="2"/>
    <d v="1899-12-30T16:52:00"/>
    <s v="Credit card"/>
    <n v="1.7945"/>
    <n v="7.9"/>
  </r>
  <r>
    <s v="639-76-1242"/>
    <x v="1"/>
    <x v="1"/>
    <x v="1"/>
    <x v="1"/>
    <x v="4"/>
    <x v="3"/>
    <x v="2"/>
    <d v="2019-02-03T00:00:00"/>
    <x v="0"/>
    <d v="1899-12-30T15:19:00"/>
    <s v="Cash"/>
    <n v="10.130000000000001"/>
    <n v="4.5"/>
  </r>
  <r>
    <s v="234-03-4040"/>
    <x v="2"/>
    <x v="2"/>
    <x v="0"/>
    <x v="0"/>
    <x v="4"/>
    <x v="1"/>
    <x v="1"/>
    <d v="2019-03-03T00:00:00"/>
    <x v="0"/>
    <d v="1899-12-30T12:25:00"/>
    <s v="Credit card"/>
    <n v="36.524999999999999"/>
    <n v="8.6999999999999993"/>
  </r>
  <r>
    <s v="326-71-2155"/>
    <x v="1"/>
    <x v="1"/>
    <x v="1"/>
    <x v="0"/>
    <x v="3"/>
    <x v="3"/>
    <x v="2"/>
    <d v="2019-02-03T00:00:00"/>
    <x v="1"/>
    <d v="1899-12-30T10:02:00"/>
    <s v="Cash"/>
    <n v="14.79"/>
    <n v="6.1"/>
  </r>
  <r>
    <s v="320-32-8842"/>
    <x v="1"/>
    <x v="1"/>
    <x v="0"/>
    <x v="0"/>
    <x v="4"/>
    <x v="2"/>
    <x v="1"/>
    <d v="2019-03-17T00:00:00"/>
    <x v="2"/>
    <d v="1899-12-30T18:58:00"/>
    <s v="Cash"/>
    <n v="1.131"/>
    <n v="6.4"/>
  </r>
  <r>
    <s v="470-32-9057"/>
    <x v="0"/>
    <x v="0"/>
    <x v="0"/>
    <x v="1"/>
    <x v="4"/>
    <x v="3"/>
    <x v="1"/>
    <d v="2019-03-28T00:00:00"/>
    <x v="0"/>
    <d v="1899-12-30T15:31:00"/>
    <s v="Credit card"/>
    <n v="12.835000000000001"/>
    <n v="9.1"/>
  </r>
  <r>
    <s v="878-30-2331"/>
    <x v="1"/>
    <x v="1"/>
    <x v="0"/>
    <x v="0"/>
    <x v="3"/>
    <x v="1"/>
    <x v="1"/>
    <d v="2019-03-02T00:00:00"/>
    <x v="1"/>
    <d v="1899-12-30T11:22:00"/>
    <s v="Credit card"/>
    <n v="27.274999999999999"/>
    <n v="7.1"/>
  </r>
  <r>
    <s v="440-59-5691"/>
    <x v="1"/>
    <x v="1"/>
    <x v="0"/>
    <x v="0"/>
    <x v="0"/>
    <x v="3"/>
    <x v="2"/>
    <d v="2019-02-08T00:00:00"/>
    <x v="0"/>
    <d v="1899-12-30T13:12:00"/>
    <s v="Credit card"/>
    <n v="13.0025"/>
    <n v="7.7"/>
  </r>
  <r>
    <s v="554-53-3790"/>
    <x v="2"/>
    <x v="2"/>
    <x v="1"/>
    <x v="1"/>
    <x v="3"/>
    <x v="2"/>
    <x v="1"/>
    <d v="2019-03-22T00:00:00"/>
    <x v="2"/>
    <d v="1899-12-30T18:33:00"/>
    <s v="Cash"/>
    <n v="11.106"/>
    <n v="4.5"/>
  </r>
  <r>
    <s v="746-19-0921"/>
    <x v="1"/>
    <x v="1"/>
    <x v="1"/>
    <x v="1"/>
    <x v="4"/>
    <x v="6"/>
    <x v="2"/>
    <d v="2019-02-09T00:00:00"/>
    <x v="1"/>
    <d v="1899-12-30T10:02:00"/>
    <s v="Ewallet"/>
    <n v="1.079"/>
    <n v="7.2"/>
  </r>
  <r>
    <s v="233-34-0817"/>
    <x v="1"/>
    <x v="1"/>
    <x v="0"/>
    <x v="0"/>
    <x v="1"/>
    <x v="6"/>
    <x v="2"/>
    <d v="2019-02-15T00:00:00"/>
    <x v="1"/>
    <d v="1899-12-30T11:21:00"/>
    <s v="Cash"/>
    <n v="4.9420000000000002"/>
    <n v="8.4"/>
  </r>
  <r>
    <s v="767-05-1286"/>
    <x v="1"/>
    <x v="1"/>
    <x v="0"/>
    <x v="0"/>
    <x v="2"/>
    <x v="5"/>
    <x v="0"/>
    <d v="2019-01-23T00:00:00"/>
    <x v="0"/>
    <d v="1899-12-30T12:10:00"/>
    <s v="Ewallet"/>
    <n v="25.131"/>
    <n v="5.4"/>
  </r>
  <r>
    <s v="340-21-9136"/>
    <x v="0"/>
    <x v="0"/>
    <x v="0"/>
    <x v="0"/>
    <x v="3"/>
    <x v="5"/>
    <x v="0"/>
    <d v="2019-01-25T00:00:00"/>
    <x v="1"/>
    <d v="1899-12-30T11:40:00"/>
    <s v="Cash"/>
    <n v="8.01"/>
    <n v="9.6999999999999993"/>
  </r>
  <r>
    <s v="405-31-3305"/>
    <x v="0"/>
    <x v="0"/>
    <x v="0"/>
    <x v="1"/>
    <x v="5"/>
    <x v="3"/>
    <x v="2"/>
    <d v="2019-02-02T00:00:00"/>
    <x v="2"/>
    <d v="1899-12-30T18:31:00"/>
    <s v="Credit card"/>
    <n v="21.565000000000001"/>
    <n v="5.5"/>
  </r>
  <r>
    <s v="731-59-7531"/>
    <x v="2"/>
    <x v="2"/>
    <x v="0"/>
    <x v="1"/>
    <x v="0"/>
    <x v="6"/>
    <x v="1"/>
    <d v="2019-03-30T00:00:00"/>
    <x v="2"/>
    <d v="1899-12-30T17:58:00"/>
    <s v="Cash"/>
    <n v="29.027999999999999"/>
    <n v="4.5999999999999996"/>
  </r>
  <r>
    <s v="676-39-6028"/>
    <x v="0"/>
    <x v="0"/>
    <x v="0"/>
    <x v="0"/>
    <x v="1"/>
    <x v="6"/>
    <x v="1"/>
    <d v="2019-03-30T00:00:00"/>
    <x v="2"/>
    <d v="1899-12-30T17:04:00"/>
    <s v="Cash"/>
    <n v="16.11"/>
    <n v="6.6"/>
  </r>
  <r>
    <s v="502-05-1910"/>
    <x v="0"/>
    <x v="0"/>
    <x v="1"/>
    <x v="1"/>
    <x v="0"/>
    <x v="0"/>
    <x v="2"/>
    <d v="2019-02-25T00:00:00"/>
    <x v="2"/>
    <d v="1899-12-30T20:35:00"/>
    <s v="Credit card"/>
    <n v="9.7769999999999992"/>
    <n v="6.3"/>
  </r>
  <r>
    <s v="485-30-8700"/>
    <x v="0"/>
    <x v="0"/>
    <x v="1"/>
    <x v="0"/>
    <x v="3"/>
    <x v="2"/>
    <x v="1"/>
    <d v="2019-03-18T00:00:00"/>
    <x v="2"/>
    <d v="1899-12-30T16:10:00"/>
    <s v="Credit card"/>
    <n v="8.3149999999999995"/>
    <n v="4.2"/>
  </r>
  <r>
    <s v="598-47-9715"/>
    <x v="1"/>
    <x v="1"/>
    <x v="1"/>
    <x v="1"/>
    <x v="1"/>
    <x v="1"/>
    <x v="1"/>
    <d v="2019-03-07T00:00:00"/>
    <x v="2"/>
    <d v="1899-12-30T16:54:00"/>
    <s v="Ewallet"/>
    <n v="16.814"/>
    <n v="4.4000000000000004"/>
  </r>
  <r>
    <s v="701-69-8742"/>
    <x v="2"/>
    <x v="2"/>
    <x v="1"/>
    <x v="1"/>
    <x v="3"/>
    <x v="2"/>
    <x v="1"/>
    <d v="2019-03-16T00:00:00"/>
    <x v="1"/>
    <d v="1899-12-30T10:11:00"/>
    <s v="Ewallet"/>
    <n v="17.184999999999999"/>
    <n v="6.7"/>
  </r>
  <r>
    <s v="575-67-1508"/>
    <x v="0"/>
    <x v="0"/>
    <x v="1"/>
    <x v="1"/>
    <x v="1"/>
    <x v="2"/>
    <x v="0"/>
    <d v="2019-01-29T00:00:00"/>
    <x v="1"/>
    <d v="1899-12-30T11:26:00"/>
    <s v="Ewallet"/>
    <n v="1.93"/>
    <n v="6.7"/>
  </r>
  <r>
    <s v="541-08-3113"/>
    <x v="1"/>
    <x v="1"/>
    <x v="1"/>
    <x v="1"/>
    <x v="4"/>
    <x v="3"/>
    <x v="2"/>
    <d v="2019-02-02T00:00:00"/>
    <x v="2"/>
    <d v="1899-12-30T20:29:00"/>
    <s v="Cash"/>
    <n v="26.388000000000002"/>
    <n v="8.4"/>
  </r>
  <r>
    <s v="246-11-3901"/>
    <x v="1"/>
    <x v="1"/>
    <x v="1"/>
    <x v="0"/>
    <x v="1"/>
    <x v="6"/>
    <x v="2"/>
    <d v="2019-02-15T00:00:00"/>
    <x v="0"/>
    <d v="1899-12-30T12:12:00"/>
    <s v="Cash"/>
    <n v="16.399999999999999"/>
    <n v="6.2"/>
  </r>
  <r>
    <s v="674-15-9296"/>
    <x v="0"/>
    <x v="0"/>
    <x v="1"/>
    <x v="1"/>
    <x v="3"/>
    <x v="0"/>
    <x v="0"/>
    <d v="2019-01-08T00:00:00"/>
    <x v="0"/>
    <d v="1899-12-30T13:05:00"/>
    <s v="Ewallet"/>
    <n v="9.2850000000000001"/>
    <n v="5"/>
  </r>
  <r>
    <s v="305-18-3552"/>
    <x v="2"/>
    <x v="2"/>
    <x v="0"/>
    <x v="1"/>
    <x v="2"/>
    <x v="6"/>
    <x v="2"/>
    <d v="2019-02-12T00:00:00"/>
    <x v="2"/>
    <d v="1899-12-30T16:19:00"/>
    <s v="Cash"/>
    <n v="30.19"/>
    <n v="6"/>
  </r>
  <r>
    <s v="493-65-6248"/>
    <x v="1"/>
    <x v="1"/>
    <x v="0"/>
    <x v="0"/>
    <x v="3"/>
    <x v="4"/>
    <x v="0"/>
    <d v="2019-01-01T00:00:00"/>
    <x v="2"/>
    <d v="1899-12-30T19:48:00"/>
    <s v="Credit card"/>
    <n v="18.489999999999998"/>
    <n v="7"/>
  </r>
  <r>
    <s v="438-01-4015"/>
    <x v="2"/>
    <x v="2"/>
    <x v="0"/>
    <x v="0"/>
    <x v="3"/>
    <x v="2"/>
    <x v="1"/>
    <d v="2019-03-21T00:00:00"/>
    <x v="0"/>
    <d v="1899-12-30T15:25:00"/>
    <s v="Ewallet"/>
    <n v="9.8979999999999997"/>
    <n v="6.6"/>
  </r>
  <r>
    <s v="709-58-4068"/>
    <x v="2"/>
    <x v="2"/>
    <x v="1"/>
    <x v="0"/>
    <x v="5"/>
    <x v="0"/>
    <x v="2"/>
    <d v="2019-02-28T00:00:00"/>
    <x v="0"/>
    <d v="1899-12-30T14:42:00"/>
    <s v="Cash"/>
    <n v="20.545000000000002"/>
    <n v="7.3"/>
  </r>
  <r>
    <s v="795-49-7276"/>
    <x v="0"/>
    <x v="0"/>
    <x v="1"/>
    <x v="1"/>
    <x v="5"/>
    <x v="3"/>
    <x v="1"/>
    <d v="2019-03-23T00:00:00"/>
    <x v="2"/>
    <d v="1899-12-30T18:59:00"/>
    <s v="Ewallet"/>
    <n v="7.43"/>
    <n v="8.3000000000000007"/>
  </r>
  <r>
    <s v="556-72-8512"/>
    <x v="1"/>
    <x v="1"/>
    <x v="1"/>
    <x v="1"/>
    <x v="2"/>
    <x v="2"/>
    <x v="0"/>
    <d v="2019-01-30T00:00:00"/>
    <x v="2"/>
    <d v="1899-12-30T20:47:00"/>
    <s v="Cash"/>
    <n v="1.1479999999999999"/>
    <n v="4.3"/>
  </r>
  <r>
    <s v="627-95-3243"/>
    <x v="2"/>
    <x v="2"/>
    <x v="0"/>
    <x v="0"/>
    <x v="2"/>
    <x v="3"/>
    <x v="2"/>
    <d v="2019-02-04T00:00:00"/>
    <x v="0"/>
    <d v="1899-12-30T13:21:00"/>
    <s v="Ewallet"/>
    <n v="34.956000000000003"/>
    <n v="9.8000000000000007"/>
  </r>
  <r>
    <s v="686-41-0932"/>
    <x v="2"/>
    <x v="2"/>
    <x v="1"/>
    <x v="0"/>
    <x v="5"/>
    <x v="5"/>
    <x v="1"/>
    <d v="2019-03-13T00:00:00"/>
    <x v="2"/>
    <d v="1899-12-30T19:48:00"/>
    <s v="Ewallet"/>
    <n v="3.47"/>
    <n v="8.1999999999999993"/>
  </r>
  <r>
    <s v="510-09-5628"/>
    <x v="0"/>
    <x v="0"/>
    <x v="0"/>
    <x v="0"/>
    <x v="5"/>
    <x v="5"/>
    <x v="1"/>
    <d v="2019-03-15T00:00:00"/>
    <x v="2"/>
    <d v="1899-12-30T18:20:00"/>
    <s v="Credit card"/>
    <n v="9.83"/>
    <n v="7.2"/>
  </r>
  <r>
    <s v="608-04-3797"/>
    <x v="2"/>
    <x v="2"/>
    <x v="0"/>
    <x v="0"/>
    <x v="0"/>
    <x v="1"/>
    <x v="1"/>
    <d v="2019-03-05T00:00:00"/>
    <x v="2"/>
    <d v="1899-12-30T20:24:00"/>
    <s v="Ewallet"/>
    <n v="10.128"/>
    <n v="8.6999999999999993"/>
  </r>
  <r>
    <s v="148-82-2527"/>
    <x v="1"/>
    <x v="1"/>
    <x v="0"/>
    <x v="0"/>
    <x v="2"/>
    <x v="1"/>
    <x v="1"/>
    <d v="2019-03-05T00:00:00"/>
    <x v="0"/>
    <d v="1899-12-30T13:44:00"/>
    <s v="Credit card"/>
    <n v="6.06"/>
    <n v="8.4"/>
  </r>
  <r>
    <s v="437-53-3084"/>
    <x v="2"/>
    <x v="2"/>
    <x v="1"/>
    <x v="1"/>
    <x v="5"/>
    <x v="0"/>
    <x v="2"/>
    <d v="2019-02-26T00:00:00"/>
    <x v="1"/>
    <d v="1899-12-30T11:48:00"/>
    <s v="Ewallet"/>
    <n v="9.9890000000000008"/>
    <n v="7.1"/>
  </r>
  <r>
    <s v="632-32-4574"/>
    <x v="2"/>
    <x v="2"/>
    <x v="1"/>
    <x v="1"/>
    <x v="3"/>
    <x v="2"/>
    <x v="1"/>
    <d v="2019-03-20T00:00:00"/>
    <x v="0"/>
    <d v="1899-12-30T14:14:00"/>
    <s v="Cash"/>
    <n v="30.367999999999999"/>
    <n v="5.5"/>
  </r>
  <r>
    <s v="556-97-7101"/>
    <x v="1"/>
    <x v="1"/>
    <x v="1"/>
    <x v="0"/>
    <x v="1"/>
    <x v="4"/>
    <x v="0"/>
    <d v="2019-01-01T00:00:00"/>
    <x v="0"/>
    <d v="1899-12-30T15:51:00"/>
    <s v="Cash"/>
    <n v="6.3220000000000001"/>
    <n v="8.5"/>
  </r>
  <r>
    <s v="862-59-8517"/>
    <x v="1"/>
    <x v="1"/>
    <x v="1"/>
    <x v="0"/>
    <x v="4"/>
    <x v="2"/>
    <x v="0"/>
    <d v="2019-01-27T00:00:00"/>
    <x v="1"/>
    <d v="1899-12-30T11:17:00"/>
    <s v="Cash"/>
    <n v="27.071999999999999"/>
    <n v="6.2"/>
  </r>
  <r>
    <s v="401-18-8016"/>
    <x v="2"/>
    <x v="2"/>
    <x v="0"/>
    <x v="0"/>
    <x v="3"/>
    <x v="5"/>
    <x v="0"/>
    <d v="2019-01-21T00:00:00"/>
    <x v="2"/>
    <d v="1899-12-30T17:36:00"/>
    <s v="Cash"/>
    <n v="4.9065000000000003"/>
    <n v="8.9"/>
  </r>
  <r>
    <s v="420-18-8989"/>
    <x v="0"/>
    <x v="0"/>
    <x v="0"/>
    <x v="0"/>
    <x v="3"/>
    <x v="3"/>
    <x v="2"/>
    <d v="2019-02-02T00:00:00"/>
    <x v="0"/>
    <d v="1899-12-30T15:47:00"/>
    <s v="Cash"/>
    <n v="20.608000000000001"/>
    <n v="9.6"/>
  </r>
  <r>
    <s v="277-63-2961"/>
    <x v="2"/>
    <x v="2"/>
    <x v="0"/>
    <x v="1"/>
    <x v="3"/>
    <x v="3"/>
    <x v="2"/>
    <d v="2019-02-03T00:00:00"/>
    <x v="0"/>
    <d v="1899-12-30T15:53:00"/>
    <s v="Credit card"/>
    <n v="3.6985000000000001"/>
    <n v="5.4"/>
  </r>
  <r>
    <s v="573-98-8548"/>
    <x v="1"/>
    <x v="1"/>
    <x v="0"/>
    <x v="0"/>
    <x v="5"/>
    <x v="0"/>
    <x v="0"/>
    <d v="2019-01-05T00:00:00"/>
    <x v="0"/>
    <d v="1899-12-30T12:40:00"/>
    <s v="Ewallet"/>
    <n v="1.595"/>
    <n v="9.1"/>
  </r>
  <r>
    <s v="620-02-2046"/>
    <x v="1"/>
    <x v="1"/>
    <x v="1"/>
    <x v="1"/>
    <x v="2"/>
    <x v="2"/>
    <x v="0"/>
    <d v="2019-01-27T00:00:00"/>
    <x v="2"/>
    <d v="1899-12-30T19:48:00"/>
    <s v="Ewallet"/>
    <n v="6.94"/>
    <n v="9"/>
  </r>
  <r>
    <s v="282-35-2475"/>
    <x v="2"/>
    <x v="2"/>
    <x v="1"/>
    <x v="0"/>
    <x v="3"/>
    <x v="3"/>
    <x v="1"/>
    <d v="2019-03-25T00:00:00"/>
    <x v="2"/>
    <d v="1899-12-30T17:53:00"/>
    <s v="Cash"/>
    <n v="9.3309999999999995"/>
    <n v="6.3"/>
  </r>
  <r>
    <s v="511-54-3087"/>
    <x v="2"/>
    <x v="2"/>
    <x v="1"/>
    <x v="1"/>
    <x v="3"/>
    <x v="0"/>
    <x v="2"/>
    <d v="2019-02-25T00:00:00"/>
    <x v="2"/>
    <d v="1899-12-30T16:36:00"/>
    <s v="Credit card"/>
    <n v="4.4225000000000003"/>
    <n v="9.5"/>
  </r>
  <r>
    <s v="726-29-6793"/>
    <x v="0"/>
    <x v="0"/>
    <x v="0"/>
    <x v="1"/>
    <x v="1"/>
    <x v="2"/>
    <x v="0"/>
    <d v="2019-01-28T00:00:00"/>
    <x v="2"/>
    <d v="1899-12-30T20:54:00"/>
    <s v="Ewallet"/>
    <n v="9.6720000000000006"/>
    <n v="9.8000000000000007"/>
  </r>
  <r>
    <s v="387-49-4215"/>
    <x v="2"/>
    <x v="2"/>
    <x v="0"/>
    <x v="0"/>
    <x v="3"/>
    <x v="0"/>
    <x v="0"/>
    <d v="2019-01-08T00:00:00"/>
    <x v="0"/>
    <d v="1899-12-30T12:50:00"/>
    <s v="Cash"/>
    <n v="7.2750000000000004"/>
    <n v="6.7"/>
  </r>
  <r>
    <s v="862-17-9201"/>
    <x v="2"/>
    <x v="2"/>
    <x v="1"/>
    <x v="0"/>
    <x v="4"/>
    <x v="2"/>
    <x v="0"/>
    <d v="2019-01-29T00:00:00"/>
    <x v="1"/>
    <d v="1899-12-30T10:48:00"/>
    <s v="Credit card"/>
    <n v="25.215"/>
    <n v="7.7"/>
  </r>
  <r>
    <s v="291-21-5991"/>
    <x v="2"/>
    <x v="2"/>
    <x v="0"/>
    <x v="1"/>
    <x v="0"/>
    <x v="3"/>
    <x v="1"/>
    <d v="2019-03-29T00:00:00"/>
    <x v="0"/>
    <d v="1899-12-30T14:28:00"/>
    <s v="Cash"/>
    <n v="15.3225"/>
    <n v="7"/>
  </r>
  <r>
    <s v="602-80-9671"/>
    <x v="1"/>
    <x v="1"/>
    <x v="0"/>
    <x v="0"/>
    <x v="2"/>
    <x v="6"/>
    <x v="2"/>
    <d v="2019-02-09T00:00:00"/>
    <x v="2"/>
    <d v="1899-12-30T17:15:00"/>
    <s v="Credit card"/>
    <n v="4.7850000000000001"/>
    <n v="5.0999999999999996"/>
  </r>
  <r>
    <s v="347-72-6115"/>
    <x v="2"/>
    <x v="2"/>
    <x v="0"/>
    <x v="0"/>
    <x v="3"/>
    <x v="1"/>
    <x v="0"/>
    <d v="2019-01-16T00:00:00"/>
    <x v="2"/>
    <d v="1899-12-30T18:03:00"/>
    <s v="Credit card"/>
    <n v="31.759"/>
    <n v="6.2"/>
  </r>
  <r>
    <s v="209-61-0206"/>
    <x v="0"/>
    <x v="0"/>
    <x v="1"/>
    <x v="0"/>
    <x v="2"/>
    <x v="0"/>
    <x v="0"/>
    <d v="2019-01-05T00:00:00"/>
    <x v="2"/>
    <d v="1899-12-30T17:29:00"/>
    <s v="Ewallet"/>
    <n v="10.727499999999999"/>
    <n v="6.1"/>
  </r>
  <r>
    <s v="595-27-4851"/>
    <x v="0"/>
    <x v="0"/>
    <x v="1"/>
    <x v="0"/>
    <x v="5"/>
    <x v="2"/>
    <x v="0"/>
    <d v="2019-01-27T00:00:00"/>
    <x v="2"/>
    <d v="1899-12-30T18:05:00"/>
    <s v="Ewallet"/>
    <n v="18.998000000000001"/>
    <n v="9.3000000000000007"/>
  </r>
  <r>
    <s v="189-52-0236"/>
    <x v="0"/>
    <x v="0"/>
    <x v="1"/>
    <x v="1"/>
    <x v="1"/>
    <x v="5"/>
    <x v="1"/>
    <d v="2019-03-14T00:00:00"/>
    <x v="0"/>
    <d v="1899-12-30T12:07:00"/>
    <s v="Cash"/>
    <n v="34.842500000000001"/>
    <n v="7.6"/>
  </r>
  <r>
    <s v="503-07-0930"/>
    <x v="1"/>
    <x v="1"/>
    <x v="0"/>
    <x v="1"/>
    <x v="3"/>
    <x v="0"/>
    <x v="2"/>
    <d v="2019-02-23T00:00:00"/>
    <x v="2"/>
    <d v="1899-12-30T19:49:00"/>
    <s v="Credit card"/>
    <n v="20.436499999999999"/>
    <n v="8.1999999999999993"/>
  </r>
  <r>
    <s v="413-20-6708"/>
    <x v="1"/>
    <x v="1"/>
    <x v="0"/>
    <x v="0"/>
    <x v="5"/>
    <x v="2"/>
    <x v="1"/>
    <d v="2019-03-18T00:00:00"/>
    <x v="0"/>
    <d v="1899-12-30T15:52:00"/>
    <s v="Ewallet"/>
    <n v="2.5735000000000001"/>
    <n v="8.5"/>
  </r>
  <r>
    <s v="425-85-2085"/>
    <x v="2"/>
    <x v="2"/>
    <x v="0"/>
    <x v="1"/>
    <x v="0"/>
    <x v="3"/>
    <x v="1"/>
    <d v="2019-03-29T00:00:00"/>
    <x v="2"/>
    <d v="1899-12-30T16:48:00"/>
    <s v="Ewallet"/>
    <n v="13.715"/>
    <n v="9.8000000000000007"/>
  </r>
  <r>
    <s v="521-18-7827"/>
    <x v="1"/>
    <x v="1"/>
    <x v="0"/>
    <x v="1"/>
    <x v="2"/>
    <x v="5"/>
    <x v="0"/>
    <d v="2019-01-22T00:00:00"/>
    <x v="2"/>
    <d v="1899-12-30T20:46:00"/>
    <s v="Credit card"/>
    <n v="9.8475000000000001"/>
    <n v="8.6999999999999993"/>
  </r>
  <r>
    <s v="220-28-1851"/>
    <x v="0"/>
    <x v="0"/>
    <x v="1"/>
    <x v="1"/>
    <x v="2"/>
    <x v="0"/>
    <x v="1"/>
    <d v="2019-03-01T00:00:00"/>
    <x v="2"/>
    <d v="1899-12-30T18:14:00"/>
    <s v="Ewallet"/>
    <n v="3.4729999999999999"/>
    <n v="9.6999999999999993"/>
  </r>
  <r>
    <s v="600-38-9738"/>
    <x v="1"/>
    <x v="1"/>
    <x v="0"/>
    <x v="1"/>
    <x v="3"/>
    <x v="1"/>
    <x v="0"/>
    <d v="2019-01-17T00:00:00"/>
    <x v="0"/>
    <d v="1899-12-30T15:05:00"/>
    <s v="Credit card"/>
    <n v="17.98"/>
    <n v="4.3"/>
  </r>
  <r>
    <s v="734-91-1155"/>
    <x v="2"/>
    <x v="2"/>
    <x v="1"/>
    <x v="0"/>
    <x v="1"/>
    <x v="3"/>
    <x v="1"/>
    <d v="2019-03-26T00:00:00"/>
    <x v="1"/>
    <d v="1899-12-30T10:34:00"/>
    <s v="Credit card"/>
    <n v="6.8564999999999996"/>
    <n v="7.7"/>
  </r>
  <r>
    <s v="451-28-5717"/>
    <x v="1"/>
    <x v="1"/>
    <x v="0"/>
    <x v="0"/>
    <x v="2"/>
    <x v="2"/>
    <x v="1"/>
    <d v="2019-03-20T00:00:00"/>
    <x v="1"/>
    <d v="1899-12-30T11:23:00"/>
    <s v="Cash"/>
    <n v="24.951000000000001"/>
    <n v="7.3"/>
  </r>
  <r>
    <s v="609-81-8548"/>
    <x v="0"/>
    <x v="0"/>
    <x v="0"/>
    <x v="0"/>
    <x v="2"/>
    <x v="3"/>
    <x v="2"/>
    <d v="2019-02-06T00:00:00"/>
    <x v="0"/>
    <d v="1899-12-30T13:55:00"/>
    <s v="Credit card"/>
    <n v="11.231999999999999"/>
    <n v="5.9"/>
  </r>
  <r>
    <s v="133-14-7229"/>
    <x v="1"/>
    <x v="1"/>
    <x v="1"/>
    <x v="1"/>
    <x v="0"/>
    <x v="4"/>
    <x v="0"/>
    <d v="2019-01-01T00:00:00"/>
    <x v="1"/>
    <d v="1899-12-30T11:43:00"/>
    <s v="Cash"/>
    <n v="6.2869999999999999"/>
    <n v="5"/>
  </r>
  <r>
    <s v="534-01-4457"/>
    <x v="0"/>
    <x v="0"/>
    <x v="1"/>
    <x v="1"/>
    <x v="4"/>
    <x v="2"/>
    <x v="0"/>
    <d v="2019-01-27T00:00:00"/>
    <x v="0"/>
    <d v="1899-12-30T14:36:00"/>
    <s v="Credit card"/>
    <n v="24.513000000000002"/>
    <n v="8"/>
  </r>
  <r>
    <s v="719-89-8991"/>
    <x v="0"/>
    <x v="0"/>
    <x v="0"/>
    <x v="0"/>
    <x v="3"/>
    <x v="0"/>
    <x v="2"/>
    <d v="2019-02-25T00:00:00"/>
    <x v="2"/>
    <d v="1899-12-30T16:03:00"/>
    <s v="Ewallet"/>
    <n v="22.852499999999999"/>
    <n v="7.1"/>
  </r>
  <r>
    <s v="286-62-6248"/>
    <x v="2"/>
    <x v="2"/>
    <x v="1"/>
    <x v="1"/>
    <x v="5"/>
    <x v="1"/>
    <x v="0"/>
    <d v="2019-01-16T00:00:00"/>
    <x v="2"/>
    <d v="1899-12-30T20:03:00"/>
    <s v="Credit card"/>
    <n v="7.8419999999999996"/>
    <n v="9"/>
  </r>
  <r>
    <s v="339-38-9982"/>
    <x v="2"/>
    <x v="2"/>
    <x v="0"/>
    <x v="1"/>
    <x v="5"/>
    <x v="1"/>
    <x v="0"/>
    <d v="2019-01-13T00:00:00"/>
    <x v="0"/>
    <d v="1899-12-30T14:55:00"/>
    <s v="Ewallet"/>
    <n v="5.9859999999999998"/>
    <n v="6.7"/>
  </r>
  <r>
    <s v="827-44-5872"/>
    <x v="2"/>
    <x v="2"/>
    <x v="0"/>
    <x v="0"/>
    <x v="4"/>
    <x v="3"/>
    <x v="2"/>
    <d v="2019-02-07T00:00:00"/>
    <x v="1"/>
    <d v="1899-12-30T11:28:00"/>
    <s v="Credit card"/>
    <n v="27.18"/>
    <n v="6.1"/>
  </r>
  <r>
    <s v="827-77-7633"/>
    <x v="0"/>
    <x v="0"/>
    <x v="1"/>
    <x v="1"/>
    <x v="3"/>
    <x v="4"/>
    <x v="2"/>
    <d v="2019-02-17T00:00:00"/>
    <x v="2"/>
    <d v="1899-12-30T19:41:00"/>
    <s v="Cash"/>
    <n v="44.140500000000003"/>
    <n v="9.3000000000000007"/>
  </r>
  <r>
    <s v="287-83-1405"/>
    <x v="0"/>
    <x v="0"/>
    <x v="1"/>
    <x v="1"/>
    <x v="0"/>
    <x v="6"/>
    <x v="2"/>
    <d v="2019-02-12T00:00:00"/>
    <x v="2"/>
    <d v="1899-12-30T19:01:00"/>
    <s v="Ewallet"/>
    <n v="7.6289999999999996"/>
    <n v="7"/>
  </r>
  <r>
    <s v="435-13-4908"/>
    <x v="0"/>
    <x v="0"/>
    <x v="0"/>
    <x v="1"/>
    <x v="5"/>
    <x v="5"/>
    <x v="0"/>
    <d v="2019-01-24T00:00:00"/>
    <x v="2"/>
    <d v="1899-12-30T18:04:00"/>
    <s v="Credit card"/>
    <n v="34.671999999999997"/>
    <n v="7.2"/>
  </r>
  <r>
    <s v="857-67-9057"/>
    <x v="2"/>
    <x v="2"/>
    <x v="1"/>
    <x v="1"/>
    <x v="1"/>
    <x v="3"/>
    <x v="2"/>
    <d v="2019-02-06T00:00:00"/>
    <x v="2"/>
    <d v="1899-12-30T19:20:00"/>
    <s v="Ewallet"/>
    <n v="11.475"/>
    <n v="8.1999999999999993"/>
  </r>
  <r>
    <s v="236-27-1144"/>
    <x v="1"/>
    <x v="1"/>
    <x v="1"/>
    <x v="0"/>
    <x v="4"/>
    <x v="3"/>
    <x v="1"/>
    <d v="2019-03-26T00:00:00"/>
    <x v="1"/>
    <d v="1899-12-30T10:31:00"/>
    <s v="Ewallet"/>
    <n v="7.3395000000000001"/>
    <n v="8.4"/>
  </r>
  <r>
    <s v="892-05-6689"/>
    <x v="0"/>
    <x v="0"/>
    <x v="1"/>
    <x v="0"/>
    <x v="2"/>
    <x v="5"/>
    <x v="1"/>
    <d v="2019-03-11T00:00:00"/>
    <x v="0"/>
    <d v="1899-12-30T13:28:00"/>
    <s v="Ewallet"/>
    <n v="7.08"/>
    <n v="6.2"/>
  </r>
  <r>
    <s v="583-41-4548"/>
    <x v="1"/>
    <x v="1"/>
    <x v="1"/>
    <x v="1"/>
    <x v="2"/>
    <x v="3"/>
    <x v="2"/>
    <d v="2019-02-07T00:00:00"/>
    <x v="1"/>
    <d v="1899-12-30T11:36:00"/>
    <s v="Ewallet"/>
    <n v="5.8345000000000002"/>
    <n v="7.4"/>
  </r>
  <r>
    <s v="339-12-4827"/>
    <x v="2"/>
    <x v="2"/>
    <x v="0"/>
    <x v="0"/>
    <x v="5"/>
    <x v="0"/>
    <x v="0"/>
    <d v="2019-01-05T00:00:00"/>
    <x v="1"/>
    <d v="1899-12-30T11:32:00"/>
    <s v="Credit card"/>
    <n v="3.698"/>
    <n v="5"/>
  </r>
  <r>
    <s v="643-38-7867"/>
    <x v="0"/>
    <x v="0"/>
    <x v="1"/>
    <x v="1"/>
    <x v="2"/>
    <x v="1"/>
    <x v="1"/>
    <d v="2019-03-07T00:00:00"/>
    <x v="1"/>
    <d v="1899-12-30T11:44:00"/>
    <s v="Ewallet"/>
    <n v="4.8970000000000002"/>
    <n v="6.9"/>
  </r>
  <r>
    <s v="308-81-0538"/>
    <x v="0"/>
    <x v="0"/>
    <x v="1"/>
    <x v="0"/>
    <x v="5"/>
    <x v="0"/>
    <x v="2"/>
    <d v="2019-02-25T00:00:00"/>
    <x v="2"/>
    <d v="1899-12-30T17:16:00"/>
    <s v="Credit card"/>
    <n v="14.61"/>
    <n v="4.9000000000000004"/>
  </r>
  <r>
    <s v="358-88-9262"/>
    <x v="1"/>
    <x v="1"/>
    <x v="0"/>
    <x v="0"/>
    <x v="4"/>
    <x v="2"/>
    <x v="2"/>
    <d v="2019-02-01T00:00:00"/>
    <x v="2"/>
    <d v="1899-12-30T18:43:00"/>
    <s v="Ewallet"/>
    <n v="26.244"/>
    <n v="5.0999999999999996"/>
  </r>
  <r>
    <s v="460-35-4390"/>
    <x v="0"/>
    <x v="0"/>
    <x v="1"/>
    <x v="1"/>
    <x v="2"/>
    <x v="5"/>
    <x v="0"/>
    <d v="2019-01-22T00:00:00"/>
    <x v="1"/>
    <d v="1899-12-30T11:00:00"/>
    <s v="Ewallet"/>
    <n v="4.6020000000000003"/>
    <n v="9.1"/>
  </r>
  <r>
    <s v="343-87-0864"/>
    <x v="1"/>
    <x v="1"/>
    <x v="0"/>
    <x v="1"/>
    <x v="0"/>
    <x v="4"/>
    <x v="0"/>
    <d v="2019-01-03T00:00:00"/>
    <x v="1"/>
    <d v="1899-12-30T10:30:00"/>
    <s v="Credit card"/>
    <n v="3.794"/>
    <n v="7.1"/>
  </r>
  <r>
    <s v="173-50-1108"/>
    <x v="2"/>
    <x v="2"/>
    <x v="0"/>
    <x v="0"/>
    <x v="3"/>
    <x v="6"/>
    <x v="2"/>
    <d v="2019-02-13T00:00:00"/>
    <x v="0"/>
    <d v="1899-12-30T12:14:00"/>
    <s v="Credit card"/>
    <n v="4.0359999999999996"/>
    <n v="5"/>
  </r>
  <r>
    <s v="243-47-2663"/>
    <x v="1"/>
    <x v="1"/>
    <x v="0"/>
    <x v="1"/>
    <x v="1"/>
    <x v="2"/>
    <x v="0"/>
    <d v="2019-01-28T00:00:00"/>
    <x v="2"/>
    <d v="1899-12-30T16:43:00"/>
    <s v="Credit card"/>
    <n v="5.6310000000000002"/>
    <n v="5.5"/>
  </r>
  <r>
    <s v="841-18-8232"/>
    <x v="2"/>
    <x v="2"/>
    <x v="1"/>
    <x v="0"/>
    <x v="4"/>
    <x v="0"/>
    <x v="0"/>
    <d v="2019-01-05T00:00:00"/>
    <x v="2"/>
    <d v="1899-12-30T20:40:00"/>
    <s v="Credit card"/>
    <n v="3.56"/>
    <n v="9.1999999999999993"/>
  </r>
  <r>
    <s v="701-23-5550"/>
    <x v="2"/>
    <x v="2"/>
    <x v="0"/>
    <x v="1"/>
    <x v="2"/>
    <x v="2"/>
    <x v="1"/>
    <d v="2019-03-19T00:00:00"/>
    <x v="0"/>
    <d v="1899-12-30T13:40:00"/>
    <s v="Ewallet"/>
    <n v="7.7619999999999996"/>
    <n v="4.9000000000000004"/>
  </r>
  <r>
    <s v="647-50-1224"/>
    <x v="0"/>
    <x v="0"/>
    <x v="1"/>
    <x v="0"/>
    <x v="5"/>
    <x v="1"/>
    <x v="0"/>
    <d v="2019-01-12T00:00:00"/>
    <x v="2"/>
    <d v="1899-12-30T16:23:00"/>
    <s v="Ewallet"/>
    <n v="14.71"/>
    <n v="8.9"/>
  </r>
  <r>
    <s v="541-48-8554"/>
    <x v="0"/>
    <x v="0"/>
    <x v="1"/>
    <x v="1"/>
    <x v="3"/>
    <x v="0"/>
    <x v="0"/>
    <d v="2019-01-07T00:00:00"/>
    <x v="0"/>
    <d v="1899-12-30T12:08:00"/>
    <s v="Credit card"/>
    <n v="27.427499999999998"/>
    <n v="6"/>
  </r>
  <r>
    <s v="539-21-7227"/>
    <x v="2"/>
    <x v="2"/>
    <x v="1"/>
    <x v="0"/>
    <x v="3"/>
    <x v="2"/>
    <x v="0"/>
    <d v="2019-01-26T00:00:00"/>
    <x v="2"/>
    <d v="1899-12-30T17:45:00"/>
    <s v="Cash"/>
    <n v="12.885"/>
    <n v="4.2"/>
  </r>
  <r>
    <s v="213-32-1216"/>
    <x v="0"/>
    <x v="0"/>
    <x v="1"/>
    <x v="0"/>
    <x v="1"/>
    <x v="5"/>
    <x v="0"/>
    <d v="2019-01-23T00:00:00"/>
    <x v="1"/>
    <d v="1899-12-30T10:28:00"/>
    <s v="Cash"/>
    <n v="19.818000000000001"/>
    <n v="7.3"/>
  </r>
  <r>
    <s v="747-58-7183"/>
    <x v="2"/>
    <x v="2"/>
    <x v="1"/>
    <x v="1"/>
    <x v="5"/>
    <x v="6"/>
    <x v="2"/>
    <d v="2019-02-09T00:00:00"/>
    <x v="2"/>
    <d v="1899-12-30T20:31:00"/>
    <s v="Ewallet"/>
    <n v="8.5905000000000005"/>
    <n v="6.5"/>
  </r>
  <r>
    <s v="582-52-8065"/>
    <x v="2"/>
    <x v="2"/>
    <x v="1"/>
    <x v="0"/>
    <x v="5"/>
    <x v="4"/>
    <x v="2"/>
    <d v="2019-02-22T00:00:00"/>
    <x v="1"/>
    <d v="1899-12-30T10:49:00"/>
    <s v="Cash"/>
    <n v="24.439499999999999"/>
    <n v="8.9"/>
  </r>
  <r>
    <s v="210-57-1719"/>
    <x v="2"/>
    <x v="2"/>
    <x v="1"/>
    <x v="0"/>
    <x v="0"/>
    <x v="3"/>
    <x v="2"/>
    <d v="2019-02-05T00:00:00"/>
    <x v="0"/>
    <d v="1899-12-30T12:34:00"/>
    <s v="Cash"/>
    <n v="26.207999999999998"/>
    <n v="9.6999999999999993"/>
  </r>
  <r>
    <s v="399-69-4630"/>
    <x v="1"/>
    <x v="1"/>
    <x v="1"/>
    <x v="1"/>
    <x v="1"/>
    <x v="1"/>
    <x v="1"/>
    <d v="2019-03-07T00:00:00"/>
    <x v="1"/>
    <d v="1899-12-30T10:23:00"/>
    <s v="Credit card"/>
    <n v="6.6630000000000003"/>
    <n v="8.6"/>
  </r>
  <r>
    <s v="134-75-2619"/>
    <x v="0"/>
    <x v="0"/>
    <x v="0"/>
    <x v="1"/>
    <x v="1"/>
    <x v="3"/>
    <x v="1"/>
    <d v="2019-03-25T00:00:00"/>
    <x v="2"/>
    <d v="1899-12-30T18:51:00"/>
    <s v="Cash"/>
    <n v="6.7619999999999996"/>
    <n v="6.9"/>
  </r>
  <r>
    <s v="356-44-8813"/>
    <x v="2"/>
    <x v="2"/>
    <x v="1"/>
    <x v="1"/>
    <x v="2"/>
    <x v="5"/>
    <x v="0"/>
    <d v="2019-01-20T00:00:00"/>
    <x v="0"/>
    <d v="1899-12-30T13:45:00"/>
    <s v="Credit card"/>
    <n v="5.6219999999999999"/>
    <n v="7.7"/>
  </r>
  <r>
    <s v="198-66-9832"/>
    <x v="2"/>
    <x v="2"/>
    <x v="0"/>
    <x v="0"/>
    <x v="5"/>
    <x v="3"/>
    <x v="2"/>
    <d v="2019-02-04T00:00:00"/>
    <x v="2"/>
    <d v="1899-12-30T19:38:00"/>
    <s v="Cash"/>
    <n v="7.2039999999999997"/>
    <n v="9.5"/>
  </r>
  <r>
    <s v="283-26-5248"/>
    <x v="1"/>
    <x v="1"/>
    <x v="0"/>
    <x v="0"/>
    <x v="4"/>
    <x v="2"/>
    <x v="0"/>
    <d v="2019-01-30T00:00:00"/>
    <x v="2"/>
    <d v="1899-12-30T20:23:00"/>
    <s v="Ewallet"/>
    <n v="49.26"/>
    <n v="4.5"/>
  </r>
  <r>
    <s v="712-39-0363"/>
    <x v="0"/>
    <x v="0"/>
    <x v="0"/>
    <x v="1"/>
    <x v="4"/>
    <x v="4"/>
    <x v="0"/>
    <d v="2019-01-02T00:00:00"/>
    <x v="0"/>
    <d v="1899-12-30T15:24:00"/>
    <s v="Ewallet"/>
    <n v="12.497999999999999"/>
    <n v="5.6"/>
  </r>
  <r>
    <s v="218-59-9410"/>
    <x v="0"/>
    <x v="0"/>
    <x v="0"/>
    <x v="0"/>
    <x v="2"/>
    <x v="3"/>
    <x v="1"/>
    <d v="2019-03-29T00:00:00"/>
    <x v="2"/>
    <d v="1899-12-30T16:54:00"/>
    <s v="Ewallet"/>
    <n v="10.863"/>
    <n v="8.1999999999999993"/>
  </r>
  <r>
    <s v="174-75-0888"/>
    <x v="2"/>
    <x v="2"/>
    <x v="1"/>
    <x v="1"/>
    <x v="1"/>
    <x v="5"/>
    <x v="1"/>
    <d v="2019-03-14T00:00:00"/>
    <x v="0"/>
    <d v="1899-12-30T12:32:00"/>
    <s v="Cash"/>
    <n v="9.7110000000000003"/>
    <n v="7.3"/>
  </r>
  <r>
    <s v="866-99-7614"/>
    <x v="1"/>
    <x v="1"/>
    <x v="1"/>
    <x v="1"/>
    <x v="4"/>
    <x v="6"/>
    <x v="2"/>
    <d v="2019-02-11T00:00:00"/>
    <x v="0"/>
    <d v="1899-12-30T15:42:00"/>
    <s v="Credit card"/>
    <n v="44.6"/>
    <n v="4.4000000000000004"/>
  </r>
  <r>
    <s v="134-54-4720"/>
    <x v="2"/>
    <x v="2"/>
    <x v="1"/>
    <x v="0"/>
    <x v="1"/>
    <x v="2"/>
    <x v="0"/>
    <d v="2019-01-30T00:00:00"/>
    <x v="0"/>
    <d v="1899-12-30T13:58:00"/>
    <s v="Ewallet"/>
    <n v="16.968"/>
    <n v="5.7"/>
  </r>
  <r>
    <s v="760-90-2357"/>
    <x v="0"/>
    <x v="0"/>
    <x v="0"/>
    <x v="1"/>
    <x v="1"/>
    <x v="2"/>
    <x v="1"/>
    <d v="2019-03-20T00:00:00"/>
    <x v="0"/>
    <d v="1899-12-30T15:08:00"/>
    <s v="Ewallet"/>
    <n v="22.353000000000002"/>
    <n v="5"/>
  </r>
  <r>
    <s v="514-37-2845"/>
    <x v="2"/>
    <x v="2"/>
    <x v="1"/>
    <x v="1"/>
    <x v="5"/>
    <x v="2"/>
    <x v="1"/>
    <d v="2019-03-20T00:00:00"/>
    <x v="0"/>
    <d v="1899-12-30T13:02:00"/>
    <s v="Cash"/>
    <n v="9.9250000000000007"/>
    <n v="9"/>
  </r>
  <r>
    <s v="698-98-5964"/>
    <x v="0"/>
    <x v="0"/>
    <x v="1"/>
    <x v="0"/>
    <x v="4"/>
    <x v="1"/>
    <x v="0"/>
    <d v="2019-01-17T00:00:00"/>
    <x v="0"/>
    <d v="1899-12-30T13:01:00"/>
    <s v="Credit card"/>
    <n v="40.604999999999997"/>
    <n v="6.3"/>
  </r>
  <r>
    <s v="718-57-9773"/>
    <x v="1"/>
    <x v="1"/>
    <x v="1"/>
    <x v="0"/>
    <x v="3"/>
    <x v="3"/>
    <x v="2"/>
    <d v="2019-02-03T00:00:00"/>
    <x v="2"/>
    <d v="1899-12-30T16:40:00"/>
    <s v="Credit card"/>
    <n v="24.664999999999999"/>
    <n v="9.4"/>
  </r>
  <r>
    <s v="651-88-7328"/>
    <x v="0"/>
    <x v="0"/>
    <x v="1"/>
    <x v="0"/>
    <x v="5"/>
    <x v="4"/>
    <x v="0"/>
    <d v="2019-01-01T00:00:00"/>
    <x v="0"/>
    <d v="1899-12-30T13:55:00"/>
    <s v="Cash"/>
    <n v="29.582999999999998"/>
    <n v="7.7"/>
  </r>
  <r>
    <s v="241-11-2261"/>
    <x v="2"/>
    <x v="2"/>
    <x v="1"/>
    <x v="0"/>
    <x v="5"/>
    <x v="0"/>
    <x v="0"/>
    <d v="2019-01-10T00:00:00"/>
    <x v="1"/>
    <d v="1899-12-30T10:33:00"/>
    <s v="Credit card"/>
    <n v="27.951000000000001"/>
    <n v="5.5"/>
  </r>
  <r>
    <s v="408-26-9866"/>
    <x v="1"/>
    <x v="1"/>
    <x v="1"/>
    <x v="0"/>
    <x v="3"/>
    <x v="1"/>
    <x v="1"/>
    <d v="2019-03-02T00:00:00"/>
    <x v="2"/>
    <d v="1899-12-30T16:42:00"/>
    <s v="Ewallet"/>
    <n v="25.893000000000001"/>
    <n v="4.0999999999999996"/>
  </r>
  <r>
    <s v="834-83-1826"/>
    <x v="2"/>
    <x v="2"/>
    <x v="0"/>
    <x v="0"/>
    <x v="2"/>
    <x v="0"/>
    <x v="2"/>
    <d v="2019-02-25T00:00:00"/>
    <x v="2"/>
    <d v="1899-12-30T17:16:00"/>
    <s v="Credit card"/>
    <n v="20.51"/>
    <n v="7.6"/>
  </r>
  <r>
    <s v="343-61-3544"/>
    <x v="2"/>
    <x v="2"/>
    <x v="0"/>
    <x v="1"/>
    <x v="3"/>
    <x v="2"/>
    <x v="0"/>
    <d v="2019-01-29T00:00:00"/>
    <x v="1"/>
    <d v="1899-12-30T11:48:00"/>
    <s v="Cash"/>
    <n v="13.335000000000001"/>
    <n v="8.6"/>
  </r>
  <r>
    <s v="239-48-4278"/>
    <x v="0"/>
    <x v="0"/>
    <x v="0"/>
    <x v="1"/>
    <x v="4"/>
    <x v="5"/>
    <x v="1"/>
    <d v="2019-03-10T00:00:00"/>
    <x v="2"/>
    <d v="1899-12-30T19:35:00"/>
    <s v="Ewallet"/>
    <n v="3.5455000000000001"/>
    <n v="8.3000000000000007"/>
  </r>
  <r>
    <s v="355-34-6244"/>
    <x v="2"/>
    <x v="2"/>
    <x v="1"/>
    <x v="1"/>
    <x v="4"/>
    <x v="1"/>
    <x v="0"/>
    <d v="2019-01-13T00:00:00"/>
    <x v="2"/>
    <d v="1899-12-30T19:55:00"/>
    <s v="Credit card"/>
    <n v="7.2389999999999999"/>
    <n v="8.1"/>
  </r>
  <r>
    <s v="550-84-8664"/>
    <x v="0"/>
    <x v="0"/>
    <x v="1"/>
    <x v="1"/>
    <x v="3"/>
    <x v="2"/>
    <x v="1"/>
    <d v="2019-03-22T00:00:00"/>
    <x v="0"/>
    <d v="1899-12-30T14:33:00"/>
    <s v="Credit card"/>
    <n v="21.477499999999999"/>
    <n v="8.6"/>
  </r>
  <r>
    <s v="339-96-8318"/>
    <x v="2"/>
    <x v="2"/>
    <x v="0"/>
    <x v="1"/>
    <x v="5"/>
    <x v="0"/>
    <x v="1"/>
    <d v="2019-03-01T00:00:00"/>
    <x v="2"/>
    <d v="1899-12-30T19:49:00"/>
    <s v="Ewallet"/>
    <n v="28.458500000000001"/>
    <n v="6.3"/>
  </r>
  <r>
    <s v="458-61-0011"/>
    <x v="2"/>
    <x v="2"/>
    <x v="1"/>
    <x v="1"/>
    <x v="4"/>
    <x v="4"/>
    <x v="2"/>
    <d v="2019-02-20T00:00:00"/>
    <x v="2"/>
    <d v="1899-12-30T18:43:00"/>
    <s v="Cash"/>
    <n v="12.06"/>
    <n v="5.8"/>
  </r>
  <r>
    <s v="592-34-6155"/>
    <x v="1"/>
    <x v="1"/>
    <x v="1"/>
    <x v="1"/>
    <x v="4"/>
    <x v="1"/>
    <x v="0"/>
    <d v="2019-01-14T00:00:00"/>
    <x v="0"/>
    <d v="1899-12-30T14:43:00"/>
    <s v="Ewallet"/>
    <n v="6.3540000000000001"/>
    <n v="6.2"/>
  </r>
  <r>
    <s v="797-88-0493"/>
    <x v="0"/>
    <x v="0"/>
    <x v="1"/>
    <x v="0"/>
    <x v="0"/>
    <x v="3"/>
    <x v="1"/>
    <d v="2019-03-26T00:00:00"/>
    <x v="0"/>
    <d v="1899-12-30T13:54:00"/>
    <s v="Cash"/>
    <n v="12.853999999999999"/>
    <n v="7.7"/>
  </r>
  <r>
    <s v="207-73-1363"/>
    <x v="2"/>
    <x v="2"/>
    <x v="1"/>
    <x v="1"/>
    <x v="0"/>
    <x v="0"/>
    <x v="1"/>
    <d v="2019-03-01T00:00:00"/>
    <x v="0"/>
    <d v="1899-12-30T12:15:00"/>
    <s v="Ewallet"/>
    <n v="6.9509999999999996"/>
    <n v="8.1"/>
  </r>
  <r>
    <s v="390-31-6381"/>
    <x v="1"/>
    <x v="1"/>
    <x v="1"/>
    <x v="1"/>
    <x v="4"/>
    <x v="0"/>
    <x v="0"/>
    <d v="2019-01-07T00:00:00"/>
    <x v="0"/>
    <d v="1899-12-30T12:37:00"/>
    <s v="Cash"/>
    <n v="4.0830000000000002"/>
    <n v="7.3"/>
  </r>
  <r>
    <s v="443-82-0585"/>
    <x v="0"/>
    <x v="0"/>
    <x v="0"/>
    <x v="0"/>
    <x v="0"/>
    <x v="2"/>
    <x v="2"/>
    <d v="2019-02-01T00:00:00"/>
    <x v="2"/>
    <d v="1899-12-30T19:54:00"/>
    <s v="Cash"/>
    <n v="15.536"/>
    <n v="8.4"/>
  </r>
  <r>
    <s v="339-18-7061"/>
    <x v="1"/>
    <x v="1"/>
    <x v="0"/>
    <x v="0"/>
    <x v="5"/>
    <x v="6"/>
    <x v="2"/>
    <d v="2019-02-13T00:00:00"/>
    <x v="0"/>
    <d v="1899-12-30T15:06:00"/>
    <s v="Credit card"/>
    <n v="9.298"/>
    <n v="8"/>
  </r>
  <r>
    <s v="359-90-3665"/>
    <x v="2"/>
    <x v="2"/>
    <x v="0"/>
    <x v="0"/>
    <x v="5"/>
    <x v="1"/>
    <x v="0"/>
    <d v="2019-01-14T00:00:00"/>
    <x v="2"/>
    <d v="1899-12-30T18:03:00"/>
    <s v="Credit card"/>
    <n v="3.6160000000000001"/>
    <n v="9.5"/>
  </r>
  <r>
    <s v="375-72-3056"/>
    <x v="2"/>
    <x v="2"/>
    <x v="1"/>
    <x v="1"/>
    <x v="3"/>
    <x v="5"/>
    <x v="0"/>
    <d v="2019-01-19T00:00:00"/>
    <x v="0"/>
    <d v="1899-12-30T15:58:00"/>
    <s v="Ewallet"/>
    <n v="9.4589999999999996"/>
    <n v="7"/>
  </r>
  <r>
    <s v="127-47-6963"/>
    <x v="0"/>
    <x v="0"/>
    <x v="1"/>
    <x v="1"/>
    <x v="0"/>
    <x v="5"/>
    <x v="1"/>
    <d v="2019-03-09T00:00:00"/>
    <x v="0"/>
    <d v="1899-12-30T13:53:00"/>
    <s v="Credit card"/>
    <n v="10.342000000000001"/>
    <n v="9.8000000000000007"/>
  </r>
  <r>
    <s v="278-86-2735"/>
    <x v="0"/>
    <x v="0"/>
    <x v="1"/>
    <x v="0"/>
    <x v="4"/>
    <x v="3"/>
    <x v="1"/>
    <d v="2019-03-27T00:00:00"/>
    <x v="0"/>
    <d v="1899-12-30T14:03:00"/>
    <s v="Cash"/>
    <n v="7.851"/>
    <n v="9.1999999999999993"/>
  </r>
  <r>
    <s v="695-28-6250"/>
    <x v="0"/>
    <x v="0"/>
    <x v="1"/>
    <x v="0"/>
    <x v="3"/>
    <x v="3"/>
    <x v="2"/>
    <d v="2019-02-04T00:00:00"/>
    <x v="2"/>
    <d v="1899-12-30T16:38:00"/>
    <s v="Ewallet"/>
    <n v="10.765000000000001"/>
    <n v="7.7"/>
  </r>
  <r>
    <s v="379-17-6588"/>
    <x v="1"/>
    <x v="1"/>
    <x v="1"/>
    <x v="1"/>
    <x v="5"/>
    <x v="5"/>
    <x v="1"/>
    <d v="2019-03-14T00:00:00"/>
    <x v="1"/>
    <d v="1899-12-30T11:07:00"/>
    <s v="Cash"/>
    <n v="29.805"/>
    <n v="5.3"/>
  </r>
  <r>
    <s v="227-50-3718"/>
    <x v="0"/>
    <x v="0"/>
    <x v="1"/>
    <x v="1"/>
    <x v="0"/>
    <x v="1"/>
    <x v="1"/>
    <d v="2019-03-04T00:00:00"/>
    <x v="0"/>
    <d v="1899-12-30T12:23:00"/>
    <s v="Cash"/>
    <n v="3.6549999999999998"/>
    <n v="4.4000000000000004"/>
  </r>
  <r>
    <s v="302-15-2162"/>
    <x v="1"/>
    <x v="1"/>
    <x v="0"/>
    <x v="1"/>
    <x v="0"/>
    <x v="1"/>
    <x v="1"/>
    <d v="2019-03-03T00:00:00"/>
    <x v="1"/>
    <d v="1899-12-30T10:54:00"/>
    <s v="Credit card"/>
    <n v="13.959"/>
    <n v="4.3"/>
  </r>
  <r>
    <s v="788-07-8452"/>
    <x v="1"/>
    <x v="1"/>
    <x v="0"/>
    <x v="0"/>
    <x v="2"/>
    <x v="2"/>
    <x v="0"/>
    <d v="2019-01-27T00:00:00"/>
    <x v="2"/>
    <d v="1899-12-30T17:38:00"/>
    <s v="Ewallet"/>
    <n v="8.484"/>
    <n v="9.4"/>
  </r>
  <r>
    <s v="560-49-6611"/>
    <x v="0"/>
    <x v="0"/>
    <x v="0"/>
    <x v="0"/>
    <x v="3"/>
    <x v="3"/>
    <x v="2"/>
    <d v="2019-02-07T00:00:00"/>
    <x v="0"/>
    <d v="1899-12-30T14:13:00"/>
    <s v="Cash"/>
    <n v="2.2789999999999999"/>
    <n v="9.8000000000000007"/>
  </r>
  <r>
    <s v="880-35-0356"/>
    <x v="0"/>
    <x v="0"/>
    <x v="0"/>
    <x v="0"/>
    <x v="3"/>
    <x v="3"/>
    <x v="2"/>
    <d v="2019-02-05T00:00:00"/>
    <x v="1"/>
    <d v="1899-12-30T11:51:00"/>
    <s v="Ewallet"/>
    <n v="11.28"/>
    <n v="4.8"/>
  </r>
  <r>
    <s v="585-11-6748"/>
    <x v="2"/>
    <x v="2"/>
    <x v="0"/>
    <x v="1"/>
    <x v="3"/>
    <x v="5"/>
    <x v="1"/>
    <d v="2019-03-15T00:00:00"/>
    <x v="0"/>
    <d v="1899-12-30T13:05:00"/>
    <s v="Cash"/>
    <n v="14.52"/>
    <n v="5.3"/>
  </r>
  <r>
    <s v="470-31-3286"/>
    <x v="2"/>
    <x v="2"/>
    <x v="1"/>
    <x v="1"/>
    <x v="0"/>
    <x v="0"/>
    <x v="1"/>
    <d v="2019-03-01T00:00:00"/>
    <x v="1"/>
    <d v="1899-12-30T11:30:00"/>
    <s v="Credit card"/>
    <n v="2.2229999999999999"/>
    <n v="8.6999999999999993"/>
  </r>
  <r>
    <s v="152-68-2907"/>
    <x v="0"/>
    <x v="0"/>
    <x v="1"/>
    <x v="1"/>
    <x v="4"/>
    <x v="6"/>
    <x v="2"/>
    <d v="2019-02-15T00:00:00"/>
    <x v="0"/>
    <d v="1899-12-30T13:30:00"/>
    <s v="Credit card"/>
    <n v="7.83"/>
    <n v="9.5"/>
  </r>
  <r>
    <s v="123-35-4896"/>
    <x v="1"/>
    <x v="1"/>
    <x v="1"/>
    <x v="0"/>
    <x v="3"/>
    <x v="4"/>
    <x v="2"/>
    <d v="2019-02-17T00:00:00"/>
    <x v="2"/>
    <d v="1899-12-30T19:11:00"/>
    <s v="Ewallet"/>
    <n v="20.997"/>
    <n v="5.3"/>
  </r>
  <r>
    <s v="258-69-7810"/>
    <x v="1"/>
    <x v="1"/>
    <x v="1"/>
    <x v="0"/>
    <x v="5"/>
    <x v="2"/>
    <x v="0"/>
    <d v="2019-01-26T00:00:00"/>
    <x v="2"/>
    <d v="1899-12-30T18:53:00"/>
    <s v="Cash"/>
    <n v="9.2125000000000004"/>
    <n v="9.1999999999999993"/>
  </r>
  <r>
    <s v="334-64-2006"/>
    <x v="0"/>
    <x v="0"/>
    <x v="0"/>
    <x v="0"/>
    <x v="2"/>
    <x v="3"/>
    <x v="1"/>
    <d v="2019-03-24T00:00:00"/>
    <x v="0"/>
    <d v="1899-12-30T14:22:00"/>
    <s v="Ewallet"/>
    <n v="7.032"/>
    <n v="9.6"/>
  </r>
  <r>
    <s v="219-61-4139"/>
    <x v="1"/>
    <x v="1"/>
    <x v="1"/>
    <x v="1"/>
    <x v="1"/>
    <x v="5"/>
    <x v="0"/>
    <d v="2019-01-23T00:00:00"/>
    <x v="2"/>
    <d v="1899-12-30T17:16:00"/>
    <s v="Ewallet"/>
    <n v="4.1539999999999999"/>
    <n v="6.4"/>
  </r>
  <r>
    <s v="881-41-7302"/>
    <x v="1"/>
    <x v="1"/>
    <x v="1"/>
    <x v="0"/>
    <x v="5"/>
    <x v="2"/>
    <x v="0"/>
    <d v="2019-01-26T00:00:00"/>
    <x v="1"/>
    <d v="1899-12-30T10:06:00"/>
    <s v="Credit card"/>
    <n v="3.2494999999999998"/>
    <n v="4.5"/>
  </r>
  <r>
    <s v="373-09-4567"/>
    <x v="1"/>
    <x v="1"/>
    <x v="1"/>
    <x v="1"/>
    <x v="4"/>
    <x v="5"/>
    <x v="1"/>
    <d v="2019-03-14T00:00:00"/>
    <x v="2"/>
    <d v="1899-12-30T20:35:00"/>
    <s v="Ewallet"/>
    <n v="38.78"/>
    <n v="6.9"/>
  </r>
  <r>
    <s v="642-30-6693"/>
    <x v="2"/>
    <x v="2"/>
    <x v="1"/>
    <x v="0"/>
    <x v="3"/>
    <x v="2"/>
    <x v="1"/>
    <d v="2019-03-17T00:00:00"/>
    <x v="0"/>
    <d v="1899-12-30T13:54:00"/>
    <s v="Ewallet"/>
    <n v="16.353000000000002"/>
    <n v="7.8"/>
  </r>
  <r>
    <s v="484-22-8230"/>
    <x v="1"/>
    <x v="1"/>
    <x v="0"/>
    <x v="0"/>
    <x v="5"/>
    <x v="0"/>
    <x v="0"/>
    <d v="2019-01-08T00:00:00"/>
    <x v="2"/>
    <d v="1899-12-30T20:08:00"/>
    <s v="Cash"/>
    <n v="18.1615"/>
    <n v="4.5"/>
  </r>
  <r>
    <s v="830-58-2383"/>
    <x v="2"/>
    <x v="2"/>
    <x v="1"/>
    <x v="1"/>
    <x v="2"/>
    <x v="3"/>
    <x v="2"/>
    <d v="2019-02-08T00:00:00"/>
    <x v="0"/>
    <d v="1899-12-30T15:26:00"/>
    <s v="Cash"/>
    <n v="6.35"/>
    <n v="8.6"/>
  </r>
  <r>
    <s v="559-98-9873"/>
    <x v="0"/>
    <x v="0"/>
    <x v="0"/>
    <x v="0"/>
    <x v="5"/>
    <x v="6"/>
    <x v="2"/>
    <d v="2019-02-10T00:00:00"/>
    <x v="0"/>
    <d v="1899-12-30T12:56:00"/>
    <s v="Ewallet"/>
    <n v="18.7775"/>
    <n v="5.2"/>
  </r>
  <r>
    <s v="544-32-5024"/>
    <x v="1"/>
    <x v="1"/>
    <x v="0"/>
    <x v="0"/>
    <x v="4"/>
    <x v="3"/>
    <x v="1"/>
    <d v="2019-03-28T00:00:00"/>
    <x v="2"/>
    <d v="1899-12-30T19:16:00"/>
    <s v="Credit card"/>
    <n v="9.9580000000000002"/>
    <n v="6.4"/>
  </r>
  <r>
    <s v="318-12-0304"/>
    <x v="0"/>
    <x v="0"/>
    <x v="1"/>
    <x v="1"/>
    <x v="5"/>
    <x v="5"/>
    <x v="0"/>
    <d v="2019-01-23T00:00:00"/>
    <x v="0"/>
    <d v="1899-12-30T12:20:00"/>
    <s v="Ewallet"/>
    <n v="1.5305"/>
    <n v="5.2"/>
  </r>
  <r>
    <s v="349-97-8902"/>
    <x v="2"/>
    <x v="2"/>
    <x v="0"/>
    <x v="1"/>
    <x v="4"/>
    <x v="1"/>
    <x v="0"/>
    <d v="2019-01-17T00:00:00"/>
    <x v="1"/>
    <d v="1899-12-30T10:37:00"/>
    <s v="Ewallet"/>
    <n v="5.7889999999999997"/>
    <n v="8.9"/>
  </r>
  <r>
    <s v="421-95-9805"/>
    <x v="0"/>
    <x v="0"/>
    <x v="1"/>
    <x v="0"/>
    <x v="1"/>
    <x v="3"/>
    <x v="2"/>
    <d v="2019-02-07T00:00:00"/>
    <x v="1"/>
    <d v="1899-12-30T10:18:00"/>
    <s v="Credit card"/>
    <n v="1.448"/>
    <n v="6.2"/>
  </r>
  <r>
    <s v="277-35-5865"/>
    <x v="1"/>
    <x v="1"/>
    <x v="0"/>
    <x v="0"/>
    <x v="4"/>
    <x v="5"/>
    <x v="1"/>
    <d v="2019-03-09T00:00:00"/>
    <x v="1"/>
    <d v="1899-12-30T11:23:00"/>
    <s v="Cash"/>
    <n v="44.536499999999997"/>
    <n v="6.7"/>
  </r>
  <r>
    <s v="789-23-8625"/>
    <x v="2"/>
    <x v="2"/>
    <x v="0"/>
    <x v="1"/>
    <x v="5"/>
    <x v="5"/>
    <x v="0"/>
    <d v="2019-01-24T00:00:00"/>
    <x v="1"/>
    <d v="1899-12-30T11:45:00"/>
    <s v="Cash"/>
    <n v="13.983000000000001"/>
    <n v="7.2"/>
  </r>
  <r>
    <s v="284-54-4231"/>
    <x v="1"/>
    <x v="1"/>
    <x v="0"/>
    <x v="1"/>
    <x v="3"/>
    <x v="5"/>
    <x v="0"/>
    <d v="2019-01-19T00:00:00"/>
    <x v="2"/>
    <d v="1899-12-30T16:08:00"/>
    <s v="Credit card"/>
    <n v="4.0465"/>
    <n v="9"/>
  </r>
  <r>
    <s v="443-59-0061"/>
    <x v="0"/>
    <x v="0"/>
    <x v="0"/>
    <x v="1"/>
    <x v="4"/>
    <x v="3"/>
    <x v="2"/>
    <d v="2019-02-03T00:00:00"/>
    <x v="1"/>
    <d v="1899-12-30T11:25:00"/>
    <s v="Ewallet"/>
    <n v="33.725000000000001"/>
    <n v="4.2"/>
  </r>
  <r>
    <s v="509-29-3912"/>
    <x v="0"/>
    <x v="0"/>
    <x v="0"/>
    <x v="0"/>
    <x v="3"/>
    <x v="2"/>
    <x v="1"/>
    <d v="2019-03-20T00:00:00"/>
    <x v="0"/>
    <d v="1899-12-30T12:24:00"/>
    <s v="Ewallet"/>
    <n v="17.423999999999999"/>
    <n v="4.2"/>
  </r>
  <r>
    <s v="327-40-9673"/>
    <x v="2"/>
    <x v="2"/>
    <x v="0"/>
    <x v="1"/>
    <x v="3"/>
    <x v="1"/>
    <x v="0"/>
    <d v="2019-01-13T00:00:00"/>
    <x v="2"/>
    <d v="1899-12-30T19:51:00"/>
    <s v="Cash"/>
    <n v="21.78"/>
    <n v="6.9"/>
  </r>
  <r>
    <s v="840-19-2096"/>
    <x v="1"/>
    <x v="1"/>
    <x v="0"/>
    <x v="1"/>
    <x v="1"/>
    <x v="5"/>
    <x v="1"/>
    <d v="2019-03-14T00:00:00"/>
    <x v="2"/>
    <d v="1899-12-30T18:10:00"/>
    <s v="Ewallet"/>
    <n v="21.977499999999999"/>
    <n v="4.4000000000000004"/>
  </r>
  <r>
    <s v="828-46-6863"/>
    <x v="0"/>
    <x v="0"/>
    <x v="0"/>
    <x v="1"/>
    <x v="4"/>
    <x v="5"/>
    <x v="0"/>
    <d v="2019-01-23T00:00:00"/>
    <x v="1"/>
    <d v="1899-12-30T11:22:00"/>
    <s v="Credit card"/>
    <n v="29.559000000000001"/>
    <n v="4"/>
  </r>
  <r>
    <s v="641-96-3695"/>
    <x v="1"/>
    <x v="1"/>
    <x v="0"/>
    <x v="0"/>
    <x v="5"/>
    <x v="3"/>
    <x v="2"/>
    <d v="2019-02-07T00:00:00"/>
    <x v="2"/>
    <d v="1899-12-30T17:55:00"/>
    <s v="Ewallet"/>
    <n v="13.038"/>
    <n v="8.5"/>
  </r>
  <r>
    <s v="420-97-3340"/>
    <x v="0"/>
    <x v="0"/>
    <x v="1"/>
    <x v="0"/>
    <x v="4"/>
    <x v="3"/>
    <x v="1"/>
    <d v="2019-03-28T00:00:00"/>
    <x v="0"/>
    <d v="1899-12-30T15:30:00"/>
    <s v="Credit card"/>
    <n v="10.752000000000001"/>
    <n v="9.1999999999999993"/>
  </r>
  <r>
    <s v="436-54-4512"/>
    <x v="0"/>
    <x v="0"/>
    <x v="0"/>
    <x v="0"/>
    <x v="4"/>
    <x v="2"/>
    <x v="1"/>
    <d v="2019-03-20T00:00:00"/>
    <x v="2"/>
    <d v="1899-12-30T19:44:00"/>
    <s v="Cash"/>
    <n v="4.5804999999999998"/>
    <n v="9.8000000000000007"/>
  </r>
  <r>
    <s v="670-79-6321"/>
    <x v="2"/>
    <x v="2"/>
    <x v="0"/>
    <x v="0"/>
    <x v="2"/>
    <x v="1"/>
    <x v="0"/>
    <d v="2019-01-17T00:00:00"/>
    <x v="0"/>
    <d v="1899-12-30T15:27:00"/>
    <s v="Credit card"/>
    <n v="33.106499999999997"/>
    <n v="4.9000000000000004"/>
  </r>
  <r>
    <s v="852-62-7105"/>
    <x v="2"/>
    <x v="2"/>
    <x v="1"/>
    <x v="0"/>
    <x v="5"/>
    <x v="1"/>
    <x v="0"/>
    <d v="2019-01-12T00:00:00"/>
    <x v="1"/>
    <d v="1899-12-30T11:25:00"/>
    <s v="Credit card"/>
    <n v="41.625"/>
    <n v="4.4000000000000004"/>
  </r>
  <r>
    <s v="598-06-7312"/>
    <x v="2"/>
    <x v="2"/>
    <x v="0"/>
    <x v="1"/>
    <x v="5"/>
    <x v="4"/>
    <x v="2"/>
    <d v="2019-02-16T00:00:00"/>
    <x v="0"/>
    <d v="1899-12-30T15:42:00"/>
    <s v="Cash"/>
    <n v="4.5674999999999999"/>
    <n v="6.8"/>
  </r>
  <r>
    <s v="135-13-8269"/>
    <x v="2"/>
    <x v="2"/>
    <x v="0"/>
    <x v="0"/>
    <x v="4"/>
    <x v="2"/>
    <x v="0"/>
    <d v="2019-01-26T00:00:00"/>
    <x v="2"/>
    <d v="1899-12-30T16:04:00"/>
    <s v="Cash"/>
    <n v="7.8879999999999999"/>
    <n v="9.1"/>
  </r>
  <r>
    <s v="816-57-2053"/>
    <x v="0"/>
    <x v="0"/>
    <x v="1"/>
    <x v="1"/>
    <x v="3"/>
    <x v="5"/>
    <x v="1"/>
    <d v="2019-03-09T00:00:00"/>
    <x v="0"/>
    <d v="1899-12-30T12:37:00"/>
    <s v="Ewallet"/>
    <n v="6.0869999999999997"/>
    <n v="8.6999999999999993"/>
  </r>
  <r>
    <s v="628-90-8624"/>
    <x v="2"/>
    <x v="2"/>
    <x v="0"/>
    <x v="1"/>
    <x v="0"/>
    <x v="5"/>
    <x v="1"/>
    <d v="2019-03-14T00:00:00"/>
    <x v="0"/>
    <d v="1899-12-30T14:41:00"/>
    <s v="Cash"/>
    <n v="41.29"/>
    <n v="5"/>
  </r>
  <r>
    <s v="856-66-2701"/>
    <x v="0"/>
    <x v="0"/>
    <x v="0"/>
    <x v="1"/>
    <x v="2"/>
    <x v="5"/>
    <x v="0"/>
    <d v="2019-01-25T00:00:00"/>
    <x v="0"/>
    <d v="1899-12-30T14:19:00"/>
    <s v="Ewallet"/>
    <n v="7.9950000000000001"/>
    <n v="7.5"/>
  </r>
  <r>
    <s v="308-39-1707"/>
    <x v="0"/>
    <x v="0"/>
    <x v="1"/>
    <x v="0"/>
    <x v="5"/>
    <x v="2"/>
    <x v="0"/>
    <d v="2019-01-26T00:00:00"/>
    <x v="2"/>
    <d v="1899-12-30T18:19:00"/>
    <s v="Credit card"/>
    <n v="0.60450000000000004"/>
    <n v="8.1999999999999993"/>
  </r>
  <r>
    <s v="149-61-1929"/>
    <x v="0"/>
    <x v="0"/>
    <x v="1"/>
    <x v="1"/>
    <x v="3"/>
    <x v="5"/>
    <x v="0"/>
    <d v="2019-01-19T00:00:00"/>
    <x v="0"/>
    <d v="1899-12-30T14:08:00"/>
    <s v="Credit card"/>
    <n v="32.094999999999999"/>
    <n v="6.7"/>
  </r>
  <r>
    <s v="655-07-2265"/>
    <x v="0"/>
    <x v="0"/>
    <x v="1"/>
    <x v="1"/>
    <x v="1"/>
    <x v="1"/>
    <x v="1"/>
    <d v="2019-03-05T00:00:00"/>
    <x v="2"/>
    <d v="1899-12-30T16:38:00"/>
    <s v="Ewallet"/>
    <n v="11.746499999999999"/>
    <n v="5.4"/>
  </r>
  <r>
    <s v="589-02-8023"/>
    <x v="0"/>
    <x v="0"/>
    <x v="0"/>
    <x v="1"/>
    <x v="4"/>
    <x v="1"/>
    <x v="0"/>
    <d v="2019-01-15T00:00:00"/>
    <x v="1"/>
    <d v="1899-12-30T10:54:00"/>
    <s v="Credit card"/>
    <n v="8.3770000000000007"/>
    <n v="7"/>
  </r>
  <r>
    <s v="420-04-7590"/>
    <x v="2"/>
    <x v="2"/>
    <x v="1"/>
    <x v="1"/>
    <x v="2"/>
    <x v="2"/>
    <x v="1"/>
    <d v="2019-03-18T00:00:00"/>
    <x v="1"/>
    <d v="1899-12-30T11:29:00"/>
    <s v="Ewallet"/>
    <n v="14.955"/>
    <n v="4.7"/>
  </r>
  <r>
    <s v="182-88-2763"/>
    <x v="2"/>
    <x v="2"/>
    <x v="0"/>
    <x v="1"/>
    <x v="4"/>
    <x v="2"/>
    <x v="1"/>
    <d v="2019-03-20T00:00:00"/>
    <x v="2"/>
    <d v="1899-12-30T19:28:00"/>
    <s v="Credit card"/>
    <n v="11.986499999999999"/>
    <n v="5"/>
  </r>
  <r>
    <s v="188-55-0967"/>
    <x v="2"/>
    <x v="2"/>
    <x v="0"/>
    <x v="1"/>
    <x v="0"/>
    <x v="1"/>
    <x v="0"/>
    <d v="2019-01-15T00:00:00"/>
    <x v="0"/>
    <d v="1899-12-30T15:01:00"/>
    <s v="Credit card"/>
    <n v="33.234999999999999"/>
    <n v="5"/>
  </r>
  <r>
    <s v="610-46-4100"/>
    <x v="0"/>
    <x v="0"/>
    <x v="1"/>
    <x v="1"/>
    <x v="0"/>
    <x v="1"/>
    <x v="1"/>
    <d v="2019-03-03T00:00:00"/>
    <x v="2"/>
    <d v="1899-12-30T20:31:00"/>
    <s v="Credit card"/>
    <n v="10.1325"/>
    <n v="6"/>
  </r>
  <r>
    <s v="318-81-2368"/>
    <x v="1"/>
    <x v="1"/>
    <x v="1"/>
    <x v="0"/>
    <x v="1"/>
    <x v="2"/>
    <x v="1"/>
    <d v="2019-03-19T00:00:00"/>
    <x v="0"/>
    <d v="1899-12-30T12:16:00"/>
    <s v="Cash"/>
    <n v="2.31"/>
    <n v="6.3"/>
  </r>
  <r>
    <s v="364-33-8584"/>
    <x v="2"/>
    <x v="2"/>
    <x v="0"/>
    <x v="0"/>
    <x v="4"/>
    <x v="1"/>
    <x v="1"/>
    <d v="2019-03-08T00:00:00"/>
    <x v="0"/>
    <d v="1899-12-30T15:27:00"/>
    <s v="Cash"/>
    <n v="4.4074999999999998"/>
    <n v="8.5"/>
  </r>
  <r>
    <s v="665-63-9737"/>
    <x v="2"/>
    <x v="2"/>
    <x v="1"/>
    <x v="1"/>
    <x v="5"/>
    <x v="0"/>
    <x v="2"/>
    <d v="2019-02-27T00:00:00"/>
    <x v="2"/>
    <d v="1899-12-30T17:36:00"/>
    <s v="Ewallet"/>
    <n v="7.8630000000000004"/>
    <n v="7.5"/>
  </r>
  <r>
    <s v="695-09-5146"/>
    <x v="2"/>
    <x v="2"/>
    <x v="0"/>
    <x v="0"/>
    <x v="4"/>
    <x v="0"/>
    <x v="2"/>
    <d v="2019-02-23T00:00:00"/>
    <x v="2"/>
    <d v="1899-12-30T20:00:00"/>
    <s v="Ewallet"/>
    <n v="14.8185"/>
    <n v="6.4"/>
  </r>
  <r>
    <s v="155-45-3814"/>
    <x v="1"/>
    <x v="1"/>
    <x v="0"/>
    <x v="0"/>
    <x v="1"/>
    <x v="2"/>
    <x v="1"/>
    <d v="2019-03-19T00:00:00"/>
    <x v="0"/>
    <d v="1899-12-30T15:29:00"/>
    <s v="Ewallet"/>
    <n v="35.42"/>
    <n v="4.7"/>
  </r>
  <r>
    <s v="794-32-2436"/>
    <x v="2"/>
    <x v="2"/>
    <x v="0"/>
    <x v="1"/>
    <x v="1"/>
    <x v="3"/>
    <x v="1"/>
    <d v="2019-03-27T00:00:00"/>
    <x v="0"/>
    <d v="1899-12-30T15:08:00"/>
    <s v="Ewallet"/>
    <n v="5.5670000000000002"/>
    <n v="6"/>
  </r>
  <r>
    <s v="131-15-8856"/>
    <x v="1"/>
    <x v="1"/>
    <x v="0"/>
    <x v="0"/>
    <x v="4"/>
    <x v="6"/>
    <x v="1"/>
    <d v="2019-03-30T00:00:00"/>
    <x v="2"/>
    <d v="1899-12-30T19:26:00"/>
    <s v="Credit card"/>
    <n v="29.007999999999999"/>
    <n v="4"/>
  </r>
  <r>
    <s v="273-84-2164"/>
    <x v="1"/>
    <x v="1"/>
    <x v="0"/>
    <x v="1"/>
    <x v="1"/>
    <x v="4"/>
    <x v="2"/>
    <d v="2019-02-16T00:00:00"/>
    <x v="0"/>
    <d v="1899-12-30T15:53:00"/>
    <s v="Ewallet"/>
    <n v="3.0125000000000002"/>
    <n v="5.5"/>
  </r>
  <r>
    <s v="706-36-6154"/>
    <x v="0"/>
    <x v="0"/>
    <x v="0"/>
    <x v="1"/>
    <x v="2"/>
    <x v="1"/>
    <x v="0"/>
    <d v="2019-01-18T00:00:00"/>
    <x v="2"/>
    <d v="1899-12-30T18:43:00"/>
    <s v="Ewallet"/>
    <n v="8.7119999999999997"/>
    <n v="8.6999999999999993"/>
  </r>
  <r>
    <s v="778-89-7974"/>
    <x v="1"/>
    <x v="1"/>
    <x v="1"/>
    <x v="1"/>
    <x v="0"/>
    <x v="6"/>
    <x v="1"/>
    <d v="2019-03-30T00:00:00"/>
    <x v="0"/>
    <d v="1899-12-30T14:58:00"/>
    <s v="Cash"/>
    <n v="21.062999999999999"/>
    <n v="7.4"/>
  </r>
  <r>
    <s v="574-31-8277"/>
    <x v="2"/>
    <x v="2"/>
    <x v="0"/>
    <x v="1"/>
    <x v="5"/>
    <x v="2"/>
    <x v="1"/>
    <d v="2019-03-20T00:00:00"/>
    <x v="2"/>
    <d v="1899-12-30T19:55:00"/>
    <s v="Cash"/>
    <n v="1.6815"/>
    <n v="5.6"/>
  </r>
  <r>
    <s v="859-71-0933"/>
    <x v="1"/>
    <x v="1"/>
    <x v="0"/>
    <x v="0"/>
    <x v="3"/>
    <x v="1"/>
    <x v="0"/>
    <d v="2019-01-16T00:00:00"/>
    <x v="0"/>
    <d v="1899-12-30T15:10:00"/>
    <s v="Cash"/>
    <n v="1.5489999999999999"/>
    <n v="6.3"/>
  </r>
  <r>
    <s v="740-11-5257"/>
    <x v="1"/>
    <x v="1"/>
    <x v="1"/>
    <x v="1"/>
    <x v="1"/>
    <x v="0"/>
    <x v="2"/>
    <d v="2019-02-24T00:00:00"/>
    <x v="2"/>
    <d v="1899-12-30T16:44:00"/>
    <s v="Cash"/>
    <n v="12.37"/>
    <n v="7.1"/>
  </r>
  <r>
    <s v="369-82-2676"/>
    <x v="2"/>
    <x v="2"/>
    <x v="1"/>
    <x v="1"/>
    <x v="1"/>
    <x v="1"/>
    <x v="0"/>
    <d v="2019-01-15T00:00:00"/>
    <x v="2"/>
    <d v="1899-12-30T18:22:00"/>
    <s v="Ewallet"/>
    <n v="18.914999999999999"/>
    <n v="7.8"/>
  </r>
  <r>
    <s v="563-47-4072"/>
    <x v="2"/>
    <x v="2"/>
    <x v="1"/>
    <x v="0"/>
    <x v="0"/>
    <x v="5"/>
    <x v="0"/>
    <d v="2019-01-22T00:00:00"/>
    <x v="1"/>
    <d v="1899-12-30T11:52:00"/>
    <s v="Cash"/>
    <n v="16.742999999999999"/>
    <n v="9.9"/>
  </r>
  <r>
    <s v="742-04-5161"/>
    <x v="0"/>
    <x v="0"/>
    <x v="0"/>
    <x v="1"/>
    <x v="2"/>
    <x v="3"/>
    <x v="2"/>
    <d v="2019-02-03T00:00:00"/>
    <x v="2"/>
    <d v="1899-12-30T17:24:00"/>
    <s v="Cash"/>
    <n v="36.39"/>
    <n v="7.3"/>
  </r>
  <r>
    <s v="149-15-7606"/>
    <x v="2"/>
    <x v="2"/>
    <x v="0"/>
    <x v="1"/>
    <x v="3"/>
    <x v="1"/>
    <x v="1"/>
    <d v="2019-03-06T00:00:00"/>
    <x v="0"/>
    <d v="1899-12-30T15:31:00"/>
    <s v="Ewallet"/>
    <n v="16.794"/>
    <n v="5.0999999999999996"/>
  </r>
  <r>
    <s v="133-77-3154"/>
    <x v="2"/>
    <x v="2"/>
    <x v="0"/>
    <x v="1"/>
    <x v="5"/>
    <x v="4"/>
    <x v="2"/>
    <d v="2019-02-16T00:00:00"/>
    <x v="2"/>
    <d v="1899-12-30T18:04:00"/>
    <s v="Credit card"/>
    <n v="12.036"/>
    <n v="9.4"/>
  </r>
  <r>
    <s v="169-52-4504"/>
    <x v="0"/>
    <x v="0"/>
    <x v="1"/>
    <x v="0"/>
    <x v="1"/>
    <x v="5"/>
    <x v="1"/>
    <d v="2019-03-14T00:00:00"/>
    <x v="0"/>
    <d v="1899-12-30T14:13:00"/>
    <s v="Credit card"/>
    <n v="2.3534999999999999"/>
    <n v="5.8"/>
  </r>
  <r>
    <s v="250-81-7186"/>
    <x v="1"/>
    <x v="1"/>
    <x v="1"/>
    <x v="0"/>
    <x v="1"/>
    <x v="0"/>
    <x v="2"/>
    <d v="2019-02-27T00:00:00"/>
    <x v="1"/>
    <d v="1899-12-30T10:23:00"/>
    <s v="Credit card"/>
    <n v="4.9844999999999997"/>
    <n v="8"/>
  </r>
  <r>
    <s v="562-12-5430"/>
    <x v="0"/>
    <x v="0"/>
    <x v="0"/>
    <x v="0"/>
    <x v="5"/>
    <x v="1"/>
    <x v="0"/>
    <d v="2019-01-18T00:00:00"/>
    <x v="1"/>
    <d v="1899-12-30T10:11:00"/>
    <s v="Ewallet"/>
    <n v="13.2225"/>
    <n v="7.9"/>
  </r>
  <r>
    <s v="816-72-8853"/>
    <x v="0"/>
    <x v="0"/>
    <x v="0"/>
    <x v="0"/>
    <x v="3"/>
    <x v="2"/>
    <x v="0"/>
    <d v="2019-01-29T00:00:00"/>
    <x v="0"/>
    <d v="1899-12-30T15:48:00"/>
    <s v="Cash"/>
    <n v="6.9824999999999999"/>
    <n v="5.9"/>
  </r>
  <r>
    <s v="491-38-3499"/>
    <x v="0"/>
    <x v="0"/>
    <x v="0"/>
    <x v="1"/>
    <x v="5"/>
    <x v="0"/>
    <x v="2"/>
    <d v="2019-02-26T00:00:00"/>
    <x v="2"/>
    <d v="1899-12-30T17:46:00"/>
    <s v="Credit card"/>
    <n v="2.7725"/>
    <n v="4.9000000000000004"/>
  </r>
  <r>
    <s v="322-02-2271"/>
    <x v="2"/>
    <x v="2"/>
    <x v="1"/>
    <x v="0"/>
    <x v="3"/>
    <x v="3"/>
    <x v="2"/>
    <d v="2019-02-03T00:00:00"/>
    <x v="1"/>
    <d v="1899-12-30T11:46:00"/>
    <s v="Cash"/>
    <n v="6.4455"/>
    <n v="9.3000000000000007"/>
  </r>
  <r>
    <s v="842-29-4695"/>
    <x v="1"/>
    <x v="1"/>
    <x v="0"/>
    <x v="1"/>
    <x v="3"/>
    <x v="1"/>
    <x v="0"/>
    <d v="2019-01-16T00:00:00"/>
    <x v="0"/>
    <d v="1899-12-30T12:07:00"/>
    <s v="Credit card"/>
    <n v="5.9989999999999997"/>
    <n v="7.9"/>
  </r>
  <r>
    <s v="725-67-2480"/>
    <x v="2"/>
    <x v="2"/>
    <x v="0"/>
    <x v="0"/>
    <x v="5"/>
    <x v="3"/>
    <x v="1"/>
    <d v="2019-03-24T00:00:00"/>
    <x v="2"/>
    <d v="1899-12-30T18:14:00"/>
    <s v="Credit card"/>
    <n v="17.625"/>
    <n v="5.9"/>
  </r>
  <r>
    <s v="641-51-2661"/>
    <x v="1"/>
    <x v="1"/>
    <x v="0"/>
    <x v="0"/>
    <x v="4"/>
    <x v="6"/>
    <x v="2"/>
    <d v="2019-02-12T00:00:00"/>
    <x v="0"/>
    <d v="1899-12-30T14:45:00"/>
    <s v="Credit card"/>
    <n v="43.55"/>
    <n v="9.9"/>
  </r>
  <r>
    <s v="714-02-3114"/>
    <x v="1"/>
    <x v="1"/>
    <x v="1"/>
    <x v="0"/>
    <x v="3"/>
    <x v="4"/>
    <x v="2"/>
    <d v="2019-02-21T00:00:00"/>
    <x v="1"/>
    <d v="1899-12-30T11:39:00"/>
    <s v="Cash"/>
    <n v="9.8800000000000008"/>
    <n v="7.7"/>
  </r>
  <r>
    <s v="518-17-2983"/>
    <x v="0"/>
    <x v="0"/>
    <x v="1"/>
    <x v="0"/>
    <x v="5"/>
    <x v="3"/>
    <x v="2"/>
    <d v="2019-02-04T00:00:00"/>
    <x v="0"/>
    <d v="1899-12-30T15:44:00"/>
    <s v="Ewallet"/>
    <n v="9.7260000000000009"/>
    <n v="7.6"/>
  </r>
  <r>
    <s v="779-42-2410"/>
    <x v="2"/>
    <x v="2"/>
    <x v="0"/>
    <x v="1"/>
    <x v="4"/>
    <x v="4"/>
    <x v="2"/>
    <d v="2019-02-20T00:00:00"/>
    <x v="0"/>
    <d v="1899-12-30T13:06:00"/>
    <s v="Ewallet"/>
    <n v="8.6609999999999996"/>
    <n v="7.7"/>
  </r>
  <r>
    <s v="190-14-3147"/>
    <x v="2"/>
    <x v="2"/>
    <x v="1"/>
    <x v="0"/>
    <x v="0"/>
    <x v="0"/>
    <x v="2"/>
    <d v="2019-02-23T00:00:00"/>
    <x v="2"/>
    <d v="1899-12-30T20:43:00"/>
    <s v="Ewallet"/>
    <n v="3.5939999999999999"/>
    <n v="6.4"/>
  </r>
  <r>
    <s v="408-66-6712"/>
    <x v="1"/>
    <x v="1"/>
    <x v="0"/>
    <x v="0"/>
    <x v="0"/>
    <x v="4"/>
    <x v="2"/>
    <d v="2019-02-16T00:00:00"/>
    <x v="0"/>
    <d v="1899-12-30T14:19:00"/>
    <s v="Ewallet"/>
    <n v="14.313000000000001"/>
    <n v="4.4000000000000004"/>
  </r>
  <r>
    <s v="679-22-6530"/>
    <x v="2"/>
    <x v="2"/>
    <x v="1"/>
    <x v="0"/>
    <x v="3"/>
    <x v="1"/>
    <x v="0"/>
    <d v="2019-01-17T00:00:00"/>
    <x v="1"/>
    <d v="1899-12-30T10:01:00"/>
    <s v="Credit card"/>
    <n v="4.0620000000000003"/>
    <n v="4.0999999999999996"/>
  </r>
  <r>
    <s v="588-47-8641"/>
    <x v="0"/>
    <x v="0"/>
    <x v="0"/>
    <x v="1"/>
    <x v="5"/>
    <x v="1"/>
    <x v="0"/>
    <d v="2019-01-14T00:00:00"/>
    <x v="2"/>
    <d v="1899-12-30T19:30:00"/>
    <s v="Ewallet"/>
    <n v="28.02"/>
    <n v="4.4000000000000004"/>
  </r>
  <r>
    <s v="642-61-4706"/>
    <x v="2"/>
    <x v="2"/>
    <x v="0"/>
    <x v="1"/>
    <x v="4"/>
    <x v="6"/>
    <x v="1"/>
    <d v="2019-03-30T00:00:00"/>
    <x v="2"/>
    <d v="1899-12-30T16:34:00"/>
    <s v="Cash"/>
    <n v="9.34"/>
    <n v="5.5"/>
  </r>
  <r>
    <s v="576-31-4774"/>
    <x v="2"/>
    <x v="2"/>
    <x v="1"/>
    <x v="0"/>
    <x v="0"/>
    <x v="1"/>
    <x v="1"/>
    <d v="2019-03-02T00:00:00"/>
    <x v="0"/>
    <d v="1899-12-30T13:10:00"/>
    <s v="Ewallet"/>
    <n v="11.0115"/>
    <n v="4"/>
  </r>
  <r>
    <s v="556-41-6224"/>
    <x v="1"/>
    <x v="1"/>
    <x v="1"/>
    <x v="1"/>
    <x v="0"/>
    <x v="6"/>
    <x v="2"/>
    <d v="2019-02-15T00:00:00"/>
    <x v="2"/>
    <d v="1899-12-30T17:10:00"/>
    <s v="Credit card"/>
    <n v="13.456"/>
    <n v="9.3000000000000007"/>
  </r>
  <r>
    <s v="811-03-8790"/>
    <x v="0"/>
    <x v="0"/>
    <x v="1"/>
    <x v="0"/>
    <x v="1"/>
    <x v="0"/>
    <x v="1"/>
    <d v="2019-03-01T00:00:00"/>
    <x v="1"/>
    <d v="1899-12-30T10:22:00"/>
    <s v="Credit card"/>
    <n v="22.74"/>
    <n v="4.8"/>
  </r>
  <r>
    <s v="242-11-3142"/>
    <x v="2"/>
    <x v="2"/>
    <x v="0"/>
    <x v="1"/>
    <x v="5"/>
    <x v="0"/>
    <x v="2"/>
    <d v="2019-02-24T00:00:00"/>
    <x v="2"/>
    <d v="1899-12-30T19:57:00"/>
    <s v="Cash"/>
    <n v="8.3770000000000007"/>
    <n v="4.5999999999999996"/>
  </r>
  <r>
    <s v="752-23-3760"/>
    <x v="2"/>
    <x v="2"/>
    <x v="0"/>
    <x v="0"/>
    <x v="3"/>
    <x v="4"/>
    <x v="2"/>
    <d v="2019-02-19T00:00:00"/>
    <x v="2"/>
    <d v="1899-12-30T19:29:00"/>
    <s v="Credit card"/>
    <n v="22.428000000000001"/>
    <n v="7.3"/>
  </r>
  <r>
    <s v="274-05-5470"/>
    <x v="0"/>
    <x v="0"/>
    <x v="0"/>
    <x v="0"/>
    <x v="4"/>
    <x v="0"/>
    <x v="2"/>
    <d v="2019-02-23T00:00:00"/>
    <x v="2"/>
    <d v="1899-12-30T18:30:00"/>
    <s v="Cash"/>
    <n v="14.694000000000001"/>
    <n v="6"/>
  </r>
  <r>
    <s v="648-94-3045"/>
    <x v="1"/>
    <x v="1"/>
    <x v="1"/>
    <x v="1"/>
    <x v="0"/>
    <x v="3"/>
    <x v="2"/>
    <d v="2019-02-07T00:00:00"/>
    <x v="0"/>
    <d v="1899-12-30T14:27:00"/>
    <s v="Ewallet"/>
    <n v="29.475000000000001"/>
    <n v="8.1"/>
  </r>
  <r>
    <s v="130-67-4723"/>
    <x v="0"/>
    <x v="0"/>
    <x v="0"/>
    <x v="1"/>
    <x v="4"/>
    <x v="0"/>
    <x v="0"/>
    <d v="2019-01-11T00:00:00"/>
    <x v="0"/>
    <d v="1899-12-30T13:57:00"/>
    <s v="Ewallet"/>
    <n v="14.55"/>
    <n v="9.4"/>
  </r>
  <r>
    <s v="528-87-5606"/>
    <x v="2"/>
    <x v="2"/>
    <x v="0"/>
    <x v="0"/>
    <x v="1"/>
    <x v="6"/>
    <x v="2"/>
    <d v="2019-02-12T00:00:00"/>
    <x v="2"/>
    <d v="1899-12-30T19:43:00"/>
    <s v="Cash"/>
    <n v="1.974"/>
    <n v="6.5"/>
  </r>
  <r>
    <s v="320-85-2052"/>
    <x v="2"/>
    <x v="2"/>
    <x v="1"/>
    <x v="0"/>
    <x v="3"/>
    <x v="1"/>
    <x v="0"/>
    <d v="2019-01-14T00:00:00"/>
    <x v="1"/>
    <d v="1899-12-30T10:11:00"/>
    <s v="Credit card"/>
    <n v="1.7404999999999999"/>
    <n v="7"/>
  </r>
  <r>
    <s v="370-96-0655"/>
    <x v="1"/>
    <x v="1"/>
    <x v="1"/>
    <x v="0"/>
    <x v="5"/>
    <x v="0"/>
    <x v="0"/>
    <d v="2019-01-09T00:00:00"/>
    <x v="0"/>
    <d v="1899-12-30T13:46:00"/>
    <s v="Ewallet"/>
    <n v="14.795999999999999"/>
    <n v="7.1"/>
  </r>
  <r>
    <s v="105-10-6182"/>
    <x v="0"/>
    <x v="0"/>
    <x v="0"/>
    <x v="1"/>
    <x v="5"/>
    <x v="0"/>
    <x v="2"/>
    <d v="2019-02-27T00:00:00"/>
    <x v="0"/>
    <d v="1899-12-30T12:22:00"/>
    <s v="Ewallet"/>
    <n v="2.1480000000000001"/>
    <n v="6.6"/>
  </r>
  <r>
    <s v="510-79-0415"/>
    <x v="2"/>
    <x v="2"/>
    <x v="0"/>
    <x v="0"/>
    <x v="3"/>
    <x v="5"/>
    <x v="0"/>
    <d v="2019-01-24T00:00:00"/>
    <x v="2"/>
    <d v="1899-12-30T19:20:00"/>
    <s v="Ewallet"/>
    <n v="6.9240000000000004"/>
    <n v="4.9000000000000004"/>
  </r>
  <r>
    <s v="241-96-5076"/>
    <x v="2"/>
    <x v="2"/>
    <x v="0"/>
    <x v="0"/>
    <x v="2"/>
    <x v="0"/>
    <x v="0"/>
    <d v="2019-01-08T00:00:00"/>
    <x v="0"/>
    <d v="1899-12-30T12:58:00"/>
    <s v="Credit card"/>
    <n v="4.91"/>
    <n v="6.4"/>
  </r>
  <r>
    <s v="767-97-4650"/>
    <x v="2"/>
    <x v="2"/>
    <x v="0"/>
    <x v="0"/>
    <x v="3"/>
    <x v="0"/>
    <x v="0"/>
    <d v="2019-01-08T00:00:00"/>
    <x v="1"/>
    <d v="1899-12-30T11:59:00"/>
    <s v="Credit card"/>
    <n v="6.4829999999999997"/>
    <n v="8"/>
  </r>
  <r>
    <s v="648-83-1321"/>
    <x v="0"/>
    <x v="0"/>
    <x v="0"/>
    <x v="1"/>
    <x v="2"/>
    <x v="1"/>
    <x v="0"/>
    <d v="2019-01-16T00:00:00"/>
    <x v="2"/>
    <d v="1899-12-30T17:59:00"/>
    <s v="Cash"/>
    <n v="31.78"/>
    <n v="4.3"/>
  </r>
  <r>
    <s v="173-57-2300"/>
    <x v="1"/>
    <x v="1"/>
    <x v="0"/>
    <x v="1"/>
    <x v="3"/>
    <x v="5"/>
    <x v="1"/>
    <d v="2019-03-13T00:00:00"/>
    <x v="0"/>
    <d v="1899-12-30T12:51:00"/>
    <s v="Cash"/>
    <n v="7.2880000000000003"/>
    <n v="6.1"/>
  </r>
  <r>
    <s v="305-03-2383"/>
    <x v="0"/>
    <x v="0"/>
    <x v="1"/>
    <x v="0"/>
    <x v="4"/>
    <x v="6"/>
    <x v="2"/>
    <d v="2019-02-15T00:00:00"/>
    <x v="1"/>
    <d v="1899-12-30T10:36:00"/>
    <s v="Cash"/>
    <n v="10.065"/>
    <n v="7.5"/>
  </r>
  <r>
    <s v="394-55-6384"/>
    <x v="1"/>
    <x v="1"/>
    <x v="0"/>
    <x v="0"/>
    <x v="3"/>
    <x v="5"/>
    <x v="0"/>
    <d v="2019-01-25T00:00:00"/>
    <x v="0"/>
    <d v="1899-12-30T13:38:00"/>
    <s v="Cash"/>
    <n v="31.5855"/>
    <n v="6.7"/>
  </r>
  <r>
    <s v="266-20-6657"/>
    <x v="1"/>
    <x v="1"/>
    <x v="0"/>
    <x v="1"/>
    <x v="4"/>
    <x v="5"/>
    <x v="1"/>
    <d v="2019-03-12T00:00:00"/>
    <x v="2"/>
    <d v="1899-12-30T19:39:00"/>
    <s v="Ewallet"/>
    <n v="19.263999999999999"/>
    <n v="5.2"/>
  </r>
  <r>
    <s v="689-05-1884"/>
    <x v="0"/>
    <x v="0"/>
    <x v="0"/>
    <x v="1"/>
    <x v="0"/>
    <x v="1"/>
    <x v="1"/>
    <d v="2019-03-04T00:00:00"/>
    <x v="0"/>
    <d v="1899-12-30T12:44:00"/>
    <s v="Cash"/>
    <n v="24.315000000000001"/>
    <n v="8.8000000000000007"/>
  </r>
  <r>
    <s v="196-01-2849"/>
    <x v="1"/>
    <x v="1"/>
    <x v="0"/>
    <x v="0"/>
    <x v="5"/>
    <x v="6"/>
    <x v="2"/>
    <d v="2019-02-10T00:00:00"/>
    <x v="0"/>
    <d v="1899-12-30T13:56:00"/>
    <s v="Cash"/>
    <n v="25.683"/>
    <n v="9.5"/>
  </r>
  <r>
    <s v="372-62-5264"/>
    <x v="1"/>
    <x v="1"/>
    <x v="1"/>
    <x v="0"/>
    <x v="4"/>
    <x v="1"/>
    <x v="0"/>
    <d v="2019-01-16T00:00:00"/>
    <x v="0"/>
    <d v="1899-12-30T14:42:00"/>
    <s v="Cash"/>
    <n v="23.67"/>
    <n v="7.6"/>
  </r>
  <r>
    <s v="800-09-8606"/>
    <x v="0"/>
    <x v="0"/>
    <x v="0"/>
    <x v="0"/>
    <x v="2"/>
    <x v="2"/>
    <x v="0"/>
    <d v="2019-01-29T00:00:00"/>
    <x v="2"/>
    <d v="1899-12-30T19:45:00"/>
    <s v="Cash"/>
    <n v="21.842500000000001"/>
    <n v="6.6"/>
  </r>
  <r>
    <s v="182-52-7000"/>
    <x v="0"/>
    <x v="0"/>
    <x v="0"/>
    <x v="0"/>
    <x v="3"/>
    <x v="4"/>
    <x v="0"/>
    <d v="2019-01-01T00:00:00"/>
    <x v="2"/>
    <d v="1899-12-30T20:26:00"/>
    <s v="Ewallet"/>
    <n v="5.4080000000000004"/>
    <n v="6.9"/>
  </r>
  <r>
    <s v="826-58-8051"/>
    <x v="2"/>
    <x v="2"/>
    <x v="1"/>
    <x v="1"/>
    <x v="2"/>
    <x v="0"/>
    <x v="0"/>
    <d v="2019-01-06T00:00:00"/>
    <x v="2"/>
    <d v="1899-12-30T19:46:00"/>
    <s v="Ewallet"/>
    <n v="12.438000000000001"/>
    <n v="4.3"/>
  </r>
  <r>
    <s v="868-06-0466"/>
    <x v="0"/>
    <x v="0"/>
    <x v="0"/>
    <x v="1"/>
    <x v="1"/>
    <x v="4"/>
    <x v="2"/>
    <d v="2019-02-19T00:00:00"/>
    <x v="2"/>
    <d v="1899-12-30T19:38:00"/>
    <s v="Credit card"/>
    <n v="31.311"/>
    <n v="7.8"/>
  </r>
  <r>
    <s v="751-41-9720"/>
    <x v="1"/>
    <x v="1"/>
    <x v="1"/>
    <x v="1"/>
    <x v="2"/>
    <x v="1"/>
    <x v="0"/>
    <d v="2019-01-12T00:00:00"/>
    <x v="2"/>
    <d v="1899-12-30T16:18:00"/>
    <s v="Ewallet"/>
    <n v="48.75"/>
    <n v="8"/>
  </r>
  <r>
    <s v="626-43-7888"/>
    <x v="1"/>
    <x v="1"/>
    <x v="1"/>
    <x v="0"/>
    <x v="5"/>
    <x v="3"/>
    <x v="2"/>
    <d v="2019-02-07T00:00:00"/>
    <x v="0"/>
    <d v="1899-12-30T12:23:00"/>
    <s v="Ewallet"/>
    <n v="24.164000000000001"/>
    <n v="9.6"/>
  </r>
  <r>
    <s v="176-64-7711"/>
    <x v="2"/>
    <x v="2"/>
    <x v="1"/>
    <x v="1"/>
    <x v="4"/>
    <x v="3"/>
    <x v="1"/>
    <d v="2019-03-27T00:00:00"/>
    <x v="2"/>
    <d v="1899-12-30T19:11:00"/>
    <s v="Credit card"/>
    <n v="4.8479999999999999"/>
    <n v="4.3"/>
  </r>
  <r>
    <s v="191-29-0321"/>
    <x v="2"/>
    <x v="2"/>
    <x v="0"/>
    <x v="0"/>
    <x v="5"/>
    <x v="0"/>
    <x v="2"/>
    <d v="2019-02-27T00:00:00"/>
    <x v="2"/>
    <d v="1899-12-30T18:57:00"/>
    <s v="Credit card"/>
    <n v="9.8849999999999998"/>
    <n v="5"/>
  </r>
  <r>
    <s v="729-06-2010"/>
    <x v="2"/>
    <x v="2"/>
    <x v="0"/>
    <x v="1"/>
    <x v="0"/>
    <x v="0"/>
    <x v="0"/>
    <d v="2019-01-06T00:00:00"/>
    <x v="1"/>
    <d v="1899-12-30T11:18:00"/>
    <s v="Cash"/>
    <n v="36.211500000000001"/>
    <n v="9.1999999999999993"/>
  </r>
  <r>
    <s v="640-48-5028"/>
    <x v="2"/>
    <x v="2"/>
    <x v="0"/>
    <x v="0"/>
    <x v="2"/>
    <x v="1"/>
    <x v="1"/>
    <d v="2019-03-02T00:00:00"/>
    <x v="0"/>
    <d v="1899-12-30T12:40:00"/>
    <s v="Cash"/>
    <n v="39.775500000000001"/>
    <n v="6.3"/>
  </r>
  <r>
    <s v="186-79-9562"/>
    <x v="2"/>
    <x v="2"/>
    <x v="1"/>
    <x v="1"/>
    <x v="0"/>
    <x v="3"/>
    <x v="1"/>
    <d v="2019-03-29T00:00:00"/>
    <x v="0"/>
    <d v="1899-12-30T14:06:00"/>
    <s v="Cash"/>
    <n v="25.119499999999999"/>
    <n v="8.9"/>
  </r>
  <r>
    <s v="834-45-5519"/>
    <x v="2"/>
    <x v="2"/>
    <x v="1"/>
    <x v="0"/>
    <x v="1"/>
    <x v="2"/>
    <x v="0"/>
    <d v="2019-01-31T00:00:00"/>
    <x v="2"/>
    <d v="1899-12-30T20:48:00"/>
    <s v="Ewallet"/>
    <n v="8.6"/>
    <n v="7.6"/>
  </r>
  <r>
    <s v="162-65-8559"/>
    <x v="1"/>
    <x v="1"/>
    <x v="0"/>
    <x v="1"/>
    <x v="4"/>
    <x v="5"/>
    <x v="0"/>
    <d v="2019-01-21T00:00:00"/>
    <x v="2"/>
    <d v="1899-12-30T20:13:00"/>
    <s v="Cash"/>
    <n v="3.4489999999999998"/>
    <n v="4.8"/>
  </r>
  <r>
    <s v="760-27-5490"/>
    <x v="1"/>
    <x v="1"/>
    <x v="1"/>
    <x v="1"/>
    <x v="5"/>
    <x v="5"/>
    <x v="0"/>
    <d v="2019-01-20T00:00:00"/>
    <x v="2"/>
    <d v="1899-12-30T20:37:00"/>
    <s v="Ewallet"/>
    <n v="6.2480000000000002"/>
    <n v="9.1"/>
  </r>
  <r>
    <s v="445-30-9252"/>
    <x v="0"/>
    <x v="0"/>
    <x v="1"/>
    <x v="1"/>
    <x v="3"/>
    <x v="1"/>
    <x v="0"/>
    <d v="2019-01-17T00:00:00"/>
    <x v="2"/>
    <d v="1899-12-30T17:59:00"/>
    <s v="Ewallet"/>
    <n v="3.855"/>
    <n v="6.1"/>
  </r>
  <r>
    <s v="786-94-2700"/>
    <x v="0"/>
    <x v="0"/>
    <x v="0"/>
    <x v="1"/>
    <x v="4"/>
    <x v="0"/>
    <x v="2"/>
    <d v="2019-02-28T00:00:00"/>
    <x v="2"/>
    <d v="1899-12-30T20:18:00"/>
    <s v="Cash"/>
    <n v="24.186"/>
    <n v="9.1"/>
  </r>
  <r>
    <s v="728-88-7867"/>
    <x v="1"/>
    <x v="1"/>
    <x v="0"/>
    <x v="0"/>
    <x v="2"/>
    <x v="2"/>
    <x v="1"/>
    <d v="2019-03-19T00:00:00"/>
    <x v="0"/>
    <d v="1899-12-30T15:52:00"/>
    <s v="Ewallet"/>
    <n v="15.106"/>
    <n v="8.3000000000000007"/>
  </r>
  <r>
    <s v="183-21-3799"/>
    <x v="1"/>
    <x v="1"/>
    <x v="1"/>
    <x v="0"/>
    <x v="1"/>
    <x v="4"/>
    <x v="2"/>
    <d v="2019-02-19T00:00:00"/>
    <x v="0"/>
    <d v="1899-12-30T15:14:00"/>
    <s v="Ewallet"/>
    <n v="34.933500000000002"/>
    <n v="7.2"/>
  </r>
  <r>
    <s v="268-20-3585"/>
    <x v="1"/>
    <x v="1"/>
    <x v="1"/>
    <x v="0"/>
    <x v="0"/>
    <x v="3"/>
    <x v="2"/>
    <d v="2019-02-04T00:00:00"/>
    <x v="0"/>
    <d v="1899-12-30T12:50:00"/>
    <s v="Ewallet"/>
    <n v="6.2324999999999999"/>
    <n v="6"/>
  </r>
  <r>
    <s v="735-32-9839"/>
    <x v="1"/>
    <x v="1"/>
    <x v="0"/>
    <x v="1"/>
    <x v="5"/>
    <x v="2"/>
    <x v="0"/>
    <d v="2019-01-31T00:00:00"/>
    <x v="1"/>
    <d v="1899-12-30T10:36:00"/>
    <s v="Ewallet"/>
    <n v="39.479999999999997"/>
    <n v="8.5"/>
  </r>
  <r>
    <s v="258-92-7466"/>
    <x v="0"/>
    <x v="0"/>
    <x v="1"/>
    <x v="0"/>
    <x v="0"/>
    <x v="3"/>
    <x v="2"/>
    <d v="2019-02-06T00:00:00"/>
    <x v="2"/>
    <d v="1899-12-30T18:33:00"/>
    <s v="Credit card"/>
    <n v="8.92"/>
    <n v="6.6"/>
  </r>
  <r>
    <s v="857-16-3520"/>
    <x v="0"/>
    <x v="0"/>
    <x v="0"/>
    <x v="0"/>
    <x v="5"/>
    <x v="3"/>
    <x v="1"/>
    <d v="2019-03-28T00:00:00"/>
    <x v="2"/>
    <d v="1899-12-30T16:06:00"/>
    <s v="Ewallet"/>
    <n v="25.010999999999999"/>
    <n v="4.5"/>
  </r>
  <r>
    <s v="482-17-1179"/>
    <x v="0"/>
    <x v="0"/>
    <x v="0"/>
    <x v="1"/>
    <x v="1"/>
    <x v="5"/>
    <x v="0"/>
    <d v="2019-01-19T00:00:00"/>
    <x v="0"/>
    <d v="1899-12-30T12:47:00"/>
    <s v="Credit card"/>
    <n v="1.7909999999999999"/>
    <n v="8.1"/>
  </r>
  <r>
    <s v="788-21-5741"/>
    <x v="0"/>
    <x v="0"/>
    <x v="1"/>
    <x v="1"/>
    <x v="5"/>
    <x v="4"/>
    <x v="2"/>
    <d v="2019-02-17T00:00:00"/>
    <x v="0"/>
    <d v="1899-12-30T13:34:00"/>
    <s v="Credit card"/>
    <n v="6.8070000000000004"/>
    <n v="7.2"/>
  </r>
  <r>
    <s v="821-14-9046"/>
    <x v="2"/>
    <x v="2"/>
    <x v="0"/>
    <x v="0"/>
    <x v="5"/>
    <x v="1"/>
    <x v="0"/>
    <d v="2019-01-18T00:00:00"/>
    <x v="0"/>
    <d v="1899-12-30T15:04:00"/>
    <s v="Credit card"/>
    <n v="5.2439999999999998"/>
    <n v="6.1"/>
  </r>
  <r>
    <s v="418-05-0656"/>
    <x v="2"/>
    <x v="2"/>
    <x v="1"/>
    <x v="0"/>
    <x v="5"/>
    <x v="3"/>
    <x v="2"/>
    <d v="2019-02-02T00:00:00"/>
    <x v="2"/>
    <d v="1899-12-30T20:42:00"/>
    <s v="Cash"/>
    <n v="8.9459999999999997"/>
    <n v="7.1"/>
  </r>
  <r>
    <s v="678-79-0726"/>
    <x v="1"/>
    <x v="1"/>
    <x v="0"/>
    <x v="0"/>
    <x v="3"/>
    <x v="1"/>
    <x v="0"/>
    <d v="2019-01-18T00:00:00"/>
    <x v="0"/>
    <d v="1899-12-30T15:28:00"/>
    <s v="Cash"/>
    <n v="40.783499999999997"/>
    <n v="5.0999999999999996"/>
  </r>
  <r>
    <s v="776-68-1096"/>
    <x v="2"/>
    <x v="2"/>
    <x v="1"/>
    <x v="1"/>
    <x v="2"/>
    <x v="2"/>
    <x v="1"/>
    <d v="2019-03-18T00:00:00"/>
    <x v="0"/>
    <d v="1899-12-30T13:45:00"/>
    <s v="Credit card"/>
    <n v="6.6180000000000003"/>
    <n v="7.9"/>
  </r>
  <r>
    <s v="592-46-1692"/>
    <x v="1"/>
    <x v="1"/>
    <x v="0"/>
    <x v="0"/>
    <x v="4"/>
    <x v="0"/>
    <x v="0"/>
    <d v="2019-01-11T00:00:00"/>
    <x v="2"/>
    <d v="1899-12-30T20:10:00"/>
    <s v="Cash"/>
    <n v="12.8695"/>
    <n v="7.4"/>
  </r>
  <r>
    <s v="434-35-9162"/>
    <x v="2"/>
    <x v="2"/>
    <x v="0"/>
    <x v="1"/>
    <x v="4"/>
    <x v="3"/>
    <x v="2"/>
    <d v="2019-02-04T00:00:00"/>
    <x v="2"/>
    <d v="1899-12-30T18:53:00"/>
    <s v="Ewallet"/>
    <n v="4.6680000000000001"/>
    <n v="7.4"/>
  </r>
  <r>
    <s v="149-14-0304"/>
    <x v="1"/>
    <x v="1"/>
    <x v="0"/>
    <x v="0"/>
    <x v="0"/>
    <x v="3"/>
    <x v="2"/>
    <d v="2019-02-06T00:00:00"/>
    <x v="0"/>
    <d v="1899-12-30T14:24:00"/>
    <s v="Cash"/>
    <n v="11.4"/>
    <n v="6.6"/>
  </r>
  <r>
    <s v="442-44-6497"/>
    <x v="1"/>
    <x v="1"/>
    <x v="0"/>
    <x v="1"/>
    <x v="2"/>
    <x v="0"/>
    <x v="0"/>
    <d v="2019-01-08T00:00:00"/>
    <x v="1"/>
    <d v="1899-12-30T11:42:00"/>
    <s v="Credit card"/>
    <n v="8.3354999999999997"/>
    <n v="5.9"/>
  </r>
  <r>
    <s v="174-64-0215"/>
    <x v="2"/>
    <x v="2"/>
    <x v="1"/>
    <x v="1"/>
    <x v="3"/>
    <x v="1"/>
    <x v="1"/>
    <d v="2019-03-05T00:00:00"/>
    <x v="2"/>
    <d v="1899-12-30T17:49:00"/>
    <s v="Credit card"/>
    <n v="34.869999999999997"/>
    <n v="8.9"/>
  </r>
  <r>
    <s v="210-74-9613"/>
    <x v="1"/>
    <x v="1"/>
    <x v="1"/>
    <x v="1"/>
    <x v="5"/>
    <x v="2"/>
    <x v="1"/>
    <d v="2019-03-16T00:00:00"/>
    <x v="0"/>
    <d v="1899-12-30T15:33:00"/>
    <s v="Ewallet"/>
    <n v="19.452000000000002"/>
    <n v="6.8"/>
  </r>
  <r>
    <s v="299-29-0180"/>
    <x v="2"/>
    <x v="2"/>
    <x v="0"/>
    <x v="0"/>
    <x v="2"/>
    <x v="5"/>
    <x v="1"/>
    <d v="2019-03-09T00:00:00"/>
    <x v="1"/>
    <d v="1899-12-30T10:54:00"/>
    <s v="Cash"/>
    <n v="18.263000000000002"/>
    <n v="9.3000000000000007"/>
  </r>
  <r>
    <s v="247-11-2470"/>
    <x v="0"/>
    <x v="0"/>
    <x v="0"/>
    <x v="0"/>
    <x v="5"/>
    <x v="0"/>
    <x v="1"/>
    <d v="2019-03-01T00:00:00"/>
    <x v="2"/>
    <d v="1899-12-30T16:23:00"/>
    <s v="Credit card"/>
    <n v="4.4640000000000004"/>
    <n v="4.4000000000000004"/>
  </r>
  <r>
    <s v="635-28-5728"/>
    <x v="0"/>
    <x v="0"/>
    <x v="1"/>
    <x v="1"/>
    <x v="0"/>
    <x v="0"/>
    <x v="2"/>
    <d v="2019-02-28T00:00:00"/>
    <x v="2"/>
    <d v="1899-12-30T19:33:00"/>
    <s v="Ewallet"/>
    <n v="8.4"/>
    <n v="4.8"/>
  </r>
  <r>
    <s v="756-49-0168"/>
    <x v="0"/>
    <x v="0"/>
    <x v="0"/>
    <x v="1"/>
    <x v="5"/>
    <x v="3"/>
    <x v="2"/>
    <d v="2019-02-08T00:00:00"/>
    <x v="1"/>
    <d v="1899-12-30T11:39:00"/>
    <s v="Ewallet"/>
    <n v="0.98499999999999999"/>
    <n v="9.5"/>
  </r>
  <r>
    <s v="438-23-1242"/>
    <x v="2"/>
    <x v="2"/>
    <x v="1"/>
    <x v="1"/>
    <x v="1"/>
    <x v="5"/>
    <x v="0"/>
    <d v="2019-01-24T00:00:00"/>
    <x v="1"/>
    <d v="1899-12-30T10:38:00"/>
    <s v="Ewallet"/>
    <n v="26.558"/>
    <n v="8.9"/>
  </r>
  <r>
    <s v="238-45-6950"/>
    <x v="2"/>
    <x v="2"/>
    <x v="0"/>
    <x v="1"/>
    <x v="4"/>
    <x v="0"/>
    <x v="1"/>
    <d v="2019-03-01T00:00:00"/>
    <x v="2"/>
    <d v="1899-12-30T20:03:00"/>
    <s v="Ewallet"/>
    <n v="2.6859999999999999"/>
    <n v="6.4"/>
  </r>
  <r>
    <s v="607-65-2441"/>
    <x v="1"/>
    <x v="1"/>
    <x v="0"/>
    <x v="1"/>
    <x v="0"/>
    <x v="5"/>
    <x v="1"/>
    <d v="2019-03-10T00:00:00"/>
    <x v="0"/>
    <d v="1899-12-30T12:39:00"/>
    <s v="Credit card"/>
    <n v="40.975000000000001"/>
    <n v="6"/>
  </r>
  <r>
    <s v="386-27-7606"/>
    <x v="1"/>
    <x v="1"/>
    <x v="0"/>
    <x v="0"/>
    <x v="2"/>
    <x v="3"/>
    <x v="1"/>
    <d v="2019-03-23T00:00:00"/>
    <x v="0"/>
    <d v="1899-12-30T15:59:00"/>
    <s v="Credit card"/>
    <n v="28.42"/>
    <n v="8.1"/>
  </r>
  <r>
    <s v="137-63-5492"/>
    <x v="1"/>
    <x v="1"/>
    <x v="1"/>
    <x v="1"/>
    <x v="1"/>
    <x v="2"/>
    <x v="0"/>
    <d v="2019-01-29T00:00:00"/>
    <x v="0"/>
    <d v="1899-12-30T14:26:00"/>
    <s v="Ewallet"/>
    <n v="29.38"/>
    <n v="9"/>
  </r>
  <r>
    <s v="197-77-7132"/>
    <x v="2"/>
    <x v="2"/>
    <x v="0"/>
    <x v="1"/>
    <x v="1"/>
    <x v="1"/>
    <x v="0"/>
    <d v="2019-01-12T00:00:00"/>
    <x v="2"/>
    <d v="1899-12-30T18:22:00"/>
    <s v="Ewallet"/>
    <n v="36.624000000000002"/>
    <n v="6"/>
  </r>
  <r>
    <s v="805-86-0265"/>
    <x v="0"/>
    <x v="0"/>
    <x v="1"/>
    <x v="1"/>
    <x v="2"/>
    <x v="2"/>
    <x v="1"/>
    <d v="2019-03-20T00:00:00"/>
    <x v="1"/>
    <d v="1899-12-30T11:32:00"/>
    <s v="Cash"/>
    <n v="42.281999999999996"/>
    <n v="9.8000000000000007"/>
  </r>
  <r>
    <s v="733-29-1227"/>
    <x v="1"/>
    <x v="1"/>
    <x v="1"/>
    <x v="1"/>
    <x v="2"/>
    <x v="3"/>
    <x v="1"/>
    <d v="2019-03-23T00:00:00"/>
    <x v="0"/>
    <d v="1899-12-30T12:41:00"/>
    <s v="Cash"/>
    <n v="19.4635"/>
    <n v="8.5"/>
  </r>
  <r>
    <s v="451-73-2711"/>
    <x v="1"/>
    <x v="1"/>
    <x v="1"/>
    <x v="1"/>
    <x v="4"/>
    <x v="1"/>
    <x v="0"/>
    <d v="2019-01-14T00:00:00"/>
    <x v="0"/>
    <d v="1899-12-30T15:20:00"/>
    <s v="Ewallet"/>
    <n v="4.2415000000000003"/>
    <n v="8.8000000000000007"/>
  </r>
  <r>
    <s v="373-14-0504"/>
    <x v="0"/>
    <x v="0"/>
    <x v="0"/>
    <x v="0"/>
    <x v="3"/>
    <x v="6"/>
    <x v="2"/>
    <d v="2019-02-12T00:00:00"/>
    <x v="0"/>
    <d v="1899-12-30T14:33:00"/>
    <s v="Ewallet"/>
    <n v="7.1630000000000003"/>
    <n v="8.8000000000000007"/>
  </r>
  <r>
    <s v="546-80-2899"/>
    <x v="0"/>
    <x v="0"/>
    <x v="0"/>
    <x v="1"/>
    <x v="2"/>
    <x v="4"/>
    <x v="2"/>
    <d v="2019-02-20T00:00:00"/>
    <x v="0"/>
    <d v="1899-12-30T15:29:00"/>
    <s v="Ewallet"/>
    <n v="3.7690000000000001"/>
    <n v="9.5"/>
  </r>
  <r>
    <s v="345-68-9016"/>
    <x v="1"/>
    <x v="1"/>
    <x v="0"/>
    <x v="0"/>
    <x v="3"/>
    <x v="4"/>
    <x v="0"/>
    <d v="2019-01-02T00:00:00"/>
    <x v="2"/>
    <d v="1899-12-30T16:19:00"/>
    <s v="Credit card"/>
    <n v="12.667999999999999"/>
    <n v="5.6"/>
  </r>
  <r>
    <s v="390-17-5806"/>
    <x v="1"/>
    <x v="1"/>
    <x v="0"/>
    <x v="0"/>
    <x v="4"/>
    <x v="3"/>
    <x v="2"/>
    <d v="2019-02-02T00:00:00"/>
    <x v="2"/>
    <d v="1899-12-30T16:33:00"/>
    <s v="Cash"/>
    <n v="1.921"/>
    <n v="8.6"/>
  </r>
  <r>
    <s v="457-13-1708"/>
    <x v="2"/>
    <x v="2"/>
    <x v="0"/>
    <x v="1"/>
    <x v="5"/>
    <x v="0"/>
    <x v="0"/>
    <d v="2019-01-08T00:00:00"/>
    <x v="2"/>
    <d v="1899-12-30T19:07:00"/>
    <s v="Credit card"/>
    <n v="32.615000000000002"/>
    <n v="5.2"/>
  </r>
  <r>
    <s v="664-14-2882"/>
    <x v="1"/>
    <x v="1"/>
    <x v="0"/>
    <x v="0"/>
    <x v="2"/>
    <x v="2"/>
    <x v="0"/>
    <d v="2019-01-30T00:00:00"/>
    <x v="0"/>
    <d v="1899-12-30T14:43:00"/>
    <s v="Credit card"/>
    <n v="2.6324999999999998"/>
    <n v="5.8"/>
  </r>
  <r>
    <s v="487-79-6868"/>
    <x v="2"/>
    <x v="2"/>
    <x v="0"/>
    <x v="0"/>
    <x v="2"/>
    <x v="3"/>
    <x v="1"/>
    <d v="2019-03-26T00:00:00"/>
    <x v="2"/>
    <d v="1899-12-30T19:28:00"/>
    <s v="Credit card"/>
    <n v="5.5305"/>
    <n v="8"/>
  </r>
  <r>
    <s v="314-23-4520"/>
    <x v="1"/>
    <x v="1"/>
    <x v="0"/>
    <x v="1"/>
    <x v="0"/>
    <x v="1"/>
    <x v="0"/>
    <d v="2019-01-15T00:00:00"/>
    <x v="2"/>
    <d v="1899-12-30T20:44:00"/>
    <s v="Cash"/>
    <n v="28.430499999999999"/>
    <n v="9"/>
  </r>
  <r>
    <s v="210-30-7976"/>
    <x v="2"/>
    <x v="2"/>
    <x v="0"/>
    <x v="0"/>
    <x v="5"/>
    <x v="5"/>
    <x v="1"/>
    <d v="2019-03-14T00:00:00"/>
    <x v="1"/>
    <d v="1899-12-30T11:16:00"/>
    <s v="Ewallet"/>
    <n v="4.4640000000000004"/>
    <n v="4.0999999999999996"/>
  </r>
  <r>
    <s v="585-86-8361"/>
    <x v="0"/>
    <x v="0"/>
    <x v="1"/>
    <x v="0"/>
    <x v="4"/>
    <x v="3"/>
    <x v="2"/>
    <d v="2019-02-03T00:00:00"/>
    <x v="1"/>
    <d v="1899-12-30T10:31:00"/>
    <s v="Credit card"/>
    <n v="6.82"/>
    <n v="8.6"/>
  </r>
  <r>
    <s v="807-14-7833"/>
    <x v="0"/>
    <x v="0"/>
    <x v="0"/>
    <x v="0"/>
    <x v="1"/>
    <x v="4"/>
    <x v="2"/>
    <d v="2019-02-22T00:00:00"/>
    <x v="0"/>
    <d v="1899-12-30T12:30:00"/>
    <s v="Ewallet"/>
    <n v="8.7100000000000009"/>
    <n v="7"/>
  </r>
  <r>
    <s v="775-72-1988"/>
    <x v="2"/>
    <x v="2"/>
    <x v="1"/>
    <x v="1"/>
    <x v="2"/>
    <x v="5"/>
    <x v="0"/>
    <d v="2019-01-24T00:00:00"/>
    <x v="0"/>
    <d v="1899-12-30T15:05:00"/>
    <s v="Ewallet"/>
    <n v="18.32"/>
    <n v="8.4"/>
  </r>
  <r>
    <s v="288-38-3758"/>
    <x v="1"/>
    <x v="1"/>
    <x v="0"/>
    <x v="0"/>
    <x v="5"/>
    <x v="5"/>
    <x v="0"/>
    <d v="2019-01-25T00:00:00"/>
    <x v="2"/>
    <d v="1899-12-30T18:30:00"/>
    <s v="Ewallet"/>
    <n v="12.730499999999999"/>
    <n v="7.4"/>
  </r>
  <r>
    <s v="652-43-6591"/>
    <x v="0"/>
    <x v="0"/>
    <x v="1"/>
    <x v="0"/>
    <x v="5"/>
    <x v="5"/>
    <x v="1"/>
    <d v="2019-03-09T00:00:00"/>
    <x v="0"/>
    <d v="1899-12-30T13:18:00"/>
    <s v="Credit card"/>
    <n v="38.915999999999997"/>
    <n v="6.2"/>
  </r>
  <r>
    <s v="785-96-0615"/>
    <x v="2"/>
    <x v="2"/>
    <x v="0"/>
    <x v="0"/>
    <x v="1"/>
    <x v="4"/>
    <x v="2"/>
    <d v="2019-02-17T00:00:00"/>
    <x v="0"/>
    <d v="1899-12-30T15:28:00"/>
    <s v="Ewallet"/>
    <n v="14.295999999999999"/>
    <n v="4.9000000000000004"/>
  </r>
  <r>
    <s v="406-46-7107"/>
    <x v="0"/>
    <x v="0"/>
    <x v="1"/>
    <x v="0"/>
    <x v="2"/>
    <x v="0"/>
    <x v="0"/>
    <d v="2019-01-11T00:00:00"/>
    <x v="1"/>
    <d v="1899-12-30T11:52:00"/>
    <s v="Cash"/>
    <n v="28.956"/>
    <n v="4.5"/>
  </r>
  <r>
    <s v="250-17-5703"/>
    <x v="0"/>
    <x v="0"/>
    <x v="0"/>
    <x v="1"/>
    <x v="4"/>
    <x v="0"/>
    <x v="2"/>
    <d v="2019-02-27T00:00:00"/>
    <x v="2"/>
    <d v="1899-12-30T18:24:00"/>
    <s v="Ewallet"/>
    <n v="9.4250000000000007"/>
    <n v="5.6"/>
  </r>
  <r>
    <s v="156-95-3964"/>
    <x v="0"/>
    <x v="0"/>
    <x v="1"/>
    <x v="0"/>
    <x v="4"/>
    <x v="3"/>
    <x v="1"/>
    <d v="2019-03-25T00:00:00"/>
    <x v="0"/>
    <d v="1899-12-30T15:19:00"/>
    <s v="Ewallet"/>
    <n v="11.077999999999999"/>
    <n v="8"/>
  </r>
  <r>
    <s v="842-40-8179"/>
    <x v="2"/>
    <x v="2"/>
    <x v="0"/>
    <x v="0"/>
    <x v="4"/>
    <x v="6"/>
    <x v="2"/>
    <d v="2019-02-11T00:00:00"/>
    <x v="1"/>
    <d v="1899-12-30T10:38:00"/>
    <s v="Credit card"/>
    <n v="38.6"/>
    <n v="5.6"/>
  </r>
  <r>
    <s v="525-09-8450"/>
    <x v="2"/>
    <x v="2"/>
    <x v="1"/>
    <x v="1"/>
    <x v="1"/>
    <x v="2"/>
    <x v="0"/>
    <d v="2019-01-31T00:00:00"/>
    <x v="0"/>
    <d v="1899-12-30T15:12:00"/>
    <s v="Credit card"/>
    <n v="36.064999999999998"/>
    <n v="4.2"/>
  </r>
  <r>
    <s v="410-67-1709"/>
    <x v="0"/>
    <x v="0"/>
    <x v="0"/>
    <x v="0"/>
    <x v="5"/>
    <x v="5"/>
    <x v="0"/>
    <d v="2019-01-20T00:00:00"/>
    <x v="2"/>
    <d v="1899-12-30T17:48:00"/>
    <s v="Ewallet"/>
    <n v="25.552"/>
    <n v="9.9"/>
  </r>
  <r>
    <s v="587-73-4862"/>
    <x v="0"/>
    <x v="0"/>
    <x v="0"/>
    <x v="0"/>
    <x v="0"/>
    <x v="3"/>
    <x v="1"/>
    <d v="2019-03-26T00:00:00"/>
    <x v="1"/>
    <d v="1899-12-30T11:07:00"/>
    <s v="Ewallet"/>
    <n v="2.6724999999999999"/>
    <n v="7.6"/>
  </r>
  <r>
    <s v="787-87-2010"/>
    <x v="0"/>
    <x v="0"/>
    <x v="0"/>
    <x v="1"/>
    <x v="0"/>
    <x v="5"/>
    <x v="0"/>
    <d v="2019-01-20T00:00:00"/>
    <x v="0"/>
    <d v="1899-12-30T15:48:00"/>
    <s v="Credit card"/>
    <n v="11.1"/>
    <n v="6.6"/>
  </r>
  <r>
    <s v="593-14-4239"/>
    <x v="2"/>
    <x v="2"/>
    <x v="1"/>
    <x v="0"/>
    <x v="2"/>
    <x v="1"/>
    <x v="1"/>
    <d v="2019-03-05T00:00:00"/>
    <x v="2"/>
    <d v="1899-12-30T19:40:00"/>
    <s v="Ewallet"/>
    <n v="38.183999999999997"/>
    <n v="4.7"/>
  </r>
  <r>
    <s v="801-88-0346"/>
    <x v="1"/>
    <x v="1"/>
    <x v="1"/>
    <x v="0"/>
    <x v="5"/>
    <x v="0"/>
    <x v="0"/>
    <d v="2019-01-05T00:00:00"/>
    <x v="2"/>
    <d v="1899-12-30T20:30:00"/>
    <s v="Credit card"/>
    <n v="11.409000000000001"/>
    <n v="9.8000000000000007"/>
  </r>
  <r>
    <s v="388-76-2555"/>
    <x v="2"/>
    <x v="2"/>
    <x v="1"/>
    <x v="1"/>
    <x v="3"/>
    <x v="6"/>
    <x v="2"/>
    <d v="2019-02-13T00:00:00"/>
    <x v="0"/>
    <d v="1899-12-30T13:59:00"/>
    <s v="Cash"/>
    <n v="4.1070000000000002"/>
    <n v="6.3"/>
  </r>
  <r>
    <s v="711-31-1234"/>
    <x v="2"/>
    <x v="2"/>
    <x v="1"/>
    <x v="0"/>
    <x v="1"/>
    <x v="2"/>
    <x v="1"/>
    <d v="2019-03-16T00:00:00"/>
    <x v="2"/>
    <d v="1899-12-30T18:51:00"/>
    <s v="Cash"/>
    <n v="19.128"/>
    <n v="7.9"/>
  </r>
  <r>
    <s v="886-54-6089"/>
    <x v="0"/>
    <x v="0"/>
    <x v="1"/>
    <x v="0"/>
    <x v="2"/>
    <x v="1"/>
    <x v="0"/>
    <d v="2019-01-15T00:00:00"/>
    <x v="2"/>
    <d v="1899-12-30T17:24:00"/>
    <s v="Cash"/>
    <n v="3.4289999999999998"/>
    <n v="7.7"/>
  </r>
  <r>
    <s v="707-32-7409"/>
    <x v="2"/>
    <x v="2"/>
    <x v="0"/>
    <x v="0"/>
    <x v="3"/>
    <x v="0"/>
    <x v="2"/>
    <d v="2019-02-26T00:00:00"/>
    <x v="1"/>
    <d v="1899-12-30T11:58:00"/>
    <s v="Ewallet"/>
    <n v="19.108000000000001"/>
    <n v="4.5"/>
  </r>
  <r>
    <s v="759-98-4285"/>
    <x v="1"/>
    <x v="1"/>
    <x v="0"/>
    <x v="0"/>
    <x v="0"/>
    <x v="0"/>
    <x v="2"/>
    <d v="2019-02-27T00:00:00"/>
    <x v="2"/>
    <d v="1899-12-30T19:01:00"/>
    <s v="Credit card"/>
    <n v="30.054500000000001"/>
    <n v="8"/>
  </r>
  <r>
    <s v="201-63-8275"/>
    <x v="1"/>
    <x v="1"/>
    <x v="0"/>
    <x v="0"/>
    <x v="3"/>
    <x v="4"/>
    <x v="2"/>
    <d v="2019-02-17T00:00:00"/>
    <x v="2"/>
    <d v="1899-12-30T16:50:00"/>
    <s v="Ewallet"/>
    <n v="23.796500000000002"/>
    <n v="5.7"/>
  </r>
  <r>
    <s v="471-06-8611"/>
    <x v="1"/>
    <x v="1"/>
    <x v="1"/>
    <x v="0"/>
    <x v="4"/>
    <x v="3"/>
    <x v="2"/>
    <d v="2019-02-06T00:00:00"/>
    <x v="1"/>
    <d v="1899-12-30T10:22:00"/>
    <s v="Credit card"/>
    <n v="2.621"/>
    <n v="6.3"/>
  </r>
  <r>
    <s v="200-16-5952"/>
    <x v="1"/>
    <x v="1"/>
    <x v="0"/>
    <x v="1"/>
    <x v="4"/>
    <x v="1"/>
    <x v="0"/>
    <d v="2019-01-17T00:00:00"/>
    <x v="2"/>
    <d v="1899-12-30T16:46:00"/>
    <s v="Cash"/>
    <n v="6.5650000000000004"/>
    <n v="6"/>
  </r>
  <r>
    <s v="120-54-2248"/>
    <x v="2"/>
    <x v="2"/>
    <x v="1"/>
    <x v="0"/>
    <x v="4"/>
    <x v="5"/>
    <x v="0"/>
    <d v="2019-01-22T00:00:00"/>
    <x v="2"/>
    <d v="1899-12-30T18:08:00"/>
    <s v="Credit card"/>
    <n v="7.2149999999999999"/>
    <n v="8"/>
  </r>
  <r>
    <s v="102-77-2261"/>
    <x v="1"/>
    <x v="1"/>
    <x v="0"/>
    <x v="1"/>
    <x v="0"/>
    <x v="1"/>
    <x v="1"/>
    <d v="2019-03-05T00:00:00"/>
    <x v="2"/>
    <d v="1899-12-30T18:02:00"/>
    <s v="Credit card"/>
    <n v="22.858499999999999"/>
    <n v="4.2"/>
  </r>
  <r>
    <s v="875-31-8302"/>
    <x v="2"/>
    <x v="2"/>
    <x v="1"/>
    <x v="1"/>
    <x v="3"/>
    <x v="4"/>
    <x v="0"/>
    <d v="2019-01-03T00:00:00"/>
    <x v="0"/>
    <d v="1899-12-30T13:07:00"/>
    <s v="Cash"/>
    <n v="4.6689999999999996"/>
    <n v="9.6"/>
  </r>
  <r>
    <s v="102-06-2002"/>
    <x v="1"/>
    <x v="1"/>
    <x v="0"/>
    <x v="1"/>
    <x v="3"/>
    <x v="2"/>
    <x v="1"/>
    <d v="2019-03-20T00:00:00"/>
    <x v="2"/>
    <d v="1899-12-30T17:52:00"/>
    <s v="Cash"/>
    <n v="6.3125"/>
    <n v="6.1"/>
  </r>
  <r>
    <s v="457-94-0464"/>
    <x v="2"/>
    <x v="2"/>
    <x v="0"/>
    <x v="1"/>
    <x v="1"/>
    <x v="2"/>
    <x v="0"/>
    <d v="2019-01-31T00:00:00"/>
    <x v="2"/>
    <d v="1899-12-30T20:32:00"/>
    <s v="Ewallet"/>
    <n v="39.541499999999999"/>
    <n v="5.6"/>
  </r>
  <r>
    <s v="629-42-4133"/>
    <x v="1"/>
    <x v="1"/>
    <x v="1"/>
    <x v="1"/>
    <x v="0"/>
    <x v="4"/>
    <x v="2"/>
    <d v="2019-02-19T00:00:00"/>
    <x v="2"/>
    <d v="1899-12-30T19:24:00"/>
    <s v="Cash"/>
    <n v="8.7200000000000006"/>
    <n v="8.3000000000000007"/>
  </r>
  <r>
    <s v="534-53-3526"/>
    <x v="0"/>
    <x v="0"/>
    <x v="1"/>
    <x v="0"/>
    <x v="3"/>
    <x v="6"/>
    <x v="2"/>
    <d v="2019-02-11T00:00:00"/>
    <x v="2"/>
    <d v="1899-12-30T16:06:00"/>
    <s v="Ewallet"/>
    <n v="18.952000000000002"/>
    <n v="7.8"/>
  </r>
  <r>
    <s v="307-04-2070"/>
    <x v="0"/>
    <x v="0"/>
    <x v="0"/>
    <x v="0"/>
    <x v="5"/>
    <x v="3"/>
    <x v="2"/>
    <d v="2019-02-05T00:00:00"/>
    <x v="0"/>
    <d v="1899-12-30T14:14:00"/>
    <s v="Credit card"/>
    <n v="1.5309999999999999"/>
    <n v="4.0999999999999996"/>
  </r>
  <r>
    <s v="468-99-7231"/>
    <x v="1"/>
    <x v="1"/>
    <x v="1"/>
    <x v="0"/>
    <x v="2"/>
    <x v="1"/>
    <x v="1"/>
    <d v="2019-03-03T00:00:00"/>
    <x v="2"/>
    <d v="1899-12-30T17:36:00"/>
    <s v="Cash"/>
    <n v="17.603999999999999"/>
    <n v="8.8000000000000007"/>
  </r>
  <r>
    <s v="516-77-6464"/>
    <x v="1"/>
    <x v="1"/>
    <x v="0"/>
    <x v="0"/>
    <x v="0"/>
    <x v="0"/>
    <x v="2"/>
    <d v="2019-02-24T00:00:00"/>
    <x v="0"/>
    <d v="1899-12-30T13:08:00"/>
    <s v="Ewallet"/>
    <n v="2.54"/>
    <n v="4.0999999999999996"/>
  </r>
  <r>
    <s v="404-91-5964"/>
    <x v="0"/>
    <x v="0"/>
    <x v="1"/>
    <x v="1"/>
    <x v="1"/>
    <x v="3"/>
    <x v="2"/>
    <d v="2019-02-04T00:00:00"/>
    <x v="2"/>
    <d v="1899-12-30T16:09:00"/>
    <s v="Credit card"/>
    <n v="26.103000000000002"/>
    <n v="9"/>
  </r>
  <r>
    <s v="886-77-9084"/>
    <x v="1"/>
    <x v="1"/>
    <x v="1"/>
    <x v="1"/>
    <x v="1"/>
    <x v="4"/>
    <x v="2"/>
    <d v="2019-02-19T00:00:00"/>
    <x v="1"/>
    <d v="1899-12-30T11:33:00"/>
    <s v="Ewallet"/>
    <n v="28.756"/>
    <n v="5.5"/>
  </r>
  <r>
    <s v="790-38-4466"/>
    <x v="1"/>
    <x v="1"/>
    <x v="1"/>
    <x v="0"/>
    <x v="0"/>
    <x v="5"/>
    <x v="0"/>
    <d v="2019-01-23T00:00:00"/>
    <x v="1"/>
    <d v="1899-12-30T10:18:00"/>
    <s v="Credit card"/>
    <n v="2.7475000000000001"/>
    <n v="9.3000000000000007"/>
  </r>
  <r>
    <s v="704-10-4056"/>
    <x v="1"/>
    <x v="1"/>
    <x v="0"/>
    <x v="1"/>
    <x v="0"/>
    <x v="1"/>
    <x v="0"/>
    <d v="2019-01-14T00:00:00"/>
    <x v="1"/>
    <d v="1899-12-30T10:55:00"/>
    <s v="Credit card"/>
    <n v="9.0704999999999991"/>
    <n v="5.6"/>
  </r>
  <r>
    <s v="497-37-6538"/>
    <x v="0"/>
    <x v="0"/>
    <x v="1"/>
    <x v="1"/>
    <x v="3"/>
    <x v="1"/>
    <x v="0"/>
    <d v="2019-01-17T00:00:00"/>
    <x v="0"/>
    <d v="1899-12-30T15:15:00"/>
    <s v="Ewallet"/>
    <n v="20.618500000000001"/>
    <n v="9.6999999999999993"/>
  </r>
  <r>
    <s v="651-96-5970"/>
    <x v="0"/>
    <x v="0"/>
    <x v="1"/>
    <x v="1"/>
    <x v="5"/>
    <x v="1"/>
    <x v="1"/>
    <d v="2019-03-03T00:00:00"/>
    <x v="2"/>
    <d v="1899-12-30T20:06:00"/>
    <s v="Credit card"/>
    <n v="2.3205"/>
    <n v="4"/>
  </r>
  <r>
    <s v="400-80-4065"/>
    <x v="1"/>
    <x v="1"/>
    <x v="0"/>
    <x v="1"/>
    <x v="0"/>
    <x v="6"/>
    <x v="2"/>
    <d v="2019-02-15T00:00:00"/>
    <x v="2"/>
    <d v="1899-12-30T20:21:00"/>
    <s v="Credit card"/>
    <n v="13.71"/>
    <n v="9.1999999999999993"/>
  </r>
  <r>
    <s v="744-16-7898"/>
    <x v="2"/>
    <x v="2"/>
    <x v="1"/>
    <x v="0"/>
    <x v="2"/>
    <x v="1"/>
    <x v="0"/>
    <d v="2019-01-15T00:00:00"/>
    <x v="0"/>
    <d v="1899-12-30T13:48:00"/>
    <s v="Credit card"/>
    <n v="48.685000000000002"/>
    <n v="4.9000000000000004"/>
  </r>
  <r>
    <s v="263-12-5321"/>
    <x v="0"/>
    <x v="0"/>
    <x v="0"/>
    <x v="1"/>
    <x v="1"/>
    <x v="0"/>
    <x v="2"/>
    <d v="2019-02-27T00:00:00"/>
    <x v="0"/>
    <d v="1899-12-30T12:52:00"/>
    <s v="Credit card"/>
    <n v="32.409999999999997"/>
    <n v="9.3000000000000007"/>
  </r>
  <r>
    <s v="702-72-0487"/>
    <x v="0"/>
    <x v="0"/>
    <x v="1"/>
    <x v="0"/>
    <x v="1"/>
    <x v="0"/>
    <x v="2"/>
    <d v="2019-02-26T00:00:00"/>
    <x v="0"/>
    <d v="1899-12-30T12:28:00"/>
    <s v="Credit card"/>
    <n v="4.6609999999999996"/>
    <n v="6.6"/>
  </r>
  <r>
    <s v="605-83-1050"/>
    <x v="2"/>
    <x v="2"/>
    <x v="1"/>
    <x v="1"/>
    <x v="5"/>
    <x v="5"/>
    <x v="1"/>
    <d v="2019-03-15T00:00:00"/>
    <x v="2"/>
    <d v="1899-12-30T16:26:00"/>
    <s v="Ewallet"/>
    <n v="2.718"/>
    <n v="4.3"/>
  </r>
  <r>
    <s v="443-60-9639"/>
    <x v="1"/>
    <x v="1"/>
    <x v="0"/>
    <x v="0"/>
    <x v="2"/>
    <x v="5"/>
    <x v="0"/>
    <d v="2019-01-24T00:00:00"/>
    <x v="0"/>
    <d v="1899-12-30T13:24:00"/>
    <s v="Cash"/>
    <n v="3.0434999999999999"/>
    <n v="5.5"/>
  </r>
  <r>
    <s v="864-24-7918"/>
    <x v="0"/>
    <x v="0"/>
    <x v="0"/>
    <x v="0"/>
    <x v="3"/>
    <x v="4"/>
    <x v="2"/>
    <d v="2019-02-22T00:00:00"/>
    <x v="0"/>
    <d v="1899-12-30T15:15:00"/>
    <s v="Cash"/>
    <n v="12.244999999999999"/>
    <n v="8.1"/>
  </r>
  <r>
    <s v="359-94-5395"/>
    <x v="2"/>
    <x v="2"/>
    <x v="1"/>
    <x v="1"/>
    <x v="0"/>
    <x v="5"/>
    <x v="1"/>
    <d v="2019-03-15T00:00:00"/>
    <x v="1"/>
    <d v="1899-12-30T10:50:00"/>
    <s v="Credit card"/>
    <n v="4.6390000000000002"/>
    <n v="9.8000000000000007"/>
  </r>
  <r>
    <s v="401-09-4232"/>
    <x v="1"/>
    <x v="1"/>
    <x v="0"/>
    <x v="1"/>
    <x v="2"/>
    <x v="6"/>
    <x v="2"/>
    <d v="2019-02-11T00:00:00"/>
    <x v="2"/>
    <d v="1899-12-30T18:38:00"/>
    <s v="Ewallet"/>
    <n v="21.672499999999999"/>
    <n v="9.4"/>
  </r>
  <r>
    <s v="751-15-6198"/>
    <x v="2"/>
    <x v="2"/>
    <x v="1"/>
    <x v="1"/>
    <x v="3"/>
    <x v="1"/>
    <x v="0"/>
    <d v="2019-01-12T00:00:00"/>
    <x v="2"/>
    <d v="1899-12-30T16:45:00"/>
    <s v="Ewallet"/>
    <n v="6.9029999999999996"/>
    <n v="7.9"/>
  </r>
  <r>
    <s v="324-41-6833"/>
    <x v="1"/>
    <x v="1"/>
    <x v="0"/>
    <x v="0"/>
    <x v="1"/>
    <x v="1"/>
    <x v="1"/>
    <d v="2019-03-03T00:00:00"/>
    <x v="2"/>
    <d v="1899-12-30T19:30:00"/>
    <s v="Ewallet"/>
    <n v="12.08"/>
    <n v="5.0999999999999996"/>
  </r>
  <r>
    <s v="474-33-8305"/>
    <x v="1"/>
    <x v="1"/>
    <x v="0"/>
    <x v="1"/>
    <x v="5"/>
    <x v="3"/>
    <x v="1"/>
    <d v="2019-03-23T00:00:00"/>
    <x v="0"/>
    <d v="1899-12-30T13:23:00"/>
    <s v="Ewallet"/>
    <n v="23.586500000000001"/>
    <n v="6.9"/>
  </r>
  <r>
    <s v="759-29-9521"/>
    <x v="0"/>
    <x v="0"/>
    <x v="0"/>
    <x v="0"/>
    <x v="5"/>
    <x v="1"/>
    <x v="1"/>
    <d v="2019-03-04T00:00:00"/>
    <x v="1"/>
    <d v="1899-12-30T11:27:00"/>
    <s v="Cash"/>
    <n v="22.032"/>
    <n v="8"/>
  </r>
  <r>
    <s v="831-81-6575"/>
    <x v="2"/>
    <x v="2"/>
    <x v="0"/>
    <x v="0"/>
    <x v="1"/>
    <x v="0"/>
    <x v="2"/>
    <d v="2019-02-23T00:00:00"/>
    <x v="1"/>
    <d v="1899-12-30T11:12:00"/>
    <s v="Cash"/>
    <n v="34.015500000000003"/>
    <n v="8"/>
  </r>
  <r>
    <s v="220-68-6701"/>
    <x v="0"/>
    <x v="0"/>
    <x v="1"/>
    <x v="0"/>
    <x v="2"/>
    <x v="2"/>
    <x v="1"/>
    <d v="2019-03-17T00:00:00"/>
    <x v="2"/>
    <d v="1899-12-30T16:36:00"/>
    <s v="Cash"/>
    <n v="15.494"/>
    <n v="4.2"/>
  </r>
  <r>
    <s v="618-34-8551"/>
    <x v="0"/>
    <x v="0"/>
    <x v="1"/>
    <x v="0"/>
    <x v="3"/>
    <x v="1"/>
    <x v="0"/>
    <d v="2019-01-16T00:00:00"/>
    <x v="2"/>
    <d v="1899-12-30T18:41:00"/>
    <s v="Credit card"/>
    <n v="9.3179999999999996"/>
    <n v="8.5"/>
  </r>
  <r>
    <s v="257-60-7754"/>
    <x v="0"/>
    <x v="0"/>
    <x v="1"/>
    <x v="0"/>
    <x v="1"/>
    <x v="0"/>
    <x v="0"/>
    <d v="2019-01-08T00:00:00"/>
    <x v="2"/>
    <d v="1899-12-30T17:12:00"/>
    <s v="Cash"/>
    <n v="10.045999999999999"/>
    <n v="9"/>
  </r>
  <r>
    <s v="559-61-5987"/>
    <x v="2"/>
    <x v="2"/>
    <x v="1"/>
    <x v="0"/>
    <x v="0"/>
    <x v="1"/>
    <x v="0"/>
    <d v="2019-01-14T00:00:00"/>
    <x v="1"/>
    <d v="1899-12-30T10:38:00"/>
    <s v="Cash"/>
    <n v="0.88749999999999996"/>
    <n v="8.6"/>
  </r>
  <r>
    <s v="189-55-2313"/>
    <x v="1"/>
    <x v="1"/>
    <x v="1"/>
    <x v="0"/>
    <x v="5"/>
    <x v="2"/>
    <x v="0"/>
    <d v="2019-01-31T00:00:00"/>
    <x v="1"/>
    <d v="1899-12-30T10:33:00"/>
    <s v="Ewallet"/>
    <n v="31.09"/>
    <n v="6"/>
  </r>
  <r>
    <s v="565-91-4567"/>
    <x v="2"/>
    <x v="2"/>
    <x v="1"/>
    <x v="1"/>
    <x v="0"/>
    <x v="5"/>
    <x v="1"/>
    <d v="2019-03-15T00:00:00"/>
    <x v="0"/>
    <d v="1899-12-30T14:38:00"/>
    <s v="Ewallet"/>
    <n v="4.3"/>
    <n v="6.2"/>
  </r>
  <r>
    <s v="380-60-5336"/>
    <x v="0"/>
    <x v="0"/>
    <x v="1"/>
    <x v="0"/>
    <x v="1"/>
    <x v="0"/>
    <x v="2"/>
    <d v="2019-02-24T00:00:00"/>
    <x v="2"/>
    <d v="1899-12-30T18:06:00"/>
    <s v="Credit card"/>
    <n v="20.13"/>
    <n v="5"/>
  </r>
  <r>
    <s v="815-04-6282"/>
    <x v="1"/>
    <x v="1"/>
    <x v="0"/>
    <x v="0"/>
    <x v="3"/>
    <x v="3"/>
    <x v="2"/>
    <d v="2019-02-08T00:00:00"/>
    <x v="0"/>
    <d v="1899-12-30T12:52:00"/>
    <s v="Credit card"/>
    <n v="16.2425"/>
    <n v="6.5"/>
  </r>
  <r>
    <s v="674-56-6360"/>
    <x v="0"/>
    <x v="0"/>
    <x v="1"/>
    <x v="1"/>
    <x v="1"/>
    <x v="2"/>
    <x v="1"/>
    <d v="2019-03-22T00:00:00"/>
    <x v="0"/>
    <d v="1899-12-30T14:00:00"/>
    <s v="Cash"/>
    <n v="4.7575000000000003"/>
    <n v="6"/>
  </r>
  <r>
    <s v="778-34-2523"/>
    <x v="0"/>
    <x v="0"/>
    <x v="0"/>
    <x v="0"/>
    <x v="1"/>
    <x v="5"/>
    <x v="0"/>
    <d v="2019-01-24T00:00:00"/>
    <x v="1"/>
    <d v="1899-12-30T10:57:00"/>
    <s v="Cash"/>
    <n v="19.448"/>
    <n v="5"/>
  </r>
  <r>
    <s v="499-27-7781"/>
    <x v="2"/>
    <x v="2"/>
    <x v="1"/>
    <x v="0"/>
    <x v="4"/>
    <x v="5"/>
    <x v="1"/>
    <d v="2019-03-14T00:00:00"/>
    <x v="2"/>
    <d v="1899-12-30T16:45:00"/>
    <s v="Ewallet"/>
    <n v="21.283999999999999"/>
    <n v="5"/>
  </r>
  <r>
    <s v="477-59-2456"/>
    <x v="1"/>
    <x v="1"/>
    <x v="1"/>
    <x v="0"/>
    <x v="5"/>
    <x v="5"/>
    <x v="0"/>
    <d v="2019-01-23T00:00:00"/>
    <x v="1"/>
    <d v="1899-12-30T11:15:00"/>
    <s v="Cash"/>
    <n v="15.904"/>
    <n v="9.1999999999999993"/>
  </r>
  <r>
    <s v="832-51-6761"/>
    <x v="0"/>
    <x v="0"/>
    <x v="1"/>
    <x v="1"/>
    <x v="4"/>
    <x v="5"/>
    <x v="0"/>
    <d v="2019-01-19T00:00:00"/>
    <x v="2"/>
    <d v="1899-12-30T20:29:00"/>
    <s v="Ewallet"/>
    <n v="13.552"/>
    <n v="9.6"/>
  </r>
  <r>
    <s v="869-11-3082"/>
    <x v="2"/>
    <x v="2"/>
    <x v="0"/>
    <x v="1"/>
    <x v="0"/>
    <x v="2"/>
    <x v="0"/>
    <d v="2019-01-27T00:00:00"/>
    <x v="2"/>
    <d v="1899-12-30T20:03:00"/>
    <s v="Credit card"/>
    <n v="19.231999999999999"/>
    <n v="8.4"/>
  </r>
  <r>
    <s v="190-59-3964"/>
    <x v="2"/>
    <x v="2"/>
    <x v="0"/>
    <x v="1"/>
    <x v="4"/>
    <x v="3"/>
    <x v="2"/>
    <d v="2019-02-03T00:00:00"/>
    <x v="0"/>
    <d v="1899-12-30T14:35:00"/>
    <s v="Credit card"/>
    <n v="11.79"/>
    <n v="6"/>
  </r>
  <r>
    <s v="366-43-6862"/>
    <x v="2"/>
    <x v="2"/>
    <x v="1"/>
    <x v="1"/>
    <x v="1"/>
    <x v="3"/>
    <x v="1"/>
    <d v="2019-03-25T00:00:00"/>
    <x v="2"/>
    <d v="1899-12-30T16:32:00"/>
    <s v="Ewallet"/>
    <n v="10.577999999999999"/>
    <n v="6.7"/>
  </r>
  <r>
    <s v="186-43-8965"/>
    <x v="0"/>
    <x v="0"/>
    <x v="0"/>
    <x v="0"/>
    <x v="2"/>
    <x v="0"/>
    <x v="2"/>
    <d v="2019-02-24T00:00:00"/>
    <x v="1"/>
    <d v="1899-12-30T10:10:00"/>
    <s v="Credit card"/>
    <n v="4.7679999999999998"/>
    <n v="4.0999999999999996"/>
  </r>
  <r>
    <s v="784-21-9238"/>
    <x v="1"/>
    <x v="1"/>
    <x v="0"/>
    <x v="1"/>
    <x v="3"/>
    <x v="3"/>
    <x v="2"/>
    <d v="2019-02-07T00:00:00"/>
    <x v="0"/>
    <d v="1899-12-30T14:15:00"/>
    <s v="Cash"/>
    <n v="0.50849999999999995"/>
    <n v="5.9"/>
  </r>
  <r>
    <s v="276-75-6884"/>
    <x v="0"/>
    <x v="0"/>
    <x v="1"/>
    <x v="0"/>
    <x v="0"/>
    <x v="1"/>
    <x v="1"/>
    <d v="2019-03-04T00:00:00"/>
    <x v="1"/>
    <d v="1899-12-30T10:05:00"/>
    <s v="Cash"/>
    <n v="10.3065"/>
    <n v="8.6999999999999993"/>
  </r>
  <r>
    <s v="109-86-4363"/>
    <x v="2"/>
    <x v="2"/>
    <x v="0"/>
    <x v="0"/>
    <x v="3"/>
    <x v="6"/>
    <x v="2"/>
    <d v="2019-02-14T00:00:00"/>
    <x v="1"/>
    <d v="1899-12-30T11:36:00"/>
    <s v="Credit card"/>
    <n v="21.027999999999999"/>
    <n v="4.5"/>
  </r>
  <r>
    <s v="569-76-2760"/>
    <x v="0"/>
    <x v="0"/>
    <x v="0"/>
    <x v="0"/>
    <x v="3"/>
    <x v="2"/>
    <x v="0"/>
    <d v="2019-01-29T00:00:00"/>
    <x v="2"/>
    <d v="1899-12-30T18:15:00"/>
    <s v="Credit card"/>
    <n v="4.4020000000000001"/>
    <n v="6.6"/>
  </r>
  <r>
    <s v="222-42-0244"/>
    <x v="2"/>
    <x v="2"/>
    <x v="0"/>
    <x v="0"/>
    <x v="0"/>
    <x v="2"/>
    <x v="0"/>
    <d v="2019-01-28T00:00:00"/>
    <x v="0"/>
    <d v="1899-12-30T13:53:00"/>
    <s v="Credit card"/>
    <n v="32.4495"/>
    <n v="7.7"/>
  </r>
  <r>
    <s v="760-53-9233"/>
    <x v="0"/>
    <x v="0"/>
    <x v="0"/>
    <x v="1"/>
    <x v="5"/>
    <x v="3"/>
    <x v="1"/>
    <d v="2019-03-26T00:00:00"/>
    <x v="2"/>
    <d v="1899-12-30T18:37:00"/>
    <s v="Credit card"/>
    <n v="6.1920000000000002"/>
    <n v="8.5"/>
  </r>
  <r>
    <s v="538-22-0304"/>
    <x v="1"/>
    <x v="1"/>
    <x v="1"/>
    <x v="1"/>
    <x v="1"/>
    <x v="3"/>
    <x v="1"/>
    <d v="2019-03-24T00:00:00"/>
    <x v="2"/>
    <d v="1899-12-30T18:27:00"/>
    <s v="Cash"/>
    <n v="32.475000000000001"/>
    <n v="5.2"/>
  </r>
  <r>
    <s v="416-17-9926"/>
    <x v="0"/>
    <x v="0"/>
    <x v="0"/>
    <x v="0"/>
    <x v="1"/>
    <x v="4"/>
    <x v="0"/>
    <d v="2019-01-01T00:00:00"/>
    <x v="0"/>
    <d v="1899-12-30T14:42:00"/>
    <s v="Credit card"/>
    <n v="37.11"/>
    <n v="4.3"/>
  </r>
  <r>
    <s v="237-44-6163"/>
    <x v="0"/>
    <x v="0"/>
    <x v="1"/>
    <x v="1"/>
    <x v="1"/>
    <x v="5"/>
    <x v="0"/>
    <d v="2019-01-24T00:00:00"/>
    <x v="2"/>
    <d v="1899-12-30T17:43:00"/>
    <s v="Cash"/>
    <n v="4.2240000000000002"/>
    <n v="7.6"/>
  </r>
  <r>
    <s v="636-17-0325"/>
    <x v="2"/>
    <x v="2"/>
    <x v="1"/>
    <x v="1"/>
    <x v="0"/>
    <x v="0"/>
    <x v="2"/>
    <d v="2019-02-25T00:00:00"/>
    <x v="2"/>
    <d v="1899-12-30T18:37:00"/>
    <s v="Cash"/>
    <n v="12.513999999999999"/>
    <n v="9.5"/>
  </r>
  <r>
    <s v="343-75-9322"/>
    <x v="2"/>
    <x v="2"/>
    <x v="0"/>
    <x v="0"/>
    <x v="3"/>
    <x v="0"/>
    <x v="0"/>
    <d v="2019-01-09T00:00:00"/>
    <x v="2"/>
    <d v="1899-12-30T16:34:00"/>
    <s v="Cash"/>
    <n v="4.74"/>
    <n v="4.0999999999999996"/>
  </r>
  <r>
    <s v="528-14-9470"/>
    <x v="0"/>
    <x v="0"/>
    <x v="0"/>
    <x v="1"/>
    <x v="0"/>
    <x v="6"/>
    <x v="2"/>
    <d v="2019-02-14T00:00:00"/>
    <x v="0"/>
    <d v="1899-12-30T14:42:00"/>
    <s v="Ewallet"/>
    <n v="4.5650000000000004"/>
    <n v="9.1999999999999993"/>
  </r>
  <r>
    <s v="427-45-9297"/>
    <x v="2"/>
    <x v="2"/>
    <x v="0"/>
    <x v="0"/>
    <x v="2"/>
    <x v="5"/>
    <x v="1"/>
    <d v="2019-03-12T00:00:00"/>
    <x v="1"/>
    <d v="1899-12-30T11:01:00"/>
    <s v="Ewallet"/>
    <n v="14.2555"/>
    <n v="5.4"/>
  </r>
  <r>
    <s v="807-34-3742"/>
    <x v="0"/>
    <x v="0"/>
    <x v="1"/>
    <x v="1"/>
    <x v="5"/>
    <x v="3"/>
    <x v="1"/>
    <d v="2019-03-26T00:00:00"/>
    <x v="2"/>
    <d v="1899-12-30T19:44:00"/>
    <s v="Cash"/>
    <n v="2.6190000000000002"/>
    <n v="5.8"/>
  </r>
  <r>
    <s v="288-62-1085"/>
    <x v="0"/>
    <x v="0"/>
    <x v="0"/>
    <x v="1"/>
    <x v="5"/>
    <x v="0"/>
    <x v="0"/>
    <d v="2019-01-09T00:00:00"/>
    <x v="0"/>
    <d v="1899-12-30T13:34:00"/>
    <s v="Ewallet"/>
    <n v="9.6349999999999998"/>
    <n v="5.6"/>
  </r>
  <r>
    <s v="670-71-7306"/>
    <x v="2"/>
    <x v="2"/>
    <x v="1"/>
    <x v="1"/>
    <x v="3"/>
    <x v="4"/>
    <x v="0"/>
    <d v="2019-01-02T00:00:00"/>
    <x v="2"/>
    <d v="1899-12-30T20:08:00"/>
    <s v="Credit card"/>
    <n v="13.388999999999999"/>
    <n v="5.0999999999999996"/>
  </r>
  <r>
    <s v="660-29-7083"/>
    <x v="1"/>
    <x v="1"/>
    <x v="1"/>
    <x v="1"/>
    <x v="1"/>
    <x v="1"/>
    <x v="0"/>
    <d v="2019-01-15T00:00:00"/>
    <x v="0"/>
    <d v="1899-12-30T15:01:00"/>
    <s v="Cash"/>
    <n v="27.934999999999999"/>
    <n v="5.8"/>
  </r>
  <r>
    <s v="271-77-8740"/>
    <x v="1"/>
    <x v="1"/>
    <x v="0"/>
    <x v="0"/>
    <x v="3"/>
    <x v="4"/>
    <x v="0"/>
    <d v="2019-01-01T00:00:00"/>
    <x v="1"/>
    <d v="1899-12-30T11:40:00"/>
    <s v="Ewallet"/>
    <n v="8.766"/>
    <n v="5"/>
  </r>
  <r>
    <s v="497-36-0989"/>
    <x v="0"/>
    <x v="0"/>
    <x v="1"/>
    <x v="1"/>
    <x v="5"/>
    <x v="6"/>
    <x v="2"/>
    <d v="2019-02-15T00:00:00"/>
    <x v="0"/>
    <d v="1899-12-30T15:21:00"/>
    <s v="Cash"/>
    <n v="7.7910000000000004"/>
    <n v="7.9"/>
  </r>
  <r>
    <s v="291-59-1384"/>
    <x v="2"/>
    <x v="2"/>
    <x v="1"/>
    <x v="1"/>
    <x v="1"/>
    <x v="0"/>
    <x v="2"/>
    <d v="2019-02-28T00:00:00"/>
    <x v="2"/>
    <d v="1899-12-30T17:38:00"/>
    <s v="Cash"/>
    <n v="3.0150000000000001"/>
    <n v="6"/>
  </r>
  <r>
    <s v="860-73-6466"/>
    <x v="0"/>
    <x v="0"/>
    <x v="0"/>
    <x v="0"/>
    <x v="3"/>
    <x v="1"/>
    <x v="1"/>
    <d v="2019-03-02T00:00:00"/>
    <x v="2"/>
    <d v="1899-12-30T16:16:00"/>
    <s v="Credit card"/>
    <n v="3.9470000000000001"/>
    <n v="5"/>
  </r>
  <r>
    <s v="549-23-9016"/>
    <x v="1"/>
    <x v="1"/>
    <x v="0"/>
    <x v="0"/>
    <x v="4"/>
    <x v="6"/>
    <x v="2"/>
    <d v="2019-02-13T00:00:00"/>
    <x v="2"/>
    <d v="1899-12-30T18:15:00"/>
    <s v="Credit card"/>
    <n v="1.4870000000000001"/>
    <n v="8.9"/>
  </r>
  <r>
    <s v="896-34-0956"/>
    <x v="0"/>
    <x v="0"/>
    <x v="1"/>
    <x v="1"/>
    <x v="5"/>
    <x v="2"/>
    <x v="0"/>
    <d v="2019-01-26T00:00:00"/>
    <x v="0"/>
    <d v="1899-12-30T12:43:00"/>
    <s v="Cash"/>
    <n v="1.0660000000000001"/>
    <n v="5.9"/>
  </r>
  <r>
    <s v="804-38-3935"/>
    <x v="0"/>
    <x v="0"/>
    <x v="0"/>
    <x v="1"/>
    <x v="1"/>
    <x v="2"/>
    <x v="0"/>
    <d v="2019-01-30T00:00:00"/>
    <x v="1"/>
    <d v="1899-12-30T11:32:00"/>
    <s v="Credit card"/>
    <n v="14.067"/>
    <n v="5.9"/>
  </r>
  <r>
    <s v="585-90-0249"/>
    <x v="0"/>
    <x v="0"/>
    <x v="0"/>
    <x v="1"/>
    <x v="1"/>
    <x v="2"/>
    <x v="0"/>
    <d v="2019-01-27T00:00:00"/>
    <x v="2"/>
    <d v="1899-12-30T18:08:00"/>
    <s v="Ewallet"/>
    <n v="3.6629999999999998"/>
    <n v="9.6999999999999993"/>
  </r>
  <r>
    <s v="862-29-5914"/>
    <x v="1"/>
    <x v="1"/>
    <x v="1"/>
    <x v="0"/>
    <x v="3"/>
    <x v="2"/>
    <x v="0"/>
    <d v="2019-01-30T00:00:00"/>
    <x v="2"/>
    <d v="1899-12-30T17:08:00"/>
    <s v="Credit card"/>
    <n v="1.119"/>
    <n v="8.6"/>
  </r>
  <r>
    <s v="845-94-6841"/>
    <x v="1"/>
    <x v="1"/>
    <x v="0"/>
    <x v="0"/>
    <x v="4"/>
    <x v="0"/>
    <x v="0"/>
    <d v="2019-01-08T00:00:00"/>
    <x v="2"/>
    <d v="1899-12-30T19:38:00"/>
    <s v="Cash"/>
    <n v="32.795999999999999"/>
    <n v="4"/>
  </r>
  <r>
    <s v="125-45-2293"/>
    <x v="0"/>
    <x v="0"/>
    <x v="1"/>
    <x v="0"/>
    <x v="5"/>
    <x v="5"/>
    <x v="0"/>
    <d v="2019-01-19T00:00:00"/>
    <x v="0"/>
    <d v="1899-12-30T13:11:00"/>
    <s v="Cash"/>
    <n v="29.73"/>
    <n v="4.2"/>
  </r>
  <r>
    <s v="843-73-4724"/>
    <x v="0"/>
    <x v="0"/>
    <x v="1"/>
    <x v="1"/>
    <x v="5"/>
    <x v="5"/>
    <x v="0"/>
    <d v="2019-01-25T00:00:00"/>
    <x v="1"/>
    <d v="1899-12-30T11:05:00"/>
    <s v="Cash"/>
    <n v="3.7050000000000001"/>
    <n v="9.1999999999999993"/>
  </r>
  <r>
    <s v="409-33-9708"/>
    <x v="0"/>
    <x v="0"/>
    <x v="1"/>
    <x v="0"/>
    <x v="5"/>
    <x v="4"/>
    <x v="2"/>
    <d v="2019-02-19T00:00:00"/>
    <x v="1"/>
    <d v="1899-12-30T10:12:00"/>
    <s v="Ewallet"/>
    <n v="9.8480000000000008"/>
    <n v="9.1999999999999993"/>
  </r>
  <r>
    <s v="658-66-3967"/>
    <x v="1"/>
    <x v="1"/>
    <x v="1"/>
    <x v="1"/>
    <x v="0"/>
    <x v="1"/>
    <x v="0"/>
    <d v="2019-01-14T00:00:00"/>
    <x v="0"/>
    <d v="1899-12-30T15:42:00"/>
    <s v="Ewallet"/>
    <n v="18.616499999999998"/>
    <n v="5"/>
  </r>
  <r>
    <s v="866-70-2814"/>
    <x v="2"/>
    <x v="2"/>
    <x v="1"/>
    <x v="0"/>
    <x v="1"/>
    <x v="0"/>
    <x v="2"/>
    <d v="2019-02-25T00:00:00"/>
    <x v="1"/>
    <d v="1899-12-30T11:58:00"/>
    <s v="Ewallet"/>
    <n v="26.395"/>
    <n v="10"/>
  </r>
  <r>
    <s v="160-22-2687"/>
    <x v="0"/>
    <x v="0"/>
    <x v="0"/>
    <x v="0"/>
    <x v="0"/>
    <x v="5"/>
    <x v="0"/>
    <d v="2019-01-23T00:00:00"/>
    <x v="0"/>
    <d v="1899-12-30T14:21:00"/>
    <s v="Ewallet"/>
    <n v="23.987500000000001"/>
    <n v="8.8000000000000007"/>
  </r>
  <r>
    <s v="895-03-6665"/>
    <x v="2"/>
    <x v="2"/>
    <x v="1"/>
    <x v="0"/>
    <x v="5"/>
    <x v="4"/>
    <x v="2"/>
    <d v="2019-02-16T00:00:00"/>
    <x v="1"/>
    <d v="1899-12-30T10:52:00"/>
    <s v="Cash"/>
    <n v="16.429500000000001"/>
    <n v="4.2"/>
  </r>
  <r>
    <s v="770-42-8960"/>
    <x v="2"/>
    <x v="2"/>
    <x v="1"/>
    <x v="1"/>
    <x v="4"/>
    <x v="4"/>
    <x v="0"/>
    <d v="2019-01-01T00:00:00"/>
    <x v="2"/>
    <d v="1899-12-30T19:31:00"/>
    <s v="Cash"/>
    <n v="8.4480000000000004"/>
    <n v="6.3"/>
  </r>
  <r>
    <s v="748-45-2862"/>
    <x v="0"/>
    <x v="0"/>
    <x v="0"/>
    <x v="0"/>
    <x v="2"/>
    <x v="1"/>
    <x v="1"/>
    <d v="2019-03-07T00:00:00"/>
    <x v="2"/>
    <d v="1899-12-30T18:35:00"/>
    <s v="Cash"/>
    <n v="5.6619999999999999"/>
    <n v="8.1999999999999993"/>
  </r>
  <r>
    <s v="234-36-2483"/>
    <x v="2"/>
    <x v="2"/>
    <x v="1"/>
    <x v="1"/>
    <x v="0"/>
    <x v="6"/>
    <x v="2"/>
    <d v="2019-02-15T00:00:00"/>
    <x v="0"/>
    <d v="1899-12-30T13:51:00"/>
    <s v="Cash"/>
    <n v="17.277000000000001"/>
    <n v="5.0999999999999996"/>
  </r>
  <r>
    <s v="316-66-3011"/>
    <x v="0"/>
    <x v="0"/>
    <x v="0"/>
    <x v="0"/>
    <x v="4"/>
    <x v="5"/>
    <x v="0"/>
    <d v="2019-01-23T00:00:00"/>
    <x v="0"/>
    <d v="1899-12-30T12:35:00"/>
    <s v="Cash"/>
    <n v="21.433499999999999"/>
    <n v="5"/>
  </r>
  <r>
    <s v="848-95-6252"/>
    <x v="1"/>
    <x v="1"/>
    <x v="0"/>
    <x v="0"/>
    <x v="2"/>
    <x v="4"/>
    <x v="2"/>
    <d v="2019-02-20T00:00:00"/>
    <x v="0"/>
    <d v="1899-12-30T13:24:00"/>
    <s v="Ewallet"/>
    <n v="4.3135000000000003"/>
    <n v="7"/>
  </r>
  <r>
    <s v="840-76-5966"/>
    <x v="0"/>
    <x v="0"/>
    <x v="0"/>
    <x v="1"/>
    <x v="3"/>
    <x v="0"/>
    <x v="0"/>
    <d v="2019-01-08T00:00:00"/>
    <x v="2"/>
    <d v="1899-12-30T18:06:00"/>
    <s v="Ewallet"/>
    <n v="1.276"/>
    <n v="7.8"/>
  </r>
  <r>
    <s v="152-03-4217"/>
    <x v="2"/>
    <x v="2"/>
    <x v="1"/>
    <x v="0"/>
    <x v="2"/>
    <x v="2"/>
    <x v="1"/>
    <d v="2019-03-17T00:00:00"/>
    <x v="1"/>
    <d v="1899-12-30T11:55:00"/>
    <s v="Credit card"/>
    <n v="5.0759999999999996"/>
    <n v="4.3"/>
  </r>
  <r>
    <s v="533-66-5566"/>
    <x v="2"/>
    <x v="2"/>
    <x v="1"/>
    <x v="0"/>
    <x v="2"/>
    <x v="1"/>
    <x v="0"/>
    <d v="2019-01-12T00:00:00"/>
    <x v="1"/>
    <d v="1899-12-30T11:42:00"/>
    <s v="Cash"/>
    <n v="17.874500000000001"/>
    <n v="7"/>
  </r>
  <r>
    <s v="124-31-1458"/>
    <x v="0"/>
    <x v="0"/>
    <x v="0"/>
    <x v="0"/>
    <x v="1"/>
    <x v="0"/>
    <x v="0"/>
    <d v="2019-01-08T00:00:00"/>
    <x v="0"/>
    <d v="1899-12-30T14:30:00"/>
    <s v="Cash"/>
    <n v="11.938499999999999"/>
    <n v="6.6"/>
  </r>
  <r>
    <s v="176-78-1170"/>
    <x v="1"/>
    <x v="1"/>
    <x v="0"/>
    <x v="1"/>
    <x v="0"/>
    <x v="2"/>
    <x v="0"/>
    <d v="2019-01-26T00:00:00"/>
    <x v="0"/>
    <d v="1899-12-30T15:11:00"/>
    <s v="Ewallet"/>
    <n v="5.0715000000000003"/>
    <n v="7.3"/>
  </r>
  <r>
    <s v="361-59-0574"/>
    <x v="2"/>
    <x v="2"/>
    <x v="0"/>
    <x v="1"/>
    <x v="3"/>
    <x v="5"/>
    <x v="1"/>
    <d v="2019-03-15T00:00:00"/>
    <x v="0"/>
    <d v="1899-12-30T14:48:00"/>
    <s v="Credit card"/>
    <n v="36.212000000000003"/>
    <n v="6.5"/>
  </r>
  <r>
    <s v="101-81-4070"/>
    <x v="1"/>
    <x v="1"/>
    <x v="0"/>
    <x v="0"/>
    <x v="0"/>
    <x v="1"/>
    <x v="0"/>
    <d v="2019-01-17T00:00:00"/>
    <x v="0"/>
    <d v="1899-12-30T12:36:00"/>
    <s v="Ewallet"/>
    <n v="6.282"/>
    <n v="4.9000000000000004"/>
  </r>
  <r>
    <s v="631-34-1880"/>
    <x v="1"/>
    <x v="1"/>
    <x v="0"/>
    <x v="1"/>
    <x v="4"/>
    <x v="0"/>
    <x v="0"/>
    <d v="2019-01-08T00:00:00"/>
    <x v="2"/>
    <d v="1899-12-30T19:09:00"/>
    <s v="Credit card"/>
    <n v="3.6465000000000001"/>
    <n v="4.3"/>
  </r>
  <r>
    <s v="852-82-2749"/>
    <x v="0"/>
    <x v="0"/>
    <x v="1"/>
    <x v="1"/>
    <x v="3"/>
    <x v="0"/>
    <x v="0"/>
    <d v="2019-01-06T00:00:00"/>
    <x v="0"/>
    <d v="1899-12-30T13:35:00"/>
    <s v="Ewallet"/>
    <n v="12.917999999999999"/>
    <n v="9.3000000000000007"/>
  </r>
  <r>
    <s v="873-14-6353"/>
    <x v="0"/>
    <x v="0"/>
    <x v="0"/>
    <x v="1"/>
    <x v="4"/>
    <x v="4"/>
    <x v="2"/>
    <d v="2019-02-16T00:00:00"/>
    <x v="1"/>
    <d v="1899-12-30T10:33:00"/>
    <s v="Credit card"/>
    <n v="8.6869999999999994"/>
    <n v="7.1"/>
  </r>
  <r>
    <s v="584-66-4073"/>
    <x v="1"/>
    <x v="1"/>
    <x v="1"/>
    <x v="1"/>
    <x v="5"/>
    <x v="5"/>
    <x v="1"/>
    <d v="2019-03-13T00:00:00"/>
    <x v="0"/>
    <d v="1899-12-30T15:45:00"/>
    <s v="Ewallet"/>
    <n v="2.8250000000000002"/>
    <n v="9.6"/>
  </r>
  <r>
    <s v="544-55-9589"/>
    <x v="2"/>
    <x v="2"/>
    <x v="0"/>
    <x v="0"/>
    <x v="1"/>
    <x v="2"/>
    <x v="0"/>
    <d v="2019-01-28T00:00:00"/>
    <x v="1"/>
    <d v="1899-12-30T11:51:00"/>
    <s v="Cash"/>
    <n v="10.715"/>
    <n v="6.2"/>
  </r>
  <r>
    <s v="166-19-2553"/>
    <x v="0"/>
    <x v="0"/>
    <x v="0"/>
    <x v="1"/>
    <x v="3"/>
    <x v="1"/>
    <x v="0"/>
    <d v="2019-01-18T00:00:00"/>
    <x v="2"/>
    <d v="1899-12-30T17:26:00"/>
    <s v="Cash"/>
    <n v="26.718"/>
    <n v="9.9"/>
  </r>
  <r>
    <s v="737-88-5876"/>
    <x v="0"/>
    <x v="0"/>
    <x v="0"/>
    <x v="1"/>
    <x v="2"/>
    <x v="2"/>
    <x v="1"/>
    <d v="2019-03-19T00:00:00"/>
    <x v="1"/>
    <d v="1899-12-30T11:52:00"/>
    <s v="Credit card"/>
    <n v="4.6580000000000004"/>
    <n v="5.9"/>
  </r>
  <r>
    <s v="154-87-7367"/>
    <x v="1"/>
    <x v="1"/>
    <x v="1"/>
    <x v="1"/>
    <x v="2"/>
    <x v="5"/>
    <x v="1"/>
    <d v="2019-03-15T00:00:00"/>
    <x v="0"/>
    <d v="1899-12-30T14:04:00"/>
    <s v="Ewallet"/>
    <n v="26.103999999999999"/>
    <n v="6.3"/>
  </r>
  <r>
    <s v="885-56-0389"/>
    <x v="1"/>
    <x v="1"/>
    <x v="0"/>
    <x v="1"/>
    <x v="5"/>
    <x v="6"/>
    <x v="2"/>
    <d v="2019-02-12T00:00:00"/>
    <x v="2"/>
    <d v="1899-12-30T17:49:00"/>
    <s v="Cash"/>
    <n v="2.6175000000000002"/>
    <n v="4"/>
  </r>
  <r>
    <s v="608-05-3804"/>
    <x v="2"/>
    <x v="2"/>
    <x v="0"/>
    <x v="1"/>
    <x v="1"/>
    <x v="0"/>
    <x v="2"/>
    <d v="2019-02-25T00:00:00"/>
    <x v="2"/>
    <d v="1899-12-30T20:19:00"/>
    <s v="Cash"/>
    <n v="1.9875"/>
    <n v="6.1"/>
  </r>
  <r>
    <s v="448-61-3783"/>
    <x v="0"/>
    <x v="0"/>
    <x v="1"/>
    <x v="0"/>
    <x v="1"/>
    <x v="2"/>
    <x v="1"/>
    <d v="2019-03-21T00:00:00"/>
    <x v="2"/>
    <d v="1899-12-30T16:08:00"/>
    <s v="Credit card"/>
    <n v="36.008000000000003"/>
    <n v="4.5"/>
  </r>
  <r>
    <s v="761-49-0439"/>
    <x v="2"/>
    <x v="2"/>
    <x v="0"/>
    <x v="0"/>
    <x v="1"/>
    <x v="5"/>
    <x v="0"/>
    <d v="2019-01-19T00:00:00"/>
    <x v="1"/>
    <d v="1899-12-30T10:17:00"/>
    <s v="Ewallet"/>
    <n v="4.84"/>
    <n v="8.6"/>
  </r>
  <r>
    <s v="490-95-0021"/>
    <x v="2"/>
    <x v="2"/>
    <x v="0"/>
    <x v="0"/>
    <x v="4"/>
    <x v="0"/>
    <x v="0"/>
    <d v="2019-01-08T00:00:00"/>
    <x v="0"/>
    <d v="1899-12-30T14:25:00"/>
    <s v="Ewallet"/>
    <n v="16.605"/>
    <n v="6"/>
  </r>
  <r>
    <s v="115-38-7388"/>
    <x v="1"/>
    <x v="1"/>
    <x v="0"/>
    <x v="0"/>
    <x v="5"/>
    <x v="6"/>
    <x v="1"/>
    <d v="2019-03-30T00:00:00"/>
    <x v="0"/>
    <d v="1899-12-30T12:51:00"/>
    <s v="Credit card"/>
    <n v="4.0720000000000001"/>
    <n v="9.5"/>
  </r>
  <r>
    <s v="311-13-6971"/>
    <x v="2"/>
    <x v="2"/>
    <x v="0"/>
    <x v="1"/>
    <x v="3"/>
    <x v="4"/>
    <x v="2"/>
    <d v="2019-02-20T00:00:00"/>
    <x v="0"/>
    <d v="1899-12-30T15:18:00"/>
    <s v="Credit card"/>
    <n v="15.994999999999999"/>
    <n v="9.9"/>
  </r>
  <r>
    <s v="291-55-6563"/>
    <x v="0"/>
    <x v="0"/>
    <x v="0"/>
    <x v="0"/>
    <x v="2"/>
    <x v="6"/>
    <x v="1"/>
    <d v="2019-03-30T00:00:00"/>
    <x v="0"/>
    <d v="1899-12-30T12:45:00"/>
    <s v="Ewallet"/>
    <n v="10.326000000000001"/>
    <n v="7.5"/>
  </r>
  <r>
    <s v="548-48-3156"/>
    <x v="0"/>
    <x v="0"/>
    <x v="0"/>
    <x v="0"/>
    <x v="4"/>
    <x v="2"/>
    <x v="1"/>
    <d v="2019-03-19T00:00:00"/>
    <x v="0"/>
    <d v="1899-12-30T13:37:00"/>
    <s v="Cash"/>
    <n v="8.3339999999999996"/>
    <n v="7.6"/>
  </r>
  <r>
    <s v="460-93-5834"/>
    <x v="0"/>
    <x v="0"/>
    <x v="1"/>
    <x v="1"/>
    <x v="3"/>
    <x v="1"/>
    <x v="0"/>
    <d v="2019-01-13T00:00:00"/>
    <x v="1"/>
    <d v="1899-12-30T10:03:00"/>
    <s v="Cash"/>
    <n v="15.952999999999999"/>
    <n v="5"/>
  </r>
  <r>
    <s v="325-89-4209"/>
    <x v="0"/>
    <x v="0"/>
    <x v="0"/>
    <x v="1"/>
    <x v="4"/>
    <x v="3"/>
    <x v="2"/>
    <d v="2019-02-05T00:00:00"/>
    <x v="2"/>
    <d v="1899-12-30T19:42:00"/>
    <s v="Ewallet"/>
    <n v="4.3949999999999996"/>
    <n v="6.7"/>
  </r>
  <r>
    <s v="884-80-6021"/>
    <x v="0"/>
    <x v="0"/>
    <x v="0"/>
    <x v="0"/>
    <x v="1"/>
    <x v="3"/>
    <x v="1"/>
    <d v="2019-03-23T00:00:00"/>
    <x v="0"/>
    <d v="1899-12-30T13:14:00"/>
    <s v="Ewallet"/>
    <n v="36.734999999999999"/>
    <n v="9.5"/>
  </r>
  <r>
    <s v="137-74-8729"/>
    <x v="1"/>
    <x v="1"/>
    <x v="1"/>
    <x v="0"/>
    <x v="5"/>
    <x v="5"/>
    <x v="1"/>
    <d v="2019-03-13T00:00:00"/>
    <x v="0"/>
    <d v="1899-12-30T12:47:00"/>
    <s v="Ewallet"/>
    <n v="4.8760000000000003"/>
    <n v="6.8"/>
  </r>
  <r>
    <s v="880-46-5796"/>
    <x v="0"/>
    <x v="0"/>
    <x v="0"/>
    <x v="1"/>
    <x v="3"/>
    <x v="2"/>
    <x v="1"/>
    <d v="2019-03-17T00:00:00"/>
    <x v="2"/>
    <d v="1899-12-30T19:53:00"/>
    <s v="Ewallet"/>
    <n v="38.46"/>
    <n v="5.6"/>
  </r>
  <r>
    <s v="389-70-2397"/>
    <x v="1"/>
    <x v="1"/>
    <x v="1"/>
    <x v="0"/>
    <x v="0"/>
    <x v="4"/>
    <x v="2"/>
    <d v="2019-02-21T00:00:00"/>
    <x v="1"/>
    <d v="1899-12-30T10:26:00"/>
    <s v="Cash"/>
    <n v="20.914999999999999"/>
    <n v="7.2"/>
  </r>
  <r>
    <s v="114-35-5271"/>
    <x v="2"/>
    <x v="2"/>
    <x v="1"/>
    <x v="0"/>
    <x v="1"/>
    <x v="3"/>
    <x v="2"/>
    <d v="2019-02-07T00:00:00"/>
    <x v="0"/>
    <d v="1899-12-30T15:06:00"/>
    <s v="Cash"/>
    <n v="23.164000000000001"/>
    <n v="8.1"/>
  </r>
  <r>
    <s v="607-76-6216"/>
    <x v="1"/>
    <x v="1"/>
    <x v="0"/>
    <x v="0"/>
    <x v="5"/>
    <x v="1"/>
    <x v="1"/>
    <d v="2019-03-02T00:00:00"/>
    <x v="2"/>
    <d v="1899-12-30T16:35:00"/>
    <s v="Credit card"/>
    <n v="23.122499999999999"/>
    <n v="8.6"/>
  </r>
  <r>
    <s v="715-20-1673"/>
    <x v="2"/>
    <x v="2"/>
    <x v="1"/>
    <x v="1"/>
    <x v="1"/>
    <x v="1"/>
    <x v="1"/>
    <d v="2019-03-06T00:00:00"/>
    <x v="2"/>
    <d v="1899-12-30T20:57:00"/>
    <s v="Cash"/>
    <n v="7.0949999999999998"/>
    <n v="9.4"/>
  </r>
  <r>
    <s v="811-35-1094"/>
    <x v="2"/>
    <x v="2"/>
    <x v="0"/>
    <x v="1"/>
    <x v="1"/>
    <x v="3"/>
    <x v="2"/>
    <d v="2019-02-06T00:00:00"/>
    <x v="0"/>
    <d v="1899-12-30T15:16:00"/>
    <s v="Credit card"/>
    <n v="15.135"/>
    <n v="8.9"/>
  </r>
  <r>
    <s v="699-88-1972"/>
    <x v="2"/>
    <x v="2"/>
    <x v="1"/>
    <x v="1"/>
    <x v="0"/>
    <x v="2"/>
    <x v="0"/>
    <d v="2019-01-28T00:00:00"/>
    <x v="2"/>
    <d v="1899-12-30T17:47:00"/>
    <s v="Credit card"/>
    <n v="39.664000000000001"/>
    <n v="4.2"/>
  </r>
  <r>
    <s v="781-84-8059"/>
    <x v="1"/>
    <x v="1"/>
    <x v="1"/>
    <x v="1"/>
    <x v="5"/>
    <x v="1"/>
    <x v="0"/>
    <d v="2019-01-18T00:00:00"/>
    <x v="2"/>
    <d v="1899-12-30T16:23:00"/>
    <s v="Ewallet"/>
    <n v="21.259"/>
    <n v="5"/>
  </r>
  <r>
    <s v="409-49-6995"/>
    <x v="1"/>
    <x v="1"/>
    <x v="0"/>
    <x v="0"/>
    <x v="4"/>
    <x v="3"/>
    <x v="2"/>
    <d v="2019-02-05T00:00:00"/>
    <x v="1"/>
    <d v="1899-12-30T10:17:00"/>
    <s v="Cash"/>
    <n v="14.180999999999999"/>
    <n v="8.8000000000000007"/>
  </r>
  <r>
    <s v="725-54-0677"/>
    <x v="1"/>
    <x v="1"/>
    <x v="0"/>
    <x v="1"/>
    <x v="0"/>
    <x v="1"/>
    <x v="1"/>
    <d v="2019-03-02T00:00:00"/>
    <x v="0"/>
    <d v="1899-12-30T13:50:00"/>
    <s v="Cash"/>
    <n v="29.96"/>
    <n v="5.3"/>
  </r>
  <r>
    <s v="146-09-5432"/>
    <x v="0"/>
    <x v="0"/>
    <x v="0"/>
    <x v="1"/>
    <x v="4"/>
    <x v="6"/>
    <x v="2"/>
    <d v="2019-02-09T00:00:00"/>
    <x v="2"/>
    <d v="1899-12-30T19:17:00"/>
    <s v="Ewallet"/>
    <n v="15.768000000000001"/>
    <n v="4.5999999999999996"/>
  </r>
  <r>
    <s v="377-79-7592"/>
    <x v="1"/>
    <x v="1"/>
    <x v="0"/>
    <x v="0"/>
    <x v="1"/>
    <x v="1"/>
    <x v="0"/>
    <d v="2019-01-14T00:00:00"/>
    <x v="0"/>
    <d v="1899-12-30T14:00:00"/>
    <s v="Credit card"/>
    <n v="20.178000000000001"/>
    <n v="7.5"/>
  </r>
  <r>
    <s v="509-10-0516"/>
    <x v="2"/>
    <x v="2"/>
    <x v="1"/>
    <x v="1"/>
    <x v="2"/>
    <x v="6"/>
    <x v="2"/>
    <d v="2019-02-09T00:00:00"/>
    <x v="0"/>
    <d v="1899-12-30T12:02:00"/>
    <s v="Ewallet"/>
    <n v="9.1940000000000008"/>
    <n v="5.0999999999999996"/>
  </r>
  <r>
    <s v="595-94-9924"/>
    <x v="0"/>
    <x v="0"/>
    <x v="0"/>
    <x v="0"/>
    <x v="0"/>
    <x v="3"/>
    <x v="1"/>
    <d v="2019-03-26T00:00:00"/>
    <x v="2"/>
    <d v="1899-12-30T20:21:00"/>
    <s v="Credit card"/>
    <n v="6.9325000000000001"/>
    <n v="4.2"/>
  </r>
  <r>
    <s v="865-41-9075"/>
    <x v="0"/>
    <x v="0"/>
    <x v="1"/>
    <x v="1"/>
    <x v="4"/>
    <x v="2"/>
    <x v="0"/>
    <d v="2019-01-28T00:00:00"/>
    <x v="2"/>
    <d v="1899-12-30T17:35:00"/>
    <s v="Cash"/>
    <n v="4.0354999999999999"/>
    <n v="8.1"/>
  </r>
  <r>
    <s v="545-07-8534"/>
    <x v="1"/>
    <x v="1"/>
    <x v="1"/>
    <x v="0"/>
    <x v="0"/>
    <x v="6"/>
    <x v="2"/>
    <d v="2019-02-14T00:00:00"/>
    <x v="0"/>
    <d v="1899-12-30T12:42:00"/>
    <s v="Ewallet"/>
    <n v="5.8319999999999999"/>
    <n v="6"/>
  </r>
  <r>
    <s v="118-62-1812"/>
    <x v="1"/>
    <x v="1"/>
    <x v="0"/>
    <x v="0"/>
    <x v="2"/>
    <x v="3"/>
    <x v="1"/>
    <d v="2019-03-24T00:00:00"/>
    <x v="2"/>
    <d v="1899-12-30T17:56:00"/>
    <s v="Cash"/>
    <n v="15.676"/>
    <n v="7.9"/>
  </r>
  <r>
    <s v="450-42-3339"/>
    <x v="1"/>
    <x v="1"/>
    <x v="1"/>
    <x v="1"/>
    <x v="0"/>
    <x v="6"/>
    <x v="2"/>
    <d v="2019-02-09T00:00:00"/>
    <x v="2"/>
    <d v="1899-12-30T18:58:00"/>
    <s v="Credit card"/>
    <n v="42.305"/>
    <n v="8.8000000000000007"/>
  </r>
  <r>
    <s v="851-98-3555"/>
    <x v="2"/>
    <x v="2"/>
    <x v="1"/>
    <x v="0"/>
    <x v="0"/>
    <x v="3"/>
    <x v="1"/>
    <d v="2019-03-24T00:00:00"/>
    <x v="0"/>
    <d v="1899-12-30T14:08:00"/>
    <s v="Credit card"/>
    <n v="20.72"/>
    <n v="6.6"/>
  </r>
  <r>
    <s v="186-71-5196"/>
    <x v="0"/>
    <x v="0"/>
    <x v="0"/>
    <x v="0"/>
    <x v="4"/>
    <x v="3"/>
    <x v="1"/>
    <d v="2019-03-27T00:00:00"/>
    <x v="2"/>
    <d v="1899-12-30T16:30:00"/>
    <s v="Ewallet"/>
    <n v="7.9539999999999997"/>
    <n v="6.2"/>
  </r>
  <r>
    <s v="624-01-8356"/>
    <x v="2"/>
    <x v="2"/>
    <x v="1"/>
    <x v="0"/>
    <x v="2"/>
    <x v="2"/>
    <x v="0"/>
    <d v="2019-01-27T00:00:00"/>
    <x v="1"/>
    <d v="1899-12-30T10:44:00"/>
    <s v="Credit card"/>
    <n v="24.504999999999999"/>
    <n v="4.2"/>
  </r>
  <r>
    <s v="313-66-9943"/>
    <x v="2"/>
    <x v="2"/>
    <x v="0"/>
    <x v="0"/>
    <x v="4"/>
    <x v="3"/>
    <x v="1"/>
    <d v="2019-03-27T00:00:00"/>
    <x v="2"/>
    <d v="1899-12-30T20:29:00"/>
    <s v="Credit card"/>
    <n v="4.3724999999999996"/>
    <n v="7.3"/>
  </r>
  <r>
    <s v="151-27-8496"/>
    <x v="1"/>
    <x v="1"/>
    <x v="1"/>
    <x v="0"/>
    <x v="1"/>
    <x v="5"/>
    <x v="0"/>
    <d v="2019-01-19T00:00:00"/>
    <x v="1"/>
    <d v="1899-12-30T11:43:00"/>
    <s v="Ewallet"/>
    <n v="11.226000000000001"/>
    <n v="8.6"/>
  </r>
  <r>
    <s v="453-33-6436"/>
    <x v="0"/>
    <x v="0"/>
    <x v="1"/>
    <x v="0"/>
    <x v="2"/>
    <x v="3"/>
    <x v="2"/>
    <d v="2019-02-07T00:00:00"/>
    <x v="1"/>
    <d v="1899-12-30T10:09:00"/>
    <s v="Cash"/>
    <n v="37.247999999999998"/>
    <n v="6.8"/>
  </r>
  <r>
    <s v="522-57-8364"/>
    <x v="0"/>
    <x v="0"/>
    <x v="0"/>
    <x v="1"/>
    <x v="5"/>
    <x v="2"/>
    <x v="0"/>
    <d v="2019-01-31T00:00:00"/>
    <x v="1"/>
    <d v="1899-12-30T10:00:00"/>
    <s v="Ewallet"/>
    <n v="20.536000000000001"/>
    <n v="7.6"/>
  </r>
  <r>
    <s v="459-45-2396"/>
    <x v="0"/>
    <x v="0"/>
    <x v="0"/>
    <x v="0"/>
    <x v="4"/>
    <x v="0"/>
    <x v="2"/>
    <d v="2019-02-25T00:00:00"/>
    <x v="2"/>
    <d v="1899-12-30T18:45:00"/>
    <s v="Cash"/>
    <n v="14.94"/>
    <n v="5.8"/>
  </r>
  <r>
    <s v="717-96-4189"/>
    <x v="1"/>
    <x v="1"/>
    <x v="1"/>
    <x v="0"/>
    <x v="1"/>
    <x v="3"/>
    <x v="2"/>
    <d v="2019-02-02T00:00:00"/>
    <x v="0"/>
    <d v="1899-12-30T12:40:00"/>
    <s v="Cash"/>
    <n v="10.647"/>
    <n v="4.0999999999999996"/>
  </r>
  <r>
    <s v="722-13-2115"/>
    <x v="1"/>
    <x v="1"/>
    <x v="0"/>
    <x v="1"/>
    <x v="3"/>
    <x v="5"/>
    <x v="1"/>
    <d v="2019-03-14T00:00:00"/>
    <x v="0"/>
    <d v="1899-12-30T15:36:00"/>
    <s v="Credit card"/>
    <n v="2.1425000000000001"/>
    <n v="9.3000000000000007"/>
  </r>
  <r>
    <s v="749-81-8133"/>
    <x v="0"/>
    <x v="0"/>
    <x v="1"/>
    <x v="0"/>
    <x v="5"/>
    <x v="5"/>
    <x v="1"/>
    <d v="2019-03-11T00:00:00"/>
    <x v="0"/>
    <d v="1899-12-30T12:04:00"/>
    <s v="Cash"/>
    <n v="18.934000000000001"/>
    <n v="6.8"/>
  </r>
  <r>
    <s v="777-67-2495"/>
    <x v="2"/>
    <x v="2"/>
    <x v="1"/>
    <x v="1"/>
    <x v="2"/>
    <x v="4"/>
    <x v="2"/>
    <d v="2019-02-22T00:00:00"/>
    <x v="1"/>
    <d v="1899-12-30T11:26:00"/>
    <s v="Ewallet"/>
    <n v="10.345499999999999"/>
    <n v="8.6999999999999993"/>
  </r>
  <r>
    <s v="636-98-3364"/>
    <x v="2"/>
    <x v="2"/>
    <x v="0"/>
    <x v="0"/>
    <x v="1"/>
    <x v="1"/>
    <x v="1"/>
    <d v="2019-03-02T00:00:00"/>
    <x v="0"/>
    <d v="1899-12-30T12:36:00"/>
    <s v="Ewallet"/>
    <n v="3.9390000000000001"/>
    <n v="6.3"/>
  </r>
  <r>
    <s v="246-55-6923"/>
    <x v="1"/>
    <x v="1"/>
    <x v="0"/>
    <x v="0"/>
    <x v="2"/>
    <x v="5"/>
    <x v="1"/>
    <d v="2019-03-10T00:00:00"/>
    <x v="0"/>
    <d v="1899-12-30T15:06:00"/>
    <s v="Credit card"/>
    <n v="16.105499999999999"/>
    <n v="5.0999999999999996"/>
  </r>
  <r>
    <s v="181-82-6255"/>
    <x v="2"/>
    <x v="2"/>
    <x v="1"/>
    <x v="0"/>
    <x v="2"/>
    <x v="3"/>
    <x v="2"/>
    <d v="2019-02-08T00:00:00"/>
    <x v="1"/>
    <d v="1899-12-30T10:58:00"/>
    <s v="Cash"/>
    <n v="4.9109999999999996"/>
    <n v="7"/>
  </r>
  <r>
    <s v="838-02-1821"/>
    <x v="1"/>
    <x v="1"/>
    <x v="0"/>
    <x v="0"/>
    <x v="2"/>
    <x v="4"/>
    <x v="2"/>
    <d v="2019-02-22T00:00:00"/>
    <x v="0"/>
    <d v="1899-12-30T12:10:00"/>
    <s v="Credit card"/>
    <n v="1.2729999999999999"/>
    <n v="5.2"/>
  </r>
  <r>
    <s v="887-42-0517"/>
    <x v="1"/>
    <x v="1"/>
    <x v="1"/>
    <x v="0"/>
    <x v="3"/>
    <x v="0"/>
    <x v="0"/>
    <d v="2019-01-10T00:00:00"/>
    <x v="1"/>
    <d v="1899-12-30T10:31:00"/>
    <s v="Credit card"/>
    <n v="29.099"/>
    <n v="6.6"/>
  </r>
  <r>
    <s v="457-12-0244"/>
    <x v="1"/>
    <x v="1"/>
    <x v="0"/>
    <x v="0"/>
    <x v="3"/>
    <x v="5"/>
    <x v="1"/>
    <d v="2019-03-14T00:00:00"/>
    <x v="0"/>
    <d v="1899-12-30T13:49:00"/>
    <s v="Ewallet"/>
    <n v="10.566000000000001"/>
    <n v="6.5"/>
  </r>
  <r>
    <s v="226-34-0034"/>
    <x v="2"/>
    <x v="2"/>
    <x v="1"/>
    <x v="0"/>
    <x v="1"/>
    <x v="0"/>
    <x v="0"/>
    <d v="2019-01-10T00:00:00"/>
    <x v="1"/>
    <d v="1899-12-30T11:10:00"/>
    <s v="Ewallet"/>
    <n v="2.7559999999999998"/>
    <n v="9"/>
  </r>
  <r>
    <s v="321-49-7382"/>
    <x v="2"/>
    <x v="2"/>
    <x v="0"/>
    <x v="1"/>
    <x v="3"/>
    <x v="6"/>
    <x v="2"/>
    <d v="2019-02-15T00:00:00"/>
    <x v="2"/>
    <d v="1899-12-30T17:38:00"/>
    <s v="Credit card"/>
    <n v="4.4154999999999998"/>
    <n v="5.2"/>
  </r>
  <r>
    <s v="397-25-8725"/>
    <x v="0"/>
    <x v="0"/>
    <x v="0"/>
    <x v="0"/>
    <x v="0"/>
    <x v="1"/>
    <x v="0"/>
    <d v="2019-01-13T00:00:00"/>
    <x v="2"/>
    <d v="1899-12-30T17:54:00"/>
    <s v="Credit card"/>
    <n v="17.829000000000001"/>
    <n v="6.8"/>
  </r>
  <r>
    <s v="431-66-2305"/>
    <x v="2"/>
    <x v="2"/>
    <x v="1"/>
    <x v="0"/>
    <x v="1"/>
    <x v="6"/>
    <x v="2"/>
    <d v="2019-02-15T00:00:00"/>
    <x v="2"/>
    <d v="1899-12-30T20:51:00"/>
    <s v="Credit card"/>
    <n v="39.712499999999999"/>
    <n v="7.6"/>
  </r>
  <r>
    <s v="825-94-5922"/>
    <x v="2"/>
    <x v="2"/>
    <x v="1"/>
    <x v="1"/>
    <x v="3"/>
    <x v="1"/>
    <x v="1"/>
    <d v="2019-03-02T00:00:00"/>
    <x v="2"/>
    <d v="1899-12-30T19:26:00"/>
    <s v="Ewallet"/>
    <n v="2.5310000000000001"/>
    <n v="7.2"/>
  </r>
  <r>
    <s v="641-62-7288"/>
    <x v="2"/>
    <x v="2"/>
    <x v="1"/>
    <x v="1"/>
    <x v="2"/>
    <x v="3"/>
    <x v="1"/>
    <d v="2019-03-24T00:00:00"/>
    <x v="0"/>
    <d v="1899-12-30T13:33:00"/>
    <s v="Ewallet"/>
    <n v="29.975999999999999"/>
    <n v="7.1"/>
  </r>
  <r>
    <s v="756-93-1854"/>
    <x v="1"/>
    <x v="1"/>
    <x v="0"/>
    <x v="0"/>
    <x v="5"/>
    <x v="3"/>
    <x v="2"/>
    <d v="2019-02-02T00:00:00"/>
    <x v="0"/>
    <d v="1899-12-30T14:05:00"/>
    <s v="Credit card"/>
    <n v="8.3350000000000009"/>
    <n v="9.5"/>
  </r>
  <r>
    <s v="243-55-8457"/>
    <x v="0"/>
    <x v="0"/>
    <x v="1"/>
    <x v="0"/>
    <x v="4"/>
    <x v="0"/>
    <x v="2"/>
    <d v="2019-02-27T00:00:00"/>
    <x v="1"/>
    <d v="1899-12-30T11:40:00"/>
    <s v="Ewallet"/>
    <n v="37.22"/>
    <n v="5.0999999999999996"/>
  </r>
  <r>
    <s v="458-10-8612"/>
    <x v="1"/>
    <x v="1"/>
    <x v="1"/>
    <x v="1"/>
    <x v="0"/>
    <x v="5"/>
    <x v="0"/>
    <d v="2019-01-20T00:00:00"/>
    <x v="0"/>
    <d v="1899-12-30T12:27:00"/>
    <s v="Ewallet"/>
    <n v="22.428000000000001"/>
    <n v="7.6"/>
  </r>
  <r>
    <s v="501-61-1753"/>
    <x v="2"/>
    <x v="2"/>
    <x v="1"/>
    <x v="0"/>
    <x v="2"/>
    <x v="4"/>
    <x v="0"/>
    <d v="2019-01-03T00:00:00"/>
    <x v="2"/>
    <d v="1899-12-30T20:24:00"/>
    <s v="Ewallet"/>
    <n v="18.945"/>
    <n v="9.8000000000000007"/>
  </r>
  <r>
    <s v="235-06-8510"/>
    <x v="1"/>
    <x v="1"/>
    <x v="0"/>
    <x v="1"/>
    <x v="2"/>
    <x v="5"/>
    <x v="0"/>
    <d v="2019-01-24T00:00:00"/>
    <x v="2"/>
    <d v="1899-12-30T20:59:00"/>
    <s v="Ewallet"/>
    <n v="12.858000000000001"/>
    <n v="5.0999999999999996"/>
  </r>
  <r>
    <s v="433-08-7822"/>
    <x v="1"/>
    <x v="1"/>
    <x v="1"/>
    <x v="0"/>
    <x v="0"/>
    <x v="0"/>
    <x v="0"/>
    <d v="2019-01-05T00:00:00"/>
    <x v="2"/>
    <d v="1899-12-30T19:48:00"/>
    <s v="Ewallet"/>
    <n v="27.611499999999999"/>
    <n v="7.5"/>
  </r>
  <r>
    <s v="361-85-2571"/>
    <x v="0"/>
    <x v="0"/>
    <x v="1"/>
    <x v="0"/>
    <x v="3"/>
    <x v="6"/>
    <x v="1"/>
    <d v="2019-03-30T00:00:00"/>
    <x v="1"/>
    <d v="1899-12-30T10:18:00"/>
    <s v="Cash"/>
    <n v="22.37"/>
    <n v="7.4"/>
  </r>
  <r>
    <s v="131-70-8179"/>
    <x v="0"/>
    <x v="0"/>
    <x v="0"/>
    <x v="0"/>
    <x v="0"/>
    <x v="4"/>
    <x v="2"/>
    <d v="2019-02-17T00:00:00"/>
    <x v="2"/>
    <d v="1899-12-30T16:27:00"/>
    <s v="Cash"/>
    <n v="13.813499999999999"/>
    <n v="4.2"/>
  </r>
  <r>
    <s v="500-02-2261"/>
    <x v="1"/>
    <x v="1"/>
    <x v="1"/>
    <x v="0"/>
    <x v="4"/>
    <x v="2"/>
    <x v="1"/>
    <d v="2019-03-21T00:00:00"/>
    <x v="2"/>
    <d v="1899-12-30T17:04:00"/>
    <s v="Ewallet"/>
    <n v="17.187000000000001"/>
    <n v="5.9"/>
  </r>
  <r>
    <s v="720-72-2436"/>
    <x v="0"/>
    <x v="0"/>
    <x v="1"/>
    <x v="1"/>
    <x v="4"/>
    <x v="1"/>
    <x v="1"/>
    <d v="2019-03-02T00:00:00"/>
    <x v="2"/>
    <d v="1899-12-30T18:14:00"/>
    <s v="Ewallet"/>
    <n v="13.304"/>
    <n v="6.9"/>
  </r>
  <r>
    <s v="702-83-5291"/>
    <x v="1"/>
    <x v="1"/>
    <x v="0"/>
    <x v="1"/>
    <x v="5"/>
    <x v="3"/>
    <x v="1"/>
    <d v="2019-03-27T00:00:00"/>
    <x v="1"/>
    <d v="1899-12-30T10:43:00"/>
    <s v="Cash"/>
    <n v="44.918999999999997"/>
    <n v="6.6"/>
  </r>
  <r>
    <s v="809-69-9497"/>
    <x v="0"/>
    <x v="0"/>
    <x v="1"/>
    <x v="0"/>
    <x v="2"/>
    <x v="5"/>
    <x v="0"/>
    <d v="2019-01-19T00:00:00"/>
    <x v="2"/>
    <d v="1899-12-30T19:30:00"/>
    <s v="Ewallet"/>
    <n v="22.84"/>
    <n v="5.7"/>
  </r>
  <r>
    <s v="449-16-6770"/>
    <x v="0"/>
    <x v="0"/>
    <x v="1"/>
    <x v="1"/>
    <x v="0"/>
    <x v="4"/>
    <x v="2"/>
    <d v="2019-02-19T00:00:00"/>
    <x v="0"/>
    <d v="1899-12-30T14:53:00"/>
    <s v="Credit card"/>
    <n v="12.6975"/>
    <n v="5.3"/>
  </r>
  <r>
    <s v="333-23-2632"/>
    <x v="0"/>
    <x v="0"/>
    <x v="0"/>
    <x v="1"/>
    <x v="0"/>
    <x v="3"/>
    <x v="1"/>
    <d v="2019-03-28T00:00:00"/>
    <x v="2"/>
    <d v="1899-12-30T20:14:00"/>
    <s v="Cash"/>
    <n v="3.528"/>
    <n v="4.2"/>
  </r>
  <r>
    <s v="489-82-1237"/>
    <x v="0"/>
    <x v="0"/>
    <x v="1"/>
    <x v="0"/>
    <x v="1"/>
    <x v="0"/>
    <x v="0"/>
    <d v="2019-01-05T00:00:00"/>
    <x v="1"/>
    <d v="1899-12-30T11:51:00"/>
    <s v="Credit card"/>
    <n v="32.857999999999997"/>
    <n v="7.3"/>
  </r>
  <r>
    <s v="859-97-6048"/>
    <x v="1"/>
    <x v="1"/>
    <x v="0"/>
    <x v="1"/>
    <x v="1"/>
    <x v="3"/>
    <x v="1"/>
    <d v="2019-03-26T00:00:00"/>
    <x v="0"/>
    <d v="1899-12-30T14:13:00"/>
    <s v="Credit card"/>
    <n v="8.4250000000000007"/>
    <n v="5.3"/>
  </r>
  <r>
    <s v="676-10-2200"/>
    <x v="2"/>
    <x v="2"/>
    <x v="0"/>
    <x v="1"/>
    <x v="5"/>
    <x v="3"/>
    <x v="2"/>
    <d v="2019-02-03T00:00:00"/>
    <x v="2"/>
    <d v="1899-12-30T20:13:00"/>
    <s v="Ewallet"/>
    <n v="2.6890000000000001"/>
    <n v="4.7"/>
  </r>
  <r>
    <s v="373-88-1424"/>
    <x v="1"/>
    <x v="1"/>
    <x v="0"/>
    <x v="1"/>
    <x v="2"/>
    <x v="3"/>
    <x v="2"/>
    <d v="2019-02-06T00:00:00"/>
    <x v="2"/>
    <d v="1899-12-30T18:44:00"/>
    <s v="Ewallet"/>
    <n v="8.9525000000000006"/>
    <n v="7.9"/>
  </r>
  <r>
    <s v="365-16-4334"/>
    <x v="2"/>
    <x v="2"/>
    <x v="1"/>
    <x v="0"/>
    <x v="4"/>
    <x v="0"/>
    <x v="2"/>
    <d v="2019-02-24T00:00:00"/>
    <x v="0"/>
    <d v="1899-12-30T14:26:00"/>
    <s v="Ewallet"/>
    <n v="10.571999999999999"/>
    <n v="8.9"/>
  </r>
  <r>
    <s v="503-21-4385"/>
    <x v="2"/>
    <x v="2"/>
    <x v="0"/>
    <x v="1"/>
    <x v="0"/>
    <x v="4"/>
    <x v="2"/>
    <d v="2019-02-21T00:00:00"/>
    <x v="0"/>
    <d v="1899-12-30T12:40:00"/>
    <s v="Ewallet"/>
    <n v="5.9865000000000004"/>
    <n v="9.3000000000000007"/>
  </r>
  <r>
    <s v="305-89-2768"/>
    <x v="2"/>
    <x v="2"/>
    <x v="0"/>
    <x v="0"/>
    <x v="2"/>
    <x v="0"/>
    <x v="0"/>
    <d v="2019-01-09T00:00:00"/>
    <x v="2"/>
    <d v="1899-12-30T18:43:00"/>
    <s v="Ewallet"/>
    <n v="3.2850000000000001"/>
    <n v="4.7"/>
  </r>
  <r>
    <s v="574-80-1489"/>
    <x v="2"/>
    <x v="2"/>
    <x v="0"/>
    <x v="0"/>
    <x v="4"/>
    <x v="0"/>
    <x v="2"/>
    <d v="2019-02-25T00:00:00"/>
    <x v="0"/>
    <d v="1899-12-30T13:22:00"/>
    <s v="Ewallet"/>
    <n v="12.57"/>
    <n v="8.6999999999999993"/>
  </r>
  <r>
    <s v="784-08-0310"/>
    <x v="1"/>
    <x v="1"/>
    <x v="0"/>
    <x v="0"/>
    <x v="4"/>
    <x v="1"/>
    <x v="0"/>
    <d v="2019-01-13T00:00:00"/>
    <x v="0"/>
    <d v="1899-12-30T13:58:00"/>
    <s v="Cash"/>
    <n v="4.2080000000000002"/>
    <n v="7.6"/>
  </r>
  <r>
    <s v="200-40-6154"/>
    <x v="2"/>
    <x v="2"/>
    <x v="0"/>
    <x v="1"/>
    <x v="2"/>
    <x v="6"/>
    <x v="2"/>
    <d v="2019-02-09T00:00:00"/>
    <x v="1"/>
    <d v="1899-12-30T11:45:00"/>
    <s v="Cash"/>
    <n v="19.773"/>
    <n v="5.7"/>
  </r>
  <r>
    <s v="846-10-0341"/>
    <x v="0"/>
    <x v="0"/>
    <x v="1"/>
    <x v="0"/>
    <x v="5"/>
    <x v="0"/>
    <x v="0"/>
    <d v="2019-01-06T00:00:00"/>
    <x v="1"/>
    <d v="1899-12-30T11:51:00"/>
    <s v="Cash"/>
    <n v="14.8995"/>
    <n v="6.8"/>
  </r>
  <r>
    <s v="577-34-7579"/>
    <x v="1"/>
    <x v="1"/>
    <x v="0"/>
    <x v="1"/>
    <x v="4"/>
    <x v="0"/>
    <x v="0"/>
    <d v="2019-01-10T00:00:00"/>
    <x v="2"/>
    <d v="1899-12-30T17:16:00"/>
    <s v="Cash"/>
    <n v="22.720500000000001"/>
    <n v="5.4"/>
  </r>
  <r>
    <s v="430-02-3888"/>
    <x v="2"/>
    <x v="2"/>
    <x v="1"/>
    <x v="1"/>
    <x v="1"/>
    <x v="3"/>
    <x v="2"/>
    <d v="2019-02-07T00:00:00"/>
    <x v="0"/>
    <d v="1899-12-30T15:55:00"/>
    <s v="Cash"/>
    <n v="13.805999999999999"/>
    <n v="7.1"/>
  </r>
  <r>
    <s v="867-47-1948"/>
    <x v="1"/>
    <x v="1"/>
    <x v="1"/>
    <x v="0"/>
    <x v="2"/>
    <x v="0"/>
    <x v="0"/>
    <d v="2019-01-09T00:00:00"/>
    <x v="0"/>
    <d v="1899-12-30T12:07:00"/>
    <s v="Cash"/>
    <n v="7.9"/>
    <n v="7.8"/>
  </r>
  <r>
    <s v="384-59-6655"/>
    <x v="0"/>
    <x v="0"/>
    <x v="0"/>
    <x v="0"/>
    <x v="4"/>
    <x v="4"/>
    <x v="2"/>
    <d v="2019-02-19T00:00:00"/>
    <x v="0"/>
    <d v="1899-12-30T15:07:00"/>
    <s v="Cash"/>
    <n v="44.396999999999998"/>
    <n v="8.4"/>
  </r>
  <r>
    <s v="256-58-3609"/>
    <x v="1"/>
    <x v="1"/>
    <x v="0"/>
    <x v="1"/>
    <x v="5"/>
    <x v="2"/>
    <x v="1"/>
    <d v="2019-03-18T00:00:00"/>
    <x v="0"/>
    <d v="1899-12-30T15:29:00"/>
    <s v="Cash"/>
    <n v="4.5990000000000002"/>
    <n v="9.8000000000000007"/>
  </r>
  <r>
    <s v="324-92-3863"/>
    <x v="0"/>
    <x v="0"/>
    <x v="0"/>
    <x v="1"/>
    <x v="1"/>
    <x v="3"/>
    <x v="2"/>
    <d v="2019-02-05T00:00:00"/>
    <x v="2"/>
    <d v="1899-12-30T18:45:00"/>
    <s v="Cash"/>
    <n v="2.089"/>
    <n v="9.8000000000000007"/>
  </r>
  <r>
    <s v="593-08-5916"/>
    <x v="0"/>
    <x v="0"/>
    <x v="1"/>
    <x v="0"/>
    <x v="5"/>
    <x v="2"/>
    <x v="1"/>
    <d v="2019-03-19T00:00:00"/>
    <x v="0"/>
    <d v="1899-12-30T15:23:00"/>
    <s v="Credit card"/>
    <n v="0.77500000000000002"/>
    <n v="7.4"/>
  </r>
  <r>
    <s v="364-34-2972"/>
    <x v="1"/>
    <x v="1"/>
    <x v="0"/>
    <x v="1"/>
    <x v="1"/>
    <x v="6"/>
    <x v="1"/>
    <d v="2019-03-30T00:00:00"/>
    <x v="2"/>
    <d v="1899-12-30T20:37:00"/>
    <s v="Cash"/>
    <n v="14.523"/>
    <n v="6.7"/>
  </r>
  <r>
    <s v="794-42-3736"/>
    <x v="2"/>
    <x v="2"/>
    <x v="1"/>
    <x v="1"/>
    <x v="4"/>
    <x v="2"/>
    <x v="0"/>
    <d v="2019-01-26T00:00:00"/>
    <x v="0"/>
    <d v="1899-12-30T14:41:00"/>
    <s v="Credit card"/>
    <n v="3.3330000000000002"/>
    <n v="6.4"/>
  </r>
  <r>
    <s v="172-42-8274"/>
    <x v="2"/>
    <x v="2"/>
    <x v="1"/>
    <x v="0"/>
    <x v="1"/>
    <x v="1"/>
    <x v="1"/>
    <d v="2019-03-02T00:00:00"/>
    <x v="2"/>
    <d v="1899-12-30T18:18:00"/>
    <s v="Credit card"/>
    <n v="3.827"/>
    <n v="5.8"/>
  </r>
  <r>
    <s v="558-60-5016"/>
    <x v="0"/>
    <x v="0"/>
    <x v="1"/>
    <x v="0"/>
    <x v="2"/>
    <x v="1"/>
    <x v="1"/>
    <d v="2019-03-04T00:00:00"/>
    <x v="0"/>
    <d v="1899-12-30T15:27:00"/>
    <s v="Ewallet"/>
    <n v="14.984999999999999"/>
    <n v="7.2"/>
  </r>
  <r>
    <s v="195-06-0432"/>
    <x v="0"/>
    <x v="0"/>
    <x v="0"/>
    <x v="1"/>
    <x v="2"/>
    <x v="1"/>
    <x v="0"/>
    <d v="2019-01-13T00:00:00"/>
    <x v="0"/>
    <d v="1899-12-30T12:55:00"/>
    <s v="Credit card"/>
    <n v="12.1515"/>
    <n v="9.3000000000000007"/>
  </r>
  <r>
    <s v="605-03-2706"/>
    <x v="0"/>
    <x v="0"/>
    <x v="1"/>
    <x v="0"/>
    <x v="0"/>
    <x v="3"/>
    <x v="1"/>
    <d v="2019-03-25T00:00:00"/>
    <x v="2"/>
    <d v="1899-12-30T18:02:00"/>
    <s v="Cash"/>
    <n v="2.37"/>
    <n v="9.5"/>
  </r>
  <r>
    <s v="214-30-2776"/>
    <x v="2"/>
    <x v="2"/>
    <x v="0"/>
    <x v="0"/>
    <x v="1"/>
    <x v="5"/>
    <x v="1"/>
    <d v="2019-03-11T00:00:00"/>
    <x v="2"/>
    <d v="1899-12-30T19:44:00"/>
    <s v="Credit card"/>
    <n v="8.6225000000000005"/>
    <n v="9"/>
  </r>
  <r>
    <s v="746-04-1077"/>
    <x v="2"/>
    <x v="2"/>
    <x v="0"/>
    <x v="0"/>
    <x v="4"/>
    <x v="4"/>
    <x v="0"/>
    <d v="2019-01-01T00:00:00"/>
    <x v="1"/>
    <d v="1899-12-30T11:36:00"/>
    <s v="Credit card"/>
    <n v="42.314999999999998"/>
    <n v="9"/>
  </r>
  <r>
    <s v="448-34-8700"/>
    <x v="2"/>
    <x v="2"/>
    <x v="0"/>
    <x v="1"/>
    <x v="2"/>
    <x v="6"/>
    <x v="2"/>
    <d v="2019-02-10T00:00:00"/>
    <x v="0"/>
    <d v="1899-12-30T13:51:00"/>
    <s v="Ewallet"/>
    <n v="12.9185"/>
    <n v="6.7"/>
  </r>
  <r>
    <s v="452-04-8808"/>
    <x v="2"/>
    <x v="2"/>
    <x v="1"/>
    <x v="1"/>
    <x v="1"/>
    <x v="2"/>
    <x v="0"/>
    <d v="2019-01-26T00:00:00"/>
    <x v="0"/>
    <d v="1899-12-30T15:17:00"/>
    <s v="Cash"/>
    <n v="30.478000000000002"/>
    <n v="5.5"/>
  </r>
  <r>
    <s v="531-56-4728"/>
    <x v="0"/>
    <x v="0"/>
    <x v="1"/>
    <x v="1"/>
    <x v="2"/>
    <x v="6"/>
    <x v="2"/>
    <d v="2019-02-11T00:00:00"/>
    <x v="0"/>
    <d v="1899-12-30T15:29:00"/>
    <s v="Cash"/>
    <n v="12.012"/>
    <n v="5.4"/>
  </r>
  <r>
    <s v="744-82-9138"/>
    <x v="1"/>
    <x v="1"/>
    <x v="1"/>
    <x v="1"/>
    <x v="5"/>
    <x v="3"/>
    <x v="2"/>
    <d v="2019-02-07T00:00:00"/>
    <x v="2"/>
    <d v="1899-12-30T17:59:00"/>
    <s v="Cash"/>
    <n v="8.6129999999999995"/>
    <n v="8.1999999999999993"/>
  </r>
  <r>
    <s v="883-69-1285"/>
    <x v="2"/>
    <x v="2"/>
    <x v="0"/>
    <x v="1"/>
    <x v="5"/>
    <x v="1"/>
    <x v="1"/>
    <d v="2019-03-06T00:00:00"/>
    <x v="1"/>
    <d v="1899-12-30T11:55:00"/>
    <s v="Credit card"/>
    <n v="4.992"/>
    <n v="7"/>
  </r>
  <r>
    <s v="221-25-5073"/>
    <x v="0"/>
    <x v="0"/>
    <x v="1"/>
    <x v="0"/>
    <x v="4"/>
    <x v="1"/>
    <x v="1"/>
    <d v="2019-03-04T00:00:00"/>
    <x v="1"/>
    <d v="1899-12-30T10:39:00"/>
    <s v="Cash"/>
    <n v="14.932"/>
    <n v="8.5"/>
  </r>
  <r>
    <s v="518-71-6847"/>
    <x v="2"/>
    <x v="2"/>
    <x v="0"/>
    <x v="1"/>
    <x v="4"/>
    <x v="0"/>
    <x v="2"/>
    <d v="2019-02-26T00:00:00"/>
    <x v="0"/>
    <d v="1899-12-30T15:10:00"/>
    <s v="Ewallet"/>
    <n v="7.98"/>
    <n v="4.9000000000000004"/>
  </r>
  <r>
    <s v="156-20-0370"/>
    <x v="2"/>
    <x v="2"/>
    <x v="1"/>
    <x v="0"/>
    <x v="1"/>
    <x v="5"/>
    <x v="1"/>
    <d v="2019-03-10T00:00:00"/>
    <x v="2"/>
    <d v="1899-12-30T18:10:00"/>
    <s v="Credit card"/>
    <n v="1.2725"/>
    <n v="5.0999999999999996"/>
  </r>
  <r>
    <s v="151-33-7434"/>
    <x v="2"/>
    <x v="2"/>
    <x v="1"/>
    <x v="0"/>
    <x v="4"/>
    <x v="3"/>
    <x v="2"/>
    <d v="2019-02-04T00:00:00"/>
    <x v="2"/>
    <d v="1899-12-30T20:43:00"/>
    <s v="Credit card"/>
    <n v="3.3885000000000001"/>
    <n v="6.5"/>
  </r>
  <r>
    <s v="728-47-9078"/>
    <x v="1"/>
    <x v="1"/>
    <x v="0"/>
    <x v="1"/>
    <x v="4"/>
    <x v="5"/>
    <x v="0"/>
    <d v="2019-01-19T00:00:00"/>
    <x v="0"/>
    <d v="1899-12-30T12:46:00"/>
    <s v="Cash"/>
    <n v="11.917999999999999"/>
    <n v="9.8000000000000007"/>
  </r>
  <r>
    <s v="809-46-1866"/>
    <x v="0"/>
    <x v="0"/>
    <x v="1"/>
    <x v="1"/>
    <x v="0"/>
    <x v="5"/>
    <x v="0"/>
    <d v="2019-01-23T00:00:00"/>
    <x v="2"/>
    <d v="1899-12-30T17:44:00"/>
    <s v="Cash"/>
    <n v="11.63"/>
    <n v="8.4"/>
  </r>
  <r>
    <s v="139-32-4183"/>
    <x v="0"/>
    <x v="0"/>
    <x v="0"/>
    <x v="0"/>
    <x v="3"/>
    <x v="5"/>
    <x v="1"/>
    <d v="2019-03-14T00:00:00"/>
    <x v="0"/>
    <d v="1899-12-30T14:19:00"/>
    <s v="Ewallet"/>
    <n v="43.866"/>
    <n v="7.4"/>
  </r>
  <r>
    <s v="148-41-7930"/>
    <x v="1"/>
    <x v="1"/>
    <x v="1"/>
    <x v="1"/>
    <x v="0"/>
    <x v="5"/>
    <x v="0"/>
    <d v="2019-01-23T00:00:00"/>
    <x v="1"/>
    <d v="1899-12-30T10:33:00"/>
    <s v="Cash"/>
    <n v="34.985999999999997"/>
    <n v="6.1"/>
  </r>
  <r>
    <s v="189-40-5216"/>
    <x v="1"/>
    <x v="1"/>
    <x v="1"/>
    <x v="1"/>
    <x v="1"/>
    <x v="0"/>
    <x v="0"/>
    <d v="2019-01-09T00:00:00"/>
    <x v="1"/>
    <d v="1899-12-30T11:40:00"/>
    <s v="Cash"/>
    <n v="33.729500000000002"/>
    <n v="6"/>
  </r>
  <r>
    <s v="374-38-5555"/>
    <x v="2"/>
    <x v="2"/>
    <x v="1"/>
    <x v="0"/>
    <x v="5"/>
    <x v="3"/>
    <x v="2"/>
    <d v="2019-02-07T00:00:00"/>
    <x v="2"/>
    <d v="1899-12-30T19:30:00"/>
    <s v="Ewallet"/>
    <n v="15.9275"/>
    <n v="8.5"/>
  </r>
  <r>
    <s v="764-44-8999"/>
    <x v="2"/>
    <x v="2"/>
    <x v="1"/>
    <x v="0"/>
    <x v="0"/>
    <x v="4"/>
    <x v="2"/>
    <d v="2019-02-18T00:00:00"/>
    <x v="0"/>
    <d v="1899-12-30T14:42:00"/>
    <s v="Ewallet"/>
    <n v="1.476"/>
    <n v="4.3"/>
  </r>
  <r>
    <s v="552-44-5977"/>
    <x v="2"/>
    <x v="2"/>
    <x v="0"/>
    <x v="1"/>
    <x v="0"/>
    <x v="4"/>
    <x v="0"/>
    <d v="2019-01-03T00:00:00"/>
    <x v="2"/>
    <d v="1899-12-30T19:08:00"/>
    <s v="Credit card"/>
    <n v="24.8"/>
    <n v="6.2"/>
  </r>
  <r>
    <s v="267-62-7380"/>
    <x v="1"/>
    <x v="1"/>
    <x v="0"/>
    <x v="1"/>
    <x v="1"/>
    <x v="3"/>
    <x v="1"/>
    <d v="2019-03-29T00:00:00"/>
    <x v="2"/>
    <d v="1899-12-30T19:12:00"/>
    <s v="Ewallet"/>
    <n v="41.17"/>
    <n v="4.3"/>
  </r>
  <r>
    <s v="430-53-4718"/>
    <x v="2"/>
    <x v="2"/>
    <x v="0"/>
    <x v="1"/>
    <x v="0"/>
    <x v="2"/>
    <x v="0"/>
    <d v="2019-01-28T00:00:00"/>
    <x v="0"/>
    <d v="1899-12-30T15:46:00"/>
    <s v="Credit card"/>
    <n v="30.148"/>
    <n v="8.4"/>
  </r>
  <r>
    <s v="886-18-2897"/>
    <x v="0"/>
    <x v="0"/>
    <x v="1"/>
    <x v="0"/>
    <x v="4"/>
    <x v="2"/>
    <x v="1"/>
    <d v="2019-03-22T00:00:00"/>
    <x v="2"/>
    <d v="1899-12-30T19:06:00"/>
    <s v="Credit card"/>
    <n v="14.14"/>
    <n v="4.5"/>
  </r>
  <r>
    <s v="602-16-6955"/>
    <x v="2"/>
    <x v="2"/>
    <x v="1"/>
    <x v="0"/>
    <x v="3"/>
    <x v="7"/>
    <x v="0"/>
    <d v="2019-01-24T00:00:00"/>
    <x v="2"/>
    <d v="1899-12-30T18:10:00"/>
    <s v="Ewallet"/>
    <n v="38.299999999999997"/>
    <n v="6"/>
  </r>
  <r>
    <s v="745-74-0715"/>
    <x v="0"/>
    <x v="0"/>
    <x v="1"/>
    <x v="1"/>
    <x v="1"/>
    <x v="5"/>
    <x v="1"/>
    <d v="2019-03-10T00:00:00"/>
    <x v="2"/>
    <d v="1899-12-30T20:46:00"/>
    <s v="Ewallet"/>
    <n v="5.8029999999999999"/>
    <n v="8.8000000000000007"/>
  </r>
  <r>
    <s v="690-01-6631"/>
    <x v="2"/>
    <x v="2"/>
    <x v="1"/>
    <x v="1"/>
    <x v="5"/>
    <x v="4"/>
    <x v="2"/>
    <d v="2019-02-22T00:00:00"/>
    <x v="2"/>
    <d v="1899-12-30T18:35:00"/>
    <s v="Ewallet"/>
    <n v="8.7449999999999992"/>
    <n v="6.6"/>
  </r>
  <r>
    <s v="652-49-6720"/>
    <x v="1"/>
    <x v="1"/>
    <x v="0"/>
    <x v="0"/>
    <x v="1"/>
    <x v="4"/>
    <x v="2"/>
    <d v="2019-02-18T00:00:00"/>
    <x v="1"/>
    <d v="1899-12-30T11:40:00"/>
    <s v="Ewallet"/>
    <n v="3.0474999999999999"/>
    <n v="5.9"/>
  </r>
  <r>
    <s v="233-67-5758"/>
    <x v="1"/>
    <x v="1"/>
    <x v="1"/>
    <x v="1"/>
    <x v="0"/>
    <x v="2"/>
    <x v="0"/>
    <d v="2019-01-29T00:00:00"/>
    <x v="0"/>
    <d v="1899-12-30T13:46:00"/>
    <s v="Ewallet"/>
    <n v="2.0175000000000001"/>
    <n v="6.2"/>
  </r>
  <r>
    <s v="303-96-2227"/>
    <x v="2"/>
    <x v="2"/>
    <x v="1"/>
    <x v="0"/>
    <x v="2"/>
    <x v="1"/>
    <x v="1"/>
    <d v="2019-03-02T00:00:00"/>
    <x v="2"/>
    <d v="1899-12-30T17:16:00"/>
    <s v="Ewallet"/>
    <n v="48.69"/>
    <n v="4.4000000000000004"/>
  </r>
  <r>
    <s v="727-02-1313"/>
    <x v="0"/>
    <x v="0"/>
    <x v="0"/>
    <x v="1"/>
    <x v="4"/>
    <x v="6"/>
    <x v="2"/>
    <d v="2019-02-09T00:00:00"/>
    <x v="0"/>
    <d v="1899-12-30T13:22:00"/>
    <s v="Cash"/>
    <n v="1.5920000000000001"/>
    <n v="7.7"/>
  </r>
  <r>
    <s v="347-56-2442"/>
    <x v="0"/>
    <x v="0"/>
    <x v="1"/>
    <x v="1"/>
    <x v="2"/>
    <x v="4"/>
    <x v="2"/>
    <d v="2019-02-22T00:00:00"/>
    <x v="0"/>
    <d v="1899-12-30T15:33:00"/>
    <s v="Cash"/>
    <n v="3.2909999999999999"/>
    <n v="4.0999999999999996"/>
  </r>
  <r>
    <s v="849-09-3807"/>
    <x v="0"/>
    <x v="0"/>
    <x v="0"/>
    <x v="0"/>
    <x v="5"/>
    <x v="4"/>
    <x v="2"/>
    <d v="2019-02-18T00:00:00"/>
    <x v="0"/>
    <d v="1899-12-30T13:28:00"/>
    <s v="Cash"/>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rowHeaderCaption="Branch">
  <location ref="D29:E32" firstHeaderRow="1" firstDataRow="1" firstDataCol="1"/>
  <pivotFields count="14">
    <pivotField showAll="0" countASubtotal="1"/>
    <pivotField axis="axisRow" showAll="0">
      <items count="4">
        <item x="0"/>
        <item x="2"/>
        <item x="1"/>
        <item t="default"/>
      </items>
    </pivotField>
    <pivotField showAll="0"/>
    <pivotField showAll="0"/>
    <pivotField showAll="0">
      <items count="3">
        <item x="0"/>
        <item x="1"/>
        <item t="default"/>
      </items>
    </pivotField>
    <pivotField showAll="0"/>
    <pivotField showAll="0">
      <items count="9">
        <item x="0"/>
        <item x="1"/>
        <item x="5"/>
        <item x="2"/>
        <item x="3"/>
        <item x="6"/>
        <item x="4"/>
        <item x="7"/>
        <item t="default"/>
      </items>
    </pivotField>
    <pivotField showAll="0"/>
    <pivotField numFmtId="14" showAll="0"/>
    <pivotField showAll="0"/>
    <pivotField numFmtId="20" showAll="0"/>
    <pivotField showAll="0"/>
    <pivotField dataField="1" showAll="0"/>
    <pivotField showAll="0"/>
  </pivotFields>
  <rowFields count="1">
    <field x="1"/>
  </rowFields>
  <rowItems count="3">
    <i>
      <x/>
    </i>
    <i>
      <x v="1"/>
    </i>
    <i>
      <x v="2"/>
    </i>
  </rowItems>
  <colItems count="1">
    <i/>
  </colItems>
  <dataFields count="1">
    <dataField name="Total Income" fld="12" baseField="9" baseItem="0" numFmtId="166"/>
  </dataFields>
  <chartFormats count="4">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25" name="Time">
      <autoFilter ref="A1">
        <filterColumn colId="0">
          <customFilters and="1">
            <customFilter operator="greaterThanOrEqual" val="32"/>
            <customFilter operator="lessThanOrEqual" val="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otal Incom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Periond">
  <location ref="D2:D3" firstHeaderRow="1" firstDataRow="1" firstDataCol="0"/>
  <pivotFields count="14">
    <pivotField showAll="0" countASubtotal="1"/>
    <pivotField showAll="0"/>
    <pivotField showAll="0"/>
    <pivotField showAll="0"/>
    <pivotField showAll="0">
      <items count="3">
        <item x="0"/>
        <item x="1"/>
        <item t="default"/>
      </items>
    </pivotField>
    <pivotField showAll="0"/>
    <pivotField showAll="0">
      <items count="9">
        <item x="0"/>
        <item x="1"/>
        <item x="5"/>
        <item x="2"/>
        <item x="3"/>
        <item x="6"/>
        <item x="4"/>
        <item x="7"/>
        <item t="default"/>
      </items>
    </pivotField>
    <pivotField showAll="0"/>
    <pivotField numFmtId="14" showAll="0"/>
    <pivotField showAll="0"/>
    <pivotField numFmtId="20" showAll="0"/>
    <pivotField showAll="0"/>
    <pivotField dataField="1" showAll="0"/>
    <pivotField showAll="0"/>
  </pivotFields>
  <rowItems count="1">
    <i/>
  </rowItems>
  <colItems count="1">
    <i/>
  </colItems>
  <dataFields count="1">
    <dataField name="Total Income" fld="12" baseField="0" baseItem="112" numFmtId="166"/>
  </dataFields>
  <formats count="1">
    <format dxfId="15">
      <pivotArea outline="0" collapsedLevelsAreSubtotals="1" fieldPosition="0"/>
    </format>
  </formats>
  <pivotTableStyleInfo name="PivotStyleLight16" showRowHeaders="1" showColHeaders="1" showRowStripes="0" showColStripes="0" showLastColumn="1"/>
  <filters count="1">
    <filter fld="10" type="dateBetween" evalOrder="-1" id="25" name="Time">
      <autoFilter ref="A1">
        <filterColumn colId="0">
          <customFilters and="1">
            <customFilter operator="greaterThanOrEqual" val="32"/>
            <customFilter operator="lessThanOrEqual" val="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City"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rowHeaderCaption="City">
  <location ref="A13:B16" firstHeaderRow="1" firstDataRow="1" firstDataCol="1"/>
  <pivotFields count="14">
    <pivotField dataField="1" showAll="0" countASubtotal="1"/>
    <pivotField showAll="0"/>
    <pivotField axis="axisRow" showAll="0">
      <items count="4">
        <item x="2"/>
        <item x="1"/>
        <item x="0"/>
        <item t="default"/>
      </items>
    </pivotField>
    <pivotField showAll="0"/>
    <pivotField showAll="0">
      <items count="3">
        <item x="0"/>
        <item x="1"/>
        <item t="default"/>
      </items>
    </pivotField>
    <pivotField showAll="0"/>
    <pivotField showAll="0">
      <items count="9">
        <item x="0"/>
        <item x="1"/>
        <item x="5"/>
        <item x="2"/>
        <item x="3"/>
        <item x="6"/>
        <item x="4"/>
        <item x="7"/>
        <item t="default"/>
      </items>
    </pivotField>
    <pivotField showAll="0"/>
    <pivotField numFmtId="14" showAll="0"/>
    <pivotField showAll="0"/>
    <pivotField numFmtId="20" showAll="0"/>
    <pivotField showAll="0"/>
    <pivotField showAll="0"/>
    <pivotField showAll="0"/>
  </pivotFields>
  <rowFields count="1">
    <field x="2"/>
  </rowFields>
  <rowItems count="3">
    <i>
      <x/>
    </i>
    <i>
      <x v="1"/>
    </i>
    <i>
      <x v="2"/>
    </i>
  </rowItems>
  <colItems count="1">
    <i/>
  </colItems>
  <dataFields count="1">
    <dataField name="Total Customers" fld="0" subtotal="count" baseField="4" baseItem="0" numFmtId="166"/>
  </dataFields>
  <formats count="3">
    <format dxfId="18">
      <pivotArea collapsedLevelsAreSubtotals="1" fieldPosition="0">
        <references count="1">
          <reference field="2" count="1">
            <x v="0"/>
          </reference>
        </references>
      </pivotArea>
    </format>
    <format dxfId="17">
      <pivotArea outline="0" collapsedLevelsAreSubtotals="1" fieldPosition="0"/>
    </format>
    <format dxfId="16">
      <pivotArea dataOnly="0" labelOnly="1" fieldPosition="0">
        <references count="1">
          <reference field="2" count="0"/>
        </references>
      </pivotArea>
    </format>
  </format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filters count="1">
    <filter fld="10" type="dateBetween" evalOrder="-1" id="25" name="Time">
      <autoFilter ref="A1">
        <filterColumn colId="0">
          <customFilters and="1">
            <customFilter operator="greaterThanOrEqual" val="32"/>
            <customFilter operator="lessThanOrEqual" val="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Month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rowHeaderCaption="months">
  <location ref="D23:E26" firstHeaderRow="1" firstDataRow="1" firstDataCol="1"/>
  <pivotFields count="14">
    <pivotField showAll="0" countASubtotal="1"/>
    <pivotField showAll="0"/>
    <pivotField showAll="0"/>
    <pivotField showAll="0"/>
    <pivotField showAll="0">
      <items count="3">
        <item x="0"/>
        <item x="1"/>
        <item t="default"/>
      </items>
    </pivotField>
    <pivotField showAll="0"/>
    <pivotField showAll="0">
      <items count="9">
        <item x="0"/>
        <item x="1"/>
        <item x="5"/>
        <item x="2"/>
        <item x="3"/>
        <item x="6"/>
        <item x="4"/>
        <item x="7"/>
        <item t="default"/>
      </items>
    </pivotField>
    <pivotField axis="axisRow" showAll="0">
      <items count="4">
        <item x="0"/>
        <item x="2"/>
        <item x="1"/>
        <item t="default"/>
      </items>
    </pivotField>
    <pivotField numFmtId="14" showAll="0"/>
    <pivotField showAll="0"/>
    <pivotField numFmtId="20" showAll="0"/>
    <pivotField showAll="0"/>
    <pivotField dataField="1" showAll="0"/>
    <pivotField showAll="0"/>
  </pivotFields>
  <rowFields count="1">
    <field x="7"/>
  </rowFields>
  <rowItems count="3">
    <i>
      <x/>
    </i>
    <i>
      <x v="1"/>
    </i>
    <i>
      <x v="2"/>
    </i>
  </rowItems>
  <colItems count="1">
    <i/>
  </colItems>
  <dataFields count="1">
    <dataField name="Total Income" fld="12" baseField="7" baseItem="0" numFmtId="166"/>
  </dataFields>
  <chartFormats count="2">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25" name="Time">
      <autoFilter ref="A1">
        <filterColumn colId="0">
          <customFilters and="1">
            <customFilter operator="greaterThanOrEqual" val="32"/>
            <customFilter operator="lessThanOrEqual" val="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Total Orde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4">
    <pivotField dataField="1" showAll="0" countASubtotal="1"/>
    <pivotField showAll="0"/>
    <pivotField showAll="0"/>
    <pivotField showAll="0"/>
    <pivotField showAll="0">
      <items count="3">
        <item x="0"/>
        <item x="1"/>
        <item t="default"/>
      </items>
    </pivotField>
    <pivotField showAll="0"/>
    <pivotField showAll="0">
      <items count="9">
        <item x="0"/>
        <item x="1"/>
        <item x="5"/>
        <item x="2"/>
        <item x="3"/>
        <item x="6"/>
        <item x="4"/>
        <item x="7"/>
        <item t="default"/>
      </items>
    </pivotField>
    <pivotField showAll="0"/>
    <pivotField numFmtId="14" showAll="0"/>
    <pivotField showAll="0"/>
    <pivotField numFmtId="20" showAll="0"/>
    <pivotField showAll="0"/>
    <pivotField showAll="0"/>
    <pivotField showAll="0"/>
  </pivotFields>
  <rowItems count="1">
    <i/>
  </rowItems>
  <colItems count="1">
    <i/>
  </colItems>
  <dataFields count="1">
    <dataField name="Total Order" fld="0" subtotal="count" baseField="0" baseItem="112"/>
  </dataFields>
  <pivotTableStyleInfo name="PivotStyleLight16" showRowHeaders="1" showColHeaders="1" showRowStripes="0" showColStripes="0" showLastColumn="1"/>
  <filters count="1">
    <filter fld="10" type="dateBetween" evalOrder="-1" id="25" name="Time">
      <autoFilter ref="A1">
        <filterColumn colId="0">
          <customFilters and="1">
            <customFilter operator="greaterThanOrEqual" val="32"/>
            <customFilter operator="lessThanOrEqual" val="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Day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0" rowHeaderCaption="Days">
  <location ref="D13:E21" firstHeaderRow="1" firstDataRow="1" firstDataCol="1"/>
  <pivotFields count="14">
    <pivotField dataField="1" showAll="0" countASubtotal="1"/>
    <pivotField showAll="0"/>
    <pivotField showAll="0"/>
    <pivotField showAll="0"/>
    <pivotField showAll="0">
      <items count="3">
        <item x="0"/>
        <item x="1"/>
        <item t="default"/>
      </items>
    </pivotField>
    <pivotField showAll="0"/>
    <pivotField axis="axisRow" showAll="0" sortType="descending">
      <items count="9">
        <item x="7"/>
        <item x="4"/>
        <item x="6"/>
        <item x="3"/>
        <item x="2"/>
        <item x="5"/>
        <item x="1"/>
        <item x="0"/>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numFmtId="14" showAll="0"/>
    <pivotField showAll="0"/>
    <pivotField numFmtId="20" showAll="0"/>
    <pivotField showAll="0"/>
    <pivotField showAll="0"/>
    <pivotField showAll="0"/>
  </pivotFields>
  <rowFields count="1">
    <field x="6"/>
  </rowFields>
  <rowItems count="8">
    <i>
      <x v="5"/>
    </i>
    <i>
      <x v="6"/>
    </i>
    <i>
      <x v="3"/>
    </i>
    <i>
      <x v="4"/>
    </i>
    <i>
      <x v="7"/>
    </i>
    <i>
      <x v="1"/>
    </i>
    <i>
      <x v="2"/>
    </i>
    <i>
      <x/>
    </i>
  </rowItems>
  <colItems count="1">
    <i/>
  </colItems>
  <dataFields count="1">
    <dataField name="Total Customers" fld="0" subtotal="count" baseField="4" baseItem="0"/>
  </dataField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25" name="Time">
      <autoFilter ref="A1">
        <filterColumn colId="0">
          <customFilters and="1">
            <customFilter operator="greaterThanOrEqual" val="32"/>
            <customFilter operator="lessThanOrEqual" val="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eriod"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rowHeaderCaption="Periond">
  <location ref="D8:E11" firstHeaderRow="1" firstDataRow="1" firstDataCol="1"/>
  <pivotFields count="14">
    <pivotField showAll="0" countASubtotal="1"/>
    <pivotField showAll="0"/>
    <pivotField showAll="0"/>
    <pivotField showAll="0"/>
    <pivotField showAll="0">
      <items count="3">
        <item x="0"/>
        <item x="1"/>
        <item t="default"/>
      </items>
    </pivotField>
    <pivotField showAll="0"/>
    <pivotField showAll="0">
      <items count="9">
        <item x="0"/>
        <item x="1"/>
        <item x="5"/>
        <item x="2"/>
        <item x="3"/>
        <item x="6"/>
        <item x="4"/>
        <item x="7"/>
        <item t="default"/>
      </items>
    </pivotField>
    <pivotField showAll="0"/>
    <pivotField numFmtId="14"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20" showAll="0"/>
    <pivotField showAll="0"/>
    <pivotField dataField="1" showAll="0"/>
    <pivotField showAll="0"/>
  </pivotFields>
  <rowFields count="1">
    <field x="9"/>
  </rowFields>
  <rowItems count="3">
    <i>
      <x v="1"/>
    </i>
    <i>
      <x/>
    </i>
    <i>
      <x v="2"/>
    </i>
  </rowItems>
  <colItems count="1">
    <i/>
  </colItems>
  <dataFields count="1">
    <dataField name="Total Income" fld="12" baseField="9" baseItem="0" numFmtId="166"/>
  </dataFields>
  <chartFormats count="2">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25" name="Time">
      <autoFilter ref="A1">
        <filterColumn colId="0">
          <customFilters and="1">
            <customFilter operator="greaterThanOrEqual" val="32"/>
            <customFilter operator="lessThanOrEqual" val="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Average rating"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Periond">
  <location ref="F2:F3" firstHeaderRow="1" firstDataRow="1" firstDataCol="0"/>
  <pivotFields count="14">
    <pivotField showAll="0" countASubtotal="1"/>
    <pivotField showAll="0"/>
    <pivotField showAll="0"/>
    <pivotField showAll="0"/>
    <pivotField showAll="0">
      <items count="3">
        <item x="0"/>
        <item x="1"/>
        <item t="default"/>
      </items>
    </pivotField>
    <pivotField showAll="0"/>
    <pivotField showAll="0">
      <items count="9">
        <item x="0"/>
        <item x="1"/>
        <item x="5"/>
        <item x="2"/>
        <item x="3"/>
        <item x="6"/>
        <item x="4"/>
        <item x="7"/>
        <item t="default"/>
      </items>
    </pivotField>
    <pivotField showAll="0"/>
    <pivotField numFmtId="14" showAll="0"/>
    <pivotField showAll="0"/>
    <pivotField numFmtId="20" showAll="0"/>
    <pivotField showAll="0"/>
    <pivotField showAll="0"/>
    <pivotField dataField="1" showAll="0"/>
  </pivotFields>
  <rowItems count="1">
    <i/>
  </rowItems>
  <colItems count="1">
    <i/>
  </colItems>
  <dataFields count="1">
    <dataField name="Average Rating" fld="13" subtotal="average" baseField="0" baseItem="56023792" numFmtId="164"/>
  </dataFields>
  <formats count="1">
    <format dxfId="19">
      <pivotArea outline="0" collapsedLevelsAreSubtotals="1" fieldPosition="0"/>
    </format>
  </formats>
  <pivotTableStyleInfo name="PivotStyleLight16" showRowHeaders="1" showColHeaders="1" showRowStripes="0" showColStripes="0" showLastColumn="1"/>
  <filters count="1">
    <filter fld="10" type="dateBetween" evalOrder="-1" id="25" name="Time">
      <autoFilter ref="A1">
        <filterColumn colId="0">
          <customFilters and="1">
            <customFilter operator="greaterThanOrEqual" val="32"/>
            <customFilter operator="lessThanOrEqual" val="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Gender"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rowHeaderCaption="Gender">
  <location ref="A8:B10" firstHeaderRow="1" firstDataRow="1" firstDataCol="1"/>
  <pivotFields count="14">
    <pivotField showAll="0" countASubtotal="1"/>
    <pivotField showAll="0">
      <items count="4">
        <item x="0"/>
        <item x="2"/>
        <item x="1"/>
        <item t="default"/>
      </items>
    </pivotField>
    <pivotField showAll="0"/>
    <pivotField showAll="0"/>
    <pivotField axis="axisRow" showAll="0">
      <items count="3">
        <item x="0"/>
        <item x="1"/>
        <item t="default"/>
      </items>
    </pivotField>
    <pivotField showAll="0"/>
    <pivotField showAll="0">
      <items count="9">
        <item x="0"/>
        <item x="1"/>
        <item x="5"/>
        <item x="2"/>
        <item x="3"/>
        <item x="6"/>
        <item x="4"/>
        <item x="7"/>
        <item t="default"/>
      </items>
    </pivotField>
    <pivotField showAll="0">
      <items count="4">
        <item x="0"/>
        <item x="2"/>
        <item x="1"/>
        <item t="default"/>
      </items>
    </pivotField>
    <pivotField numFmtId="14" showAll="0"/>
    <pivotField showAll="0"/>
    <pivotField numFmtId="20" showAll="0"/>
    <pivotField showAll="0"/>
    <pivotField dataField="1" showAll="0"/>
    <pivotField showAll="0"/>
  </pivotFields>
  <rowFields count="1">
    <field x="4"/>
  </rowFields>
  <rowItems count="2">
    <i>
      <x/>
    </i>
    <i>
      <x v="1"/>
    </i>
  </rowItems>
  <colItems count="1">
    <i/>
  </colItems>
  <dataFields count="1">
    <dataField name="Total Income" fld="12" baseField="4" baseItem="0"/>
  </dataFields>
  <formats count="1">
    <format dxfId="20">
      <pivotArea dataOnly="0" fieldPosition="0">
        <references count="1">
          <reference field="4" count="0"/>
        </references>
      </pivotArea>
    </format>
  </formats>
  <chartFormats count="6">
    <chartFormat chart="4" format="7"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8">
      <pivotArea type="data" outline="0" fieldPosition="0">
        <references count="1">
          <reference field="4294967294" count="1" selected="0">
            <x v="0"/>
          </reference>
        </references>
      </pivotArea>
    </chartFormat>
    <chartFormat chart="0" format="2">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filters count="1">
    <filter fld="10" type="dateBetween" evalOrder="-1" id="25" name="Time">
      <autoFilter ref="A1">
        <filterColumn colId="0">
          <customFilters and="1">
            <customFilter operator="greaterThanOrEqual" val="32"/>
            <customFilter operator="lessThanOrEqual" val="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Customer Typ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rowHeaderCaption="Customer Type">
  <location ref="A18:B20" firstHeaderRow="1" firstDataRow="1" firstDataCol="1"/>
  <pivotFields count="14">
    <pivotField showAll="0" countASubtotal="1"/>
    <pivotField showAll="0"/>
    <pivotField showAll="0"/>
    <pivotField axis="axisRow" showAll="0">
      <items count="3">
        <item x="0"/>
        <item x="1"/>
        <item t="default"/>
      </items>
    </pivotField>
    <pivotField showAll="0">
      <items count="3">
        <item x="0"/>
        <item x="1"/>
        <item t="default"/>
      </items>
    </pivotField>
    <pivotField showAll="0"/>
    <pivotField showAll="0">
      <items count="9">
        <item x="0"/>
        <item x="1"/>
        <item x="5"/>
        <item x="2"/>
        <item x="3"/>
        <item x="6"/>
        <item x="4"/>
        <item x="7"/>
        <item t="default"/>
      </items>
    </pivotField>
    <pivotField showAll="0"/>
    <pivotField numFmtId="14" showAll="0"/>
    <pivotField showAll="0"/>
    <pivotField numFmtId="20" showAll="0"/>
    <pivotField showAll="0"/>
    <pivotField dataField="1" showAll="0"/>
    <pivotField showAll="0"/>
  </pivotFields>
  <rowFields count="1">
    <field x="3"/>
  </rowFields>
  <rowItems count="2">
    <i>
      <x/>
    </i>
    <i>
      <x v="1"/>
    </i>
  </rowItems>
  <colItems count="1">
    <i/>
  </colItems>
  <dataFields count="1">
    <dataField name="Total Income" fld="12" baseField="3" baseItem="0"/>
  </dataFields>
  <formats count="2">
    <format dxfId="22">
      <pivotArea collapsedLevelsAreSubtotals="1" fieldPosition="0">
        <references count="1">
          <reference field="3" count="1">
            <x v="0"/>
          </reference>
        </references>
      </pivotArea>
    </format>
    <format dxfId="21">
      <pivotArea collapsedLevelsAreSubtotals="1" fieldPosition="0">
        <references count="1">
          <reference field="3" count="1">
            <x v="1"/>
          </reference>
        </references>
      </pivotArea>
    </format>
  </formats>
  <chartFormats count="6">
    <chartFormat chart="4" format="7"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10" type="dateBetween" evalOrder="-1" id="38" name="Time">
      <autoFilter ref="A1">
        <filterColumn colId="0">
          <customFilters and="1">
            <customFilter operator="greaterThanOrEqual" val="32"/>
            <customFilter operator="lessThanOrEqual" val="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roduct lin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rowHeaderCaption="Product Line">
  <location ref="A22:B28" firstHeaderRow="1" firstDataRow="1" firstDataCol="1"/>
  <pivotFields count="14">
    <pivotField showAll="0" countASubtotal="1"/>
    <pivotField showAll="0"/>
    <pivotField showAll="0"/>
    <pivotField showAll="0"/>
    <pivotField showAll="0">
      <items count="3">
        <item x="0"/>
        <item x="1"/>
        <item t="default"/>
      </items>
    </pivotField>
    <pivotField axis="axisRow" showAll="0" sortType="ascending">
      <items count="7">
        <item x="1"/>
        <item x="5"/>
        <item x="4"/>
        <item x="0"/>
        <item x="2"/>
        <item x="3"/>
        <item t="default"/>
      </items>
    </pivotField>
    <pivotField showAll="0">
      <items count="9">
        <item x="0"/>
        <item x="1"/>
        <item x="5"/>
        <item x="2"/>
        <item x="3"/>
        <item x="6"/>
        <item x="4"/>
        <item x="7"/>
        <item t="default"/>
      </items>
    </pivotField>
    <pivotField showAll="0"/>
    <pivotField numFmtId="14" showAll="0"/>
    <pivotField showAll="0"/>
    <pivotField numFmtId="20" showAll="0"/>
    <pivotField showAll="0"/>
    <pivotField dataField="1" showAll="0"/>
    <pivotField showAll="0"/>
  </pivotFields>
  <rowFields count="1">
    <field x="5"/>
  </rowFields>
  <rowItems count="6">
    <i>
      <x/>
    </i>
    <i>
      <x v="1"/>
    </i>
    <i>
      <x v="2"/>
    </i>
    <i>
      <x v="3"/>
    </i>
    <i>
      <x v="4"/>
    </i>
    <i>
      <x v="5"/>
    </i>
  </rowItems>
  <colItems count="1">
    <i/>
  </colItems>
  <dataFields count="1">
    <dataField name="Total Income" fld="12" baseField="5" baseItem="0" numFmtId="166"/>
  </dataFields>
  <chartFormats count="2">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25" name="Time">
      <autoFilter ref="A1">
        <filterColumn colId="0">
          <customFilters and="1">
            <customFilter operator="greaterThanOrEqual" val="32"/>
            <customFilter operator="lessThanOrEqual" val="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ranch" sourceName="Branch">
  <pivotTables>
    <pivotTable tabId="4" name="Gender"/>
  </pivotTables>
  <data>
    <tabular pivotCacheId="189383331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4" name="Gender"/>
    <pivotTable tabId="4" name="Average rating"/>
    <pivotTable tabId="4" name="City"/>
    <pivotTable tabId="4" name="Customer Type"/>
    <pivotTable tabId="4" name="Days"/>
    <pivotTable tabId="4" name="Months"/>
    <pivotTable tabId="4" name="Period"/>
    <pivotTable tabId="4" name="PivotTable14"/>
    <pivotTable tabId="4" name="Product line"/>
    <pivotTable tabId="4" name="Total Income"/>
    <pivotTable tabId="4" name="Total Order"/>
  </pivotTables>
  <data>
    <tabular pivotCacheId="1893833318">
      <items count="2">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ays" sourceName="Days">
  <pivotTables>
    <pivotTable tabId="4" name="Days"/>
    <pivotTable tabId="4" name="Average rating"/>
    <pivotTable tabId="4" name="City"/>
    <pivotTable tabId="4" name="Customer Type"/>
    <pivotTable tabId="4" name="Gender"/>
    <pivotTable tabId="4" name="Months"/>
    <pivotTable tabId="4" name="Period"/>
    <pivotTable tabId="4" name="Product line"/>
    <pivotTable tabId="4" name="Total Income"/>
    <pivotTable tabId="4" name="Total Order"/>
    <pivotTable tabId="4" name="PivotTable14"/>
  </pivotTables>
  <data>
    <tabular pivotCacheId="1893833318">
      <items count="8">
        <i x="0" s="1"/>
        <i x="1" s="1"/>
        <i x="5" s="1"/>
        <i x="2" s="1"/>
        <i x="3" s="1"/>
        <i x="6" s="1"/>
        <i x="4" s="1"/>
        <i x="7"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4" name="Days"/>
    <pivotTable tabId="4" name="Gender"/>
  </pivotTables>
  <data>
    <tabular pivotCacheId="189383331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ranch" cache="Slicer_Branch" caption="Branch" rowHeight="241300"/>
  <slicer name="Gender" cache="Slicer_Gender" caption="Gender" rowHeight="241300"/>
  <slicer name="Days" cache="Slicer_Days" caption="Days" rowHeight="241300"/>
  <slicer name="Days 1" cache="Slicer_Days" caption="Days" rowHeight="241300"/>
  <slicer name="Months" cache="Slicer_Months" caption="Months"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1" cache="Slicer_Gender" caption="Gender" showCaption="0" rowHeight="640080"/>
  <slicer name="Days 2" cache="Slicer_Days" caption="Days" columnCount="2" showCaption="0" rowHeight="548640"/>
</slicers>
</file>

<file path=xl/tables/table1.xml><?xml version="1.0" encoding="utf-8"?>
<table xmlns="http://schemas.openxmlformats.org/spreadsheetml/2006/main" id="4" name="Table4" displayName="Table4" ref="A1:N1001" totalsRowShown="0">
  <autoFilter ref="A1:N1001"/>
  <tableColumns count="14">
    <tableColumn id="1" name="Invoice ID"/>
    <tableColumn id="2" name="Branch"/>
    <tableColumn id="3" name="City"/>
    <tableColumn id="4" name="Customer type"/>
    <tableColumn id="5" name="Gender"/>
    <tableColumn id="6" name="Product line"/>
    <tableColumn id="7" name="Days"/>
    <tableColumn id="8" name="Months"/>
    <tableColumn id="9" name="Date" dataDxfId="28"/>
    <tableColumn id="10" name="Periods"/>
    <tableColumn id="11" name="Time" dataDxfId="27"/>
    <tableColumn id="12" name="Payment"/>
    <tableColumn id="13" name="gross income"/>
    <tableColumn id="14" name="Rating"/>
  </tableColumns>
  <tableStyleInfo name="TableStyleMedium2" showFirstColumn="0" showLastColumn="0" showRowStripes="1" showColumnStripes="0"/>
</table>
</file>

<file path=xl/tables/table2.xml><?xml version="1.0" encoding="utf-8"?>
<table xmlns="http://schemas.openxmlformats.org/spreadsheetml/2006/main" id="5" name="Table5" displayName="Table5" ref="A1:N1001" totalsRowShown="0">
  <autoFilter ref="A1:N1001"/>
  <tableColumns count="14">
    <tableColumn id="1" name="Invoice ID"/>
    <tableColumn id="2" name="Branch"/>
    <tableColumn id="3" name="City"/>
    <tableColumn id="4" name="Customer type"/>
    <tableColumn id="5" name="Gender"/>
    <tableColumn id="6" name="Product line"/>
    <tableColumn id="7" name="Days"/>
    <tableColumn id="8" name="Months"/>
    <tableColumn id="9" name="Date" dataDxfId="26"/>
    <tableColumn id="10" name="Periods"/>
    <tableColumn id="11" name="Time" dataDxfId="25"/>
    <tableColumn id="12" name="Payment"/>
    <tableColumn id="13" name="gross income"/>
    <tableColumn id="14" name="Rating"/>
  </tableColumns>
  <tableStyleInfo name="TableStyleMedium2" showFirstColumn="0" showLastColumn="0" showRowStripes="1" showColumnStripes="0"/>
</table>
</file>

<file path=xl/tables/table3.xml><?xml version="1.0" encoding="utf-8"?>
<table xmlns="http://schemas.openxmlformats.org/spreadsheetml/2006/main" id="6" name="Table6" displayName="Table6" ref="A1:N1001" totalsRowShown="0">
  <autoFilter ref="A1:N1001"/>
  <tableColumns count="14">
    <tableColumn id="1" name="Invoice ID"/>
    <tableColumn id="2" name="Branch"/>
    <tableColumn id="3" name="City"/>
    <tableColumn id="4" name="Customer type"/>
    <tableColumn id="5" name="Gender"/>
    <tableColumn id="6" name="Product line"/>
    <tableColumn id="7" name="Days"/>
    <tableColumn id="8" name="Months"/>
    <tableColumn id="9" name="Date" dataDxfId="24"/>
    <tableColumn id="10" name="Periods"/>
    <tableColumn id="11" name="Time" dataDxfId="23"/>
    <tableColumn id="12" name="Payment"/>
    <tableColumn id="13" name="gross income"/>
    <tableColumn id="14" name="Rating"/>
  </tableColumns>
  <tableStyleInfo name="TableStyleMedium2" showFirstColumn="0" showLastColumn="0" showRowStripes="1" showColumnStripes="0"/>
</table>
</file>

<file path=xl/tables/table4.xml><?xml version="1.0" encoding="utf-8"?>
<table xmlns="http://schemas.openxmlformats.org/spreadsheetml/2006/main" id="3" name="Table" displayName="Table" ref="A1:N1001" totalsRowShown="0" dataDxfId="14">
  <autoFilter ref="A1:N1001"/>
  <tableColumns count="14">
    <tableColumn id="1" name="Invoice ID" dataDxfId="13"/>
    <tableColumn id="2" name="Branch" dataDxfId="12"/>
    <tableColumn id="3" name="City" dataDxfId="11"/>
    <tableColumn id="4" name="Customer type" dataDxfId="10"/>
    <tableColumn id="5" name="Gender" dataDxfId="9"/>
    <tableColumn id="6" name="Product line" dataDxfId="8"/>
    <tableColumn id="7" name="Days" dataDxfId="7">
      <calculatedColumnFormula>TEXT(I2/7,"dddd")</calculatedColumnFormula>
    </tableColumn>
    <tableColumn id="8" name="Months" dataDxfId="6">
      <calculatedColumnFormula>TEXT(I2,"mmm")</calculatedColumnFormula>
    </tableColumn>
    <tableColumn id="9" name="Date" dataDxfId="5"/>
    <tableColumn id="10" name="Periods" dataDxfId="4">
      <calculatedColumnFormula>IF(AND(K2&gt;=TIME(9,0,0),K2&lt;TIME(12,0,0)),"Morning",IF(AND(K2&gt;=TIME(12,0,0),K2&lt;TIME(16,0,0)),"Afternoon","Evening"))</calculatedColumnFormula>
    </tableColumn>
    <tableColumn id="11" name="Time" dataDxfId="3"/>
    <tableColumn id="12" name="Payment" dataDxfId="2"/>
    <tableColumn id="13" name="gross income" dataDxfId="1" dataCellStyle="Currency"/>
    <tableColumn id="14" name="Rating" dataDxfId="0"/>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6.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1"/>
  <sheetViews>
    <sheetView tabSelected="1" topLeftCell="A975" workbookViewId="0">
      <selection sqref="A1:L1001"/>
    </sheetView>
  </sheetViews>
  <sheetFormatPr defaultRowHeight="15" x14ac:dyDescent="0.25"/>
  <cols>
    <col min="1" max="1" width="25" customWidth="1"/>
    <col min="6" max="6" width="17.140625" customWidth="1"/>
    <col min="8" max="8" width="19.140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16</v>
      </c>
      <c r="F2" t="s">
        <v>17</v>
      </c>
      <c r="G2">
        <v>7</v>
      </c>
      <c r="H2" s="1">
        <v>43470</v>
      </c>
      <c r="I2" s="2">
        <v>0.54722222222222217</v>
      </c>
      <c r="J2" t="s">
        <v>18</v>
      </c>
      <c r="K2">
        <v>26.141500000000001</v>
      </c>
      <c r="L2">
        <v>9.1</v>
      </c>
    </row>
    <row r="3" spans="1:12" x14ac:dyDescent="0.25">
      <c r="A3" t="s">
        <v>19</v>
      </c>
      <c r="B3" t="s">
        <v>20</v>
      </c>
      <c r="C3" t="s">
        <v>21</v>
      </c>
      <c r="D3" t="s">
        <v>22</v>
      </c>
      <c r="E3" t="s">
        <v>16</v>
      </c>
      <c r="F3" t="s">
        <v>23</v>
      </c>
      <c r="G3">
        <v>5</v>
      </c>
      <c r="H3" s="1">
        <v>43532</v>
      </c>
      <c r="I3" s="2">
        <v>0.4368055555555555</v>
      </c>
      <c r="J3" t="s">
        <v>24</v>
      </c>
      <c r="K3">
        <v>3.82</v>
      </c>
      <c r="L3">
        <v>9.6</v>
      </c>
    </row>
    <row r="4" spans="1:12" x14ac:dyDescent="0.25">
      <c r="A4" t="s">
        <v>25</v>
      </c>
      <c r="B4" t="s">
        <v>13</v>
      </c>
      <c r="C4" t="s">
        <v>14</v>
      </c>
      <c r="D4" t="s">
        <v>22</v>
      </c>
      <c r="E4" t="s">
        <v>26</v>
      </c>
      <c r="F4" t="s">
        <v>27</v>
      </c>
      <c r="G4">
        <v>7</v>
      </c>
      <c r="H4" s="1">
        <v>43527</v>
      </c>
      <c r="I4" s="2">
        <v>0.55763888888888891</v>
      </c>
      <c r="J4" t="s">
        <v>28</v>
      </c>
      <c r="K4">
        <v>16.215499999999999</v>
      </c>
      <c r="L4">
        <v>7.4</v>
      </c>
    </row>
    <row r="5" spans="1:12" x14ac:dyDescent="0.25">
      <c r="A5" t="s">
        <v>29</v>
      </c>
      <c r="B5" t="s">
        <v>13</v>
      </c>
      <c r="C5" t="s">
        <v>14</v>
      </c>
      <c r="D5" t="s">
        <v>15</v>
      </c>
      <c r="E5" t="s">
        <v>26</v>
      </c>
      <c r="F5" t="s">
        <v>17</v>
      </c>
      <c r="G5">
        <v>8</v>
      </c>
      <c r="H5" s="1">
        <v>43492</v>
      </c>
      <c r="I5" s="2">
        <v>0.85625000000000007</v>
      </c>
      <c r="J5" t="s">
        <v>18</v>
      </c>
      <c r="K5">
        <v>23.288</v>
      </c>
      <c r="L5">
        <v>8.4</v>
      </c>
    </row>
    <row r="6" spans="1:12" x14ac:dyDescent="0.25">
      <c r="A6" t="s">
        <v>30</v>
      </c>
      <c r="B6" t="s">
        <v>13</v>
      </c>
      <c r="C6" t="s">
        <v>14</v>
      </c>
      <c r="D6" t="s">
        <v>22</v>
      </c>
      <c r="E6" t="s">
        <v>26</v>
      </c>
      <c r="F6" t="s">
        <v>31</v>
      </c>
      <c r="G6">
        <v>7</v>
      </c>
      <c r="H6" s="1">
        <v>43504</v>
      </c>
      <c r="I6" s="2">
        <v>0.44236111111111115</v>
      </c>
      <c r="J6" t="s">
        <v>18</v>
      </c>
      <c r="K6">
        <v>30.208500000000001</v>
      </c>
      <c r="L6">
        <v>5.3</v>
      </c>
    </row>
    <row r="7" spans="1:12" x14ac:dyDescent="0.25">
      <c r="A7" t="s">
        <v>32</v>
      </c>
      <c r="B7" t="s">
        <v>20</v>
      </c>
      <c r="C7" t="s">
        <v>21</v>
      </c>
      <c r="D7" t="s">
        <v>22</v>
      </c>
      <c r="E7" t="s">
        <v>26</v>
      </c>
      <c r="F7" t="s">
        <v>23</v>
      </c>
      <c r="G7">
        <v>7</v>
      </c>
      <c r="H7" s="1">
        <v>43549</v>
      </c>
      <c r="I7" s="2">
        <v>0.77083333333333337</v>
      </c>
      <c r="J7" t="s">
        <v>18</v>
      </c>
      <c r="K7">
        <v>29.886500000000002</v>
      </c>
      <c r="L7">
        <v>4.0999999999999996</v>
      </c>
    </row>
    <row r="8" spans="1:12" x14ac:dyDescent="0.25">
      <c r="A8" t="s">
        <v>33</v>
      </c>
      <c r="B8" t="s">
        <v>13</v>
      </c>
      <c r="C8" t="s">
        <v>14</v>
      </c>
      <c r="D8" t="s">
        <v>15</v>
      </c>
      <c r="E8" t="s">
        <v>16</v>
      </c>
      <c r="F8" t="s">
        <v>23</v>
      </c>
      <c r="G8">
        <v>6</v>
      </c>
      <c r="H8" s="1">
        <v>43521</v>
      </c>
      <c r="I8" s="2">
        <v>0.60833333333333328</v>
      </c>
      <c r="J8" t="s">
        <v>18</v>
      </c>
      <c r="K8">
        <v>20.652000000000001</v>
      </c>
      <c r="L8">
        <v>5.8</v>
      </c>
    </row>
    <row r="9" spans="1:12" x14ac:dyDescent="0.25">
      <c r="A9" t="s">
        <v>34</v>
      </c>
      <c r="B9" t="s">
        <v>20</v>
      </c>
      <c r="C9" t="s">
        <v>21</v>
      </c>
      <c r="D9" t="s">
        <v>22</v>
      </c>
      <c r="E9" t="s">
        <v>16</v>
      </c>
      <c r="F9" t="s">
        <v>27</v>
      </c>
      <c r="G9">
        <v>10</v>
      </c>
      <c r="H9" s="1">
        <v>43520</v>
      </c>
      <c r="I9" s="2">
        <v>0.48472222222222222</v>
      </c>
      <c r="J9" t="s">
        <v>18</v>
      </c>
      <c r="K9">
        <v>36.78</v>
      </c>
      <c r="L9">
        <v>8</v>
      </c>
    </row>
    <row r="10" spans="1:12" x14ac:dyDescent="0.25">
      <c r="A10" t="s">
        <v>35</v>
      </c>
      <c r="B10" t="s">
        <v>13</v>
      </c>
      <c r="C10" t="s">
        <v>14</v>
      </c>
      <c r="D10" t="s">
        <v>15</v>
      </c>
      <c r="E10" t="s">
        <v>16</v>
      </c>
      <c r="F10" t="s">
        <v>17</v>
      </c>
      <c r="G10">
        <v>2</v>
      </c>
      <c r="H10" s="1">
        <v>43475</v>
      </c>
      <c r="I10" s="2">
        <v>0.71875</v>
      </c>
      <c r="J10" t="s">
        <v>28</v>
      </c>
      <c r="K10">
        <v>3.6259999999999999</v>
      </c>
      <c r="L10">
        <v>7.2</v>
      </c>
    </row>
    <row r="11" spans="1:12" x14ac:dyDescent="0.25">
      <c r="A11" t="s">
        <v>36</v>
      </c>
      <c r="B11" t="s">
        <v>37</v>
      </c>
      <c r="C11" t="s">
        <v>38</v>
      </c>
      <c r="D11" t="s">
        <v>15</v>
      </c>
      <c r="E11" t="s">
        <v>16</v>
      </c>
      <c r="F11" t="s">
        <v>39</v>
      </c>
      <c r="G11">
        <v>3</v>
      </c>
      <c r="H11" s="1">
        <v>43516</v>
      </c>
      <c r="I11" s="2">
        <v>0.56041666666666667</v>
      </c>
      <c r="J11" t="s">
        <v>28</v>
      </c>
      <c r="K11">
        <v>8.2260000000000009</v>
      </c>
      <c r="L11">
        <v>5.9</v>
      </c>
    </row>
    <row r="12" spans="1:12" x14ac:dyDescent="0.25">
      <c r="A12" t="s">
        <v>40</v>
      </c>
      <c r="B12" t="s">
        <v>37</v>
      </c>
      <c r="C12" t="s">
        <v>38</v>
      </c>
      <c r="D12" t="s">
        <v>15</v>
      </c>
      <c r="E12" t="s">
        <v>16</v>
      </c>
      <c r="F12" t="s">
        <v>41</v>
      </c>
      <c r="G12">
        <v>4</v>
      </c>
      <c r="H12" s="1">
        <v>43502</v>
      </c>
      <c r="I12" s="2">
        <v>0.75486111111111109</v>
      </c>
      <c r="J12" t="s">
        <v>18</v>
      </c>
      <c r="K12">
        <v>2.8959999999999999</v>
      </c>
      <c r="L12">
        <v>4.5</v>
      </c>
    </row>
    <row r="13" spans="1:12" x14ac:dyDescent="0.25">
      <c r="A13" t="s">
        <v>42</v>
      </c>
      <c r="B13" t="s">
        <v>37</v>
      </c>
      <c r="C13" t="s">
        <v>38</v>
      </c>
      <c r="D13" t="s">
        <v>15</v>
      </c>
      <c r="E13" t="s">
        <v>26</v>
      </c>
      <c r="F13" t="s">
        <v>23</v>
      </c>
      <c r="G13">
        <v>4</v>
      </c>
      <c r="H13" s="1">
        <v>43533</v>
      </c>
      <c r="I13" s="2">
        <v>0.7104166666666667</v>
      </c>
      <c r="J13" t="s">
        <v>24</v>
      </c>
      <c r="K13">
        <v>5.1020000000000003</v>
      </c>
      <c r="L13">
        <v>6.8</v>
      </c>
    </row>
    <row r="14" spans="1:12" x14ac:dyDescent="0.25">
      <c r="A14" t="s">
        <v>43</v>
      </c>
      <c r="B14" t="s">
        <v>13</v>
      </c>
      <c r="C14" t="s">
        <v>14</v>
      </c>
      <c r="D14" t="s">
        <v>22</v>
      </c>
      <c r="E14" t="s">
        <v>16</v>
      </c>
      <c r="F14" t="s">
        <v>23</v>
      </c>
      <c r="G14">
        <v>5</v>
      </c>
      <c r="H14" s="1">
        <v>43508</v>
      </c>
      <c r="I14" s="2">
        <v>0.43402777777777773</v>
      </c>
      <c r="J14" t="s">
        <v>18</v>
      </c>
      <c r="K14">
        <v>11.737500000000001</v>
      </c>
      <c r="L14">
        <v>7.1</v>
      </c>
    </row>
    <row r="15" spans="1:12" x14ac:dyDescent="0.25">
      <c r="A15" t="s">
        <v>44</v>
      </c>
      <c r="B15" t="s">
        <v>13</v>
      </c>
      <c r="C15" t="s">
        <v>14</v>
      </c>
      <c r="D15" t="s">
        <v>22</v>
      </c>
      <c r="E15" t="s">
        <v>26</v>
      </c>
      <c r="F15" t="s">
        <v>39</v>
      </c>
      <c r="G15">
        <v>10</v>
      </c>
      <c r="H15" s="1">
        <v>43503</v>
      </c>
      <c r="I15" s="2">
        <v>0.70000000000000007</v>
      </c>
      <c r="J15" t="s">
        <v>18</v>
      </c>
      <c r="K15">
        <v>21.594999999999999</v>
      </c>
      <c r="L15">
        <v>8.1999999999999993</v>
      </c>
    </row>
    <row r="16" spans="1:12" x14ac:dyDescent="0.25">
      <c r="A16" t="s">
        <v>45</v>
      </c>
      <c r="B16" t="s">
        <v>13</v>
      </c>
      <c r="C16" t="s">
        <v>14</v>
      </c>
      <c r="D16" t="s">
        <v>22</v>
      </c>
      <c r="E16" t="s">
        <v>16</v>
      </c>
      <c r="F16" t="s">
        <v>17</v>
      </c>
      <c r="G16">
        <v>10</v>
      </c>
      <c r="H16" s="1">
        <v>43553</v>
      </c>
      <c r="I16" s="2">
        <v>0.80625000000000002</v>
      </c>
      <c r="J16" t="s">
        <v>24</v>
      </c>
      <c r="K16">
        <v>35.69</v>
      </c>
      <c r="L16">
        <v>5.7</v>
      </c>
    </row>
    <row r="17" spans="1:12" x14ac:dyDescent="0.25">
      <c r="A17" t="s">
        <v>46</v>
      </c>
      <c r="B17" t="s">
        <v>37</v>
      </c>
      <c r="C17" t="s">
        <v>38</v>
      </c>
      <c r="D17" t="s">
        <v>15</v>
      </c>
      <c r="E17" t="s">
        <v>16</v>
      </c>
      <c r="F17" t="s">
        <v>31</v>
      </c>
      <c r="G17">
        <v>6</v>
      </c>
      <c r="H17" s="1">
        <v>43480</v>
      </c>
      <c r="I17" s="2">
        <v>0.67986111111111114</v>
      </c>
      <c r="J17" t="s">
        <v>24</v>
      </c>
      <c r="K17">
        <v>28.116</v>
      </c>
      <c r="L17">
        <v>4.5</v>
      </c>
    </row>
    <row r="18" spans="1:12" x14ac:dyDescent="0.25">
      <c r="A18" t="s">
        <v>47</v>
      </c>
      <c r="B18" t="s">
        <v>13</v>
      </c>
      <c r="C18" t="s">
        <v>14</v>
      </c>
      <c r="D18" t="s">
        <v>15</v>
      </c>
      <c r="E18" t="s">
        <v>16</v>
      </c>
      <c r="F18" t="s">
        <v>17</v>
      </c>
      <c r="G18">
        <v>7</v>
      </c>
      <c r="H18" s="1">
        <v>43535</v>
      </c>
      <c r="I18" s="2">
        <v>0.4604166666666667</v>
      </c>
      <c r="J18" t="s">
        <v>28</v>
      </c>
      <c r="K18">
        <v>24.125499999999999</v>
      </c>
      <c r="L18">
        <v>4.5999999999999996</v>
      </c>
    </row>
    <row r="19" spans="1:12" x14ac:dyDescent="0.25">
      <c r="A19" t="s">
        <v>48</v>
      </c>
      <c r="B19" t="s">
        <v>13</v>
      </c>
      <c r="C19" t="s">
        <v>14</v>
      </c>
      <c r="D19" t="s">
        <v>22</v>
      </c>
      <c r="E19" t="s">
        <v>26</v>
      </c>
      <c r="F19" t="s">
        <v>31</v>
      </c>
      <c r="G19">
        <v>6</v>
      </c>
      <c r="H19" s="1">
        <v>43466</v>
      </c>
      <c r="I19" s="2">
        <v>0.44375000000000003</v>
      </c>
      <c r="J19" t="s">
        <v>28</v>
      </c>
      <c r="K19">
        <v>21.783000000000001</v>
      </c>
      <c r="L19">
        <v>6.9</v>
      </c>
    </row>
    <row r="20" spans="1:12" x14ac:dyDescent="0.25">
      <c r="A20" t="s">
        <v>49</v>
      </c>
      <c r="B20" t="s">
        <v>13</v>
      </c>
      <c r="C20" t="s">
        <v>14</v>
      </c>
      <c r="D20" t="s">
        <v>22</v>
      </c>
      <c r="E20" t="s">
        <v>26</v>
      </c>
      <c r="F20" t="s">
        <v>39</v>
      </c>
      <c r="G20">
        <v>3</v>
      </c>
      <c r="H20" s="1">
        <v>43486</v>
      </c>
      <c r="I20" s="2">
        <v>0.75</v>
      </c>
      <c r="J20" t="s">
        <v>28</v>
      </c>
      <c r="K20">
        <v>8.2004999999999999</v>
      </c>
      <c r="L20">
        <v>8.6</v>
      </c>
    </row>
    <row r="21" spans="1:12" x14ac:dyDescent="0.25">
      <c r="A21" t="s">
        <v>50</v>
      </c>
      <c r="B21" t="s">
        <v>37</v>
      </c>
      <c r="C21" t="s">
        <v>38</v>
      </c>
      <c r="D21" t="s">
        <v>22</v>
      </c>
      <c r="E21" t="s">
        <v>16</v>
      </c>
      <c r="F21" t="s">
        <v>27</v>
      </c>
      <c r="G21">
        <v>2</v>
      </c>
      <c r="H21" s="1">
        <v>43535</v>
      </c>
      <c r="I21" s="2">
        <v>0.64583333333333337</v>
      </c>
      <c r="J21" t="s">
        <v>18</v>
      </c>
      <c r="K21">
        <v>4.03</v>
      </c>
      <c r="L21">
        <v>4.4000000000000004</v>
      </c>
    </row>
    <row r="22" spans="1:12" x14ac:dyDescent="0.25">
      <c r="A22" t="s">
        <v>51</v>
      </c>
      <c r="B22" t="s">
        <v>20</v>
      </c>
      <c r="C22" t="s">
        <v>21</v>
      </c>
      <c r="D22" t="s">
        <v>15</v>
      </c>
      <c r="E22" t="s">
        <v>26</v>
      </c>
      <c r="F22" t="s">
        <v>23</v>
      </c>
      <c r="G22">
        <v>5</v>
      </c>
      <c r="H22" s="1">
        <v>43521</v>
      </c>
      <c r="I22" s="2">
        <v>0.47500000000000003</v>
      </c>
      <c r="J22" t="s">
        <v>18</v>
      </c>
      <c r="K22">
        <v>21.51</v>
      </c>
      <c r="L22">
        <v>4.8</v>
      </c>
    </row>
    <row r="23" spans="1:12" x14ac:dyDescent="0.25">
      <c r="A23" t="s">
        <v>52</v>
      </c>
      <c r="B23" t="s">
        <v>37</v>
      </c>
      <c r="C23" t="s">
        <v>38</v>
      </c>
      <c r="D23" t="s">
        <v>22</v>
      </c>
      <c r="E23" t="s">
        <v>26</v>
      </c>
      <c r="F23" t="s">
        <v>17</v>
      </c>
      <c r="G23">
        <v>3</v>
      </c>
      <c r="H23" s="1">
        <v>43529</v>
      </c>
      <c r="I23" s="2">
        <v>0.44444444444444442</v>
      </c>
      <c r="J23" t="s">
        <v>18</v>
      </c>
      <c r="K23">
        <v>13.196999999999999</v>
      </c>
      <c r="L23">
        <v>5.0999999999999996</v>
      </c>
    </row>
    <row r="24" spans="1:12" x14ac:dyDescent="0.25">
      <c r="A24" t="s">
        <v>53</v>
      </c>
      <c r="B24" t="s">
        <v>37</v>
      </c>
      <c r="C24" t="s">
        <v>38</v>
      </c>
      <c r="D24" t="s">
        <v>22</v>
      </c>
      <c r="E24" t="s">
        <v>26</v>
      </c>
      <c r="F24" t="s">
        <v>27</v>
      </c>
      <c r="G24">
        <v>2</v>
      </c>
      <c r="H24" s="1">
        <v>43539</v>
      </c>
      <c r="I24" s="2">
        <v>0.51388888888888895</v>
      </c>
      <c r="J24" t="s">
        <v>28</v>
      </c>
      <c r="K24">
        <v>3.32</v>
      </c>
      <c r="L24">
        <v>4.4000000000000004</v>
      </c>
    </row>
    <row r="25" spans="1:12" x14ac:dyDescent="0.25">
      <c r="A25" t="s">
        <v>54</v>
      </c>
      <c r="B25" t="s">
        <v>13</v>
      </c>
      <c r="C25" t="s">
        <v>14</v>
      </c>
      <c r="D25" t="s">
        <v>22</v>
      </c>
      <c r="E25" t="s">
        <v>26</v>
      </c>
      <c r="F25" t="s">
        <v>23</v>
      </c>
      <c r="G25">
        <v>5</v>
      </c>
      <c r="H25" s="1">
        <v>43513</v>
      </c>
      <c r="I25" s="2">
        <v>0.46875</v>
      </c>
      <c r="J25" t="s">
        <v>18</v>
      </c>
      <c r="K25">
        <v>8.64</v>
      </c>
      <c r="L25">
        <v>9.9</v>
      </c>
    </row>
    <row r="26" spans="1:12" x14ac:dyDescent="0.25">
      <c r="A26" t="s">
        <v>55</v>
      </c>
      <c r="B26" t="s">
        <v>13</v>
      </c>
      <c r="C26" t="s">
        <v>14</v>
      </c>
      <c r="D26" t="s">
        <v>15</v>
      </c>
      <c r="E26" t="s">
        <v>26</v>
      </c>
      <c r="F26" t="s">
        <v>31</v>
      </c>
      <c r="G26">
        <v>3</v>
      </c>
      <c r="H26" s="1">
        <v>43526</v>
      </c>
      <c r="I26" s="2">
        <v>0.73333333333333339</v>
      </c>
      <c r="J26" t="s">
        <v>18</v>
      </c>
      <c r="K26">
        <v>13.294499999999999</v>
      </c>
      <c r="L26">
        <v>6</v>
      </c>
    </row>
    <row r="27" spans="1:12" x14ac:dyDescent="0.25">
      <c r="A27" t="s">
        <v>56</v>
      </c>
      <c r="B27" t="s">
        <v>13</v>
      </c>
      <c r="C27" t="s">
        <v>14</v>
      </c>
      <c r="D27" t="s">
        <v>15</v>
      </c>
      <c r="E27" t="s">
        <v>16</v>
      </c>
      <c r="F27" t="s">
        <v>27</v>
      </c>
      <c r="G27">
        <v>8</v>
      </c>
      <c r="H27" s="1">
        <v>43546</v>
      </c>
      <c r="I27" s="2">
        <v>0.80555555555555547</v>
      </c>
      <c r="J27" t="s">
        <v>28</v>
      </c>
      <c r="K27">
        <v>21.036000000000001</v>
      </c>
      <c r="L27">
        <v>8.5</v>
      </c>
    </row>
    <row r="28" spans="1:12" x14ac:dyDescent="0.25">
      <c r="A28" t="s">
        <v>57</v>
      </c>
      <c r="B28" t="s">
        <v>37</v>
      </c>
      <c r="C28" t="s">
        <v>38</v>
      </c>
      <c r="D28" t="s">
        <v>22</v>
      </c>
      <c r="E28" t="s">
        <v>26</v>
      </c>
      <c r="F28" t="s">
        <v>41</v>
      </c>
      <c r="G28">
        <v>1</v>
      </c>
      <c r="H28" s="1">
        <v>43504</v>
      </c>
      <c r="I28" s="2">
        <v>0.64652777777777781</v>
      </c>
      <c r="J28" t="s">
        <v>24</v>
      </c>
      <c r="K28">
        <v>1.6759999999999999</v>
      </c>
      <c r="L28">
        <v>6.7</v>
      </c>
    </row>
    <row r="29" spans="1:12" x14ac:dyDescent="0.25">
      <c r="A29" t="s">
        <v>58</v>
      </c>
      <c r="B29" t="s">
        <v>13</v>
      </c>
      <c r="C29" t="s">
        <v>14</v>
      </c>
      <c r="D29" t="s">
        <v>22</v>
      </c>
      <c r="E29" t="s">
        <v>16</v>
      </c>
      <c r="F29" t="s">
        <v>41</v>
      </c>
      <c r="G29">
        <v>2</v>
      </c>
      <c r="H29" s="1">
        <v>43534</v>
      </c>
      <c r="I29" s="2">
        <v>0.51180555555555551</v>
      </c>
      <c r="J29" t="s">
        <v>28</v>
      </c>
      <c r="K29">
        <v>8.7669999999999995</v>
      </c>
      <c r="L29">
        <v>7.7</v>
      </c>
    </row>
    <row r="30" spans="1:12" x14ac:dyDescent="0.25">
      <c r="A30" t="s">
        <v>59</v>
      </c>
      <c r="B30" t="s">
        <v>37</v>
      </c>
      <c r="C30" t="s">
        <v>38</v>
      </c>
      <c r="D30" t="s">
        <v>22</v>
      </c>
      <c r="E30" t="s">
        <v>16</v>
      </c>
      <c r="F30" t="s">
        <v>39</v>
      </c>
      <c r="G30">
        <v>5</v>
      </c>
      <c r="H30" s="1">
        <v>43490</v>
      </c>
      <c r="I30" s="2">
        <v>0.82500000000000007</v>
      </c>
      <c r="J30" t="s">
        <v>24</v>
      </c>
      <c r="K30">
        <v>22.09</v>
      </c>
      <c r="L30">
        <v>9.6</v>
      </c>
    </row>
    <row r="31" spans="1:12" x14ac:dyDescent="0.25">
      <c r="A31" t="s">
        <v>60</v>
      </c>
      <c r="B31" t="s">
        <v>13</v>
      </c>
      <c r="C31" t="s">
        <v>14</v>
      </c>
      <c r="D31" t="s">
        <v>22</v>
      </c>
      <c r="E31" t="s">
        <v>26</v>
      </c>
      <c r="F31" t="s">
        <v>17</v>
      </c>
      <c r="G31">
        <v>9</v>
      </c>
      <c r="H31" s="1">
        <v>43539</v>
      </c>
      <c r="I31" s="2">
        <v>0.65</v>
      </c>
      <c r="J31" t="s">
        <v>24</v>
      </c>
      <c r="K31">
        <v>11.2005</v>
      </c>
      <c r="L31">
        <v>7.4</v>
      </c>
    </row>
    <row r="32" spans="1:12" x14ac:dyDescent="0.25">
      <c r="A32" t="s">
        <v>61</v>
      </c>
      <c r="B32" t="s">
        <v>37</v>
      </c>
      <c r="C32" t="s">
        <v>38</v>
      </c>
      <c r="D32" t="s">
        <v>22</v>
      </c>
      <c r="E32" t="s">
        <v>26</v>
      </c>
      <c r="F32" t="s">
        <v>41</v>
      </c>
      <c r="G32">
        <v>5</v>
      </c>
      <c r="H32" s="1">
        <v>43521</v>
      </c>
      <c r="I32" s="2">
        <v>0.81874999999999998</v>
      </c>
      <c r="J32" t="s">
        <v>28</v>
      </c>
      <c r="K32">
        <v>23.532499999999999</v>
      </c>
      <c r="L32">
        <v>4.8</v>
      </c>
    </row>
    <row r="33" spans="1:12" x14ac:dyDescent="0.25">
      <c r="A33" t="s">
        <v>62</v>
      </c>
      <c r="B33" t="s">
        <v>37</v>
      </c>
      <c r="C33" t="s">
        <v>38</v>
      </c>
      <c r="D33" t="s">
        <v>15</v>
      </c>
      <c r="E33" t="s">
        <v>26</v>
      </c>
      <c r="F33" t="s">
        <v>31</v>
      </c>
      <c r="G33">
        <v>9</v>
      </c>
      <c r="H33" s="1">
        <v>43493</v>
      </c>
      <c r="I33" s="2">
        <v>0.52986111111111112</v>
      </c>
      <c r="J33" t="s">
        <v>24</v>
      </c>
      <c r="K33">
        <v>35.131500000000003</v>
      </c>
      <c r="L33">
        <v>4.5</v>
      </c>
    </row>
    <row r="34" spans="1:12" x14ac:dyDescent="0.25">
      <c r="A34" t="s">
        <v>63</v>
      </c>
      <c r="B34" t="s">
        <v>37</v>
      </c>
      <c r="C34" t="s">
        <v>38</v>
      </c>
      <c r="D34" t="s">
        <v>22</v>
      </c>
      <c r="E34" t="s">
        <v>26</v>
      </c>
      <c r="F34" t="s">
        <v>31</v>
      </c>
      <c r="G34">
        <v>8</v>
      </c>
      <c r="H34" s="1">
        <v>43475</v>
      </c>
      <c r="I34" s="2">
        <v>0.61736111111111114</v>
      </c>
      <c r="J34" t="s">
        <v>24</v>
      </c>
      <c r="K34">
        <v>33.512</v>
      </c>
      <c r="L34">
        <v>5.0999999999999996</v>
      </c>
    </row>
    <row r="35" spans="1:12" x14ac:dyDescent="0.25">
      <c r="A35" t="s">
        <v>64</v>
      </c>
      <c r="B35" t="s">
        <v>13</v>
      </c>
      <c r="C35" t="s">
        <v>14</v>
      </c>
      <c r="D35" t="s">
        <v>22</v>
      </c>
      <c r="E35" t="s">
        <v>26</v>
      </c>
      <c r="F35" t="s">
        <v>17</v>
      </c>
      <c r="G35">
        <v>2</v>
      </c>
      <c r="H35" s="1">
        <v>43539</v>
      </c>
      <c r="I35" s="2">
        <v>0.42499999999999999</v>
      </c>
      <c r="J35" t="s">
        <v>28</v>
      </c>
      <c r="K35">
        <v>9.6579999999999995</v>
      </c>
      <c r="L35">
        <v>5.0999999999999996</v>
      </c>
    </row>
    <row r="36" spans="1:12" x14ac:dyDescent="0.25">
      <c r="A36" t="s">
        <v>65</v>
      </c>
      <c r="B36" t="s">
        <v>20</v>
      </c>
      <c r="C36" t="s">
        <v>21</v>
      </c>
      <c r="D36" t="s">
        <v>15</v>
      </c>
      <c r="E36" t="s">
        <v>16</v>
      </c>
      <c r="F36" t="s">
        <v>39</v>
      </c>
      <c r="G36">
        <v>4</v>
      </c>
      <c r="H36" s="1">
        <v>43502</v>
      </c>
      <c r="I36" s="2">
        <v>0.4458333333333333</v>
      </c>
      <c r="J36" t="s">
        <v>18</v>
      </c>
      <c r="K36">
        <v>19.884</v>
      </c>
      <c r="L36">
        <v>7.5</v>
      </c>
    </row>
    <row r="37" spans="1:12" x14ac:dyDescent="0.25">
      <c r="A37" t="s">
        <v>66</v>
      </c>
      <c r="B37" t="s">
        <v>20</v>
      </c>
      <c r="C37" t="s">
        <v>21</v>
      </c>
      <c r="D37" t="s">
        <v>15</v>
      </c>
      <c r="E37" t="s">
        <v>16</v>
      </c>
      <c r="F37" t="s">
        <v>31</v>
      </c>
      <c r="G37">
        <v>1</v>
      </c>
      <c r="H37" s="1">
        <v>43472</v>
      </c>
      <c r="I37" s="2">
        <v>0.51944444444444449</v>
      </c>
      <c r="J37" t="s">
        <v>18</v>
      </c>
      <c r="K37">
        <v>3.4060000000000001</v>
      </c>
      <c r="L37">
        <v>6.8</v>
      </c>
    </row>
    <row r="38" spans="1:12" x14ac:dyDescent="0.25">
      <c r="A38" t="s">
        <v>67</v>
      </c>
      <c r="B38" t="s">
        <v>13</v>
      </c>
      <c r="C38" t="s">
        <v>14</v>
      </c>
      <c r="D38" t="s">
        <v>15</v>
      </c>
      <c r="E38" t="s">
        <v>26</v>
      </c>
      <c r="F38" t="s">
        <v>31</v>
      </c>
      <c r="G38">
        <v>5</v>
      </c>
      <c r="H38" s="1">
        <v>43534</v>
      </c>
      <c r="I38" s="2">
        <v>0.80208333333333337</v>
      </c>
      <c r="J38" t="s">
        <v>18</v>
      </c>
      <c r="K38">
        <v>15.654999999999999</v>
      </c>
      <c r="L38">
        <v>7</v>
      </c>
    </row>
    <row r="39" spans="1:12" x14ac:dyDescent="0.25">
      <c r="A39" t="s">
        <v>68</v>
      </c>
      <c r="B39" t="s">
        <v>13</v>
      </c>
      <c r="C39" t="s">
        <v>14</v>
      </c>
      <c r="D39" t="s">
        <v>22</v>
      </c>
      <c r="E39" t="s">
        <v>16</v>
      </c>
      <c r="F39" t="s">
        <v>23</v>
      </c>
      <c r="G39">
        <v>9</v>
      </c>
      <c r="H39" s="1">
        <v>43480</v>
      </c>
      <c r="I39" s="2">
        <v>0.72013888888888899</v>
      </c>
      <c r="J39" t="s">
        <v>18</v>
      </c>
      <c r="K39">
        <v>27.396000000000001</v>
      </c>
      <c r="L39">
        <v>4.7</v>
      </c>
    </row>
    <row r="40" spans="1:12" x14ac:dyDescent="0.25">
      <c r="A40" t="s">
        <v>69</v>
      </c>
      <c r="B40" t="s">
        <v>20</v>
      </c>
      <c r="C40" t="s">
        <v>21</v>
      </c>
      <c r="D40" t="s">
        <v>22</v>
      </c>
      <c r="E40" t="s">
        <v>16</v>
      </c>
      <c r="F40" t="s">
        <v>17</v>
      </c>
      <c r="G40">
        <v>8</v>
      </c>
      <c r="H40" s="1">
        <v>43547</v>
      </c>
      <c r="I40" s="2">
        <v>0.55833333333333335</v>
      </c>
      <c r="J40" t="s">
        <v>18</v>
      </c>
      <c r="K40">
        <v>21.968</v>
      </c>
      <c r="L40">
        <v>7.6</v>
      </c>
    </row>
    <row r="41" spans="1:12" x14ac:dyDescent="0.25">
      <c r="A41" t="s">
        <v>70</v>
      </c>
      <c r="B41" t="s">
        <v>37</v>
      </c>
      <c r="C41" t="s">
        <v>38</v>
      </c>
      <c r="D41" t="s">
        <v>15</v>
      </c>
      <c r="E41" t="s">
        <v>26</v>
      </c>
      <c r="F41" t="s">
        <v>27</v>
      </c>
      <c r="G41">
        <v>8</v>
      </c>
      <c r="H41" s="1">
        <v>43527</v>
      </c>
      <c r="I41" s="2">
        <v>0.54236111111111118</v>
      </c>
      <c r="J41" t="s">
        <v>24</v>
      </c>
      <c r="K41">
        <v>12.048</v>
      </c>
      <c r="L41">
        <v>7.7</v>
      </c>
    </row>
    <row r="42" spans="1:12" x14ac:dyDescent="0.25">
      <c r="A42" t="s">
        <v>71</v>
      </c>
      <c r="B42" t="s">
        <v>37</v>
      </c>
      <c r="C42" t="s">
        <v>38</v>
      </c>
      <c r="D42" t="s">
        <v>15</v>
      </c>
      <c r="E42" t="s">
        <v>16</v>
      </c>
      <c r="F42" t="s">
        <v>27</v>
      </c>
      <c r="G42">
        <v>1</v>
      </c>
      <c r="H42" s="1">
        <v>43482</v>
      </c>
      <c r="I42" s="2">
        <v>0.78125</v>
      </c>
      <c r="J42" t="s">
        <v>18</v>
      </c>
      <c r="K42">
        <v>4.3360000000000003</v>
      </c>
      <c r="L42">
        <v>7.9</v>
      </c>
    </row>
    <row r="43" spans="1:12" x14ac:dyDescent="0.25">
      <c r="A43" t="s">
        <v>72</v>
      </c>
      <c r="B43" t="s">
        <v>20</v>
      </c>
      <c r="C43" t="s">
        <v>21</v>
      </c>
      <c r="D43" t="s">
        <v>15</v>
      </c>
      <c r="E43" t="s">
        <v>26</v>
      </c>
      <c r="F43" t="s">
        <v>27</v>
      </c>
      <c r="G43">
        <v>2</v>
      </c>
      <c r="H43" s="1">
        <v>43498</v>
      </c>
      <c r="I43" s="2">
        <v>0.42430555555555555</v>
      </c>
      <c r="J43" t="s">
        <v>24</v>
      </c>
      <c r="K43">
        <v>5.6109999999999998</v>
      </c>
      <c r="L43">
        <v>6.3</v>
      </c>
    </row>
    <row r="44" spans="1:12" x14ac:dyDescent="0.25">
      <c r="A44" t="s">
        <v>73</v>
      </c>
      <c r="B44" t="s">
        <v>37</v>
      </c>
      <c r="C44" t="s">
        <v>38</v>
      </c>
      <c r="D44" t="s">
        <v>15</v>
      </c>
      <c r="E44" t="s">
        <v>16</v>
      </c>
      <c r="F44" t="s">
        <v>31</v>
      </c>
      <c r="G44">
        <v>6</v>
      </c>
      <c r="H44" s="1">
        <v>43504</v>
      </c>
      <c r="I44" s="2">
        <v>0.54375000000000007</v>
      </c>
      <c r="J44" t="s">
        <v>24</v>
      </c>
      <c r="K44">
        <v>20.736000000000001</v>
      </c>
      <c r="L44">
        <v>5.6</v>
      </c>
    </row>
    <row r="45" spans="1:12" x14ac:dyDescent="0.25">
      <c r="A45" t="s">
        <v>74</v>
      </c>
      <c r="B45" t="s">
        <v>20</v>
      </c>
      <c r="C45" t="s">
        <v>21</v>
      </c>
      <c r="D45" t="s">
        <v>15</v>
      </c>
      <c r="E45" t="s">
        <v>16</v>
      </c>
      <c r="F45" t="s">
        <v>39</v>
      </c>
      <c r="G45">
        <v>8</v>
      </c>
      <c r="H45" s="1">
        <v>43528</v>
      </c>
      <c r="I45" s="2">
        <v>0.86041666666666661</v>
      </c>
      <c r="J45" t="s">
        <v>24</v>
      </c>
      <c r="K45">
        <v>39.479999999999997</v>
      </c>
      <c r="L45">
        <v>7.6</v>
      </c>
    </row>
    <row r="46" spans="1:12" x14ac:dyDescent="0.25">
      <c r="A46" t="s">
        <v>75</v>
      </c>
      <c r="B46" t="s">
        <v>20</v>
      </c>
      <c r="C46" t="s">
        <v>21</v>
      </c>
      <c r="D46" t="s">
        <v>15</v>
      </c>
      <c r="E46" t="s">
        <v>26</v>
      </c>
      <c r="F46" t="s">
        <v>17</v>
      </c>
      <c r="G46">
        <v>2</v>
      </c>
      <c r="H46" s="1">
        <v>43540</v>
      </c>
      <c r="I46" s="2">
        <v>0.82430555555555562</v>
      </c>
      <c r="J46" t="s">
        <v>24</v>
      </c>
      <c r="K46">
        <v>1.5369999999999999</v>
      </c>
      <c r="L46">
        <v>7.2</v>
      </c>
    </row>
    <row r="47" spans="1:12" x14ac:dyDescent="0.25">
      <c r="A47" t="s">
        <v>76</v>
      </c>
      <c r="B47" t="s">
        <v>37</v>
      </c>
      <c r="C47" t="s">
        <v>38</v>
      </c>
      <c r="D47" t="s">
        <v>15</v>
      </c>
      <c r="E47" t="s">
        <v>16</v>
      </c>
      <c r="F47" t="s">
        <v>23</v>
      </c>
      <c r="G47">
        <v>4</v>
      </c>
      <c r="H47" s="1">
        <v>43533</v>
      </c>
      <c r="I47" s="2">
        <v>0.75</v>
      </c>
      <c r="J47" t="s">
        <v>24</v>
      </c>
      <c r="K47">
        <v>18.792000000000002</v>
      </c>
      <c r="L47">
        <v>9.5</v>
      </c>
    </row>
    <row r="48" spans="1:12" x14ac:dyDescent="0.25">
      <c r="A48" t="s">
        <v>77</v>
      </c>
      <c r="B48" t="s">
        <v>37</v>
      </c>
      <c r="C48" t="s">
        <v>38</v>
      </c>
      <c r="D48" t="s">
        <v>15</v>
      </c>
      <c r="E48" t="s">
        <v>26</v>
      </c>
      <c r="F48" t="s">
        <v>17</v>
      </c>
      <c r="G48">
        <v>9</v>
      </c>
      <c r="H48" s="1">
        <v>43523</v>
      </c>
      <c r="I48" s="2">
        <v>0.72499999999999998</v>
      </c>
      <c r="J48" t="s">
        <v>28</v>
      </c>
      <c r="K48">
        <v>25.5105</v>
      </c>
      <c r="L48">
        <v>8.4</v>
      </c>
    </row>
    <row r="49" spans="1:12" x14ac:dyDescent="0.25">
      <c r="A49" t="s">
        <v>78</v>
      </c>
      <c r="B49" t="s">
        <v>37</v>
      </c>
      <c r="C49" t="s">
        <v>38</v>
      </c>
      <c r="D49" t="s">
        <v>15</v>
      </c>
      <c r="E49" t="s">
        <v>16</v>
      </c>
      <c r="F49" t="s">
        <v>39</v>
      </c>
      <c r="G49">
        <v>9</v>
      </c>
      <c r="H49" s="1">
        <v>43502</v>
      </c>
      <c r="I49" s="2">
        <v>0.65763888888888888</v>
      </c>
      <c r="J49" t="s">
        <v>18</v>
      </c>
      <c r="K49">
        <v>9.0045000000000002</v>
      </c>
      <c r="L49">
        <v>4.0999999999999996</v>
      </c>
    </row>
    <row r="50" spans="1:12" x14ac:dyDescent="0.25">
      <c r="A50" t="s">
        <v>79</v>
      </c>
      <c r="B50" t="s">
        <v>37</v>
      </c>
      <c r="C50" t="s">
        <v>38</v>
      </c>
      <c r="D50" t="s">
        <v>15</v>
      </c>
      <c r="E50" t="s">
        <v>26</v>
      </c>
      <c r="F50" t="s">
        <v>23</v>
      </c>
      <c r="G50">
        <v>6</v>
      </c>
      <c r="H50" s="1">
        <v>43506</v>
      </c>
      <c r="I50" s="2">
        <v>0.53125</v>
      </c>
      <c r="J50" t="s">
        <v>28</v>
      </c>
      <c r="K50">
        <v>5.6790000000000003</v>
      </c>
      <c r="L50">
        <v>8.1</v>
      </c>
    </row>
    <row r="51" spans="1:12" x14ac:dyDescent="0.25">
      <c r="A51" t="s">
        <v>80</v>
      </c>
      <c r="B51" t="s">
        <v>20</v>
      </c>
      <c r="C51" t="s">
        <v>21</v>
      </c>
      <c r="D51" t="s">
        <v>15</v>
      </c>
      <c r="E51" t="s">
        <v>16</v>
      </c>
      <c r="F51" t="s">
        <v>41</v>
      </c>
      <c r="G51">
        <v>10</v>
      </c>
      <c r="H51" s="1">
        <v>43543</v>
      </c>
      <c r="I51" s="2">
        <v>0.71388888888888891</v>
      </c>
      <c r="J51" t="s">
        <v>18</v>
      </c>
      <c r="K51">
        <v>41.314999999999998</v>
      </c>
      <c r="L51">
        <v>7.9</v>
      </c>
    </row>
    <row r="52" spans="1:12" x14ac:dyDescent="0.25">
      <c r="A52" t="s">
        <v>81</v>
      </c>
      <c r="B52" t="s">
        <v>20</v>
      </c>
      <c r="C52" t="s">
        <v>21</v>
      </c>
      <c r="D52" t="s">
        <v>15</v>
      </c>
      <c r="E52" t="s">
        <v>26</v>
      </c>
      <c r="F52" t="s">
        <v>39</v>
      </c>
      <c r="G52">
        <v>7</v>
      </c>
      <c r="H52" s="1">
        <v>43499</v>
      </c>
      <c r="I52" s="2">
        <v>0.42986111111111108</v>
      </c>
      <c r="J52" t="s">
        <v>24</v>
      </c>
      <c r="K52">
        <v>31.99</v>
      </c>
      <c r="L52">
        <v>9.5</v>
      </c>
    </row>
    <row r="53" spans="1:12" x14ac:dyDescent="0.25">
      <c r="A53" t="s">
        <v>82</v>
      </c>
      <c r="B53" t="s">
        <v>13</v>
      </c>
      <c r="C53" t="s">
        <v>14</v>
      </c>
      <c r="D53" t="s">
        <v>15</v>
      </c>
      <c r="E53" t="s">
        <v>16</v>
      </c>
      <c r="F53" t="s">
        <v>39</v>
      </c>
      <c r="G53">
        <v>5</v>
      </c>
      <c r="H53" s="1">
        <v>43506</v>
      </c>
      <c r="I53" s="2">
        <v>0.63194444444444442</v>
      </c>
      <c r="J53" t="s">
        <v>24</v>
      </c>
      <c r="K53">
        <v>11.147500000000001</v>
      </c>
      <c r="L53">
        <v>8.5</v>
      </c>
    </row>
    <row r="54" spans="1:12" x14ac:dyDescent="0.25">
      <c r="A54" t="s">
        <v>83</v>
      </c>
      <c r="B54" t="s">
        <v>37</v>
      </c>
      <c r="C54" t="s">
        <v>38</v>
      </c>
      <c r="D54" t="s">
        <v>15</v>
      </c>
      <c r="E54" t="s">
        <v>16</v>
      </c>
      <c r="F54" t="s">
        <v>41</v>
      </c>
      <c r="G54">
        <v>4</v>
      </c>
      <c r="H54" s="1">
        <v>43546</v>
      </c>
      <c r="I54" s="2">
        <v>0.61249999999999993</v>
      </c>
      <c r="J54" t="s">
        <v>18</v>
      </c>
      <c r="K54">
        <v>3.5739999999999998</v>
      </c>
      <c r="L54">
        <v>6.5</v>
      </c>
    </row>
    <row r="55" spans="1:12" x14ac:dyDescent="0.25">
      <c r="A55" t="s">
        <v>84</v>
      </c>
      <c r="B55" t="s">
        <v>20</v>
      </c>
      <c r="C55" t="s">
        <v>21</v>
      </c>
      <c r="D55" t="s">
        <v>15</v>
      </c>
      <c r="E55" t="s">
        <v>26</v>
      </c>
      <c r="F55" t="s">
        <v>41</v>
      </c>
      <c r="G55">
        <v>1</v>
      </c>
      <c r="H55" s="1">
        <v>43490</v>
      </c>
      <c r="I55" s="2">
        <v>0.65694444444444444</v>
      </c>
      <c r="J55" t="s">
        <v>28</v>
      </c>
      <c r="K55">
        <v>0.77149999999999996</v>
      </c>
      <c r="L55">
        <v>6.1</v>
      </c>
    </row>
    <row r="56" spans="1:12" x14ac:dyDescent="0.25">
      <c r="A56" t="s">
        <v>85</v>
      </c>
      <c r="B56" t="s">
        <v>37</v>
      </c>
      <c r="C56" t="s">
        <v>38</v>
      </c>
      <c r="D56" t="s">
        <v>22</v>
      </c>
      <c r="E56" t="s">
        <v>26</v>
      </c>
      <c r="F56" t="s">
        <v>27</v>
      </c>
      <c r="G56">
        <v>2</v>
      </c>
      <c r="H56" s="1">
        <v>43531</v>
      </c>
      <c r="I56" s="2">
        <v>0.49236111111111108</v>
      </c>
      <c r="J56" t="s">
        <v>18</v>
      </c>
      <c r="K56">
        <v>1.6160000000000001</v>
      </c>
      <c r="L56">
        <v>6.5</v>
      </c>
    </row>
    <row r="57" spans="1:12" x14ac:dyDescent="0.25">
      <c r="A57" t="s">
        <v>86</v>
      </c>
      <c r="B57" t="s">
        <v>20</v>
      </c>
      <c r="C57" t="s">
        <v>21</v>
      </c>
      <c r="D57" t="s">
        <v>22</v>
      </c>
      <c r="E57" t="s">
        <v>16</v>
      </c>
      <c r="F57" t="s">
        <v>23</v>
      </c>
      <c r="G57">
        <v>8</v>
      </c>
      <c r="H57" s="1">
        <v>43524</v>
      </c>
      <c r="I57" s="2">
        <v>0.79236111111111107</v>
      </c>
      <c r="J57" t="s">
        <v>24</v>
      </c>
      <c r="K57">
        <v>34.392000000000003</v>
      </c>
      <c r="L57">
        <v>8.1999999999999993</v>
      </c>
    </row>
    <row r="58" spans="1:12" x14ac:dyDescent="0.25">
      <c r="A58" t="s">
        <v>87</v>
      </c>
      <c r="B58" t="s">
        <v>13</v>
      </c>
      <c r="C58" t="s">
        <v>14</v>
      </c>
      <c r="D58" t="s">
        <v>15</v>
      </c>
      <c r="E58" t="s">
        <v>26</v>
      </c>
      <c r="F58" t="s">
        <v>27</v>
      </c>
      <c r="G58">
        <v>2</v>
      </c>
      <c r="H58" s="1">
        <v>43551</v>
      </c>
      <c r="I58" s="2">
        <v>0.47638888888888892</v>
      </c>
      <c r="J58" t="s">
        <v>24</v>
      </c>
      <c r="K58">
        <v>4.4340000000000002</v>
      </c>
      <c r="L58">
        <v>5.8</v>
      </c>
    </row>
    <row r="59" spans="1:12" x14ac:dyDescent="0.25">
      <c r="A59" t="s">
        <v>88</v>
      </c>
      <c r="B59" t="s">
        <v>13</v>
      </c>
      <c r="C59" t="s">
        <v>14</v>
      </c>
      <c r="D59" t="s">
        <v>22</v>
      </c>
      <c r="E59" t="s">
        <v>26</v>
      </c>
      <c r="F59" t="s">
        <v>17</v>
      </c>
      <c r="G59">
        <v>8</v>
      </c>
      <c r="H59" s="1">
        <v>43503</v>
      </c>
      <c r="I59" s="2">
        <v>0.4777777777777778</v>
      </c>
      <c r="J59" t="s">
        <v>18</v>
      </c>
      <c r="K59">
        <v>35.840000000000003</v>
      </c>
      <c r="L59">
        <v>6.6</v>
      </c>
    </row>
    <row r="60" spans="1:12" x14ac:dyDescent="0.25">
      <c r="A60" t="s">
        <v>89</v>
      </c>
      <c r="B60" t="s">
        <v>13</v>
      </c>
      <c r="C60" t="s">
        <v>14</v>
      </c>
      <c r="D60" t="s">
        <v>15</v>
      </c>
      <c r="E60" t="s">
        <v>16</v>
      </c>
      <c r="F60" t="s">
        <v>27</v>
      </c>
      <c r="G60">
        <v>10</v>
      </c>
      <c r="H60" s="1">
        <v>43485</v>
      </c>
      <c r="I60" s="2">
        <v>0.66319444444444442</v>
      </c>
      <c r="J60" t="s">
        <v>24</v>
      </c>
      <c r="K60">
        <v>36.174999999999997</v>
      </c>
      <c r="L60">
        <v>5.4</v>
      </c>
    </row>
    <row r="61" spans="1:12" x14ac:dyDescent="0.25">
      <c r="A61" t="s">
        <v>90</v>
      </c>
      <c r="B61" t="s">
        <v>20</v>
      </c>
      <c r="C61" t="s">
        <v>21</v>
      </c>
      <c r="D61" t="s">
        <v>22</v>
      </c>
      <c r="E61" t="s">
        <v>26</v>
      </c>
      <c r="F61" t="s">
        <v>23</v>
      </c>
      <c r="G61">
        <v>6</v>
      </c>
      <c r="H61" s="1">
        <v>43536</v>
      </c>
      <c r="I61" s="2">
        <v>0.85833333333333339</v>
      </c>
      <c r="J61" t="s">
        <v>24</v>
      </c>
      <c r="K61">
        <v>9.1829999999999998</v>
      </c>
      <c r="L61">
        <v>9.3000000000000007</v>
      </c>
    </row>
    <row r="62" spans="1:12" x14ac:dyDescent="0.25">
      <c r="A62" t="s">
        <v>91</v>
      </c>
      <c r="B62" t="s">
        <v>20</v>
      </c>
      <c r="C62" t="s">
        <v>21</v>
      </c>
      <c r="D62" t="s">
        <v>15</v>
      </c>
      <c r="E62" t="s">
        <v>16</v>
      </c>
      <c r="F62" t="s">
        <v>31</v>
      </c>
      <c r="G62">
        <v>3</v>
      </c>
      <c r="H62" s="1">
        <v>43511</v>
      </c>
      <c r="I62" s="2">
        <v>0.74097222222222225</v>
      </c>
      <c r="J62" t="s">
        <v>28</v>
      </c>
      <c r="K62">
        <v>3.7109999999999999</v>
      </c>
      <c r="L62">
        <v>10</v>
      </c>
    </row>
    <row r="63" spans="1:12" x14ac:dyDescent="0.25">
      <c r="A63" t="s">
        <v>92</v>
      </c>
      <c r="B63" t="s">
        <v>20</v>
      </c>
      <c r="C63" t="s">
        <v>21</v>
      </c>
      <c r="D63" t="s">
        <v>22</v>
      </c>
      <c r="E63" t="s">
        <v>26</v>
      </c>
      <c r="F63" t="s">
        <v>27</v>
      </c>
      <c r="G63">
        <v>6</v>
      </c>
      <c r="H63" s="1">
        <v>43520</v>
      </c>
      <c r="I63" s="2">
        <v>0.4548611111111111</v>
      </c>
      <c r="J63" t="s">
        <v>18</v>
      </c>
      <c r="K63">
        <v>16.719000000000001</v>
      </c>
      <c r="L63">
        <v>7</v>
      </c>
    </row>
    <row r="64" spans="1:12" x14ac:dyDescent="0.25">
      <c r="A64" t="s">
        <v>93</v>
      </c>
      <c r="B64" t="s">
        <v>37</v>
      </c>
      <c r="C64" t="s">
        <v>38</v>
      </c>
      <c r="D64" t="s">
        <v>15</v>
      </c>
      <c r="E64" t="s">
        <v>16</v>
      </c>
      <c r="F64" t="s">
        <v>31</v>
      </c>
      <c r="G64">
        <v>9</v>
      </c>
      <c r="H64" s="1">
        <v>43499</v>
      </c>
      <c r="I64" s="2">
        <v>0.56944444444444442</v>
      </c>
      <c r="J64" t="s">
        <v>18</v>
      </c>
      <c r="K64">
        <v>24.781500000000001</v>
      </c>
      <c r="L64">
        <v>10</v>
      </c>
    </row>
    <row r="65" spans="1:12" x14ac:dyDescent="0.25">
      <c r="A65" t="s">
        <v>94</v>
      </c>
      <c r="B65" t="s">
        <v>13</v>
      </c>
      <c r="C65" t="s">
        <v>14</v>
      </c>
      <c r="D65" t="s">
        <v>15</v>
      </c>
      <c r="E65" t="s">
        <v>26</v>
      </c>
      <c r="F65" t="s">
        <v>31</v>
      </c>
      <c r="G65">
        <v>10</v>
      </c>
      <c r="H65" s="1">
        <v>43530</v>
      </c>
      <c r="I65" s="2">
        <v>0.51874999999999993</v>
      </c>
      <c r="J65" t="s">
        <v>28</v>
      </c>
      <c r="K65">
        <v>7.9050000000000002</v>
      </c>
      <c r="L65">
        <v>8.6</v>
      </c>
    </row>
    <row r="66" spans="1:12" x14ac:dyDescent="0.25">
      <c r="A66" t="s">
        <v>95</v>
      </c>
      <c r="B66" t="s">
        <v>37</v>
      </c>
      <c r="C66" t="s">
        <v>38</v>
      </c>
      <c r="D66" t="s">
        <v>15</v>
      </c>
      <c r="E66" t="s">
        <v>26</v>
      </c>
      <c r="F66" t="s">
        <v>17</v>
      </c>
      <c r="G66">
        <v>4</v>
      </c>
      <c r="H66" s="1">
        <v>43510</v>
      </c>
      <c r="I66" s="2">
        <v>0.60763888888888895</v>
      </c>
      <c r="J66" t="s">
        <v>24</v>
      </c>
      <c r="K66">
        <v>15.148</v>
      </c>
      <c r="L66">
        <v>7.6</v>
      </c>
    </row>
    <row r="67" spans="1:12" x14ac:dyDescent="0.25">
      <c r="A67" t="s">
        <v>96</v>
      </c>
      <c r="B67" t="s">
        <v>13</v>
      </c>
      <c r="C67" t="s">
        <v>14</v>
      </c>
      <c r="D67" t="s">
        <v>15</v>
      </c>
      <c r="E67" t="s">
        <v>26</v>
      </c>
      <c r="F67" t="s">
        <v>17</v>
      </c>
      <c r="G67">
        <v>10</v>
      </c>
      <c r="H67" s="1">
        <v>43537</v>
      </c>
      <c r="I67" s="2">
        <v>0.69444444444444453</v>
      </c>
      <c r="J67" t="s">
        <v>24</v>
      </c>
      <c r="K67">
        <v>7.9349999999999996</v>
      </c>
      <c r="L67">
        <v>5.8</v>
      </c>
    </row>
    <row r="68" spans="1:12" x14ac:dyDescent="0.25">
      <c r="A68" t="s">
        <v>97</v>
      </c>
      <c r="B68" t="s">
        <v>20</v>
      </c>
      <c r="C68" t="s">
        <v>21</v>
      </c>
      <c r="D68" t="s">
        <v>22</v>
      </c>
      <c r="E68" t="s">
        <v>16</v>
      </c>
      <c r="F68" t="s">
        <v>17</v>
      </c>
      <c r="G68">
        <v>2</v>
      </c>
      <c r="H68" s="1">
        <v>43506</v>
      </c>
      <c r="I68" s="2">
        <v>0.65486111111111112</v>
      </c>
      <c r="J68" t="s">
        <v>18</v>
      </c>
      <c r="K68">
        <v>3.347</v>
      </c>
      <c r="L68">
        <v>6.7</v>
      </c>
    </row>
    <row r="69" spans="1:12" x14ac:dyDescent="0.25">
      <c r="A69" t="s">
        <v>98</v>
      </c>
      <c r="B69" t="s">
        <v>37</v>
      </c>
      <c r="C69" t="s">
        <v>38</v>
      </c>
      <c r="D69" t="s">
        <v>15</v>
      </c>
      <c r="E69" t="s">
        <v>16</v>
      </c>
      <c r="F69" t="s">
        <v>41</v>
      </c>
      <c r="G69">
        <v>6</v>
      </c>
      <c r="H69" s="1">
        <v>43472</v>
      </c>
      <c r="I69" s="2">
        <v>0.62569444444444444</v>
      </c>
      <c r="J69" t="s">
        <v>18</v>
      </c>
      <c r="K69">
        <v>29.283000000000001</v>
      </c>
      <c r="L69">
        <v>9.9</v>
      </c>
    </row>
    <row r="70" spans="1:12" x14ac:dyDescent="0.25">
      <c r="A70" t="s">
        <v>99</v>
      </c>
      <c r="B70" t="s">
        <v>13</v>
      </c>
      <c r="C70" t="s">
        <v>14</v>
      </c>
      <c r="D70" t="s">
        <v>22</v>
      </c>
      <c r="E70" t="s">
        <v>26</v>
      </c>
      <c r="F70" t="s">
        <v>31</v>
      </c>
      <c r="G70">
        <v>10</v>
      </c>
      <c r="H70" s="1">
        <v>43489</v>
      </c>
      <c r="I70" s="2">
        <v>0.41944444444444445</v>
      </c>
      <c r="J70" t="s">
        <v>24</v>
      </c>
      <c r="K70">
        <v>39.384999999999998</v>
      </c>
      <c r="L70">
        <v>6.4</v>
      </c>
    </row>
    <row r="71" spans="1:12" x14ac:dyDescent="0.25">
      <c r="A71" t="s">
        <v>100</v>
      </c>
      <c r="B71" t="s">
        <v>13</v>
      </c>
      <c r="C71" t="s">
        <v>14</v>
      </c>
      <c r="D71" t="s">
        <v>15</v>
      </c>
      <c r="E71" t="s">
        <v>16</v>
      </c>
      <c r="F71" t="s">
        <v>17</v>
      </c>
      <c r="G71">
        <v>1</v>
      </c>
      <c r="H71" s="1">
        <v>43498</v>
      </c>
      <c r="I71" s="2">
        <v>0.78472222222222221</v>
      </c>
      <c r="J71" t="s">
        <v>24</v>
      </c>
      <c r="K71">
        <v>0.91649999999999998</v>
      </c>
      <c r="L71">
        <v>4.3</v>
      </c>
    </row>
    <row r="72" spans="1:12" x14ac:dyDescent="0.25">
      <c r="A72" t="s">
        <v>101</v>
      </c>
      <c r="B72" t="s">
        <v>20</v>
      </c>
      <c r="C72" t="s">
        <v>21</v>
      </c>
      <c r="D72" t="s">
        <v>22</v>
      </c>
      <c r="E72" t="s">
        <v>26</v>
      </c>
      <c r="F72" t="s">
        <v>39</v>
      </c>
      <c r="G72">
        <v>10</v>
      </c>
      <c r="H72" s="1">
        <v>43471</v>
      </c>
      <c r="I72" s="2">
        <v>0.53194444444444444</v>
      </c>
      <c r="J72" t="s">
        <v>28</v>
      </c>
      <c r="K72">
        <v>44.74</v>
      </c>
      <c r="L72">
        <v>9.6</v>
      </c>
    </row>
    <row r="73" spans="1:12" x14ac:dyDescent="0.25">
      <c r="A73" t="s">
        <v>102</v>
      </c>
      <c r="B73" t="s">
        <v>20</v>
      </c>
      <c r="C73" t="s">
        <v>21</v>
      </c>
      <c r="D73" t="s">
        <v>22</v>
      </c>
      <c r="E73" t="s">
        <v>26</v>
      </c>
      <c r="F73" t="s">
        <v>41</v>
      </c>
      <c r="G73">
        <v>10</v>
      </c>
      <c r="H73" s="1">
        <v>43507</v>
      </c>
      <c r="I73" s="2">
        <v>0.67986111111111114</v>
      </c>
      <c r="J73" t="s">
        <v>24</v>
      </c>
      <c r="K73">
        <v>31.06</v>
      </c>
      <c r="L73">
        <v>5.9</v>
      </c>
    </row>
    <row r="74" spans="1:12" x14ac:dyDescent="0.25">
      <c r="A74" t="s">
        <v>103</v>
      </c>
      <c r="B74" t="s">
        <v>37</v>
      </c>
      <c r="C74" t="s">
        <v>38</v>
      </c>
      <c r="D74" t="s">
        <v>15</v>
      </c>
      <c r="E74" t="s">
        <v>16</v>
      </c>
      <c r="F74" t="s">
        <v>39</v>
      </c>
      <c r="G74">
        <v>3</v>
      </c>
      <c r="H74" s="1">
        <v>43529</v>
      </c>
      <c r="I74" s="2">
        <v>0.76180555555555562</v>
      </c>
      <c r="J74" t="s">
        <v>18</v>
      </c>
      <c r="K74">
        <v>7.2779999999999996</v>
      </c>
      <c r="L74">
        <v>4</v>
      </c>
    </row>
    <row r="75" spans="1:12" x14ac:dyDescent="0.25">
      <c r="A75" t="s">
        <v>104</v>
      </c>
      <c r="B75" t="s">
        <v>20</v>
      </c>
      <c r="C75" t="s">
        <v>21</v>
      </c>
      <c r="D75" t="s">
        <v>22</v>
      </c>
      <c r="E75" t="s">
        <v>16</v>
      </c>
      <c r="F75" t="s">
        <v>23</v>
      </c>
      <c r="G75">
        <v>6</v>
      </c>
      <c r="H75" s="1">
        <v>43533</v>
      </c>
      <c r="I75" s="2">
        <v>0.76458333333333339</v>
      </c>
      <c r="J75" t="s">
        <v>24</v>
      </c>
      <c r="K75">
        <v>22.773</v>
      </c>
      <c r="L75">
        <v>8.6999999999999993</v>
      </c>
    </row>
    <row r="76" spans="1:12" x14ac:dyDescent="0.25">
      <c r="A76" t="s">
        <v>105</v>
      </c>
      <c r="B76" t="s">
        <v>13</v>
      </c>
      <c r="C76" t="s">
        <v>14</v>
      </c>
      <c r="D76" t="s">
        <v>22</v>
      </c>
      <c r="E76" t="s">
        <v>26</v>
      </c>
      <c r="F76" t="s">
        <v>27</v>
      </c>
      <c r="G76">
        <v>9</v>
      </c>
      <c r="H76" s="1">
        <v>43487</v>
      </c>
      <c r="I76" s="2">
        <v>0.4548611111111111</v>
      </c>
      <c r="J76" t="s">
        <v>18</v>
      </c>
      <c r="K76">
        <v>33.601500000000001</v>
      </c>
      <c r="L76">
        <v>9.4</v>
      </c>
    </row>
    <row r="77" spans="1:12" x14ac:dyDescent="0.25">
      <c r="A77" t="s">
        <v>106</v>
      </c>
      <c r="B77" t="s">
        <v>20</v>
      </c>
      <c r="C77" t="s">
        <v>21</v>
      </c>
      <c r="D77" t="s">
        <v>22</v>
      </c>
      <c r="E77" t="s">
        <v>16</v>
      </c>
      <c r="F77" t="s">
        <v>23</v>
      </c>
      <c r="G77">
        <v>10</v>
      </c>
      <c r="H77" s="1">
        <v>43478</v>
      </c>
      <c r="I77" s="2">
        <v>0.71111111111111114</v>
      </c>
      <c r="J77" t="s">
        <v>28</v>
      </c>
      <c r="K77">
        <v>20.824999999999999</v>
      </c>
      <c r="L77">
        <v>5.4</v>
      </c>
    </row>
    <row r="78" spans="1:12" x14ac:dyDescent="0.25">
      <c r="A78" t="s">
        <v>107</v>
      </c>
      <c r="B78" t="s">
        <v>20</v>
      </c>
      <c r="C78" t="s">
        <v>21</v>
      </c>
      <c r="D78" t="s">
        <v>15</v>
      </c>
      <c r="E78" t="s">
        <v>26</v>
      </c>
      <c r="F78" t="s">
        <v>41</v>
      </c>
      <c r="G78">
        <v>9</v>
      </c>
      <c r="H78" s="1">
        <v>43474</v>
      </c>
      <c r="I78" s="2">
        <v>0.59722222222222221</v>
      </c>
      <c r="J78" t="s">
        <v>28</v>
      </c>
      <c r="K78">
        <v>22.068000000000001</v>
      </c>
      <c r="L78">
        <v>8.6</v>
      </c>
    </row>
    <row r="79" spans="1:12" x14ac:dyDescent="0.25">
      <c r="A79" t="s">
        <v>108</v>
      </c>
      <c r="B79" t="s">
        <v>13</v>
      </c>
      <c r="C79" t="s">
        <v>14</v>
      </c>
      <c r="D79" t="s">
        <v>15</v>
      </c>
      <c r="E79" t="s">
        <v>16</v>
      </c>
      <c r="F79" t="s">
        <v>41</v>
      </c>
      <c r="G79">
        <v>9</v>
      </c>
      <c r="H79" s="1">
        <v>43477</v>
      </c>
      <c r="I79" s="2">
        <v>0.65833333333333333</v>
      </c>
      <c r="J79" t="s">
        <v>28</v>
      </c>
      <c r="K79">
        <v>9.0045000000000002</v>
      </c>
      <c r="L79">
        <v>5.7</v>
      </c>
    </row>
    <row r="80" spans="1:12" x14ac:dyDescent="0.25">
      <c r="A80" t="s">
        <v>109</v>
      </c>
      <c r="B80" t="s">
        <v>20</v>
      </c>
      <c r="C80" t="s">
        <v>21</v>
      </c>
      <c r="D80" t="s">
        <v>15</v>
      </c>
      <c r="E80" t="s">
        <v>16</v>
      </c>
      <c r="F80" t="s">
        <v>39</v>
      </c>
      <c r="G80">
        <v>10</v>
      </c>
      <c r="H80" s="1">
        <v>43529</v>
      </c>
      <c r="I80" s="2">
        <v>0.68333333333333324</v>
      </c>
      <c r="J80" t="s">
        <v>18</v>
      </c>
      <c r="K80">
        <v>39.155000000000001</v>
      </c>
      <c r="L80">
        <v>6.6</v>
      </c>
    </row>
    <row r="81" spans="1:12" x14ac:dyDescent="0.25">
      <c r="A81" t="s">
        <v>110</v>
      </c>
      <c r="B81" t="s">
        <v>20</v>
      </c>
      <c r="C81" t="s">
        <v>21</v>
      </c>
      <c r="D81" t="s">
        <v>22</v>
      </c>
      <c r="E81" t="s">
        <v>16</v>
      </c>
      <c r="F81" t="s">
        <v>17</v>
      </c>
      <c r="G81">
        <v>5</v>
      </c>
      <c r="H81" s="1">
        <v>43487</v>
      </c>
      <c r="I81" s="2">
        <v>0.78888888888888886</v>
      </c>
      <c r="J81" t="s">
        <v>24</v>
      </c>
      <c r="K81">
        <v>5.0949999999999998</v>
      </c>
      <c r="L81">
        <v>6</v>
      </c>
    </row>
    <row r="82" spans="1:12" x14ac:dyDescent="0.25">
      <c r="A82" t="s">
        <v>111</v>
      </c>
      <c r="B82" t="s">
        <v>20</v>
      </c>
      <c r="C82" t="s">
        <v>21</v>
      </c>
      <c r="D82" t="s">
        <v>22</v>
      </c>
      <c r="E82" t="s">
        <v>16</v>
      </c>
      <c r="F82" t="s">
        <v>17</v>
      </c>
      <c r="G82">
        <v>6</v>
      </c>
      <c r="H82" s="1">
        <v>43486</v>
      </c>
      <c r="I82" s="2">
        <v>0.61249999999999993</v>
      </c>
      <c r="J82" t="s">
        <v>28</v>
      </c>
      <c r="K82">
        <v>29.757000000000001</v>
      </c>
      <c r="L82">
        <v>5.5</v>
      </c>
    </row>
    <row r="83" spans="1:12" x14ac:dyDescent="0.25">
      <c r="A83" t="s">
        <v>112</v>
      </c>
      <c r="B83" t="s">
        <v>37</v>
      </c>
      <c r="C83" t="s">
        <v>38</v>
      </c>
      <c r="D83" t="s">
        <v>22</v>
      </c>
      <c r="E83" t="s">
        <v>16</v>
      </c>
      <c r="F83" t="s">
        <v>39</v>
      </c>
      <c r="G83">
        <v>3</v>
      </c>
      <c r="H83" s="1">
        <v>43491</v>
      </c>
      <c r="I83" s="2">
        <v>0.8305555555555556</v>
      </c>
      <c r="J83" t="s">
        <v>18</v>
      </c>
      <c r="K83">
        <v>14.502000000000001</v>
      </c>
      <c r="L83">
        <v>6.4</v>
      </c>
    </row>
    <row r="84" spans="1:12" x14ac:dyDescent="0.25">
      <c r="A84" t="s">
        <v>113</v>
      </c>
      <c r="B84" t="s">
        <v>20</v>
      </c>
      <c r="C84" t="s">
        <v>21</v>
      </c>
      <c r="D84" t="s">
        <v>22</v>
      </c>
      <c r="E84" t="s">
        <v>26</v>
      </c>
      <c r="F84" t="s">
        <v>39</v>
      </c>
      <c r="G84">
        <v>8</v>
      </c>
      <c r="H84" s="1">
        <v>43488</v>
      </c>
      <c r="I84" s="2">
        <v>0.77569444444444446</v>
      </c>
      <c r="J84" t="s">
        <v>18</v>
      </c>
      <c r="K84">
        <v>7.7</v>
      </c>
      <c r="L84">
        <v>6.6</v>
      </c>
    </row>
    <row r="85" spans="1:12" x14ac:dyDescent="0.25">
      <c r="A85" t="s">
        <v>114</v>
      </c>
      <c r="B85" t="s">
        <v>20</v>
      </c>
      <c r="C85" t="s">
        <v>21</v>
      </c>
      <c r="D85" t="s">
        <v>15</v>
      </c>
      <c r="E85" t="s">
        <v>16</v>
      </c>
      <c r="F85" t="s">
        <v>39</v>
      </c>
      <c r="G85">
        <v>4</v>
      </c>
      <c r="H85" s="1">
        <v>43519</v>
      </c>
      <c r="I85" s="2">
        <v>0.78125</v>
      </c>
      <c r="J85" t="s">
        <v>28</v>
      </c>
      <c r="K85">
        <v>16.071999999999999</v>
      </c>
      <c r="L85">
        <v>8.3000000000000007</v>
      </c>
    </row>
    <row r="86" spans="1:12" x14ac:dyDescent="0.25">
      <c r="A86" t="s">
        <v>115</v>
      </c>
      <c r="B86" t="s">
        <v>20</v>
      </c>
      <c r="C86" t="s">
        <v>21</v>
      </c>
      <c r="D86" t="s">
        <v>15</v>
      </c>
      <c r="E86" t="s">
        <v>26</v>
      </c>
      <c r="F86" t="s">
        <v>31</v>
      </c>
      <c r="G86">
        <v>5</v>
      </c>
      <c r="H86" s="1">
        <v>43533</v>
      </c>
      <c r="I86" s="2">
        <v>0.4284722222222222</v>
      </c>
      <c r="J86" t="s">
        <v>24</v>
      </c>
      <c r="K86">
        <v>12.227499999999999</v>
      </c>
      <c r="L86">
        <v>6.6</v>
      </c>
    </row>
    <row r="87" spans="1:12" x14ac:dyDescent="0.25">
      <c r="A87" t="s">
        <v>116</v>
      </c>
      <c r="B87" t="s">
        <v>20</v>
      </c>
      <c r="C87" t="s">
        <v>21</v>
      </c>
      <c r="D87" t="s">
        <v>22</v>
      </c>
      <c r="E87" t="s">
        <v>16</v>
      </c>
      <c r="F87" t="s">
        <v>31</v>
      </c>
      <c r="G87">
        <v>7</v>
      </c>
      <c r="H87" s="1">
        <v>43529</v>
      </c>
      <c r="I87" s="2">
        <v>0.60486111111111118</v>
      </c>
      <c r="J87" t="s">
        <v>18</v>
      </c>
      <c r="K87">
        <v>29.071000000000002</v>
      </c>
      <c r="L87">
        <v>4</v>
      </c>
    </row>
    <row r="88" spans="1:12" x14ac:dyDescent="0.25">
      <c r="A88" t="s">
        <v>117</v>
      </c>
      <c r="B88" t="s">
        <v>20</v>
      </c>
      <c r="C88" t="s">
        <v>21</v>
      </c>
      <c r="D88" t="s">
        <v>22</v>
      </c>
      <c r="E88" t="s">
        <v>26</v>
      </c>
      <c r="F88" t="s">
        <v>41</v>
      </c>
      <c r="G88">
        <v>5</v>
      </c>
      <c r="H88" s="1">
        <v>43549</v>
      </c>
      <c r="I88" s="2">
        <v>0.43263888888888885</v>
      </c>
      <c r="J88" t="s">
        <v>24</v>
      </c>
      <c r="K88">
        <v>19.13</v>
      </c>
      <c r="L88">
        <v>9.9</v>
      </c>
    </row>
    <row r="89" spans="1:12" x14ac:dyDescent="0.25">
      <c r="A89" t="s">
        <v>118</v>
      </c>
      <c r="B89" t="s">
        <v>13</v>
      </c>
      <c r="C89" t="s">
        <v>14</v>
      </c>
      <c r="D89" t="s">
        <v>15</v>
      </c>
      <c r="E89" t="s">
        <v>26</v>
      </c>
      <c r="F89" t="s">
        <v>39</v>
      </c>
      <c r="G89">
        <v>7</v>
      </c>
      <c r="H89" s="1">
        <v>43551</v>
      </c>
      <c r="I89" s="2">
        <v>0.85763888888888884</v>
      </c>
      <c r="J89" t="s">
        <v>28</v>
      </c>
      <c r="K89">
        <v>17.283000000000001</v>
      </c>
      <c r="L89">
        <v>7.3</v>
      </c>
    </row>
    <row r="90" spans="1:12" x14ac:dyDescent="0.25">
      <c r="A90" t="s">
        <v>119</v>
      </c>
      <c r="B90" t="s">
        <v>13</v>
      </c>
      <c r="C90" t="s">
        <v>14</v>
      </c>
      <c r="D90" t="s">
        <v>22</v>
      </c>
      <c r="E90" t="s">
        <v>26</v>
      </c>
      <c r="F90" t="s">
        <v>31</v>
      </c>
      <c r="G90">
        <v>1</v>
      </c>
      <c r="H90" s="1">
        <v>43467</v>
      </c>
      <c r="I90" s="2">
        <v>0.70624999999999993</v>
      </c>
      <c r="J90" t="s">
        <v>24</v>
      </c>
      <c r="K90">
        <v>2.1234999999999999</v>
      </c>
      <c r="L90">
        <v>5.7</v>
      </c>
    </row>
    <row r="91" spans="1:12" x14ac:dyDescent="0.25">
      <c r="A91" t="s">
        <v>120</v>
      </c>
      <c r="B91" t="s">
        <v>37</v>
      </c>
      <c r="C91" t="s">
        <v>38</v>
      </c>
      <c r="D91" t="s">
        <v>22</v>
      </c>
      <c r="E91" t="s">
        <v>16</v>
      </c>
      <c r="F91" t="s">
        <v>17</v>
      </c>
      <c r="G91">
        <v>6</v>
      </c>
      <c r="H91" s="1">
        <v>43523</v>
      </c>
      <c r="I91" s="2">
        <v>0.74652777777777779</v>
      </c>
      <c r="J91" t="s">
        <v>24</v>
      </c>
      <c r="K91">
        <v>23.097000000000001</v>
      </c>
      <c r="L91">
        <v>6.1</v>
      </c>
    </row>
    <row r="92" spans="1:12" x14ac:dyDescent="0.25">
      <c r="A92" t="s">
        <v>121</v>
      </c>
      <c r="B92" t="s">
        <v>20</v>
      </c>
      <c r="C92" t="s">
        <v>21</v>
      </c>
      <c r="D92" t="s">
        <v>15</v>
      </c>
      <c r="E92" t="s">
        <v>16</v>
      </c>
      <c r="F92" t="s">
        <v>27</v>
      </c>
      <c r="G92">
        <v>4</v>
      </c>
      <c r="H92" s="1">
        <v>43488</v>
      </c>
      <c r="I92" s="2">
        <v>0.43402777777777773</v>
      </c>
      <c r="J92" t="s">
        <v>24</v>
      </c>
      <c r="K92">
        <v>9.4760000000000009</v>
      </c>
      <c r="L92">
        <v>7.1</v>
      </c>
    </row>
    <row r="93" spans="1:12" x14ac:dyDescent="0.25">
      <c r="A93" t="s">
        <v>122</v>
      </c>
      <c r="B93" t="s">
        <v>20</v>
      </c>
      <c r="C93" t="s">
        <v>21</v>
      </c>
      <c r="D93" t="s">
        <v>22</v>
      </c>
      <c r="E93" t="s">
        <v>16</v>
      </c>
      <c r="F93" t="s">
        <v>31</v>
      </c>
      <c r="G93">
        <v>10</v>
      </c>
      <c r="H93" s="1">
        <v>43491</v>
      </c>
      <c r="I93" s="2">
        <v>0.82916666666666661</v>
      </c>
      <c r="J93" t="s">
        <v>18</v>
      </c>
      <c r="K93">
        <v>22.43</v>
      </c>
      <c r="L93">
        <v>8.1999999999999993</v>
      </c>
    </row>
    <row r="94" spans="1:12" x14ac:dyDescent="0.25">
      <c r="A94" t="s">
        <v>123</v>
      </c>
      <c r="B94" t="s">
        <v>13</v>
      </c>
      <c r="C94" t="s">
        <v>14</v>
      </c>
      <c r="D94" t="s">
        <v>15</v>
      </c>
      <c r="E94" t="s">
        <v>16</v>
      </c>
      <c r="F94" t="s">
        <v>31</v>
      </c>
      <c r="G94">
        <v>7</v>
      </c>
      <c r="H94" s="1">
        <v>43475</v>
      </c>
      <c r="I94" s="2">
        <v>0.6958333333333333</v>
      </c>
      <c r="J94" t="s">
        <v>18</v>
      </c>
      <c r="K94">
        <v>7.6929999999999996</v>
      </c>
      <c r="L94">
        <v>5.0999999999999996</v>
      </c>
    </row>
    <row r="95" spans="1:12" x14ac:dyDescent="0.25">
      <c r="A95" t="s">
        <v>124</v>
      </c>
      <c r="B95" t="s">
        <v>37</v>
      </c>
      <c r="C95" t="s">
        <v>38</v>
      </c>
      <c r="D95" t="s">
        <v>15</v>
      </c>
      <c r="E95" t="s">
        <v>26</v>
      </c>
      <c r="F95" t="s">
        <v>17</v>
      </c>
      <c r="G95">
        <v>9</v>
      </c>
      <c r="H95" s="1">
        <v>43536</v>
      </c>
      <c r="I95" s="2">
        <v>0.50624999999999998</v>
      </c>
      <c r="J95" t="s">
        <v>28</v>
      </c>
      <c r="K95">
        <v>28.962</v>
      </c>
      <c r="L95">
        <v>8.6</v>
      </c>
    </row>
    <row r="96" spans="1:12" x14ac:dyDescent="0.25">
      <c r="A96" t="s">
        <v>125</v>
      </c>
      <c r="B96" t="s">
        <v>20</v>
      </c>
      <c r="C96" t="s">
        <v>21</v>
      </c>
      <c r="D96" t="s">
        <v>22</v>
      </c>
      <c r="E96" t="s">
        <v>26</v>
      </c>
      <c r="F96" t="s">
        <v>17</v>
      </c>
      <c r="G96">
        <v>1</v>
      </c>
      <c r="H96" s="1">
        <v>43502</v>
      </c>
      <c r="I96" s="2">
        <v>0.83680555555555547</v>
      </c>
      <c r="J96" t="s">
        <v>28</v>
      </c>
      <c r="K96">
        <v>4.4874999999999998</v>
      </c>
      <c r="L96">
        <v>6.6</v>
      </c>
    </row>
    <row r="97" spans="1:12" x14ac:dyDescent="0.25">
      <c r="A97" t="s">
        <v>126</v>
      </c>
      <c r="B97" t="s">
        <v>13</v>
      </c>
      <c r="C97" t="s">
        <v>14</v>
      </c>
      <c r="D97" t="s">
        <v>22</v>
      </c>
      <c r="E97" t="s">
        <v>26</v>
      </c>
      <c r="F97" t="s">
        <v>23</v>
      </c>
      <c r="G97">
        <v>1</v>
      </c>
      <c r="H97" s="1">
        <v>43532</v>
      </c>
      <c r="I97" s="2">
        <v>0.85972222222222217</v>
      </c>
      <c r="J97" t="s">
        <v>18</v>
      </c>
      <c r="K97">
        <v>4.8579999999999997</v>
      </c>
      <c r="L97">
        <v>7.2</v>
      </c>
    </row>
    <row r="98" spans="1:12" x14ac:dyDescent="0.25">
      <c r="A98" t="s">
        <v>127</v>
      </c>
      <c r="B98" t="s">
        <v>37</v>
      </c>
      <c r="C98" t="s">
        <v>38</v>
      </c>
      <c r="D98" t="s">
        <v>22</v>
      </c>
      <c r="E98" t="s">
        <v>26</v>
      </c>
      <c r="F98" t="s">
        <v>17</v>
      </c>
      <c r="G98">
        <v>10</v>
      </c>
      <c r="H98" s="1">
        <v>43553</v>
      </c>
      <c r="I98" s="2">
        <v>0.43402777777777773</v>
      </c>
      <c r="J98" t="s">
        <v>18</v>
      </c>
      <c r="K98">
        <v>43.935000000000002</v>
      </c>
      <c r="L98">
        <v>5.0999999999999996</v>
      </c>
    </row>
    <row r="99" spans="1:12" x14ac:dyDescent="0.25">
      <c r="A99" t="s">
        <v>128</v>
      </c>
      <c r="B99" t="s">
        <v>20</v>
      </c>
      <c r="C99" t="s">
        <v>21</v>
      </c>
      <c r="D99" t="s">
        <v>22</v>
      </c>
      <c r="E99" t="s">
        <v>16</v>
      </c>
      <c r="F99" t="s">
        <v>23</v>
      </c>
      <c r="G99">
        <v>6</v>
      </c>
      <c r="H99" s="1">
        <v>43505</v>
      </c>
      <c r="I99" s="2">
        <v>0.5493055555555556</v>
      </c>
      <c r="J99" t="s">
        <v>24</v>
      </c>
      <c r="K99">
        <v>3.7349999999999999</v>
      </c>
      <c r="L99">
        <v>4.0999999999999996</v>
      </c>
    </row>
    <row r="100" spans="1:12" x14ac:dyDescent="0.25">
      <c r="A100" t="s">
        <v>129</v>
      </c>
      <c r="B100" t="s">
        <v>13</v>
      </c>
      <c r="C100" t="s">
        <v>14</v>
      </c>
      <c r="D100" t="s">
        <v>22</v>
      </c>
      <c r="E100" t="s">
        <v>26</v>
      </c>
      <c r="F100" t="s">
        <v>39</v>
      </c>
      <c r="G100">
        <v>3</v>
      </c>
      <c r="H100" s="1">
        <v>43547</v>
      </c>
      <c r="I100" s="2">
        <v>0.42777777777777781</v>
      </c>
      <c r="J100" t="s">
        <v>18</v>
      </c>
      <c r="K100">
        <v>7.9124999999999996</v>
      </c>
      <c r="L100">
        <v>9.3000000000000007</v>
      </c>
    </row>
    <row r="101" spans="1:12" x14ac:dyDescent="0.25">
      <c r="A101" t="s">
        <v>130</v>
      </c>
      <c r="B101" t="s">
        <v>37</v>
      </c>
      <c r="C101" t="s">
        <v>38</v>
      </c>
      <c r="D101" t="s">
        <v>22</v>
      </c>
      <c r="E101" t="s">
        <v>26</v>
      </c>
      <c r="F101" t="s">
        <v>27</v>
      </c>
      <c r="G101">
        <v>6</v>
      </c>
      <c r="H101" s="1">
        <v>43529</v>
      </c>
      <c r="I101" s="2">
        <v>0.7597222222222223</v>
      </c>
      <c r="J101" t="s">
        <v>24</v>
      </c>
      <c r="K101">
        <v>24.81</v>
      </c>
      <c r="L101">
        <v>7.4</v>
      </c>
    </row>
    <row r="102" spans="1:12" x14ac:dyDescent="0.25">
      <c r="A102" t="s">
        <v>131</v>
      </c>
      <c r="B102" t="s">
        <v>20</v>
      </c>
      <c r="C102" t="s">
        <v>21</v>
      </c>
      <c r="D102" t="s">
        <v>15</v>
      </c>
      <c r="E102" t="s">
        <v>26</v>
      </c>
      <c r="F102" t="s">
        <v>41</v>
      </c>
      <c r="G102">
        <v>1</v>
      </c>
      <c r="H102" s="1">
        <v>43550</v>
      </c>
      <c r="I102" s="2">
        <v>0.80555555555555547</v>
      </c>
      <c r="J102" t="s">
        <v>24</v>
      </c>
      <c r="K102">
        <v>2.4355000000000002</v>
      </c>
      <c r="L102">
        <v>4.0999999999999996</v>
      </c>
    </row>
    <row r="103" spans="1:12" x14ac:dyDescent="0.25">
      <c r="A103" t="s">
        <v>132</v>
      </c>
      <c r="B103" t="s">
        <v>20</v>
      </c>
      <c r="C103" t="s">
        <v>21</v>
      </c>
      <c r="D103" t="s">
        <v>22</v>
      </c>
      <c r="E103" t="s">
        <v>26</v>
      </c>
      <c r="F103" t="s">
        <v>41</v>
      </c>
      <c r="G103">
        <v>9</v>
      </c>
      <c r="H103" s="1">
        <v>43525</v>
      </c>
      <c r="I103" s="2">
        <v>0.55694444444444446</v>
      </c>
      <c r="J103" t="s">
        <v>24</v>
      </c>
      <c r="K103">
        <v>35.347499999999997</v>
      </c>
      <c r="L103">
        <v>7.2</v>
      </c>
    </row>
    <row r="104" spans="1:12" x14ac:dyDescent="0.25">
      <c r="A104" t="s">
        <v>133</v>
      </c>
      <c r="B104" t="s">
        <v>20</v>
      </c>
      <c r="C104" t="s">
        <v>21</v>
      </c>
      <c r="D104" t="s">
        <v>22</v>
      </c>
      <c r="E104" t="s">
        <v>16</v>
      </c>
      <c r="F104" t="s">
        <v>23</v>
      </c>
      <c r="G104">
        <v>9</v>
      </c>
      <c r="H104" s="1">
        <v>43497</v>
      </c>
      <c r="I104" s="2">
        <v>0.4770833333333333</v>
      </c>
      <c r="J104" t="s">
        <v>24</v>
      </c>
      <c r="K104">
        <v>10.381500000000001</v>
      </c>
      <c r="L104">
        <v>4.9000000000000004</v>
      </c>
    </row>
    <row r="105" spans="1:12" x14ac:dyDescent="0.25">
      <c r="A105" t="s">
        <v>134</v>
      </c>
      <c r="B105" t="s">
        <v>13</v>
      </c>
      <c r="C105" t="s">
        <v>14</v>
      </c>
      <c r="D105" t="s">
        <v>22</v>
      </c>
      <c r="E105" t="s">
        <v>26</v>
      </c>
      <c r="F105" t="s">
        <v>39</v>
      </c>
      <c r="G105">
        <v>6</v>
      </c>
      <c r="H105" s="1">
        <v>43552</v>
      </c>
      <c r="I105" s="2">
        <v>0.6972222222222223</v>
      </c>
      <c r="J105" t="s">
        <v>24</v>
      </c>
      <c r="K105">
        <v>17.478000000000002</v>
      </c>
      <c r="L105">
        <v>9.9</v>
      </c>
    </row>
    <row r="106" spans="1:12" x14ac:dyDescent="0.25">
      <c r="A106" t="s">
        <v>135</v>
      </c>
      <c r="B106" t="s">
        <v>37</v>
      </c>
      <c r="C106" t="s">
        <v>38</v>
      </c>
      <c r="D106" t="s">
        <v>22</v>
      </c>
      <c r="E106" t="s">
        <v>26</v>
      </c>
      <c r="F106" t="s">
        <v>17</v>
      </c>
      <c r="G106">
        <v>7</v>
      </c>
      <c r="H106" s="1">
        <v>43543</v>
      </c>
      <c r="I106" s="2">
        <v>0.7631944444444444</v>
      </c>
      <c r="J106" t="s">
        <v>24</v>
      </c>
      <c r="K106">
        <v>10.6225</v>
      </c>
      <c r="L106">
        <v>8</v>
      </c>
    </row>
    <row r="107" spans="1:12" x14ac:dyDescent="0.25">
      <c r="A107" t="s">
        <v>136</v>
      </c>
      <c r="B107" t="s">
        <v>13</v>
      </c>
      <c r="C107" t="s">
        <v>14</v>
      </c>
      <c r="D107" t="s">
        <v>15</v>
      </c>
      <c r="E107" t="s">
        <v>26</v>
      </c>
      <c r="F107" t="s">
        <v>23</v>
      </c>
      <c r="G107">
        <v>10</v>
      </c>
      <c r="H107" s="1">
        <v>43477</v>
      </c>
      <c r="I107" s="2">
        <v>0.61805555555555558</v>
      </c>
      <c r="J107" t="s">
        <v>18</v>
      </c>
      <c r="K107">
        <v>44.335000000000001</v>
      </c>
      <c r="L107">
        <v>7.3</v>
      </c>
    </row>
    <row r="108" spans="1:12" x14ac:dyDescent="0.25">
      <c r="A108" t="s">
        <v>137</v>
      </c>
      <c r="B108" t="s">
        <v>20</v>
      </c>
      <c r="C108" t="s">
        <v>21</v>
      </c>
      <c r="D108" t="s">
        <v>22</v>
      </c>
      <c r="E108" t="s">
        <v>26</v>
      </c>
      <c r="F108" t="s">
        <v>41</v>
      </c>
      <c r="G108">
        <v>6</v>
      </c>
      <c r="H108" s="1">
        <v>43470</v>
      </c>
      <c r="I108" s="2">
        <v>0.87083333333333324</v>
      </c>
      <c r="J108" t="s">
        <v>28</v>
      </c>
      <c r="K108">
        <v>8.2140000000000004</v>
      </c>
      <c r="L108">
        <v>7.9</v>
      </c>
    </row>
    <row r="109" spans="1:12" x14ac:dyDescent="0.25">
      <c r="A109" t="s">
        <v>138</v>
      </c>
      <c r="B109" t="s">
        <v>13</v>
      </c>
      <c r="C109" t="s">
        <v>14</v>
      </c>
      <c r="D109" t="s">
        <v>22</v>
      </c>
      <c r="E109" t="s">
        <v>26</v>
      </c>
      <c r="F109" t="s">
        <v>31</v>
      </c>
      <c r="G109">
        <v>6</v>
      </c>
      <c r="H109" s="1">
        <v>43546</v>
      </c>
      <c r="I109" s="2">
        <v>0.84652777777777777</v>
      </c>
      <c r="J109" t="s">
        <v>24</v>
      </c>
      <c r="K109">
        <v>18.638999999999999</v>
      </c>
      <c r="L109">
        <v>7.4</v>
      </c>
    </row>
    <row r="110" spans="1:12" x14ac:dyDescent="0.25">
      <c r="A110" t="s">
        <v>139</v>
      </c>
      <c r="B110" t="s">
        <v>20</v>
      </c>
      <c r="C110" t="s">
        <v>21</v>
      </c>
      <c r="D110" t="s">
        <v>22</v>
      </c>
      <c r="E110" t="s">
        <v>16</v>
      </c>
      <c r="F110" t="s">
        <v>39</v>
      </c>
      <c r="G110">
        <v>9</v>
      </c>
      <c r="H110" s="1">
        <v>43548</v>
      </c>
      <c r="I110" s="2">
        <v>0.4465277777777778</v>
      </c>
      <c r="J110" t="s">
        <v>24</v>
      </c>
      <c r="K110">
        <v>15.291</v>
      </c>
      <c r="L110">
        <v>4.2</v>
      </c>
    </row>
    <row r="111" spans="1:12" x14ac:dyDescent="0.25">
      <c r="A111" t="s">
        <v>140</v>
      </c>
      <c r="B111" t="s">
        <v>20</v>
      </c>
      <c r="C111" t="s">
        <v>21</v>
      </c>
      <c r="D111" t="s">
        <v>15</v>
      </c>
      <c r="E111" t="s">
        <v>26</v>
      </c>
      <c r="F111" t="s">
        <v>23</v>
      </c>
      <c r="G111">
        <v>10</v>
      </c>
      <c r="H111" s="1">
        <v>43527</v>
      </c>
      <c r="I111" s="2">
        <v>0.60416666666666663</v>
      </c>
      <c r="J111" t="s">
        <v>24</v>
      </c>
      <c r="K111">
        <v>40.984999999999999</v>
      </c>
      <c r="L111">
        <v>9.1999999999999993</v>
      </c>
    </row>
    <row r="112" spans="1:12" x14ac:dyDescent="0.25">
      <c r="A112" t="s">
        <v>141</v>
      </c>
      <c r="B112" t="s">
        <v>37</v>
      </c>
      <c r="C112" t="s">
        <v>38</v>
      </c>
      <c r="D112" t="s">
        <v>15</v>
      </c>
      <c r="E112" t="s">
        <v>16</v>
      </c>
      <c r="F112" t="s">
        <v>31</v>
      </c>
      <c r="G112">
        <v>2</v>
      </c>
      <c r="H112" s="1">
        <v>43501</v>
      </c>
      <c r="I112" s="2">
        <v>0.48055555555555557</v>
      </c>
      <c r="J112" t="s">
        <v>18</v>
      </c>
      <c r="K112">
        <v>1.649</v>
      </c>
      <c r="L112">
        <v>4.5999999999999996</v>
      </c>
    </row>
    <row r="113" spans="1:12" x14ac:dyDescent="0.25">
      <c r="A113" t="s">
        <v>142</v>
      </c>
      <c r="B113" t="s">
        <v>20</v>
      </c>
      <c r="C113" t="s">
        <v>21</v>
      </c>
      <c r="D113" t="s">
        <v>15</v>
      </c>
      <c r="E113" t="s">
        <v>16</v>
      </c>
      <c r="F113" t="s">
        <v>17</v>
      </c>
      <c r="G113">
        <v>3</v>
      </c>
      <c r="H113" s="1">
        <v>43501</v>
      </c>
      <c r="I113" s="2">
        <v>0.44513888888888892</v>
      </c>
      <c r="J113" t="s">
        <v>28</v>
      </c>
      <c r="K113">
        <v>14.7315</v>
      </c>
      <c r="L113">
        <v>7.8</v>
      </c>
    </row>
    <row r="114" spans="1:12" x14ac:dyDescent="0.25">
      <c r="A114" t="s">
        <v>143</v>
      </c>
      <c r="B114" t="s">
        <v>37</v>
      </c>
      <c r="C114" t="s">
        <v>38</v>
      </c>
      <c r="D114" t="s">
        <v>22</v>
      </c>
      <c r="E114" t="s">
        <v>16</v>
      </c>
      <c r="F114" t="s">
        <v>41</v>
      </c>
      <c r="G114">
        <v>7</v>
      </c>
      <c r="H114" s="1">
        <v>43511</v>
      </c>
      <c r="I114" s="2">
        <v>0.53055555555555556</v>
      </c>
      <c r="J114" t="s">
        <v>24</v>
      </c>
      <c r="K114">
        <v>25.494</v>
      </c>
      <c r="L114">
        <v>8.4</v>
      </c>
    </row>
    <row r="115" spans="1:12" x14ac:dyDescent="0.25">
      <c r="A115" t="s">
        <v>144</v>
      </c>
      <c r="B115" t="s">
        <v>13</v>
      </c>
      <c r="C115" t="s">
        <v>14</v>
      </c>
      <c r="D115" t="s">
        <v>15</v>
      </c>
      <c r="E115" t="s">
        <v>26</v>
      </c>
      <c r="F115" t="s">
        <v>27</v>
      </c>
      <c r="G115">
        <v>9</v>
      </c>
      <c r="H115" s="1">
        <v>43484</v>
      </c>
      <c r="I115" s="2">
        <v>0.83819444444444446</v>
      </c>
      <c r="J115" t="s">
        <v>18</v>
      </c>
      <c r="K115">
        <v>26.131499999999999</v>
      </c>
      <c r="L115">
        <v>4.3</v>
      </c>
    </row>
    <row r="116" spans="1:12" x14ac:dyDescent="0.25">
      <c r="A116" t="s">
        <v>145</v>
      </c>
      <c r="B116" t="s">
        <v>20</v>
      </c>
      <c r="C116" t="s">
        <v>21</v>
      </c>
      <c r="D116" t="s">
        <v>15</v>
      </c>
      <c r="E116" t="s">
        <v>16</v>
      </c>
      <c r="F116" t="s">
        <v>27</v>
      </c>
      <c r="G116">
        <v>9</v>
      </c>
      <c r="H116" s="1">
        <v>43497</v>
      </c>
      <c r="I116" s="2">
        <v>0.85486111111111107</v>
      </c>
      <c r="J116" t="s">
        <v>28</v>
      </c>
      <c r="K116">
        <v>36.355499999999999</v>
      </c>
      <c r="L116">
        <v>9.5</v>
      </c>
    </row>
    <row r="117" spans="1:12" x14ac:dyDescent="0.25">
      <c r="A117" t="s">
        <v>146</v>
      </c>
      <c r="B117" t="s">
        <v>20</v>
      </c>
      <c r="C117" t="s">
        <v>21</v>
      </c>
      <c r="D117" t="s">
        <v>22</v>
      </c>
      <c r="E117" t="s">
        <v>16</v>
      </c>
      <c r="F117" t="s">
        <v>41</v>
      </c>
      <c r="G117">
        <v>3</v>
      </c>
      <c r="H117" s="1">
        <v>43526</v>
      </c>
      <c r="I117" s="2">
        <v>0.54236111111111118</v>
      </c>
      <c r="J117" t="s">
        <v>28</v>
      </c>
      <c r="K117">
        <v>4.0529999999999999</v>
      </c>
      <c r="L117">
        <v>7.1</v>
      </c>
    </row>
    <row r="118" spans="1:12" x14ac:dyDescent="0.25">
      <c r="A118" t="s">
        <v>147</v>
      </c>
      <c r="B118" t="s">
        <v>37</v>
      </c>
      <c r="C118" t="s">
        <v>38</v>
      </c>
      <c r="D118" t="s">
        <v>15</v>
      </c>
      <c r="E118" t="s">
        <v>26</v>
      </c>
      <c r="F118" t="s">
        <v>41</v>
      </c>
      <c r="G118">
        <v>5</v>
      </c>
      <c r="H118" s="1">
        <v>43529</v>
      </c>
      <c r="I118" s="2">
        <v>0.52013888888888882</v>
      </c>
      <c r="J118" t="s">
        <v>18</v>
      </c>
      <c r="K118">
        <v>5.4850000000000003</v>
      </c>
      <c r="L118">
        <v>5.3</v>
      </c>
    </row>
    <row r="119" spans="1:12" x14ac:dyDescent="0.25">
      <c r="A119" t="s">
        <v>148</v>
      </c>
      <c r="B119" t="s">
        <v>37</v>
      </c>
      <c r="C119" t="s">
        <v>38</v>
      </c>
      <c r="D119" t="s">
        <v>15</v>
      </c>
      <c r="E119" t="s">
        <v>26</v>
      </c>
      <c r="F119" t="s">
        <v>41</v>
      </c>
      <c r="G119">
        <v>1</v>
      </c>
      <c r="H119" s="1">
        <v>43481</v>
      </c>
      <c r="I119" s="2">
        <v>0.6430555555555556</v>
      </c>
      <c r="J119" t="s">
        <v>18</v>
      </c>
      <c r="K119">
        <v>2.5680000000000001</v>
      </c>
      <c r="L119">
        <v>5.2</v>
      </c>
    </row>
    <row r="120" spans="1:12" x14ac:dyDescent="0.25">
      <c r="A120" t="s">
        <v>149</v>
      </c>
      <c r="B120" t="s">
        <v>13</v>
      </c>
      <c r="C120" t="s">
        <v>14</v>
      </c>
      <c r="D120" t="s">
        <v>22</v>
      </c>
      <c r="E120" t="s">
        <v>16</v>
      </c>
      <c r="F120" t="s">
        <v>39</v>
      </c>
      <c r="G120">
        <v>10</v>
      </c>
      <c r="H120" s="1">
        <v>43498</v>
      </c>
      <c r="I120" s="2">
        <v>0.8666666666666667</v>
      </c>
      <c r="J120" t="s">
        <v>18</v>
      </c>
      <c r="K120">
        <v>5.48</v>
      </c>
      <c r="L120">
        <v>6</v>
      </c>
    </row>
    <row r="121" spans="1:12" x14ac:dyDescent="0.25">
      <c r="A121" t="s">
        <v>150</v>
      </c>
      <c r="B121" t="s">
        <v>37</v>
      </c>
      <c r="C121" t="s">
        <v>38</v>
      </c>
      <c r="D121" t="s">
        <v>22</v>
      </c>
      <c r="E121" t="s">
        <v>26</v>
      </c>
      <c r="F121" t="s">
        <v>27</v>
      </c>
      <c r="G121">
        <v>2</v>
      </c>
      <c r="H121" s="1">
        <v>43485</v>
      </c>
      <c r="I121" s="2">
        <v>0.85972222222222217</v>
      </c>
      <c r="J121" t="s">
        <v>18</v>
      </c>
      <c r="K121">
        <v>5.3440000000000003</v>
      </c>
      <c r="L121">
        <v>4.0999999999999996</v>
      </c>
    </row>
    <row r="122" spans="1:12" x14ac:dyDescent="0.25">
      <c r="A122" t="s">
        <v>151</v>
      </c>
      <c r="B122" t="s">
        <v>13</v>
      </c>
      <c r="C122" t="s">
        <v>14</v>
      </c>
      <c r="D122" t="s">
        <v>22</v>
      </c>
      <c r="E122" t="s">
        <v>16</v>
      </c>
      <c r="F122" t="s">
        <v>23</v>
      </c>
      <c r="G122">
        <v>8</v>
      </c>
      <c r="H122" s="1">
        <v>43510</v>
      </c>
      <c r="I122" s="2">
        <v>0.7104166666666667</v>
      </c>
      <c r="J122" t="s">
        <v>28</v>
      </c>
      <c r="K122">
        <v>39.823999999999998</v>
      </c>
      <c r="L122">
        <v>5.2</v>
      </c>
    </row>
    <row r="123" spans="1:12" x14ac:dyDescent="0.25">
      <c r="A123" t="s">
        <v>152</v>
      </c>
      <c r="B123" t="s">
        <v>20</v>
      </c>
      <c r="C123" t="s">
        <v>21</v>
      </c>
      <c r="D123" t="s">
        <v>15</v>
      </c>
      <c r="E123" t="s">
        <v>26</v>
      </c>
      <c r="F123" t="s">
        <v>31</v>
      </c>
      <c r="G123">
        <v>7</v>
      </c>
      <c r="H123" s="1">
        <v>43477</v>
      </c>
      <c r="I123" s="2">
        <v>0.50138888888888888</v>
      </c>
      <c r="J123" t="s">
        <v>28</v>
      </c>
      <c r="K123">
        <v>19.992000000000001</v>
      </c>
      <c r="L123">
        <v>6.5</v>
      </c>
    </row>
    <row r="124" spans="1:12" x14ac:dyDescent="0.25">
      <c r="A124" t="s">
        <v>153</v>
      </c>
      <c r="B124" t="s">
        <v>37</v>
      </c>
      <c r="C124" t="s">
        <v>38</v>
      </c>
      <c r="D124" t="s">
        <v>15</v>
      </c>
      <c r="E124" t="s">
        <v>26</v>
      </c>
      <c r="F124" t="s">
        <v>31</v>
      </c>
      <c r="G124">
        <v>9</v>
      </c>
      <c r="H124" s="1">
        <v>43533</v>
      </c>
      <c r="I124" s="2">
        <v>0.72638888888888886</v>
      </c>
      <c r="J124" t="s">
        <v>28</v>
      </c>
      <c r="K124">
        <v>44.981999999999999</v>
      </c>
      <c r="L124">
        <v>4.2</v>
      </c>
    </row>
    <row r="125" spans="1:12" x14ac:dyDescent="0.25">
      <c r="A125" t="s">
        <v>154</v>
      </c>
      <c r="B125" t="s">
        <v>20</v>
      </c>
      <c r="C125" t="s">
        <v>21</v>
      </c>
      <c r="D125" t="s">
        <v>15</v>
      </c>
      <c r="E125" t="s">
        <v>26</v>
      </c>
      <c r="F125" t="s">
        <v>27</v>
      </c>
      <c r="G125">
        <v>8</v>
      </c>
      <c r="H125" s="1">
        <v>43537</v>
      </c>
      <c r="I125" s="2">
        <v>0.82777777777777783</v>
      </c>
      <c r="J125" t="s">
        <v>28</v>
      </c>
      <c r="K125">
        <v>25.564</v>
      </c>
      <c r="L125">
        <v>4.5999999999999996</v>
      </c>
    </row>
    <row r="126" spans="1:12" x14ac:dyDescent="0.25">
      <c r="A126" t="s">
        <v>155</v>
      </c>
      <c r="B126" t="s">
        <v>37</v>
      </c>
      <c r="C126" t="s">
        <v>38</v>
      </c>
      <c r="D126" t="s">
        <v>15</v>
      </c>
      <c r="E126" t="s">
        <v>16</v>
      </c>
      <c r="F126" t="s">
        <v>41</v>
      </c>
      <c r="G126">
        <v>8</v>
      </c>
      <c r="H126" s="1">
        <v>43533</v>
      </c>
      <c r="I126" s="2">
        <v>0.62291666666666667</v>
      </c>
      <c r="J126" t="s">
        <v>18</v>
      </c>
      <c r="K126">
        <v>22.588000000000001</v>
      </c>
      <c r="L126">
        <v>7.3</v>
      </c>
    </row>
    <row r="127" spans="1:12" x14ac:dyDescent="0.25">
      <c r="A127" t="s">
        <v>156</v>
      </c>
      <c r="B127" t="s">
        <v>13</v>
      </c>
      <c r="C127" t="s">
        <v>14</v>
      </c>
      <c r="D127" t="s">
        <v>22</v>
      </c>
      <c r="E127" t="s">
        <v>16</v>
      </c>
      <c r="F127" t="s">
        <v>27</v>
      </c>
      <c r="G127">
        <v>7</v>
      </c>
      <c r="H127" s="1">
        <v>43534</v>
      </c>
      <c r="I127" s="2">
        <v>0.78055555555555556</v>
      </c>
      <c r="J127" t="s">
        <v>28</v>
      </c>
      <c r="K127">
        <v>32.791499999999999</v>
      </c>
      <c r="L127">
        <v>4.5</v>
      </c>
    </row>
    <row r="128" spans="1:12" x14ac:dyDescent="0.25">
      <c r="A128" t="s">
        <v>157</v>
      </c>
      <c r="B128" t="s">
        <v>13</v>
      </c>
      <c r="C128" t="s">
        <v>14</v>
      </c>
      <c r="D128" t="s">
        <v>22</v>
      </c>
      <c r="E128" t="s">
        <v>16</v>
      </c>
      <c r="F128" t="s">
        <v>31</v>
      </c>
      <c r="G128">
        <v>5</v>
      </c>
      <c r="H128" s="1">
        <v>43492</v>
      </c>
      <c r="I128" s="2">
        <v>0.55972222222222223</v>
      </c>
      <c r="J128" t="s">
        <v>24</v>
      </c>
      <c r="K128">
        <v>8.0625</v>
      </c>
      <c r="L128">
        <v>9</v>
      </c>
    </row>
    <row r="129" spans="1:12" x14ac:dyDescent="0.25">
      <c r="A129" t="s">
        <v>158</v>
      </c>
      <c r="B129" t="s">
        <v>20</v>
      </c>
      <c r="C129" t="s">
        <v>21</v>
      </c>
      <c r="D129" t="s">
        <v>22</v>
      </c>
      <c r="E129" t="s">
        <v>16</v>
      </c>
      <c r="F129" t="s">
        <v>41</v>
      </c>
      <c r="G129">
        <v>9</v>
      </c>
      <c r="H129" s="1">
        <v>43473</v>
      </c>
      <c r="I129" s="2">
        <v>0.67847222222222225</v>
      </c>
      <c r="J129" t="s">
        <v>28</v>
      </c>
      <c r="K129">
        <v>14.278499999999999</v>
      </c>
      <c r="L129">
        <v>5.9</v>
      </c>
    </row>
    <row r="130" spans="1:12" x14ac:dyDescent="0.25">
      <c r="A130" t="s">
        <v>159</v>
      </c>
      <c r="B130" t="s">
        <v>20</v>
      </c>
      <c r="C130" t="s">
        <v>21</v>
      </c>
      <c r="D130" t="s">
        <v>15</v>
      </c>
      <c r="E130" t="s">
        <v>16</v>
      </c>
      <c r="F130" t="s">
        <v>39</v>
      </c>
      <c r="G130">
        <v>8</v>
      </c>
      <c r="H130" s="1">
        <v>43473</v>
      </c>
      <c r="I130" s="2">
        <v>0.6645833333333333</v>
      </c>
      <c r="J130" t="s">
        <v>18</v>
      </c>
      <c r="K130">
        <v>27.416</v>
      </c>
      <c r="L130">
        <v>8.5</v>
      </c>
    </row>
    <row r="131" spans="1:12" x14ac:dyDescent="0.25">
      <c r="A131" t="s">
        <v>160</v>
      </c>
      <c r="B131" t="s">
        <v>37</v>
      </c>
      <c r="C131" t="s">
        <v>38</v>
      </c>
      <c r="D131" t="s">
        <v>22</v>
      </c>
      <c r="E131" t="s">
        <v>16</v>
      </c>
      <c r="F131" t="s">
        <v>31</v>
      </c>
      <c r="G131">
        <v>9</v>
      </c>
      <c r="H131" s="1">
        <v>43504</v>
      </c>
      <c r="I131" s="2">
        <v>0.46875</v>
      </c>
      <c r="J131" t="s">
        <v>18</v>
      </c>
      <c r="K131">
        <v>40.625999999999998</v>
      </c>
      <c r="L131">
        <v>7.2</v>
      </c>
    </row>
    <row r="132" spans="1:12" x14ac:dyDescent="0.25">
      <c r="A132" t="s">
        <v>161</v>
      </c>
      <c r="B132" t="s">
        <v>37</v>
      </c>
      <c r="C132" t="s">
        <v>38</v>
      </c>
      <c r="D132" t="s">
        <v>22</v>
      </c>
      <c r="E132" t="s">
        <v>16</v>
      </c>
      <c r="F132" t="s">
        <v>41</v>
      </c>
      <c r="G132">
        <v>7</v>
      </c>
      <c r="H132" s="1">
        <v>43490</v>
      </c>
      <c r="I132" s="2">
        <v>0.5541666666666667</v>
      </c>
      <c r="J132" t="s">
        <v>24</v>
      </c>
      <c r="K132">
        <v>13.867000000000001</v>
      </c>
      <c r="L132">
        <v>7.5</v>
      </c>
    </row>
    <row r="133" spans="1:12" x14ac:dyDescent="0.25">
      <c r="A133" t="s">
        <v>162</v>
      </c>
      <c r="B133" t="s">
        <v>13</v>
      </c>
      <c r="C133" t="s">
        <v>14</v>
      </c>
      <c r="D133" t="s">
        <v>15</v>
      </c>
      <c r="E133" t="s">
        <v>16</v>
      </c>
      <c r="F133" t="s">
        <v>31</v>
      </c>
      <c r="G133">
        <v>6</v>
      </c>
      <c r="H133" s="1">
        <v>43530</v>
      </c>
      <c r="I133" s="2">
        <v>0.8569444444444444</v>
      </c>
      <c r="J133" t="s">
        <v>24</v>
      </c>
      <c r="K133">
        <v>27.638999999999999</v>
      </c>
      <c r="L133">
        <v>8.3000000000000007</v>
      </c>
    </row>
    <row r="134" spans="1:12" x14ac:dyDescent="0.25">
      <c r="A134" t="s">
        <v>163</v>
      </c>
      <c r="B134" t="s">
        <v>37</v>
      </c>
      <c r="C134" t="s">
        <v>38</v>
      </c>
      <c r="D134" t="s">
        <v>22</v>
      </c>
      <c r="E134" t="s">
        <v>16</v>
      </c>
      <c r="F134" t="s">
        <v>31</v>
      </c>
      <c r="G134">
        <v>4</v>
      </c>
      <c r="H134" s="1">
        <v>43506</v>
      </c>
      <c r="I134" s="2">
        <v>0.77500000000000002</v>
      </c>
      <c r="J134" t="s">
        <v>24</v>
      </c>
      <c r="K134">
        <v>6.968</v>
      </c>
      <c r="L134">
        <v>7.4</v>
      </c>
    </row>
    <row r="135" spans="1:12" x14ac:dyDescent="0.25">
      <c r="A135" t="s">
        <v>164</v>
      </c>
      <c r="B135" t="s">
        <v>37</v>
      </c>
      <c r="C135" t="s">
        <v>38</v>
      </c>
      <c r="D135" t="s">
        <v>15</v>
      </c>
      <c r="E135" t="s">
        <v>26</v>
      </c>
      <c r="F135" t="s">
        <v>23</v>
      </c>
      <c r="G135">
        <v>6</v>
      </c>
      <c r="H135" s="1">
        <v>43513</v>
      </c>
      <c r="I135" s="2">
        <v>0.61111111111111105</v>
      </c>
      <c r="J135" t="s">
        <v>28</v>
      </c>
      <c r="K135">
        <v>26.234999999999999</v>
      </c>
      <c r="L135">
        <v>8.8000000000000007</v>
      </c>
    </row>
    <row r="136" spans="1:12" x14ac:dyDescent="0.25">
      <c r="A136" t="s">
        <v>165</v>
      </c>
      <c r="B136" t="s">
        <v>20</v>
      </c>
      <c r="C136" t="s">
        <v>21</v>
      </c>
      <c r="D136" t="s">
        <v>22</v>
      </c>
      <c r="E136" t="s">
        <v>16</v>
      </c>
      <c r="F136" t="s">
        <v>17</v>
      </c>
      <c r="G136">
        <v>6</v>
      </c>
      <c r="H136" s="1">
        <v>43532</v>
      </c>
      <c r="I136" s="2">
        <v>0.69652777777777775</v>
      </c>
      <c r="J136" t="s">
        <v>18</v>
      </c>
      <c r="K136">
        <v>24.39</v>
      </c>
      <c r="L136">
        <v>5.3</v>
      </c>
    </row>
    <row r="137" spans="1:12" x14ac:dyDescent="0.25">
      <c r="A137" t="s">
        <v>166</v>
      </c>
      <c r="B137" t="s">
        <v>20</v>
      </c>
      <c r="C137" t="s">
        <v>21</v>
      </c>
      <c r="D137" t="s">
        <v>22</v>
      </c>
      <c r="E137" t="s">
        <v>26</v>
      </c>
      <c r="F137" t="s">
        <v>41</v>
      </c>
      <c r="G137">
        <v>3</v>
      </c>
      <c r="H137" s="1">
        <v>43514</v>
      </c>
      <c r="I137" s="2">
        <v>0.81874999999999998</v>
      </c>
      <c r="J137" t="s">
        <v>24</v>
      </c>
      <c r="K137">
        <v>13.532999999999999</v>
      </c>
      <c r="L137">
        <v>6.2</v>
      </c>
    </row>
    <row r="138" spans="1:12" x14ac:dyDescent="0.25">
      <c r="A138" t="s">
        <v>167</v>
      </c>
      <c r="B138" t="s">
        <v>13</v>
      </c>
      <c r="C138" t="s">
        <v>14</v>
      </c>
      <c r="D138" t="s">
        <v>22</v>
      </c>
      <c r="E138" t="s">
        <v>16</v>
      </c>
      <c r="F138" t="s">
        <v>23</v>
      </c>
      <c r="G138">
        <v>5</v>
      </c>
      <c r="H138" s="1">
        <v>43483</v>
      </c>
      <c r="I138" s="2">
        <v>0.87430555555555556</v>
      </c>
      <c r="J138" t="s">
        <v>28</v>
      </c>
      <c r="K138">
        <v>6.5774999999999997</v>
      </c>
      <c r="L138">
        <v>8.8000000000000007</v>
      </c>
    </row>
    <row r="139" spans="1:12" x14ac:dyDescent="0.25">
      <c r="A139" t="s">
        <v>168</v>
      </c>
      <c r="B139" t="s">
        <v>13</v>
      </c>
      <c r="C139" t="s">
        <v>14</v>
      </c>
      <c r="D139" t="s">
        <v>15</v>
      </c>
      <c r="E139" t="s">
        <v>16</v>
      </c>
      <c r="F139" t="s">
        <v>27</v>
      </c>
      <c r="G139">
        <v>6</v>
      </c>
      <c r="H139" s="1">
        <v>43514</v>
      </c>
      <c r="I139" s="2">
        <v>0.65208333333333335</v>
      </c>
      <c r="J139" t="s">
        <v>24</v>
      </c>
      <c r="K139">
        <v>10.326000000000001</v>
      </c>
      <c r="L139">
        <v>9.8000000000000007</v>
      </c>
    </row>
    <row r="140" spans="1:12" x14ac:dyDescent="0.25">
      <c r="A140" t="s">
        <v>169</v>
      </c>
      <c r="B140" t="s">
        <v>37</v>
      </c>
      <c r="C140" t="s">
        <v>38</v>
      </c>
      <c r="D140" t="s">
        <v>22</v>
      </c>
      <c r="E140" t="s">
        <v>26</v>
      </c>
      <c r="F140" t="s">
        <v>31</v>
      </c>
      <c r="G140">
        <v>10</v>
      </c>
      <c r="H140" s="1">
        <v>43512</v>
      </c>
      <c r="I140" s="2">
        <v>0.51458333333333328</v>
      </c>
      <c r="J140" t="s">
        <v>24</v>
      </c>
      <c r="K140">
        <v>25.954999999999998</v>
      </c>
      <c r="L140">
        <v>8.1999999999999993</v>
      </c>
    </row>
    <row r="141" spans="1:12" x14ac:dyDescent="0.25">
      <c r="A141" t="s">
        <v>170</v>
      </c>
      <c r="B141" t="s">
        <v>13</v>
      </c>
      <c r="C141" t="s">
        <v>14</v>
      </c>
      <c r="D141" t="s">
        <v>22</v>
      </c>
      <c r="E141" t="s">
        <v>26</v>
      </c>
      <c r="F141" t="s">
        <v>31</v>
      </c>
      <c r="G141">
        <v>8</v>
      </c>
      <c r="H141" s="1">
        <v>43540</v>
      </c>
      <c r="I141" s="2">
        <v>0.80902777777777779</v>
      </c>
      <c r="J141" t="s">
        <v>18</v>
      </c>
      <c r="K141">
        <v>29</v>
      </c>
      <c r="L141">
        <v>9.1999999999999993</v>
      </c>
    </row>
    <row r="142" spans="1:12" x14ac:dyDescent="0.25">
      <c r="A142" t="s">
        <v>171</v>
      </c>
      <c r="B142" t="s">
        <v>20</v>
      </c>
      <c r="C142" t="s">
        <v>21</v>
      </c>
      <c r="D142" t="s">
        <v>15</v>
      </c>
      <c r="E142" t="s">
        <v>16</v>
      </c>
      <c r="F142" t="s">
        <v>31</v>
      </c>
      <c r="G142">
        <v>10</v>
      </c>
      <c r="H142" s="1">
        <v>43488</v>
      </c>
      <c r="I142" s="2">
        <v>0.54166666666666663</v>
      </c>
      <c r="J142" t="s">
        <v>28</v>
      </c>
      <c r="K142">
        <v>44.9</v>
      </c>
      <c r="L142">
        <v>5.4</v>
      </c>
    </row>
    <row r="143" spans="1:12" x14ac:dyDescent="0.25">
      <c r="A143" t="s">
        <v>172</v>
      </c>
      <c r="B143" t="s">
        <v>20</v>
      </c>
      <c r="C143" t="s">
        <v>21</v>
      </c>
      <c r="D143" t="s">
        <v>15</v>
      </c>
      <c r="E143" t="s">
        <v>26</v>
      </c>
      <c r="F143" t="s">
        <v>17</v>
      </c>
      <c r="G143">
        <v>10</v>
      </c>
      <c r="H143" s="1">
        <v>43490</v>
      </c>
      <c r="I143" s="2">
        <v>0.57500000000000007</v>
      </c>
      <c r="J143" t="s">
        <v>24</v>
      </c>
      <c r="K143">
        <v>45.25</v>
      </c>
      <c r="L143">
        <v>8.1</v>
      </c>
    </row>
    <row r="144" spans="1:12" x14ac:dyDescent="0.25">
      <c r="A144" t="s">
        <v>173</v>
      </c>
      <c r="B144" t="s">
        <v>20</v>
      </c>
      <c r="C144" t="s">
        <v>21</v>
      </c>
      <c r="D144" t="s">
        <v>15</v>
      </c>
      <c r="E144" t="s">
        <v>16</v>
      </c>
      <c r="F144" t="s">
        <v>17</v>
      </c>
      <c r="G144">
        <v>10</v>
      </c>
      <c r="H144" s="1">
        <v>43501</v>
      </c>
      <c r="I144" s="2">
        <v>0.83124999999999993</v>
      </c>
      <c r="J144" t="s">
        <v>24</v>
      </c>
      <c r="K144">
        <v>34.299999999999997</v>
      </c>
      <c r="L144">
        <v>9.1</v>
      </c>
    </row>
    <row r="145" spans="1:12" x14ac:dyDescent="0.25">
      <c r="A145" t="s">
        <v>174</v>
      </c>
      <c r="B145" t="s">
        <v>20</v>
      </c>
      <c r="C145" t="s">
        <v>21</v>
      </c>
      <c r="D145" t="s">
        <v>15</v>
      </c>
      <c r="E145" t="s">
        <v>16</v>
      </c>
      <c r="F145" t="s">
        <v>39</v>
      </c>
      <c r="G145">
        <v>1</v>
      </c>
      <c r="H145" s="1">
        <v>43518</v>
      </c>
      <c r="I145" s="2">
        <v>0.44166666666666665</v>
      </c>
      <c r="J145" t="s">
        <v>28</v>
      </c>
      <c r="K145">
        <v>1.5205</v>
      </c>
      <c r="L145">
        <v>8.4</v>
      </c>
    </row>
    <row r="146" spans="1:12" x14ac:dyDescent="0.25">
      <c r="A146" t="s">
        <v>175</v>
      </c>
      <c r="B146" t="s">
        <v>13</v>
      </c>
      <c r="C146" t="s">
        <v>14</v>
      </c>
      <c r="D146" t="s">
        <v>22</v>
      </c>
      <c r="E146" t="s">
        <v>16</v>
      </c>
      <c r="F146" t="s">
        <v>27</v>
      </c>
      <c r="G146">
        <v>6</v>
      </c>
      <c r="H146" s="1">
        <v>43486</v>
      </c>
      <c r="I146" s="2">
        <v>0.69236111111111109</v>
      </c>
      <c r="J146" t="s">
        <v>18</v>
      </c>
      <c r="K146">
        <v>23.385000000000002</v>
      </c>
      <c r="L146">
        <v>8</v>
      </c>
    </row>
    <row r="147" spans="1:12" x14ac:dyDescent="0.25">
      <c r="A147" t="s">
        <v>176</v>
      </c>
      <c r="B147" t="s">
        <v>20</v>
      </c>
      <c r="C147" t="s">
        <v>21</v>
      </c>
      <c r="D147" t="s">
        <v>22</v>
      </c>
      <c r="E147" t="s">
        <v>16</v>
      </c>
      <c r="F147" t="s">
        <v>17</v>
      </c>
      <c r="G147">
        <v>6</v>
      </c>
      <c r="H147" s="1">
        <v>43532</v>
      </c>
      <c r="I147" s="2">
        <v>0.71597222222222223</v>
      </c>
      <c r="J147" t="s">
        <v>28</v>
      </c>
      <c r="K147">
        <v>13.878</v>
      </c>
      <c r="L147">
        <v>9.5</v>
      </c>
    </row>
    <row r="148" spans="1:12" x14ac:dyDescent="0.25">
      <c r="A148" t="s">
        <v>177</v>
      </c>
      <c r="B148" t="s">
        <v>13</v>
      </c>
      <c r="C148" t="s">
        <v>14</v>
      </c>
      <c r="D148" t="s">
        <v>15</v>
      </c>
      <c r="E148" t="s">
        <v>16</v>
      </c>
      <c r="F148" t="s">
        <v>41</v>
      </c>
      <c r="G148">
        <v>10</v>
      </c>
      <c r="H148" s="1">
        <v>43506</v>
      </c>
      <c r="I148" s="2">
        <v>0.51944444444444449</v>
      </c>
      <c r="J148" t="s">
        <v>18</v>
      </c>
      <c r="K148">
        <v>15.07</v>
      </c>
      <c r="L148">
        <v>9.1999999999999993</v>
      </c>
    </row>
    <row r="149" spans="1:12" x14ac:dyDescent="0.25">
      <c r="A149" t="s">
        <v>178</v>
      </c>
      <c r="B149" t="s">
        <v>20</v>
      </c>
      <c r="C149" t="s">
        <v>21</v>
      </c>
      <c r="D149" t="s">
        <v>22</v>
      </c>
      <c r="E149" t="s">
        <v>26</v>
      </c>
      <c r="F149" t="s">
        <v>17</v>
      </c>
      <c r="G149">
        <v>4</v>
      </c>
      <c r="H149" s="1">
        <v>43543</v>
      </c>
      <c r="I149" s="2">
        <v>0.53194444444444444</v>
      </c>
      <c r="J149" t="s">
        <v>28</v>
      </c>
      <c r="K149">
        <v>13.228</v>
      </c>
      <c r="L149">
        <v>5.6</v>
      </c>
    </row>
    <row r="150" spans="1:12" x14ac:dyDescent="0.25">
      <c r="A150" t="s">
        <v>179</v>
      </c>
      <c r="B150" t="s">
        <v>37</v>
      </c>
      <c r="C150" t="s">
        <v>38</v>
      </c>
      <c r="D150" t="s">
        <v>15</v>
      </c>
      <c r="E150" t="s">
        <v>26</v>
      </c>
      <c r="F150" t="s">
        <v>27</v>
      </c>
      <c r="G150">
        <v>8</v>
      </c>
      <c r="H150" s="1">
        <v>43530</v>
      </c>
      <c r="I150" s="2">
        <v>0.62986111111111109</v>
      </c>
      <c r="J150" t="s">
        <v>28</v>
      </c>
      <c r="K150">
        <v>28.744</v>
      </c>
      <c r="L150">
        <v>6.2</v>
      </c>
    </row>
    <row r="151" spans="1:12" x14ac:dyDescent="0.25">
      <c r="A151" t="s">
        <v>180</v>
      </c>
      <c r="B151" t="s">
        <v>13</v>
      </c>
      <c r="C151" t="s">
        <v>14</v>
      </c>
      <c r="D151" t="s">
        <v>22</v>
      </c>
      <c r="E151" t="s">
        <v>26</v>
      </c>
      <c r="F151" t="s">
        <v>17</v>
      </c>
      <c r="G151">
        <v>8</v>
      </c>
      <c r="H151" s="1">
        <v>43551</v>
      </c>
      <c r="I151" s="2">
        <v>0.57500000000000007</v>
      </c>
      <c r="J151" t="s">
        <v>28</v>
      </c>
      <c r="K151">
        <v>12.984</v>
      </c>
      <c r="L151">
        <v>4.9000000000000004</v>
      </c>
    </row>
    <row r="152" spans="1:12" x14ac:dyDescent="0.25">
      <c r="A152" t="s">
        <v>181</v>
      </c>
      <c r="B152" t="s">
        <v>37</v>
      </c>
      <c r="C152" t="s">
        <v>38</v>
      </c>
      <c r="D152" t="s">
        <v>15</v>
      </c>
      <c r="E152" t="s">
        <v>16</v>
      </c>
      <c r="F152" t="s">
        <v>41</v>
      </c>
      <c r="G152">
        <v>4</v>
      </c>
      <c r="H152" s="1">
        <v>43547</v>
      </c>
      <c r="I152" s="2">
        <v>0.80555555555555547</v>
      </c>
      <c r="J152" t="s">
        <v>28</v>
      </c>
      <c r="K152">
        <v>18.308</v>
      </c>
      <c r="L152">
        <v>4.8</v>
      </c>
    </row>
    <row r="153" spans="1:12" x14ac:dyDescent="0.25">
      <c r="A153" t="s">
        <v>182</v>
      </c>
      <c r="B153" t="s">
        <v>20</v>
      </c>
      <c r="C153" t="s">
        <v>21</v>
      </c>
      <c r="D153" t="s">
        <v>15</v>
      </c>
      <c r="E153" t="s">
        <v>26</v>
      </c>
      <c r="F153" t="s">
        <v>31</v>
      </c>
      <c r="G153">
        <v>7</v>
      </c>
      <c r="H153" s="1">
        <v>43535</v>
      </c>
      <c r="I153" s="2">
        <v>0.67152777777777783</v>
      </c>
      <c r="J153" t="s">
        <v>28</v>
      </c>
      <c r="K153">
        <v>12.096</v>
      </c>
      <c r="L153">
        <v>7.3</v>
      </c>
    </row>
    <row r="154" spans="1:12" x14ac:dyDescent="0.25">
      <c r="A154" t="s">
        <v>183</v>
      </c>
      <c r="B154" t="s">
        <v>13</v>
      </c>
      <c r="C154" t="s">
        <v>14</v>
      </c>
      <c r="D154" t="s">
        <v>22</v>
      </c>
      <c r="E154" t="s">
        <v>26</v>
      </c>
      <c r="F154" t="s">
        <v>41</v>
      </c>
      <c r="G154">
        <v>9</v>
      </c>
      <c r="H154" s="1">
        <v>43494</v>
      </c>
      <c r="I154" s="2">
        <v>0.49722222222222223</v>
      </c>
      <c r="J154" t="s">
        <v>28</v>
      </c>
      <c r="K154">
        <v>37.457999999999998</v>
      </c>
      <c r="L154">
        <v>7.4</v>
      </c>
    </row>
    <row r="155" spans="1:12" x14ac:dyDescent="0.25">
      <c r="A155" t="s">
        <v>184</v>
      </c>
      <c r="B155" t="s">
        <v>20</v>
      </c>
      <c r="C155" t="s">
        <v>21</v>
      </c>
      <c r="D155" t="s">
        <v>22</v>
      </c>
      <c r="E155" t="s">
        <v>16</v>
      </c>
      <c r="F155" t="s">
        <v>39</v>
      </c>
      <c r="G155">
        <v>6</v>
      </c>
      <c r="H155" s="1">
        <v>43503</v>
      </c>
      <c r="I155" s="2">
        <v>0.76597222222222217</v>
      </c>
      <c r="J155" t="s">
        <v>18</v>
      </c>
      <c r="K155">
        <v>4.944</v>
      </c>
      <c r="L155">
        <v>9.9</v>
      </c>
    </row>
    <row r="156" spans="1:12" x14ac:dyDescent="0.25">
      <c r="A156" t="s">
        <v>185</v>
      </c>
      <c r="B156" t="s">
        <v>20</v>
      </c>
      <c r="C156" t="s">
        <v>21</v>
      </c>
      <c r="D156" t="s">
        <v>22</v>
      </c>
      <c r="E156" t="s">
        <v>16</v>
      </c>
      <c r="F156" t="s">
        <v>31</v>
      </c>
      <c r="G156">
        <v>8</v>
      </c>
      <c r="H156" s="1">
        <v>43493</v>
      </c>
      <c r="I156" s="2">
        <v>0.54513888888888895</v>
      </c>
      <c r="J156" t="s">
        <v>24</v>
      </c>
      <c r="K156">
        <v>32.387999999999998</v>
      </c>
      <c r="L156">
        <v>9.3000000000000007</v>
      </c>
    </row>
    <row r="157" spans="1:12" x14ac:dyDescent="0.25">
      <c r="A157" t="s">
        <v>186</v>
      </c>
      <c r="B157" t="s">
        <v>13</v>
      </c>
      <c r="C157" t="s">
        <v>14</v>
      </c>
      <c r="D157" t="s">
        <v>15</v>
      </c>
      <c r="E157" t="s">
        <v>26</v>
      </c>
      <c r="F157" t="s">
        <v>39</v>
      </c>
      <c r="G157">
        <v>5</v>
      </c>
      <c r="H157" s="1">
        <v>43516</v>
      </c>
      <c r="I157" s="2">
        <v>0.66319444444444442</v>
      </c>
      <c r="J157" t="s">
        <v>28</v>
      </c>
      <c r="K157">
        <v>23.072500000000002</v>
      </c>
      <c r="L157">
        <v>9</v>
      </c>
    </row>
    <row r="158" spans="1:12" x14ac:dyDescent="0.25">
      <c r="A158" t="s">
        <v>187</v>
      </c>
      <c r="B158" t="s">
        <v>37</v>
      </c>
      <c r="C158" t="s">
        <v>38</v>
      </c>
      <c r="D158" t="s">
        <v>15</v>
      </c>
      <c r="E158" t="s">
        <v>26</v>
      </c>
      <c r="F158" t="s">
        <v>23</v>
      </c>
      <c r="G158">
        <v>1</v>
      </c>
      <c r="H158" s="1">
        <v>43469</v>
      </c>
      <c r="I158" s="2">
        <v>0.81944444444444453</v>
      </c>
      <c r="J158" t="s">
        <v>24</v>
      </c>
      <c r="K158">
        <v>3.6084999999999998</v>
      </c>
      <c r="L158">
        <v>6.1</v>
      </c>
    </row>
    <row r="159" spans="1:12" x14ac:dyDescent="0.25">
      <c r="A159" t="s">
        <v>188</v>
      </c>
      <c r="B159" t="s">
        <v>37</v>
      </c>
      <c r="C159" t="s">
        <v>38</v>
      </c>
      <c r="D159" t="s">
        <v>22</v>
      </c>
      <c r="E159" t="s">
        <v>26</v>
      </c>
      <c r="F159" t="s">
        <v>27</v>
      </c>
      <c r="G159">
        <v>5</v>
      </c>
      <c r="H159" s="1">
        <v>43531</v>
      </c>
      <c r="I159" s="2">
        <v>0.58194444444444449</v>
      </c>
      <c r="J159" t="s">
        <v>18</v>
      </c>
      <c r="K159">
        <v>12.57</v>
      </c>
      <c r="L159">
        <v>9.6999999999999993</v>
      </c>
    </row>
    <row r="160" spans="1:12" x14ac:dyDescent="0.25">
      <c r="A160" t="s">
        <v>189</v>
      </c>
      <c r="B160" t="s">
        <v>37</v>
      </c>
      <c r="C160" t="s">
        <v>38</v>
      </c>
      <c r="D160" t="s">
        <v>15</v>
      </c>
      <c r="E160" t="s">
        <v>26</v>
      </c>
      <c r="F160" t="s">
        <v>17</v>
      </c>
      <c r="G160">
        <v>9</v>
      </c>
      <c r="H160" s="1">
        <v>43554</v>
      </c>
      <c r="I160" s="2">
        <v>0.61319444444444449</v>
      </c>
      <c r="J160" t="s">
        <v>18</v>
      </c>
      <c r="K160">
        <v>43.749000000000002</v>
      </c>
      <c r="L160">
        <v>6</v>
      </c>
    </row>
    <row r="161" spans="1:12" x14ac:dyDescent="0.25">
      <c r="A161" t="s">
        <v>190</v>
      </c>
      <c r="B161" t="s">
        <v>37</v>
      </c>
      <c r="C161" t="s">
        <v>38</v>
      </c>
      <c r="D161" t="s">
        <v>22</v>
      </c>
      <c r="E161" t="s">
        <v>26</v>
      </c>
      <c r="F161" t="s">
        <v>31</v>
      </c>
      <c r="G161">
        <v>6</v>
      </c>
      <c r="H161" s="1">
        <v>43551</v>
      </c>
      <c r="I161" s="2">
        <v>0.8041666666666667</v>
      </c>
      <c r="J161" t="s">
        <v>18</v>
      </c>
      <c r="K161">
        <v>28.016999999999999</v>
      </c>
      <c r="L161">
        <v>10</v>
      </c>
    </row>
    <row r="162" spans="1:12" x14ac:dyDescent="0.25">
      <c r="A162" t="s">
        <v>191</v>
      </c>
      <c r="B162" t="s">
        <v>20</v>
      </c>
      <c r="C162" t="s">
        <v>21</v>
      </c>
      <c r="D162" t="s">
        <v>22</v>
      </c>
      <c r="E162" t="s">
        <v>16</v>
      </c>
      <c r="F162" t="s">
        <v>39</v>
      </c>
      <c r="G162">
        <v>8</v>
      </c>
      <c r="H162" s="1">
        <v>43484</v>
      </c>
      <c r="I162" s="2">
        <v>0.81874999999999998</v>
      </c>
      <c r="J162" t="s">
        <v>28</v>
      </c>
      <c r="K162">
        <v>17.271999999999998</v>
      </c>
      <c r="L162">
        <v>8.3000000000000007</v>
      </c>
    </row>
    <row r="163" spans="1:12" x14ac:dyDescent="0.25">
      <c r="A163" t="s">
        <v>192</v>
      </c>
      <c r="B163" t="s">
        <v>13</v>
      </c>
      <c r="C163" t="s">
        <v>14</v>
      </c>
      <c r="D163" t="s">
        <v>22</v>
      </c>
      <c r="E163" t="s">
        <v>26</v>
      </c>
      <c r="F163" t="s">
        <v>31</v>
      </c>
      <c r="G163">
        <v>1</v>
      </c>
      <c r="H163" s="1">
        <v>43521</v>
      </c>
      <c r="I163" s="2">
        <v>0.68125000000000002</v>
      </c>
      <c r="J163" t="s">
        <v>24</v>
      </c>
      <c r="K163">
        <v>3.1844999999999999</v>
      </c>
      <c r="L163">
        <v>6</v>
      </c>
    </row>
    <row r="164" spans="1:12" x14ac:dyDescent="0.25">
      <c r="A164" t="s">
        <v>193</v>
      </c>
      <c r="B164" t="s">
        <v>13</v>
      </c>
      <c r="C164" t="s">
        <v>14</v>
      </c>
      <c r="D164" t="s">
        <v>22</v>
      </c>
      <c r="E164" t="s">
        <v>26</v>
      </c>
      <c r="F164" t="s">
        <v>39</v>
      </c>
      <c r="G164">
        <v>7</v>
      </c>
      <c r="H164" s="1">
        <v>43537</v>
      </c>
      <c r="I164" s="2">
        <v>0.8222222222222223</v>
      </c>
      <c r="J164" t="s">
        <v>28</v>
      </c>
      <c r="K164">
        <v>16.026499999999999</v>
      </c>
      <c r="L164">
        <v>7</v>
      </c>
    </row>
    <row r="165" spans="1:12" x14ac:dyDescent="0.25">
      <c r="A165" t="s">
        <v>194</v>
      </c>
      <c r="B165" t="s">
        <v>20</v>
      </c>
      <c r="C165" t="s">
        <v>21</v>
      </c>
      <c r="D165" t="s">
        <v>22</v>
      </c>
      <c r="E165" t="s">
        <v>26</v>
      </c>
      <c r="F165" t="s">
        <v>31</v>
      </c>
      <c r="G165">
        <v>2</v>
      </c>
      <c r="H165" s="1">
        <v>43495</v>
      </c>
      <c r="I165" s="2">
        <v>0.8208333333333333</v>
      </c>
      <c r="J165" t="s">
        <v>18</v>
      </c>
      <c r="K165">
        <v>7.64</v>
      </c>
      <c r="L165">
        <v>6.5</v>
      </c>
    </row>
    <row r="166" spans="1:12" x14ac:dyDescent="0.25">
      <c r="A166" t="s">
        <v>195</v>
      </c>
      <c r="B166" t="s">
        <v>37</v>
      </c>
      <c r="C166" t="s">
        <v>38</v>
      </c>
      <c r="D166" t="s">
        <v>22</v>
      </c>
      <c r="E166" t="s">
        <v>26</v>
      </c>
      <c r="F166" t="s">
        <v>39</v>
      </c>
      <c r="G166">
        <v>10</v>
      </c>
      <c r="H166" s="1">
        <v>43516</v>
      </c>
      <c r="I166" s="2">
        <v>0.64166666666666672</v>
      </c>
      <c r="J166" t="s">
        <v>28</v>
      </c>
      <c r="K166">
        <v>19.95</v>
      </c>
      <c r="L166">
        <v>5.9</v>
      </c>
    </row>
    <row r="167" spans="1:12" x14ac:dyDescent="0.25">
      <c r="A167" t="s">
        <v>196</v>
      </c>
      <c r="B167" t="s">
        <v>37</v>
      </c>
      <c r="C167" t="s">
        <v>38</v>
      </c>
      <c r="D167" t="s">
        <v>15</v>
      </c>
      <c r="E167" t="s">
        <v>26</v>
      </c>
      <c r="F167" t="s">
        <v>17</v>
      </c>
      <c r="G167">
        <v>8</v>
      </c>
      <c r="H167" s="1">
        <v>43521</v>
      </c>
      <c r="I167" s="2">
        <v>0.59166666666666667</v>
      </c>
      <c r="J167" t="s">
        <v>18</v>
      </c>
      <c r="K167">
        <v>17.027999999999999</v>
      </c>
      <c r="L167">
        <v>5.6</v>
      </c>
    </row>
    <row r="168" spans="1:12" x14ac:dyDescent="0.25">
      <c r="A168" t="s">
        <v>197</v>
      </c>
      <c r="B168" t="s">
        <v>20</v>
      </c>
      <c r="C168" t="s">
        <v>21</v>
      </c>
      <c r="D168" t="s">
        <v>22</v>
      </c>
      <c r="E168" t="s">
        <v>26</v>
      </c>
      <c r="F168" t="s">
        <v>27</v>
      </c>
      <c r="G168">
        <v>10</v>
      </c>
      <c r="H168" s="1">
        <v>43481</v>
      </c>
      <c r="I168" s="2">
        <v>0.56388888888888888</v>
      </c>
      <c r="J168" t="s">
        <v>24</v>
      </c>
      <c r="K168">
        <v>47.79</v>
      </c>
      <c r="L168">
        <v>4.8</v>
      </c>
    </row>
    <row r="169" spans="1:12" x14ac:dyDescent="0.25">
      <c r="A169" t="s">
        <v>198</v>
      </c>
      <c r="B169" t="s">
        <v>13</v>
      </c>
      <c r="C169" t="s">
        <v>14</v>
      </c>
      <c r="D169" t="s">
        <v>22</v>
      </c>
      <c r="E169" t="s">
        <v>26</v>
      </c>
      <c r="F169" t="s">
        <v>41</v>
      </c>
      <c r="G169">
        <v>10</v>
      </c>
      <c r="H169" s="1">
        <v>43504</v>
      </c>
      <c r="I169" s="2">
        <v>0.68055555555555547</v>
      </c>
      <c r="J169" t="s">
        <v>28</v>
      </c>
      <c r="K169">
        <v>49.49</v>
      </c>
      <c r="L169">
        <v>8.6999999999999993</v>
      </c>
    </row>
    <row r="170" spans="1:12" x14ac:dyDescent="0.25">
      <c r="A170" t="s">
        <v>199</v>
      </c>
      <c r="B170" t="s">
        <v>13</v>
      </c>
      <c r="C170" t="s">
        <v>14</v>
      </c>
      <c r="D170" t="s">
        <v>22</v>
      </c>
      <c r="E170" t="s">
        <v>26</v>
      </c>
      <c r="F170" t="s">
        <v>39</v>
      </c>
      <c r="G170">
        <v>6</v>
      </c>
      <c r="H170" s="1">
        <v>43484</v>
      </c>
      <c r="I170" s="2">
        <v>0.68819444444444444</v>
      </c>
      <c r="J170" t="s">
        <v>24</v>
      </c>
      <c r="K170">
        <v>15.384</v>
      </c>
      <c r="L170">
        <v>6.5</v>
      </c>
    </row>
    <row r="171" spans="1:12" x14ac:dyDescent="0.25">
      <c r="A171" t="s">
        <v>200</v>
      </c>
      <c r="B171" t="s">
        <v>13</v>
      </c>
      <c r="C171" t="s">
        <v>14</v>
      </c>
      <c r="D171" t="s">
        <v>15</v>
      </c>
      <c r="E171" t="s">
        <v>26</v>
      </c>
      <c r="F171" t="s">
        <v>31</v>
      </c>
      <c r="G171">
        <v>7</v>
      </c>
      <c r="H171" s="1">
        <v>43497</v>
      </c>
      <c r="I171" s="2">
        <v>0.63194444444444442</v>
      </c>
      <c r="J171" t="s">
        <v>28</v>
      </c>
      <c r="K171">
        <v>24.332000000000001</v>
      </c>
      <c r="L171">
        <v>8.5</v>
      </c>
    </row>
    <row r="172" spans="1:12" x14ac:dyDescent="0.25">
      <c r="A172" t="s">
        <v>201</v>
      </c>
      <c r="B172" t="s">
        <v>13</v>
      </c>
      <c r="C172" t="s">
        <v>14</v>
      </c>
      <c r="D172" t="s">
        <v>22</v>
      </c>
      <c r="E172" t="s">
        <v>26</v>
      </c>
      <c r="F172" t="s">
        <v>17</v>
      </c>
      <c r="G172">
        <v>5</v>
      </c>
      <c r="H172" s="1">
        <v>43468</v>
      </c>
      <c r="I172" s="2">
        <v>0.48333333333333334</v>
      </c>
      <c r="J172" t="s">
        <v>18</v>
      </c>
      <c r="K172">
        <v>17.502500000000001</v>
      </c>
      <c r="L172">
        <v>5.5</v>
      </c>
    </row>
    <row r="173" spans="1:12" x14ac:dyDescent="0.25">
      <c r="A173" t="s">
        <v>202</v>
      </c>
      <c r="B173" t="s">
        <v>37</v>
      </c>
      <c r="C173" t="s">
        <v>38</v>
      </c>
      <c r="D173" t="s">
        <v>15</v>
      </c>
      <c r="E173" t="s">
        <v>26</v>
      </c>
      <c r="F173" t="s">
        <v>39</v>
      </c>
      <c r="G173">
        <v>5</v>
      </c>
      <c r="H173" s="1">
        <v>43491</v>
      </c>
      <c r="I173" s="2">
        <v>0.53125</v>
      </c>
      <c r="J173" t="s">
        <v>28</v>
      </c>
      <c r="K173">
        <v>20.012499999999999</v>
      </c>
      <c r="L173">
        <v>9.4</v>
      </c>
    </row>
    <row r="174" spans="1:12" x14ac:dyDescent="0.25">
      <c r="A174" t="s">
        <v>203</v>
      </c>
      <c r="B174" t="s">
        <v>20</v>
      </c>
      <c r="C174" t="s">
        <v>21</v>
      </c>
      <c r="D174" t="s">
        <v>22</v>
      </c>
      <c r="E174" t="s">
        <v>26</v>
      </c>
      <c r="F174" t="s">
        <v>23</v>
      </c>
      <c r="G174">
        <v>8</v>
      </c>
      <c r="H174" s="1">
        <v>43527</v>
      </c>
      <c r="I174" s="2">
        <v>0.80347222222222225</v>
      </c>
      <c r="J174" t="s">
        <v>24</v>
      </c>
      <c r="K174">
        <v>8.34</v>
      </c>
      <c r="L174">
        <v>6.3</v>
      </c>
    </row>
    <row r="175" spans="1:12" x14ac:dyDescent="0.25">
      <c r="A175" t="s">
        <v>204</v>
      </c>
      <c r="B175" t="s">
        <v>37</v>
      </c>
      <c r="C175" t="s">
        <v>38</v>
      </c>
      <c r="D175" t="s">
        <v>15</v>
      </c>
      <c r="E175" t="s">
        <v>26</v>
      </c>
      <c r="F175" t="s">
        <v>23</v>
      </c>
      <c r="G175">
        <v>6</v>
      </c>
      <c r="H175" s="1">
        <v>43484</v>
      </c>
      <c r="I175" s="2">
        <v>0.7319444444444444</v>
      </c>
      <c r="J175" t="s">
        <v>28</v>
      </c>
      <c r="K175">
        <v>15.867000000000001</v>
      </c>
      <c r="L175">
        <v>9.8000000000000007</v>
      </c>
    </row>
    <row r="176" spans="1:12" x14ac:dyDescent="0.25">
      <c r="A176" t="s">
        <v>205</v>
      </c>
      <c r="B176" t="s">
        <v>37</v>
      </c>
      <c r="C176" t="s">
        <v>38</v>
      </c>
      <c r="D176" t="s">
        <v>22</v>
      </c>
      <c r="E176" t="s">
        <v>26</v>
      </c>
      <c r="F176" t="s">
        <v>39</v>
      </c>
      <c r="G176">
        <v>8</v>
      </c>
      <c r="H176" s="1">
        <v>43483</v>
      </c>
      <c r="I176" s="2">
        <v>0.50277777777777777</v>
      </c>
      <c r="J176" t="s">
        <v>18</v>
      </c>
      <c r="K176">
        <v>7.9160000000000004</v>
      </c>
      <c r="L176">
        <v>8.6999999999999993</v>
      </c>
    </row>
    <row r="177" spans="1:12" x14ac:dyDescent="0.25">
      <c r="A177" t="s">
        <v>206</v>
      </c>
      <c r="B177" t="s">
        <v>13</v>
      </c>
      <c r="C177" t="s">
        <v>14</v>
      </c>
      <c r="D177" t="s">
        <v>15</v>
      </c>
      <c r="E177" t="s">
        <v>26</v>
      </c>
      <c r="F177" t="s">
        <v>27</v>
      </c>
      <c r="G177">
        <v>9</v>
      </c>
      <c r="H177" s="1">
        <v>43545</v>
      </c>
      <c r="I177" s="2">
        <v>0.68125000000000002</v>
      </c>
      <c r="J177" t="s">
        <v>18</v>
      </c>
      <c r="K177">
        <v>15.228</v>
      </c>
      <c r="L177">
        <v>8.8000000000000007</v>
      </c>
    </row>
    <row r="178" spans="1:12" x14ac:dyDescent="0.25">
      <c r="A178" t="s">
        <v>207</v>
      </c>
      <c r="B178" t="s">
        <v>13</v>
      </c>
      <c r="C178" t="s">
        <v>14</v>
      </c>
      <c r="D178" t="s">
        <v>15</v>
      </c>
      <c r="E178" t="s">
        <v>26</v>
      </c>
      <c r="F178" t="s">
        <v>39</v>
      </c>
      <c r="G178">
        <v>8</v>
      </c>
      <c r="H178" s="1">
        <v>43527</v>
      </c>
      <c r="I178" s="2">
        <v>0.7090277777777777</v>
      </c>
      <c r="J178" t="s">
        <v>28</v>
      </c>
      <c r="K178">
        <v>8.8680000000000003</v>
      </c>
      <c r="L178">
        <v>9.6</v>
      </c>
    </row>
    <row r="179" spans="1:12" x14ac:dyDescent="0.25">
      <c r="A179" t="s">
        <v>208</v>
      </c>
      <c r="B179" t="s">
        <v>20</v>
      </c>
      <c r="C179" t="s">
        <v>21</v>
      </c>
      <c r="D179" t="s">
        <v>22</v>
      </c>
      <c r="E179" t="s">
        <v>16</v>
      </c>
      <c r="F179" t="s">
        <v>41</v>
      </c>
      <c r="G179">
        <v>7</v>
      </c>
      <c r="H179" s="1">
        <v>43509</v>
      </c>
      <c r="I179" s="2">
        <v>0.4513888888888889</v>
      </c>
      <c r="J179" t="s">
        <v>28</v>
      </c>
      <c r="K179">
        <v>7.8784999999999998</v>
      </c>
      <c r="L179">
        <v>4.8</v>
      </c>
    </row>
    <row r="180" spans="1:12" x14ac:dyDescent="0.25">
      <c r="A180" t="s">
        <v>209</v>
      </c>
      <c r="B180" t="s">
        <v>13</v>
      </c>
      <c r="C180" t="s">
        <v>14</v>
      </c>
      <c r="D180" t="s">
        <v>22</v>
      </c>
      <c r="E180" t="s">
        <v>26</v>
      </c>
      <c r="F180" t="s">
        <v>39</v>
      </c>
      <c r="G180">
        <v>6</v>
      </c>
      <c r="H180" s="1">
        <v>43547</v>
      </c>
      <c r="I180" s="2">
        <v>0.8027777777777777</v>
      </c>
      <c r="J180" t="s">
        <v>18</v>
      </c>
      <c r="K180">
        <v>22.164000000000001</v>
      </c>
      <c r="L180">
        <v>4.4000000000000004</v>
      </c>
    </row>
    <row r="181" spans="1:12" x14ac:dyDescent="0.25">
      <c r="A181" t="s">
        <v>210</v>
      </c>
      <c r="B181" t="s">
        <v>20</v>
      </c>
      <c r="C181" t="s">
        <v>21</v>
      </c>
      <c r="D181" t="s">
        <v>15</v>
      </c>
      <c r="E181" t="s">
        <v>26</v>
      </c>
      <c r="F181" t="s">
        <v>17</v>
      </c>
      <c r="G181">
        <v>3</v>
      </c>
      <c r="H181" s="1">
        <v>43493</v>
      </c>
      <c r="I181" s="2">
        <v>0.69930555555555562</v>
      </c>
      <c r="J181" t="s">
        <v>18</v>
      </c>
      <c r="K181">
        <v>13.02</v>
      </c>
      <c r="L181">
        <v>9.9</v>
      </c>
    </row>
    <row r="182" spans="1:12" x14ac:dyDescent="0.25">
      <c r="A182" t="s">
        <v>211</v>
      </c>
      <c r="B182" t="s">
        <v>20</v>
      </c>
      <c r="C182" t="s">
        <v>21</v>
      </c>
      <c r="D182" t="s">
        <v>22</v>
      </c>
      <c r="E182" t="s">
        <v>26</v>
      </c>
      <c r="F182" t="s">
        <v>41</v>
      </c>
      <c r="G182">
        <v>7</v>
      </c>
      <c r="H182" s="1">
        <v>43505</v>
      </c>
      <c r="I182" s="2">
        <v>0.41666666666666669</v>
      </c>
      <c r="J182" t="s">
        <v>24</v>
      </c>
      <c r="K182">
        <v>22.491</v>
      </c>
      <c r="L182">
        <v>5.7</v>
      </c>
    </row>
    <row r="183" spans="1:12" x14ac:dyDescent="0.25">
      <c r="A183" t="s">
        <v>212</v>
      </c>
      <c r="B183" t="s">
        <v>20</v>
      </c>
      <c r="C183" t="s">
        <v>21</v>
      </c>
      <c r="D183" t="s">
        <v>15</v>
      </c>
      <c r="E183" t="s">
        <v>26</v>
      </c>
      <c r="F183" t="s">
        <v>39</v>
      </c>
      <c r="G183">
        <v>8</v>
      </c>
      <c r="H183" s="1">
        <v>43488</v>
      </c>
      <c r="I183" s="2">
        <v>0.49374999999999997</v>
      </c>
      <c r="J183" t="s">
        <v>24</v>
      </c>
      <c r="K183">
        <v>15.388</v>
      </c>
      <c r="L183">
        <v>7.7</v>
      </c>
    </row>
    <row r="184" spans="1:12" x14ac:dyDescent="0.25">
      <c r="A184" t="s">
        <v>213</v>
      </c>
      <c r="B184" t="s">
        <v>13</v>
      </c>
      <c r="C184" t="s">
        <v>14</v>
      </c>
      <c r="D184" t="s">
        <v>15</v>
      </c>
      <c r="E184" t="s">
        <v>26</v>
      </c>
      <c r="F184" t="s">
        <v>31</v>
      </c>
      <c r="G184">
        <v>10</v>
      </c>
      <c r="H184" s="1">
        <v>43547</v>
      </c>
      <c r="I184" s="2">
        <v>0.4548611111111111</v>
      </c>
      <c r="J184" t="s">
        <v>18</v>
      </c>
      <c r="K184">
        <v>7.75</v>
      </c>
      <c r="L184">
        <v>8</v>
      </c>
    </row>
    <row r="185" spans="1:12" x14ac:dyDescent="0.25">
      <c r="A185" t="s">
        <v>214</v>
      </c>
      <c r="B185" t="s">
        <v>20</v>
      </c>
      <c r="C185" t="s">
        <v>21</v>
      </c>
      <c r="D185" t="s">
        <v>22</v>
      </c>
      <c r="E185" t="s">
        <v>26</v>
      </c>
      <c r="F185" t="s">
        <v>17</v>
      </c>
      <c r="G185">
        <v>8</v>
      </c>
      <c r="H185" s="1">
        <v>43490</v>
      </c>
      <c r="I185" s="2">
        <v>0.625</v>
      </c>
      <c r="J185" t="s">
        <v>18</v>
      </c>
      <c r="K185">
        <v>13.724</v>
      </c>
      <c r="L185">
        <v>5.7</v>
      </c>
    </row>
    <row r="186" spans="1:12" x14ac:dyDescent="0.25">
      <c r="A186" t="s">
        <v>215</v>
      </c>
      <c r="B186" t="s">
        <v>13</v>
      </c>
      <c r="C186" t="s">
        <v>14</v>
      </c>
      <c r="D186" t="s">
        <v>22</v>
      </c>
      <c r="E186" t="s">
        <v>16</v>
      </c>
      <c r="F186" t="s">
        <v>31</v>
      </c>
      <c r="G186">
        <v>7</v>
      </c>
      <c r="H186" s="1">
        <v>43528</v>
      </c>
      <c r="I186" s="2">
        <v>0.47152777777777777</v>
      </c>
      <c r="J186" t="s">
        <v>28</v>
      </c>
      <c r="K186">
        <v>4.319</v>
      </c>
      <c r="L186">
        <v>6.7</v>
      </c>
    </row>
    <row r="187" spans="1:12" x14ac:dyDescent="0.25">
      <c r="A187" t="s">
        <v>216</v>
      </c>
      <c r="B187" t="s">
        <v>37</v>
      </c>
      <c r="C187" t="s">
        <v>38</v>
      </c>
      <c r="D187" t="s">
        <v>15</v>
      </c>
      <c r="E187" t="s">
        <v>26</v>
      </c>
      <c r="F187" t="s">
        <v>39</v>
      </c>
      <c r="G187">
        <v>3</v>
      </c>
      <c r="H187" s="1">
        <v>43529</v>
      </c>
      <c r="I187" s="2">
        <v>0.82361111111111107</v>
      </c>
      <c r="J187" t="s">
        <v>18</v>
      </c>
      <c r="K187">
        <v>2.7120000000000002</v>
      </c>
      <c r="L187">
        <v>8</v>
      </c>
    </row>
    <row r="188" spans="1:12" x14ac:dyDescent="0.25">
      <c r="A188" t="s">
        <v>217</v>
      </c>
      <c r="B188" t="s">
        <v>37</v>
      </c>
      <c r="C188" t="s">
        <v>38</v>
      </c>
      <c r="D188" t="s">
        <v>15</v>
      </c>
      <c r="E188" t="s">
        <v>16</v>
      </c>
      <c r="F188" t="s">
        <v>27</v>
      </c>
      <c r="G188">
        <v>8</v>
      </c>
      <c r="H188" s="1">
        <v>43527</v>
      </c>
      <c r="I188" s="2">
        <v>0.79166666666666663</v>
      </c>
      <c r="J188" t="s">
        <v>18</v>
      </c>
      <c r="K188">
        <v>37.795999999999999</v>
      </c>
      <c r="L188">
        <v>7.5</v>
      </c>
    </row>
    <row r="189" spans="1:12" x14ac:dyDescent="0.25">
      <c r="A189" t="s">
        <v>218</v>
      </c>
      <c r="B189" t="s">
        <v>37</v>
      </c>
      <c r="C189" t="s">
        <v>38</v>
      </c>
      <c r="D189" t="s">
        <v>15</v>
      </c>
      <c r="E189" t="s">
        <v>26</v>
      </c>
      <c r="F189" t="s">
        <v>27</v>
      </c>
      <c r="G189">
        <v>4</v>
      </c>
      <c r="H189" s="1">
        <v>43504</v>
      </c>
      <c r="I189" s="2">
        <v>0.45347222222222222</v>
      </c>
      <c r="J189" t="s">
        <v>24</v>
      </c>
      <c r="K189">
        <v>9.2940000000000005</v>
      </c>
      <c r="L189">
        <v>7</v>
      </c>
    </row>
    <row r="190" spans="1:12" x14ac:dyDescent="0.25">
      <c r="A190" t="s">
        <v>219</v>
      </c>
      <c r="B190" t="s">
        <v>13</v>
      </c>
      <c r="C190" t="s">
        <v>14</v>
      </c>
      <c r="D190" t="s">
        <v>22</v>
      </c>
      <c r="E190" t="s">
        <v>26</v>
      </c>
      <c r="F190" t="s">
        <v>27</v>
      </c>
      <c r="G190">
        <v>1</v>
      </c>
      <c r="H190" s="1">
        <v>43506</v>
      </c>
      <c r="I190" s="2">
        <v>0.53472222222222221</v>
      </c>
      <c r="J190" t="s">
        <v>18</v>
      </c>
      <c r="K190">
        <v>3.7035</v>
      </c>
      <c r="L190">
        <v>9.9</v>
      </c>
    </row>
    <row r="191" spans="1:12" x14ac:dyDescent="0.25">
      <c r="A191" t="s">
        <v>220</v>
      </c>
      <c r="B191" t="s">
        <v>20</v>
      </c>
      <c r="C191" t="s">
        <v>21</v>
      </c>
      <c r="D191" t="s">
        <v>22</v>
      </c>
      <c r="E191" t="s">
        <v>16</v>
      </c>
      <c r="F191" t="s">
        <v>27</v>
      </c>
      <c r="G191">
        <v>4</v>
      </c>
      <c r="H191" s="1">
        <v>43493</v>
      </c>
      <c r="I191" s="2">
        <v>0.86805555555555547</v>
      </c>
      <c r="J191" t="s">
        <v>28</v>
      </c>
      <c r="K191">
        <v>13.962</v>
      </c>
      <c r="L191">
        <v>5.9</v>
      </c>
    </row>
    <row r="192" spans="1:12" x14ac:dyDescent="0.25">
      <c r="A192" t="s">
        <v>221</v>
      </c>
      <c r="B192" t="s">
        <v>37</v>
      </c>
      <c r="C192" t="s">
        <v>38</v>
      </c>
      <c r="D192" t="s">
        <v>22</v>
      </c>
      <c r="E192" t="s">
        <v>16</v>
      </c>
      <c r="F192" t="s">
        <v>27</v>
      </c>
      <c r="G192">
        <v>3</v>
      </c>
      <c r="H192" s="1">
        <v>43507</v>
      </c>
      <c r="I192" s="2">
        <v>0.44375000000000003</v>
      </c>
      <c r="J192" t="s">
        <v>28</v>
      </c>
      <c r="K192">
        <v>11.555999999999999</v>
      </c>
      <c r="L192">
        <v>7.2</v>
      </c>
    </row>
    <row r="193" spans="1:12" x14ac:dyDescent="0.25">
      <c r="A193" t="s">
        <v>222</v>
      </c>
      <c r="B193" t="s">
        <v>37</v>
      </c>
      <c r="C193" t="s">
        <v>38</v>
      </c>
      <c r="D193" t="s">
        <v>22</v>
      </c>
      <c r="E193" t="s">
        <v>16</v>
      </c>
      <c r="F193" t="s">
        <v>41</v>
      </c>
      <c r="G193">
        <v>2</v>
      </c>
      <c r="H193" s="1">
        <v>43480</v>
      </c>
      <c r="I193" s="2">
        <v>0.57013888888888886</v>
      </c>
      <c r="J193" t="s">
        <v>18</v>
      </c>
      <c r="K193">
        <v>7.3520000000000003</v>
      </c>
      <c r="L193">
        <v>4.5999999999999996</v>
      </c>
    </row>
    <row r="194" spans="1:12" x14ac:dyDescent="0.25">
      <c r="A194" t="s">
        <v>223</v>
      </c>
      <c r="B194" t="s">
        <v>20</v>
      </c>
      <c r="C194" t="s">
        <v>21</v>
      </c>
      <c r="D194" t="s">
        <v>22</v>
      </c>
      <c r="E194" t="s">
        <v>16</v>
      </c>
      <c r="F194" t="s">
        <v>39</v>
      </c>
      <c r="G194">
        <v>9</v>
      </c>
      <c r="H194" s="1">
        <v>43540</v>
      </c>
      <c r="I194" s="2">
        <v>0.79722222222222217</v>
      </c>
      <c r="J194" t="s">
        <v>24</v>
      </c>
      <c r="K194">
        <v>39.51</v>
      </c>
      <c r="L194">
        <v>9.1999999999999993</v>
      </c>
    </row>
    <row r="195" spans="1:12" x14ac:dyDescent="0.25">
      <c r="A195" t="s">
        <v>224</v>
      </c>
      <c r="B195" t="s">
        <v>37</v>
      </c>
      <c r="C195" t="s">
        <v>38</v>
      </c>
      <c r="D195" t="s">
        <v>22</v>
      </c>
      <c r="E195" t="s">
        <v>26</v>
      </c>
      <c r="F195" t="s">
        <v>27</v>
      </c>
      <c r="G195">
        <v>4</v>
      </c>
      <c r="H195" s="1">
        <v>43491</v>
      </c>
      <c r="I195" s="2">
        <v>0.84930555555555554</v>
      </c>
      <c r="J195" t="s">
        <v>18</v>
      </c>
      <c r="K195">
        <v>5.1100000000000003</v>
      </c>
      <c r="L195">
        <v>5.7</v>
      </c>
    </row>
    <row r="196" spans="1:12" x14ac:dyDescent="0.25">
      <c r="A196" t="s">
        <v>225</v>
      </c>
      <c r="B196" t="s">
        <v>13</v>
      </c>
      <c r="C196" t="s">
        <v>14</v>
      </c>
      <c r="D196" t="s">
        <v>22</v>
      </c>
      <c r="E196" t="s">
        <v>26</v>
      </c>
      <c r="F196" t="s">
        <v>23</v>
      </c>
      <c r="G196">
        <v>5</v>
      </c>
      <c r="H196" s="1">
        <v>43543</v>
      </c>
      <c r="I196" s="2">
        <v>0.47916666666666669</v>
      </c>
      <c r="J196" t="s">
        <v>28</v>
      </c>
      <c r="K196">
        <v>8.1775000000000002</v>
      </c>
      <c r="L196">
        <v>9.9</v>
      </c>
    </row>
    <row r="197" spans="1:12" x14ac:dyDescent="0.25">
      <c r="A197" t="s">
        <v>226</v>
      </c>
      <c r="B197" t="s">
        <v>20</v>
      </c>
      <c r="C197" t="s">
        <v>21</v>
      </c>
      <c r="D197" t="s">
        <v>15</v>
      </c>
      <c r="E197" t="s">
        <v>16</v>
      </c>
      <c r="F197" t="s">
        <v>41</v>
      </c>
      <c r="G197">
        <v>1</v>
      </c>
      <c r="H197" s="1">
        <v>43478</v>
      </c>
      <c r="I197" s="2">
        <v>0.8125</v>
      </c>
      <c r="J197" t="s">
        <v>24</v>
      </c>
      <c r="K197">
        <v>3.7145000000000001</v>
      </c>
      <c r="L197">
        <v>5</v>
      </c>
    </row>
    <row r="198" spans="1:12" x14ac:dyDescent="0.25">
      <c r="A198" t="s">
        <v>227</v>
      </c>
      <c r="B198" t="s">
        <v>20</v>
      </c>
      <c r="C198" t="s">
        <v>21</v>
      </c>
      <c r="D198" t="s">
        <v>15</v>
      </c>
      <c r="E198" t="s">
        <v>26</v>
      </c>
      <c r="F198" t="s">
        <v>17</v>
      </c>
      <c r="G198">
        <v>2</v>
      </c>
      <c r="H198" s="1">
        <v>43550</v>
      </c>
      <c r="I198" s="2">
        <v>0.75208333333333333</v>
      </c>
      <c r="J198" t="s">
        <v>24</v>
      </c>
      <c r="K198">
        <v>4.37</v>
      </c>
      <c r="L198">
        <v>4.9000000000000004</v>
      </c>
    </row>
    <row r="199" spans="1:12" x14ac:dyDescent="0.25">
      <c r="A199" t="s">
        <v>228</v>
      </c>
      <c r="B199" t="s">
        <v>13</v>
      </c>
      <c r="C199" t="s">
        <v>14</v>
      </c>
      <c r="D199" t="s">
        <v>22</v>
      </c>
      <c r="E199" t="s">
        <v>16</v>
      </c>
      <c r="F199" t="s">
        <v>27</v>
      </c>
      <c r="G199">
        <v>1</v>
      </c>
      <c r="H199" s="1">
        <v>43547</v>
      </c>
      <c r="I199" s="2">
        <v>0.42569444444444443</v>
      </c>
      <c r="J199" t="s">
        <v>18</v>
      </c>
      <c r="K199">
        <v>1.2645</v>
      </c>
      <c r="L199">
        <v>6.1</v>
      </c>
    </row>
    <row r="200" spans="1:12" x14ac:dyDescent="0.25">
      <c r="A200" t="s">
        <v>229</v>
      </c>
      <c r="B200" t="s">
        <v>20</v>
      </c>
      <c r="C200" t="s">
        <v>21</v>
      </c>
      <c r="D200" t="s">
        <v>22</v>
      </c>
      <c r="E200" t="s">
        <v>26</v>
      </c>
      <c r="F200" t="s">
        <v>17</v>
      </c>
      <c r="G200">
        <v>4</v>
      </c>
      <c r="H200" s="1">
        <v>43536</v>
      </c>
      <c r="I200" s="2">
        <v>0.83194444444444438</v>
      </c>
      <c r="J200" t="s">
        <v>28</v>
      </c>
      <c r="K200">
        <v>8.3000000000000007</v>
      </c>
      <c r="L200">
        <v>8.1999999999999993</v>
      </c>
    </row>
    <row r="201" spans="1:12" x14ac:dyDescent="0.25">
      <c r="A201" t="s">
        <v>230</v>
      </c>
      <c r="B201" t="s">
        <v>20</v>
      </c>
      <c r="C201" t="s">
        <v>21</v>
      </c>
      <c r="D201" t="s">
        <v>15</v>
      </c>
      <c r="E201" t="s">
        <v>16</v>
      </c>
      <c r="F201" t="s">
        <v>39</v>
      </c>
      <c r="G201">
        <v>5</v>
      </c>
      <c r="H201" s="1">
        <v>43513</v>
      </c>
      <c r="I201" s="2">
        <v>0.83124999999999993</v>
      </c>
      <c r="J201" t="s">
        <v>28</v>
      </c>
      <c r="K201">
        <v>17.8475</v>
      </c>
      <c r="L201">
        <v>5.5</v>
      </c>
    </row>
    <row r="202" spans="1:12" x14ac:dyDescent="0.25">
      <c r="A202" t="s">
        <v>231</v>
      </c>
      <c r="B202" t="s">
        <v>20</v>
      </c>
      <c r="C202" t="s">
        <v>21</v>
      </c>
      <c r="D202" t="s">
        <v>15</v>
      </c>
      <c r="E202" t="s">
        <v>16</v>
      </c>
      <c r="F202" t="s">
        <v>31</v>
      </c>
      <c r="G202">
        <v>6</v>
      </c>
      <c r="H202" s="1">
        <v>43494</v>
      </c>
      <c r="I202" s="2">
        <v>0.41736111111111113</v>
      </c>
      <c r="J202" t="s">
        <v>28</v>
      </c>
      <c r="K202">
        <v>5.7450000000000001</v>
      </c>
      <c r="L202">
        <v>6.8</v>
      </c>
    </row>
    <row r="203" spans="1:12" x14ac:dyDescent="0.25">
      <c r="A203" t="s">
        <v>232</v>
      </c>
      <c r="B203" t="s">
        <v>37</v>
      </c>
      <c r="C203" t="s">
        <v>38</v>
      </c>
      <c r="D203" t="s">
        <v>15</v>
      </c>
      <c r="E203" t="s">
        <v>16</v>
      </c>
      <c r="F203" t="s">
        <v>23</v>
      </c>
      <c r="G203">
        <v>4</v>
      </c>
      <c r="H203" s="1">
        <v>43539</v>
      </c>
      <c r="I203" s="2">
        <v>0.49791666666666662</v>
      </c>
      <c r="J203" t="s">
        <v>24</v>
      </c>
      <c r="K203">
        <v>11.497999999999999</v>
      </c>
      <c r="L203">
        <v>6.6</v>
      </c>
    </row>
    <row r="204" spans="1:12" x14ac:dyDescent="0.25">
      <c r="A204" t="s">
        <v>233</v>
      </c>
      <c r="B204" t="s">
        <v>20</v>
      </c>
      <c r="C204" t="s">
        <v>21</v>
      </c>
      <c r="D204" t="s">
        <v>22</v>
      </c>
      <c r="E204" t="s">
        <v>26</v>
      </c>
      <c r="F204" t="s">
        <v>23</v>
      </c>
      <c r="G204">
        <v>7</v>
      </c>
      <c r="H204" s="1">
        <v>43479</v>
      </c>
      <c r="I204" s="2">
        <v>0.41805555555555557</v>
      </c>
      <c r="J204" t="s">
        <v>24</v>
      </c>
      <c r="K204">
        <v>21.493500000000001</v>
      </c>
      <c r="L204">
        <v>9.8000000000000007</v>
      </c>
    </row>
    <row r="205" spans="1:12" x14ac:dyDescent="0.25">
      <c r="A205" t="s">
        <v>234</v>
      </c>
      <c r="B205" t="s">
        <v>37</v>
      </c>
      <c r="C205" t="s">
        <v>38</v>
      </c>
      <c r="D205" t="s">
        <v>15</v>
      </c>
      <c r="E205" t="s">
        <v>26</v>
      </c>
      <c r="F205" t="s">
        <v>17</v>
      </c>
      <c r="G205">
        <v>10</v>
      </c>
      <c r="H205" s="1">
        <v>43502</v>
      </c>
      <c r="I205" s="2">
        <v>0.61875000000000002</v>
      </c>
      <c r="J205" t="s">
        <v>18</v>
      </c>
      <c r="K205">
        <v>12.95</v>
      </c>
      <c r="L205">
        <v>8.6999999999999993</v>
      </c>
    </row>
    <row r="206" spans="1:12" x14ac:dyDescent="0.25">
      <c r="A206" t="s">
        <v>235</v>
      </c>
      <c r="B206" t="s">
        <v>37</v>
      </c>
      <c r="C206" t="s">
        <v>38</v>
      </c>
      <c r="D206" t="s">
        <v>15</v>
      </c>
      <c r="E206" t="s">
        <v>26</v>
      </c>
      <c r="F206" t="s">
        <v>27</v>
      </c>
      <c r="G206">
        <v>5</v>
      </c>
      <c r="H206" s="1">
        <v>43511</v>
      </c>
      <c r="I206" s="2">
        <v>0.52916666666666667</v>
      </c>
      <c r="J206" t="s">
        <v>28</v>
      </c>
      <c r="K206">
        <v>4.4424999999999999</v>
      </c>
      <c r="L206">
        <v>5.4</v>
      </c>
    </row>
    <row r="207" spans="1:12" x14ac:dyDescent="0.25">
      <c r="A207" t="s">
        <v>236</v>
      </c>
      <c r="B207" t="s">
        <v>13</v>
      </c>
      <c r="C207" t="s">
        <v>14</v>
      </c>
      <c r="D207" t="s">
        <v>22</v>
      </c>
      <c r="E207" t="s">
        <v>16</v>
      </c>
      <c r="F207" t="s">
        <v>17</v>
      </c>
      <c r="G207">
        <v>9</v>
      </c>
      <c r="H207" s="1">
        <v>43468</v>
      </c>
      <c r="I207" s="2">
        <v>0.50138888888888888</v>
      </c>
      <c r="J207" t="s">
        <v>18</v>
      </c>
      <c r="K207">
        <v>10.3635</v>
      </c>
      <c r="L207">
        <v>7.9</v>
      </c>
    </row>
    <row r="208" spans="1:12" x14ac:dyDescent="0.25">
      <c r="A208" t="s">
        <v>237</v>
      </c>
      <c r="B208" t="s">
        <v>20</v>
      </c>
      <c r="C208" t="s">
        <v>21</v>
      </c>
      <c r="D208" t="s">
        <v>15</v>
      </c>
      <c r="E208" t="s">
        <v>16</v>
      </c>
      <c r="F208" t="s">
        <v>23</v>
      </c>
      <c r="G208">
        <v>9</v>
      </c>
      <c r="H208" s="1">
        <v>43469</v>
      </c>
      <c r="I208" s="2">
        <v>0.7631944444444444</v>
      </c>
      <c r="J208" t="s">
        <v>28</v>
      </c>
      <c r="K208">
        <v>29.9925</v>
      </c>
      <c r="L208">
        <v>9.6999999999999993</v>
      </c>
    </row>
    <row r="209" spans="1:12" x14ac:dyDescent="0.25">
      <c r="A209" t="s">
        <v>238</v>
      </c>
      <c r="B209" t="s">
        <v>20</v>
      </c>
      <c r="C209" t="s">
        <v>21</v>
      </c>
      <c r="D209" t="s">
        <v>15</v>
      </c>
      <c r="E209" t="s">
        <v>16</v>
      </c>
      <c r="F209" t="s">
        <v>27</v>
      </c>
      <c r="G209">
        <v>10</v>
      </c>
      <c r="H209" s="1">
        <v>43542</v>
      </c>
      <c r="I209" s="2">
        <v>0.73472222222222217</v>
      </c>
      <c r="J209" t="s">
        <v>18</v>
      </c>
      <c r="K209">
        <v>14.265000000000001</v>
      </c>
      <c r="L209">
        <v>7.8</v>
      </c>
    </row>
    <row r="210" spans="1:12" x14ac:dyDescent="0.25">
      <c r="A210" t="s">
        <v>239</v>
      </c>
      <c r="B210" t="s">
        <v>37</v>
      </c>
      <c r="C210" t="s">
        <v>38</v>
      </c>
      <c r="D210" t="s">
        <v>22</v>
      </c>
      <c r="E210" t="s">
        <v>16</v>
      </c>
      <c r="F210" t="s">
        <v>41</v>
      </c>
      <c r="G210">
        <v>3</v>
      </c>
      <c r="H210" s="1">
        <v>43552</v>
      </c>
      <c r="I210" s="2">
        <v>0.57013888888888886</v>
      </c>
      <c r="J210" t="s">
        <v>18</v>
      </c>
      <c r="K210">
        <v>4.5555000000000003</v>
      </c>
      <c r="L210">
        <v>5.0999999999999996</v>
      </c>
    </row>
    <row r="211" spans="1:12" x14ac:dyDescent="0.25">
      <c r="A211" t="s">
        <v>240</v>
      </c>
      <c r="B211" t="s">
        <v>37</v>
      </c>
      <c r="C211" t="s">
        <v>38</v>
      </c>
      <c r="D211" t="s">
        <v>22</v>
      </c>
      <c r="E211" t="s">
        <v>16</v>
      </c>
      <c r="F211" t="s">
        <v>23</v>
      </c>
      <c r="G211">
        <v>9</v>
      </c>
      <c r="H211" s="1">
        <v>43526</v>
      </c>
      <c r="I211" s="2">
        <v>0.8208333333333333</v>
      </c>
      <c r="J211" t="s">
        <v>28</v>
      </c>
      <c r="K211">
        <v>44.878500000000003</v>
      </c>
      <c r="L211">
        <v>6.5</v>
      </c>
    </row>
    <row r="212" spans="1:12" x14ac:dyDescent="0.25">
      <c r="A212" t="s">
        <v>241</v>
      </c>
      <c r="B212" t="s">
        <v>13</v>
      </c>
      <c r="C212" t="s">
        <v>14</v>
      </c>
      <c r="D212" t="s">
        <v>22</v>
      </c>
      <c r="E212" t="s">
        <v>26</v>
      </c>
      <c r="F212" t="s">
        <v>23</v>
      </c>
      <c r="G212">
        <v>9</v>
      </c>
      <c r="H212" s="1">
        <v>43490</v>
      </c>
      <c r="I212" s="2">
        <v>0.85</v>
      </c>
      <c r="J212" t="s">
        <v>18</v>
      </c>
      <c r="K212">
        <v>11.8035</v>
      </c>
      <c r="L212">
        <v>5.9</v>
      </c>
    </row>
    <row r="213" spans="1:12" x14ac:dyDescent="0.25">
      <c r="A213" t="s">
        <v>242</v>
      </c>
      <c r="B213" t="s">
        <v>20</v>
      </c>
      <c r="C213" t="s">
        <v>21</v>
      </c>
      <c r="D213" t="s">
        <v>22</v>
      </c>
      <c r="E213" t="s">
        <v>16</v>
      </c>
      <c r="F213" t="s">
        <v>39</v>
      </c>
      <c r="G213">
        <v>9</v>
      </c>
      <c r="H213" s="1">
        <v>43481</v>
      </c>
      <c r="I213" s="2">
        <v>0.75555555555555554</v>
      </c>
      <c r="J213" t="s">
        <v>24</v>
      </c>
      <c r="K213">
        <v>41.966999999999999</v>
      </c>
      <c r="L213">
        <v>8.8000000000000007</v>
      </c>
    </row>
    <row r="214" spans="1:12" x14ac:dyDescent="0.25">
      <c r="A214" t="s">
        <v>243</v>
      </c>
      <c r="B214" t="s">
        <v>37</v>
      </c>
      <c r="C214" t="s">
        <v>38</v>
      </c>
      <c r="D214" t="s">
        <v>22</v>
      </c>
      <c r="E214" t="s">
        <v>26</v>
      </c>
      <c r="F214" t="s">
        <v>27</v>
      </c>
      <c r="G214">
        <v>5</v>
      </c>
      <c r="H214" s="1">
        <v>43544</v>
      </c>
      <c r="I214" s="2">
        <v>0.80347222222222225</v>
      </c>
      <c r="J214" t="s">
        <v>18</v>
      </c>
      <c r="K214">
        <v>23.09</v>
      </c>
      <c r="L214">
        <v>4.9000000000000004</v>
      </c>
    </row>
    <row r="215" spans="1:12" x14ac:dyDescent="0.25">
      <c r="A215" t="s">
        <v>244</v>
      </c>
      <c r="B215" t="s">
        <v>37</v>
      </c>
      <c r="C215" t="s">
        <v>38</v>
      </c>
      <c r="D215" t="s">
        <v>22</v>
      </c>
      <c r="E215" t="s">
        <v>26</v>
      </c>
      <c r="F215" t="s">
        <v>31</v>
      </c>
      <c r="G215">
        <v>3</v>
      </c>
      <c r="H215" s="1">
        <v>43469</v>
      </c>
      <c r="I215" s="2">
        <v>0.55833333333333335</v>
      </c>
      <c r="J215" t="s">
        <v>28</v>
      </c>
      <c r="K215">
        <v>6.9630000000000001</v>
      </c>
      <c r="L215">
        <v>4.4000000000000004</v>
      </c>
    </row>
    <row r="216" spans="1:12" x14ac:dyDescent="0.25">
      <c r="A216" t="s">
        <v>245</v>
      </c>
      <c r="B216" t="s">
        <v>37</v>
      </c>
      <c r="C216" t="s">
        <v>38</v>
      </c>
      <c r="D216" t="s">
        <v>15</v>
      </c>
      <c r="E216" t="s">
        <v>16</v>
      </c>
      <c r="F216" t="s">
        <v>31</v>
      </c>
      <c r="G216">
        <v>7</v>
      </c>
      <c r="H216" s="1">
        <v>43535</v>
      </c>
      <c r="I216" s="2">
        <v>0.66180555555555554</v>
      </c>
      <c r="J216" t="s">
        <v>24</v>
      </c>
      <c r="K216">
        <v>10.3635</v>
      </c>
      <c r="L216">
        <v>6.5</v>
      </c>
    </row>
    <row r="217" spans="1:12" x14ac:dyDescent="0.25">
      <c r="A217" t="s">
        <v>246</v>
      </c>
      <c r="B217" t="s">
        <v>13</v>
      </c>
      <c r="C217" t="s">
        <v>14</v>
      </c>
      <c r="D217" t="s">
        <v>22</v>
      </c>
      <c r="E217" t="s">
        <v>26</v>
      </c>
      <c r="F217" t="s">
        <v>27</v>
      </c>
      <c r="G217">
        <v>1</v>
      </c>
      <c r="H217" s="1">
        <v>43546</v>
      </c>
      <c r="I217" s="2">
        <v>0.62847222222222221</v>
      </c>
      <c r="J217" t="s">
        <v>28</v>
      </c>
      <c r="K217">
        <v>0.91400000000000003</v>
      </c>
      <c r="L217">
        <v>8.3000000000000007</v>
      </c>
    </row>
    <row r="218" spans="1:12" x14ac:dyDescent="0.25">
      <c r="A218" t="s">
        <v>247</v>
      </c>
      <c r="B218" t="s">
        <v>37</v>
      </c>
      <c r="C218" t="s">
        <v>38</v>
      </c>
      <c r="D218" t="s">
        <v>22</v>
      </c>
      <c r="E218" t="s">
        <v>16</v>
      </c>
      <c r="F218" t="s">
        <v>31</v>
      </c>
      <c r="G218">
        <v>5</v>
      </c>
      <c r="H218" s="1">
        <v>43548</v>
      </c>
      <c r="I218" s="2">
        <v>0.76874999999999993</v>
      </c>
      <c r="J218" t="s">
        <v>24</v>
      </c>
      <c r="K218">
        <v>6.1924999999999999</v>
      </c>
      <c r="L218">
        <v>8.5</v>
      </c>
    </row>
    <row r="219" spans="1:12" x14ac:dyDescent="0.25">
      <c r="A219" t="s">
        <v>248</v>
      </c>
      <c r="B219" t="s">
        <v>13</v>
      </c>
      <c r="C219" t="s">
        <v>14</v>
      </c>
      <c r="D219" t="s">
        <v>15</v>
      </c>
      <c r="E219" t="s">
        <v>16</v>
      </c>
      <c r="F219" t="s">
        <v>23</v>
      </c>
      <c r="G219">
        <v>3</v>
      </c>
      <c r="H219" s="1">
        <v>43517</v>
      </c>
      <c r="I219" s="2">
        <v>0.70486111111111116</v>
      </c>
      <c r="J219" t="s">
        <v>24</v>
      </c>
      <c r="K219">
        <v>14.196</v>
      </c>
      <c r="L219">
        <v>5.5</v>
      </c>
    </row>
    <row r="220" spans="1:12" x14ac:dyDescent="0.25">
      <c r="A220" t="s">
        <v>249</v>
      </c>
      <c r="B220" t="s">
        <v>37</v>
      </c>
      <c r="C220" t="s">
        <v>38</v>
      </c>
      <c r="D220" t="s">
        <v>22</v>
      </c>
      <c r="E220" t="s">
        <v>26</v>
      </c>
      <c r="F220" t="s">
        <v>41</v>
      </c>
      <c r="G220">
        <v>8</v>
      </c>
      <c r="H220" s="1">
        <v>43508</v>
      </c>
      <c r="I220" s="2">
        <v>0.54027777777777775</v>
      </c>
      <c r="J220" t="s">
        <v>18</v>
      </c>
      <c r="K220">
        <v>37.948</v>
      </c>
      <c r="L220">
        <v>8.6999999999999993</v>
      </c>
    </row>
    <row r="221" spans="1:12" x14ac:dyDescent="0.25">
      <c r="A221" t="s">
        <v>250</v>
      </c>
      <c r="B221" t="s">
        <v>37</v>
      </c>
      <c r="C221" t="s">
        <v>38</v>
      </c>
      <c r="D221" t="s">
        <v>22</v>
      </c>
      <c r="E221" t="s">
        <v>16</v>
      </c>
      <c r="F221" t="s">
        <v>39</v>
      </c>
      <c r="G221">
        <v>3</v>
      </c>
      <c r="H221" s="1">
        <v>43534</v>
      </c>
      <c r="I221" s="2">
        <v>0.7909722222222223</v>
      </c>
      <c r="J221" t="s">
        <v>28</v>
      </c>
      <c r="K221">
        <v>8.6010000000000009</v>
      </c>
      <c r="L221">
        <v>7.9</v>
      </c>
    </row>
    <row r="222" spans="1:12" x14ac:dyDescent="0.25">
      <c r="A222" t="s">
        <v>251</v>
      </c>
      <c r="B222" t="s">
        <v>37</v>
      </c>
      <c r="C222" t="s">
        <v>38</v>
      </c>
      <c r="D222" t="s">
        <v>22</v>
      </c>
      <c r="E222" t="s">
        <v>26</v>
      </c>
      <c r="F222" t="s">
        <v>23</v>
      </c>
      <c r="G222">
        <v>6</v>
      </c>
      <c r="H222" s="1">
        <v>43496</v>
      </c>
      <c r="I222" s="2">
        <v>0.57222222222222219</v>
      </c>
      <c r="J222" t="s">
        <v>18</v>
      </c>
      <c r="K222">
        <v>13.605</v>
      </c>
      <c r="L222">
        <v>6.1</v>
      </c>
    </row>
    <row r="223" spans="1:12" x14ac:dyDescent="0.25">
      <c r="A223" t="s">
        <v>252</v>
      </c>
      <c r="B223" t="s">
        <v>37</v>
      </c>
      <c r="C223" t="s">
        <v>38</v>
      </c>
      <c r="D223" t="s">
        <v>22</v>
      </c>
      <c r="E223" t="s">
        <v>26</v>
      </c>
      <c r="F223" t="s">
        <v>39</v>
      </c>
      <c r="G223">
        <v>7</v>
      </c>
      <c r="H223" s="1">
        <v>43530</v>
      </c>
      <c r="I223" s="2">
        <v>0.57361111111111118</v>
      </c>
      <c r="J223" t="s">
        <v>18</v>
      </c>
      <c r="K223">
        <v>21.728000000000002</v>
      </c>
      <c r="L223">
        <v>5.4</v>
      </c>
    </row>
    <row r="224" spans="1:12" x14ac:dyDescent="0.25">
      <c r="A224" t="s">
        <v>253</v>
      </c>
      <c r="B224" t="s">
        <v>20</v>
      </c>
      <c r="C224" t="s">
        <v>21</v>
      </c>
      <c r="D224" t="s">
        <v>22</v>
      </c>
      <c r="E224" t="s">
        <v>26</v>
      </c>
      <c r="F224" t="s">
        <v>23</v>
      </c>
      <c r="G224">
        <v>5</v>
      </c>
      <c r="H224" s="1">
        <v>43513</v>
      </c>
      <c r="I224" s="2">
        <v>0.75416666666666676</v>
      </c>
      <c r="J224" t="s">
        <v>24</v>
      </c>
      <c r="K224">
        <v>2.9525000000000001</v>
      </c>
      <c r="L224">
        <v>9.4</v>
      </c>
    </row>
    <row r="225" spans="1:12" x14ac:dyDescent="0.25">
      <c r="A225" t="s">
        <v>254</v>
      </c>
      <c r="B225" t="s">
        <v>20</v>
      </c>
      <c r="C225" t="s">
        <v>21</v>
      </c>
      <c r="D225" t="s">
        <v>15</v>
      </c>
      <c r="E225" t="s">
        <v>16</v>
      </c>
      <c r="F225" t="s">
        <v>41</v>
      </c>
      <c r="G225">
        <v>1</v>
      </c>
      <c r="H225" s="1">
        <v>43517</v>
      </c>
      <c r="I225" s="2">
        <v>0.52638888888888891</v>
      </c>
      <c r="J225" t="s">
        <v>24</v>
      </c>
      <c r="K225">
        <v>0.627</v>
      </c>
      <c r="L225">
        <v>8.1999999999999993</v>
      </c>
    </row>
    <row r="226" spans="1:12" x14ac:dyDescent="0.25">
      <c r="A226" t="s">
        <v>255</v>
      </c>
      <c r="B226" t="s">
        <v>13</v>
      </c>
      <c r="C226" t="s">
        <v>14</v>
      </c>
      <c r="D226" t="s">
        <v>22</v>
      </c>
      <c r="E226" t="s">
        <v>26</v>
      </c>
      <c r="F226" t="s">
        <v>39</v>
      </c>
      <c r="G226">
        <v>2</v>
      </c>
      <c r="H226" s="1">
        <v>43544</v>
      </c>
      <c r="I226" s="2">
        <v>0.66388888888888886</v>
      </c>
      <c r="J226" t="s">
        <v>24</v>
      </c>
      <c r="K226">
        <v>4.3250000000000002</v>
      </c>
      <c r="L226">
        <v>6.2</v>
      </c>
    </row>
    <row r="227" spans="1:12" x14ac:dyDescent="0.25">
      <c r="A227" t="s">
        <v>256</v>
      </c>
      <c r="B227" t="s">
        <v>20</v>
      </c>
      <c r="C227" t="s">
        <v>21</v>
      </c>
      <c r="D227" t="s">
        <v>15</v>
      </c>
      <c r="E227" t="s">
        <v>16</v>
      </c>
      <c r="F227" t="s">
        <v>31</v>
      </c>
      <c r="G227">
        <v>2</v>
      </c>
      <c r="H227" s="1">
        <v>43476</v>
      </c>
      <c r="I227" s="2">
        <v>0.60347222222222219</v>
      </c>
      <c r="J227" t="s">
        <v>28</v>
      </c>
      <c r="K227">
        <v>8.7159999999999993</v>
      </c>
      <c r="L227">
        <v>9.6999999999999993</v>
      </c>
    </row>
    <row r="228" spans="1:12" x14ac:dyDescent="0.25">
      <c r="A228" t="s">
        <v>257</v>
      </c>
      <c r="B228" t="s">
        <v>37</v>
      </c>
      <c r="C228" t="s">
        <v>38</v>
      </c>
      <c r="D228" t="s">
        <v>15</v>
      </c>
      <c r="E228" t="s">
        <v>26</v>
      </c>
      <c r="F228" t="s">
        <v>17</v>
      </c>
      <c r="G228">
        <v>9</v>
      </c>
      <c r="H228" s="1">
        <v>43491</v>
      </c>
      <c r="I228" s="2">
        <v>0.80138888888888893</v>
      </c>
      <c r="J228" t="s">
        <v>18</v>
      </c>
      <c r="K228">
        <v>31.2165</v>
      </c>
      <c r="L228">
        <v>4</v>
      </c>
    </row>
    <row r="229" spans="1:12" x14ac:dyDescent="0.25">
      <c r="A229" t="s">
        <v>258</v>
      </c>
      <c r="B229" t="s">
        <v>20</v>
      </c>
      <c r="C229" t="s">
        <v>21</v>
      </c>
      <c r="D229" t="s">
        <v>15</v>
      </c>
      <c r="E229" t="s">
        <v>26</v>
      </c>
      <c r="F229" t="s">
        <v>23</v>
      </c>
      <c r="G229">
        <v>4</v>
      </c>
      <c r="H229" s="1">
        <v>43496</v>
      </c>
      <c r="I229" s="2">
        <v>0.68333333333333324</v>
      </c>
      <c r="J229" t="s">
        <v>18</v>
      </c>
      <c r="K229">
        <v>7.4119999999999999</v>
      </c>
      <c r="L229">
        <v>9.6999999999999993</v>
      </c>
    </row>
    <row r="230" spans="1:12" x14ac:dyDescent="0.25">
      <c r="A230" t="s">
        <v>259</v>
      </c>
      <c r="B230" t="s">
        <v>37</v>
      </c>
      <c r="C230" t="s">
        <v>38</v>
      </c>
      <c r="D230" t="s">
        <v>15</v>
      </c>
      <c r="E230" t="s">
        <v>16</v>
      </c>
      <c r="F230" t="s">
        <v>23</v>
      </c>
      <c r="G230">
        <v>6</v>
      </c>
      <c r="H230" s="1">
        <v>43522</v>
      </c>
      <c r="I230" s="2">
        <v>0.45277777777777778</v>
      </c>
      <c r="J230" t="s">
        <v>24</v>
      </c>
      <c r="K230">
        <v>27.21</v>
      </c>
      <c r="L230">
        <v>5.3</v>
      </c>
    </row>
    <row r="231" spans="1:12" x14ac:dyDescent="0.25">
      <c r="A231" t="s">
        <v>260</v>
      </c>
      <c r="B231" t="s">
        <v>13</v>
      </c>
      <c r="C231" t="s">
        <v>14</v>
      </c>
      <c r="D231" t="s">
        <v>22</v>
      </c>
      <c r="E231" t="s">
        <v>16</v>
      </c>
      <c r="F231" t="s">
        <v>27</v>
      </c>
      <c r="G231">
        <v>8</v>
      </c>
      <c r="H231" s="1">
        <v>43535</v>
      </c>
      <c r="I231" s="2">
        <v>0.53819444444444442</v>
      </c>
      <c r="J231" t="s">
        <v>18</v>
      </c>
      <c r="K231">
        <v>25.367999999999999</v>
      </c>
      <c r="L231">
        <v>7.4</v>
      </c>
    </row>
    <row r="232" spans="1:12" x14ac:dyDescent="0.25">
      <c r="A232" t="s">
        <v>261</v>
      </c>
      <c r="B232" t="s">
        <v>37</v>
      </c>
      <c r="C232" t="s">
        <v>38</v>
      </c>
      <c r="D232" t="s">
        <v>22</v>
      </c>
      <c r="E232" t="s">
        <v>16</v>
      </c>
      <c r="F232" t="s">
        <v>41</v>
      </c>
      <c r="G232">
        <v>2</v>
      </c>
      <c r="H232" s="1">
        <v>43491</v>
      </c>
      <c r="I232" s="2">
        <v>0.81111111111111101</v>
      </c>
      <c r="J232" t="s">
        <v>24</v>
      </c>
      <c r="K232">
        <v>8.1370000000000005</v>
      </c>
      <c r="L232">
        <v>6.5</v>
      </c>
    </row>
    <row r="233" spans="1:12" x14ac:dyDescent="0.25">
      <c r="A233" t="s">
        <v>262</v>
      </c>
      <c r="B233" t="s">
        <v>37</v>
      </c>
      <c r="C233" t="s">
        <v>38</v>
      </c>
      <c r="D233" t="s">
        <v>15</v>
      </c>
      <c r="E233" t="s">
        <v>16</v>
      </c>
      <c r="F233" t="s">
        <v>23</v>
      </c>
      <c r="G233">
        <v>3</v>
      </c>
      <c r="H233" s="1">
        <v>43536</v>
      </c>
      <c r="I233" s="2">
        <v>0.57777777777777783</v>
      </c>
      <c r="J233" t="s">
        <v>28</v>
      </c>
      <c r="K233">
        <v>1.5885</v>
      </c>
      <c r="L233">
        <v>8.6999999999999993</v>
      </c>
    </row>
    <row r="234" spans="1:12" x14ac:dyDescent="0.25">
      <c r="A234" t="s">
        <v>263</v>
      </c>
      <c r="B234" t="s">
        <v>37</v>
      </c>
      <c r="C234" t="s">
        <v>38</v>
      </c>
      <c r="D234" t="s">
        <v>22</v>
      </c>
      <c r="E234" t="s">
        <v>16</v>
      </c>
      <c r="F234" t="s">
        <v>17</v>
      </c>
      <c r="G234">
        <v>9</v>
      </c>
      <c r="H234" s="1">
        <v>43507</v>
      </c>
      <c r="I234" s="2">
        <v>0.45416666666666666</v>
      </c>
      <c r="J234" t="s">
        <v>24</v>
      </c>
      <c r="K234">
        <v>37.840499999999999</v>
      </c>
      <c r="L234">
        <v>8</v>
      </c>
    </row>
    <row r="235" spans="1:12" x14ac:dyDescent="0.25">
      <c r="A235" t="s">
        <v>264</v>
      </c>
      <c r="B235" t="s">
        <v>37</v>
      </c>
      <c r="C235" t="s">
        <v>38</v>
      </c>
      <c r="D235" t="s">
        <v>15</v>
      </c>
      <c r="E235" t="s">
        <v>26</v>
      </c>
      <c r="F235" t="s">
        <v>41</v>
      </c>
      <c r="G235">
        <v>4</v>
      </c>
      <c r="H235" s="1">
        <v>43517</v>
      </c>
      <c r="I235" s="2">
        <v>0.7715277777777777</v>
      </c>
      <c r="J235" t="s">
        <v>24</v>
      </c>
      <c r="K235">
        <v>14.763999999999999</v>
      </c>
      <c r="L235">
        <v>6.7</v>
      </c>
    </row>
    <row r="236" spans="1:12" x14ac:dyDescent="0.25">
      <c r="A236" t="s">
        <v>265</v>
      </c>
      <c r="B236" t="s">
        <v>13</v>
      </c>
      <c r="C236" t="s">
        <v>14</v>
      </c>
      <c r="D236" t="s">
        <v>15</v>
      </c>
      <c r="E236" t="s">
        <v>26</v>
      </c>
      <c r="F236" t="s">
        <v>17</v>
      </c>
      <c r="G236">
        <v>10</v>
      </c>
      <c r="H236" s="1">
        <v>43533</v>
      </c>
      <c r="I236" s="2">
        <v>0.76666666666666661</v>
      </c>
      <c r="J236" t="s">
        <v>18</v>
      </c>
      <c r="K236">
        <v>25.97</v>
      </c>
      <c r="L236">
        <v>6.5</v>
      </c>
    </row>
    <row r="237" spans="1:12" x14ac:dyDescent="0.25">
      <c r="A237" t="s">
        <v>266</v>
      </c>
      <c r="B237" t="s">
        <v>13</v>
      </c>
      <c r="C237" t="s">
        <v>14</v>
      </c>
      <c r="D237" t="s">
        <v>22</v>
      </c>
      <c r="E237" t="s">
        <v>16</v>
      </c>
      <c r="F237" t="s">
        <v>31</v>
      </c>
      <c r="G237">
        <v>2</v>
      </c>
      <c r="H237" s="1">
        <v>43485</v>
      </c>
      <c r="I237" s="2">
        <v>0.75624999999999998</v>
      </c>
      <c r="J237" t="s">
        <v>18</v>
      </c>
      <c r="K237">
        <v>9.3140000000000001</v>
      </c>
      <c r="L237">
        <v>4.0999999999999996</v>
      </c>
    </row>
    <row r="238" spans="1:12" x14ac:dyDescent="0.25">
      <c r="A238" t="s">
        <v>267</v>
      </c>
      <c r="B238" t="s">
        <v>20</v>
      </c>
      <c r="C238" t="s">
        <v>21</v>
      </c>
      <c r="D238" t="s">
        <v>22</v>
      </c>
      <c r="E238" t="s">
        <v>26</v>
      </c>
      <c r="F238" t="s">
        <v>17</v>
      </c>
      <c r="G238">
        <v>5</v>
      </c>
      <c r="H238" s="1">
        <v>43493</v>
      </c>
      <c r="I238" s="2">
        <v>0.63611111111111118</v>
      </c>
      <c r="J238" t="s">
        <v>28</v>
      </c>
      <c r="K238">
        <v>4.3525</v>
      </c>
      <c r="L238">
        <v>4.9000000000000004</v>
      </c>
    </row>
    <row r="239" spans="1:12" x14ac:dyDescent="0.25">
      <c r="A239" t="s">
        <v>268</v>
      </c>
      <c r="B239" t="s">
        <v>20</v>
      </c>
      <c r="C239" t="s">
        <v>21</v>
      </c>
      <c r="D239" t="s">
        <v>15</v>
      </c>
      <c r="E239" t="s">
        <v>16</v>
      </c>
      <c r="F239" t="s">
        <v>41</v>
      </c>
      <c r="G239">
        <v>5</v>
      </c>
      <c r="H239" s="1">
        <v>43529</v>
      </c>
      <c r="I239" s="2">
        <v>0.71319444444444446</v>
      </c>
      <c r="J239" t="s">
        <v>28</v>
      </c>
      <c r="K239">
        <v>11.055</v>
      </c>
      <c r="L239">
        <v>8.6</v>
      </c>
    </row>
    <row r="240" spans="1:12" x14ac:dyDescent="0.25">
      <c r="A240" t="s">
        <v>269</v>
      </c>
      <c r="B240" t="s">
        <v>37</v>
      </c>
      <c r="C240" t="s">
        <v>38</v>
      </c>
      <c r="D240" t="s">
        <v>15</v>
      </c>
      <c r="E240" t="s">
        <v>16</v>
      </c>
      <c r="F240" t="s">
        <v>23</v>
      </c>
      <c r="G240">
        <v>5</v>
      </c>
      <c r="H240" s="1">
        <v>43526</v>
      </c>
      <c r="I240" s="2">
        <v>0.80972222222222223</v>
      </c>
      <c r="J240" t="s">
        <v>24</v>
      </c>
      <c r="K240">
        <v>3.3050000000000002</v>
      </c>
      <c r="L240">
        <v>4.3</v>
      </c>
    </row>
    <row r="241" spans="1:12" x14ac:dyDescent="0.25">
      <c r="A241" t="s">
        <v>270</v>
      </c>
      <c r="B241" t="s">
        <v>13</v>
      </c>
      <c r="C241" t="s">
        <v>14</v>
      </c>
      <c r="D241" t="s">
        <v>22</v>
      </c>
      <c r="E241" t="s">
        <v>26</v>
      </c>
      <c r="F241" t="s">
        <v>41</v>
      </c>
      <c r="G241">
        <v>1</v>
      </c>
      <c r="H241" s="1">
        <v>43476</v>
      </c>
      <c r="I241" s="2">
        <v>0.47222222222222227</v>
      </c>
      <c r="J241" t="s">
        <v>18</v>
      </c>
      <c r="K241">
        <v>4.4844999999999997</v>
      </c>
      <c r="L241">
        <v>4.9000000000000004</v>
      </c>
    </row>
    <row r="242" spans="1:12" x14ac:dyDescent="0.25">
      <c r="A242" t="s">
        <v>271</v>
      </c>
      <c r="B242" t="s">
        <v>13</v>
      </c>
      <c r="C242" t="s">
        <v>14</v>
      </c>
      <c r="D242" t="s">
        <v>22</v>
      </c>
      <c r="E242" t="s">
        <v>26</v>
      </c>
      <c r="F242" t="s">
        <v>39</v>
      </c>
      <c r="G242">
        <v>9</v>
      </c>
      <c r="H242" s="1">
        <v>43476</v>
      </c>
      <c r="I242" s="2">
        <v>0.7006944444444444</v>
      </c>
      <c r="J242" t="s">
        <v>28</v>
      </c>
      <c r="K242">
        <v>11.223000000000001</v>
      </c>
      <c r="L242">
        <v>5.6</v>
      </c>
    </row>
    <row r="243" spans="1:12" x14ac:dyDescent="0.25">
      <c r="A243" t="s">
        <v>272</v>
      </c>
      <c r="B243" t="s">
        <v>13</v>
      </c>
      <c r="C243" t="s">
        <v>14</v>
      </c>
      <c r="D243" t="s">
        <v>22</v>
      </c>
      <c r="E243" t="s">
        <v>26</v>
      </c>
      <c r="F243" t="s">
        <v>17</v>
      </c>
      <c r="G243">
        <v>2</v>
      </c>
      <c r="H243" s="1">
        <v>43535</v>
      </c>
      <c r="I243" s="2">
        <v>0.50069444444444444</v>
      </c>
      <c r="J243" t="s">
        <v>28</v>
      </c>
      <c r="K243">
        <v>5.9770000000000003</v>
      </c>
      <c r="L243">
        <v>5.8</v>
      </c>
    </row>
    <row r="244" spans="1:12" x14ac:dyDescent="0.25">
      <c r="A244" t="s">
        <v>273</v>
      </c>
      <c r="B244" t="s">
        <v>20</v>
      </c>
      <c r="C244" t="s">
        <v>21</v>
      </c>
      <c r="D244" t="s">
        <v>15</v>
      </c>
      <c r="E244" t="s">
        <v>26</v>
      </c>
      <c r="F244" t="s">
        <v>41</v>
      </c>
      <c r="G244">
        <v>2</v>
      </c>
      <c r="H244" s="1">
        <v>43524</v>
      </c>
      <c r="I244" s="2">
        <v>0.77569444444444446</v>
      </c>
      <c r="J244" t="s">
        <v>28</v>
      </c>
      <c r="K244">
        <v>9.32</v>
      </c>
      <c r="L244">
        <v>6</v>
      </c>
    </row>
    <row r="245" spans="1:12" x14ac:dyDescent="0.25">
      <c r="A245" t="s">
        <v>274</v>
      </c>
      <c r="B245" t="s">
        <v>13</v>
      </c>
      <c r="C245" t="s">
        <v>14</v>
      </c>
      <c r="D245" t="s">
        <v>15</v>
      </c>
      <c r="E245" t="s">
        <v>26</v>
      </c>
      <c r="F245" t="s">
        <v>27</v>
      </c>
      <c r="G245">
        <v>4</v>
      </c>
      <c r="H245" s="1">
        <v>43470</v>
      </c>
      <c r="I245" s="2">
        <v>0.47569444444444442</v>
      </c>
      <c r="J245" t="s">
        <v>24</v>
      </c>
      <c r="K245">
        <v>12.53</v>
      </c>
      <c r="L245">
        <v>4.2</v>
      </c>
    </row>
    <row r="246" spans="1:12" x14ac:dyDescent="0.25">
      <c r="A246" t="s">
        <v>275</v>
      </c>
      <c r="B246" t="s">
        <v>37</v>
      </c>
      <c r="C246" t="s">
        <v>38</v>
      </c>
      <c r="D246" t="s">
        <v>22</v>
      </c>
      <c r="E246" t="s">
        <v>26</v>
      </c>
      <c r="F246" t="s">
        <v>27</v>
      </c>
      <c r="G246">
        <v>8</v>
      </c>
      <c r="H246" s="1">
        <v>43498</v>
      </c>
      <c r="I246" s="2">
        <v>0.77916666666666667</v>
      </c>
      <c r="J246" t="s">
        <v>28</v>
      </c>
      <c r="K246">
        <v>37.548000000000002</v>
      </c>
      <c r="L246">
        <v>8.3000000000000007</v>
      </c>
    </row>
    <row r="247" spans="1:12" x14ac:dyDescent="0.25">
      <c r="A247" t="s">
        <v>276</v>
      </c>
      <c r="B247" t="s">
        <v>13</v>
      </c>
      <c r="C247" t="s">
        <v>14</v>
      </c>
      <c r="D247" t="s">
        <v>15</v>
      </c>
      <c r="E247" t="s">
        <v>26</v>
      </c>
      <c r="F247" t="s">
        <v>27</v>
      </c>
      <c r="G247">
        <v>8</v>
      </c>
      <c r="H247" s="1">
        <v>43466</v>
      </c>
      <c r="I247" s="2">
        <v>0.61597222222222225</v>
      </c>
      <c r="J247" t="s">
        <v>24</v>
      </c>
      <c r="K247">
        <v>19.036000000000001</v>
      </c>
      <c r="L247">
        <v>5.7</v>
      </c>
    </row>
    <row r="248" spans="1:12" x14ac:dyDescent="0.25">
      <c r="A248" t="s">
        <v>277</v>
      </c>
      <c r="B248" t="s">
        <v>37</v>
      </c>
      <c r="C248" t="s">
        <v>38</v>
      </c>
      <c r="D248" t="s">
        <v>15</v>
      </c>
      <c r="E248" t="s">
        <v>16</v>
      </c>
      <c r="F248" t="s">
        <v>23</v>
      </c>
      <c r="G248">
        <v>3</v>
      </c>
      <c r="H248" s="1">
        <v>43505</v>
      </c>
      <c r="I248" s="2">
        <v>0.82152777777777775</v>
      </c>
      <c r="J248" t="s">
        <v>24</v>
      </c>
      <c r="K248">
        <v>12.21</v>
      </c>
      <c r="L248">
        <v>4.8</v>
      </c>
    </row>
    <row r="249" spans="1:12" x14ac:dyDescent="0.25">
      <c r="A249" t="s">
        <v>278</v>
      </c>
      <c r="B249" t="s">
        <v>13</v>
      </c>
      <c r="C249" t="s">
        <v>14</v>
      </c>
      <c r="D249" t="s">
        <v>15</v>
      </c>
      <c r="E249" t="s">
        <v>26</v>
      </c>
      <c r="F249" t="s">
        <v>41</v>
      </c>
      <c r="G249">
        <v>5</v>
      </c>
      <c r="H249" s="1">
        <v>43488</v>
      </c>
      <c r="I249" s="2">
        <v>0.58611111111111114</v>
      </c>
      <c r="J249" t="s">
        <v>18</v>
      </c>
      <c r="K249">
        <v>4.4850000000000003</v>
      </c>
      <c r="L249">
        <v>6.8</v>
      </c>
    </row>
    <row r="250" spans="1:12" x14ac:dyDescent="0.25">
      <c r="A250" t="s">
        <v>279</v>
      </c>
      <c r="B250" t="s">
        <v>13</v>
      </c>
      <c r="C250" t="s">
        <v>14</v>
      </c>
      <c r="D250" t="s">
        <v>15</v>
      </c>
      <c r="E250" t="s">
        <v>26</v>
      </c>
      <c r="F250" t="s">
        <v>23</v>
      </c>
      <c r="G250">
        <v>4</v>
      </c>
      <c r="H250" s="1">
        <v>43472</v>
      </c>
      <c r="I250" s="2">
        <v>0.6743055555555556</v>
      </c>
      <c r="J250" t="s">
        <v>28</v>
      </c>
      <c r="K250">
        <v>15.544</v>
      </c>
      <c r="L250">
        <v>8.8000000000000007</v>
      </c>
    </row>
    <row r="251" spans="1:12" x14ac:dyDescent="0.25">
      <c r="A251" t="s">
        <v>280</v>
      </c>
      <c r="B251" t="s">
        <v>37</v>
      </c>
      <c r="C251" t="s">
        <v>38</v>
      </c>
      <c r="D251" t="s">
        <v>22</v>
      </c>
      <c r="E251" t="s">
        <v>26</v>
      </c>
      <c r="F251" t="s">
        <v>39</v>
      </c>
      <c r="G251">
        <v>7</v>
      </c>
      <c r="H251" s="1">
        <v>43479</v>
      </c>
      <c r="I251" s="2">
        <v>0.79583333333333339</v>
      </c>
      <c r="J251" t="s">
        <v>28</v>
      </c>
      <c r="K251">
        <v>25.571000000000002</v>
      </c>
      <c r="L251">
        <v>4.2</v>
      </c>
    </row>
    <row r="252" spans="1:12" x14ac:dyDescent="0.25">
      <c r="A252" t="s">
        <v>281</v>
      </c>
      <c r="B252" t="s">
        <v>37</v>
      </c>
      <c r="C252" t="s">
        <v>38</v>
      </c>
      <c r="D252" t="s">
        <v>15</v>
      </c>
      <c r="E252" t="s">
        <v>26</v>
      </c>
      <c r="F252" t="s">
        <v>39</v>
      </c>
      <c r="G252">
        <v>9</v>
      </c>
      <c r="H252" s="1">
        <v>43498</v>
      </c>
      <c r="I252" s="2">
        <v>0.64861111111111114</v>
      </c>
      <c r="J252" t="s">
        <v>18</v>
      </c>
      <c r="K252">
        <v>20.947500000000002</v>
      </c>
      <c r="L252">
        <v>6.4</v>
      </c>
    </row>
    <row r="253" spans="1:12" x14ac:dyDescent="0.25">
      <c r="A253" t="s">
        <v>282</v>
      </c>
      <c r="B253" t="s">
        <v>20</v>
      </c>
      <c r="C253" t="s">
        <v>21</v>
      </c>
      <c r="D253" t="s">
        <v>15</v>
      </c>
      <c r="E253" t="s">
        <v>26</v>
      </c>
      <c r="F253" t="s">
        <v>41</v>
      </c>
      <c r="G253">
        <v>10</v>
      </c>
      <c r="H253" s="1">
        <v>43541</v>
      </c>
      <c r="I253" s="2">
        <v>0.79583333333333339</v>
      </c>
      <c r="J253" t="s">
        <v>28</v>
      </c>
      <c r="K253">
        <v>17.594999999999999</v>
      </c>
      <c r="L253">
        <v>8.4</v>
      </c>
    </row>
    <row r="254" spans="1:12" x14ac:dyDescent="0.25">
      <c r="A254" t="s">
        <v>283</v>
      </c>
      <c r="B254" t="s">
        <v>20</v>
      </c>
      <c r="C254" t="s">
        <v>21</v>
      </c>
      <c r="D254" t="s">
        <v>22</v>
      </c>
      <c r="E254" t="s">
        <v>16</v>
      </c>
      <c r="F254" t="s">
        <v>31</v>
      </c>
      <c r="G254">
        <v>2</v>
      </c>
      <c r="H254" s="1">
        <v>43526</v>
      </c>
      <c r="I254" s="2">
        <v>0.8222222222222223</v>
      </c>
      <c r="J254" t="s">
        <v>28</v>
      </c>
      <c r="K254">
        <v>1.4390000000000001</v>
      </c>
      <c r="L254">
        <v>7.2</v>
      </c>
    </row>
    <row r="255" spans="1:12" x14ac:dyDescent="0.25">
      <c r="A255" t="s">
        <v>284</v>
      </c>
      <c r="B255" t="s">
        <v>13</v>
      </c>
      <c r="C255" t="s">
        <v>14</v>
      </c>
      <c r="D255" t="s">
        <v>22</v>
      </c>
      <c r="E255" t="s">
        <v>26</v>
      </c>
      <c r="F255" t="s">
        <v>27</v>
      </c>
      <c r="G255">
        <v>4</v>
      </c>
      <c r="H255" s="1">
        <v>43540</v>
      </c>
      <c r="I255" s="2">
        <v>0.47361111111111115</v>
      </c>
      <c r="J255" t="s">
        <v>24</v>
      </c>
      <c r="K255">
        <v>4.75</v>
      </c>
      <c r="L255">
        <v>5.2</v>
      </c>
    </row>
    <row r="256" spans="1:12" x14ac:dyDescent="0.25">
      <c r="A256" t="s">
        <v>285</v>
      </c>
      <c r="B256" t="s">
        <v>13</v>
      </c>
      <c r="C256" t="s">
        <v>14</v>
      </c>
      <c r="D256" t="s">
        <v>15</v>
      </c>
      <c r="E256" t="s">
        <v>26</v>
      </c>
      <c r="F256" t="s">
        <v>27</v>
      </c>
      <c r="G256">
        <v>8</v>
      </c>
      <c r="H256" s="1">
        <v>43471</v>
      </c>
      <c r="I256" s="2">
        <v>0.47430555555555554</v>
      </c>
      <c r="J256" t="s">
        <v>24</v>
      </c>
      <c r="K256">
        <v>23.56</v>
      </c>
      <c r="L256">
        <v>8.9</v>
      </c>
    </row>
    <row r="257" spans="1:12" x14ac:dyDescent="0.25">
      <c r="A257" t="s">
        <v>286</v>
      </c>
      <c r="B257" t="s">
        <v>37</v>
      </c>
      <c r="C257" t="s">
        <v>38</v>
      </c>
      <c r="D257" t="s">
        <v>15</v>
      </c>
      <c r="E257" t="s">
        <v>26</v>
      </c>
      <c r="F257" t="s">
        <v>41</v>
      </c>
      <c r="G257">
        <v>4</v>
      </c>
      <c r="H257" s="1">
        <v>43494</v>
      </c>
      <c r="I257" s="2">
        <v>0.59166666666666667</v>
      </c>
      <c r="J257" t="s">
        <v>24</v>
      </c>
      <c r="K257">
        <v>6.524</v>
      </c>
      <c r="L257">
        <v>9</v>
      </c>
    </row>
    <row r="258" spans="1:12" x14ac:dyDescent="0.25">
      <c r="A258" t="s">
        <v>287</v>
      </c>
      <c r="B258" t="s">
        <v>13</v>
      </c>
      <c r="C258" t="s">
        <v>14</v>
      </c>
      <c r="D258" t="s">
        <v>15</v>
      </c>
      <c r="E258" t="s">
        <v>26</v>
      </c>
      <c r="F258" t="s">
        <v>23</v>
      </c>
      <c r="G258">
        <v>1</v>
      </c>
      <c r="H258" s="1">
        <v>43496</v>
      </c>
      <c r="I258" s="2">
        <v>0.44861111111111113</v>
      </c>
      <c r="J258" t="s">
        <v>28</v>
      </c>
      <c r="K258">
        <v>3.3174999999999999</v>
      </c>
      <c r="L258">
        <v>9.6999999999999993</v>
      </c>
    </row>
    <row r="259" spans="1:12" x14ac:dyDescent="0.25">
      <c r="A259" t="s">
        <v>288</v>
      </c>
      <c r="B259" t="s">
        <v>13</v>
      </c>
      <c r="C259" t="s">
        <v>14</v>
      </c>
      <c r="D259" t="s">
        <v>15</v>
      </c>
      <c r="E259" t="s">
        <v>26</v>
      </c>
      <c r="F259" t="s">
        <v>27</v>
      </c>
      <c r="G259">
        <v>6</v>
      </c>
      <c r="H259" s="1">
        <v>43501</v>
      </c>
      <c r="I259" s="2">
        <v>0.42777777777777781</v>
      </c>
      <c r="J259" t="s">
        <v>18</v>
      </c>
      <c r="K259">
        <v>7.7729999999999997</v>
      </c>
      <c r="L259">
        <v>8.6999999999999993</v>
      </c>
    </row>
    <row r="260" spans="1:12" x14ac:dyDescent="0.25">
      <c r="A260" t="s">
        <v>289</v>
      </c>
      <c r="B260" t="s">
        <v>13</v>
      </c>
      <c r="C260" t="s">
        <v>14</v>
      </c>
      <c r="D260" t="s">
        <v>15</v>
      </c>
      <c r="E260" t="s">
        <v>26</v>
      </c>
      <c r="F260" t="s">
        <v>23</v>
      </c>
      <c r="G260">
        <v>4</v>
      </c>
      <c r="H260" s="1">
        <v>43509</v>
      </c>
      <c r="I260" s="2">
        <v>0.52638888888888891</v>
      </c>
      <c r="J260" t="s">
        <v>18</v>
      </c>
      <c r="K260">
        <v>6.45</v>
      </c>
      <c r="L260">
        <v>6.5</v>
      </c>
    </row>
    <row r="261" spans="1:12" x14ac:dyDescent="0.25">
      <c r="A261" t="s">
        <v>290</v>
      </c>
      <c r="B261" t="s">
        <v>20</v>
      </c>
      <c r="C261" t="s">
        <v>21</v>
      </c>
      <c r="D261" t="s">
        <v>15</v>
      </c>
      <c r="E261" t="s">
        <v>26</v>
      </c>
      <c r="F261" t="s">
        <v>23</v>
      </c>
      <c r="G261">
        <v>4</v>
      </c>
      <c r="H261" s="1">
        <v>43503</v>
      </c>
      <c r="I261" s="2">
        <v>0.54513888888888895</v>
      </c>
      <c r="J261" t="s">
        <v>28</v>
      </c>
      <c r="K261">
        <v>13.188000000000001</v>
      </c>
      <c r="L261">
        <v>6.9</v>
      </c>
    </row>
    <row r="262" spans="1:12" x14ac:dyDescent="0.25">
      <c r="A262" t="s">
        <v>291</v>
      </c>
      <c r="B262" t="s">
        <v>13</v>
      </c>
      <c r="C262" t="s">
        <v>14</v>
      </c>
      <c r="D262" t="s">
        <v>22</v>
      </c>
      <c r="E262" t="s">
        <v>16</v>
      </c>
      <c r="F262" t="s">
        <v>23</v>
      </c>
      <c r="G262">
        <v>9</v>
      </c>
      <c r="H262" s="1">
        <v>43543</v>
      </c>
      <c r="I262" s="2">
        <v>0.55902777777777779</v>
      </c>
      <c r="J262" t="s">
        <v>18</v>
      </c>
      <c r="K262">
        <v>33.777000000000001</v>
      </c>
      <c r="L262">
        <v>6.2</v>
      </c>
    </row>
    <row r="263" spans="1:12" x14ac:dyDescent="0.25">
      <c r="A263" t="s">
        <v>292</v>
      </c>
      <c r="B263" t="s">
        <v>20</v>
      </c>
      <c r="C263" t="s">
        <v>21</v>
      </c>
      <c r="D263" t="s">
        <v>22</v>
      </c>
      <c r="E263" t="s">
        <v>16</v>
      </c>
      <c r="F263" t="s">
        <v>41</v>
      </c>
      <c r="G263">
        <v>4</v>
      </c>
      <c r="H263" s="1">
        <v>43531</v>
      </c>
      <c r="I263" s="2">
        <v>0.62013888888888891</v>
      </c>
      <c r="J263" t="s">
        <v>18</v>
      </c>
      <c r="K263">
        <v>3.29</v>
      </c>
      <c r="L263">
        <v>5.6</v>
      </c>
    </row>
    <row r="264" spans="1:12" x14ac:dyDescent="0.25">
      <c r="A264" t="s">
        <v>293</v>
      </c>
      <c r="B264" t="s">
        <v>37</v>
      </c>
      <c r="C264" t="s">
        <v>38</v>
      </c>
      <c r="D264" t="s">
        <v>15</v>
      </c>
      <c r="E264" t="s">
        <v>16</v>
      </c>
      <c r="F264" t="s">
        <v>41</v>
      </c>
      <c r="G264">
        <v>4</v>
      </c>
      <c r="H264" s="1">
        <v>43537</v>
      </c>
      <c r="I264" s="2">
        <v>0.80694444444444446</v>
      </c>
      <c r="J264" t="s">
        <v>24</v>
      </c>
      <c r="K264">
        <v>7.66</v>
      </c>
      <c r="L264">
        <v>5.7</v>
      </c>
    </row>
    <row r="265" spans="1:12" x14ac:dyDescent="0.25">
      <c r="A265" t="s">
        <v>294</v>
      </c>
      <c r="B265" t="s">
        <v>13</v>
      </c>
      <c r="C265" t="s">
        <v>14</v>
      </c>
      <c r="D265" t="s">
        <v>15</v>
      </c>
      <c r="E265" t="s">
        <v>16</v>
      </c>
      <c r="F265" t="s">
        <v>31</v>
      </c>
      <c r="G265">
        <v>10</v>
      </c>
      <c r="H265" s="1">
        <v>43505</v>
      </c>
      <c r="I265" s="2">
        <v>0.45833333333333331</v>
      </c>
      <c r="J265" t="s">
        <v>24</v>
      </c>
      <c r="K265">
        <v>11.12</v>
      </c>
      <c r="L265">
        <v>4.2</v>
      </c>
    </row>
    <row r="266" spans="1:12" x14ac:dyDescent="0.25">
      <c r="A266" t="s">
        <v>295</v>
      </c>
      <c r="B266" t="s">
        <v>37</v>
      </c>
      <c r="C266" t="s">
        <v>38</v>
      </c>
      <c r="D266" t="s">
        <v>22</v>
      </c>
      <c r="E266" t="s">
        <v>26</v>
      </c>
      <c r="F266" t="s">
        <v>31</v>
      </c>
      <c r="G266">
        <v>1</v>
      </c>
      <c r="H266" s="1">
        <v>43522</v>
      </c>
      <c r="I266" s="2">
        <v>0.80833333333333324</v>
      </c>
      <c r="J266" t="s">
        <v>18</v>
      </c>
      <c r="K266">
        <v>2.7225000000000001</v>
      </c>
      <c r="L266">
        <v>7.9</v>
      </c>
    </row>
    <row r="267" spans="1:12" x14ac:dyDescent="0.25">
      <c r="A267" t="s">
        <v>296</v>
      </c>
      <c r="B267" t="s">
        <v>13</v>
      </c>
      <c r="C267" t="s">
        <v>14</v>
      </c>
      <c r="D267" t="s">
        <v>15</v>
      </c>
      <c r="E267" t="s">
        <v>16</v>
      </c>
      <c r="F267" t="s">
        <v>31</v>
      </c>
      <c r="G267">
        <v>7</v>
      </c>
      <c r="H267" s="1">
        <v>43536</v>
      </c>
      <c r="I267" s="2">
        <v>0.52986111111111112</v>
      </c>
      <c r="J267" t="s">
        <v>28</v>
      </c>
      <c r="K267">
        <v>34.44</v>
      </c>
      <c r="L267">
        <v>8.6999999999999993</v>
      </c>
    </row>
    <row r="268" spans="1:12" x14ac:dyDescent="0.25">
      <c r="A268" t="s">
        <v>297</v>
      </c>
      <c r="B268" t="s">
        <v>20</v>
      </c>
      <c r="C268" t="s">
        <v>21</v>
      </c>
      <c r="D268" t="s">
        <v>22</v>
      </c>
      <c r="E268" t="s">
        <v>26</v>
      </c>
      <c r="F268" t="s">
        <v>27</v>
      </c>
      <c r="G268">
        <v>4</v>
      </c>
      <c r="H268" s="1">
        <v>43538</v>
      </c>
      <c r="I268" s="2">
        <v>0.72361111111111109</v>
      </c>
      <c r="J268" t="s">
        <v>28</v>
      </c>
      <c r="K268">
        <v>7.0940000000000003</v>
      </c>
      <c r="L268">
        <v>6.9</v>
      </c>
    </row>
    <row r="269" spans="1:12" x14ac:dyDescent="0.25">
      <c r="A269" t="s">
        <v>298</v>
      </c>
      <c r="B269" t="s">
        <v>37</v>
      </c>
      <c r="C269" t="s">
        <v>38</v>
      </c>
      <c r="D269" t="s">
        <v>15</v>
      </c>
      <c r="E269" t="s">
        <v>16</v>
      </c>
      <c r="F269" t="s">
        <v>39</v>
      </c>
      <c r="G269">
        <v>10</v>
      </c>
      <c r="H269" s="1">
        <v>43473</v>
      </c>
      <c r="I269" s="2">
        <v>0.87152777777777779</v>
      </c>
      <c r="J269" t="s">
        <v>24</v>
      </c>
      <c r="K269">
        <v>37.299999999999997</v>
      </c>
      <c r="L269">
        <v>9.5</v>
      </c>
    </row>
    <row r="270" spans="1:12" x14ac:dyDescent="0.25">
      <c r="A270" t="s">
        <v>299</v>
      </c>
      <c r="B270" t="s">
        <v>13</v>
      </c>
      <c r="C270" t="s">
        <v>14</v>
      </c>
      <c r="D270" t="s">
        <v>15</v>
      </c>
      <c r="E270" t="s">
        <v>26</v>
      </c>
      <c r="F270" t="s">
        <v>27</v>
      </c>
      <c r="G270">
        <v>4</v>
      </c>
      <c r="H270" s="1">
        <v>43470</v>
      </c>
      <c r="I270" s="2">
        <v>0.67013888888888884</v>
      </c>
      <c r="J270" t="s">
        <v>28</v>
      </c>
      <c r="K270">
        <v>14.148</v>
      </c>
      <c r="L270">
        <v>4.4000000000000004</v>
      </c>
    </row>
    <row r="271" spans="1:12" x14ac:dyDescent="0.25">
      <c r="A271" t="s">
        <v>300</v>
      </c>
      <c r="B271" t="s">
        <v>13</v>
      </c>
      <c r="C271" t="s">
        <v>14</v>
      </c>
      <c r="D271" t="s">
        <v>15</v>
      </c>
      <c r="E271" t="s">
        <v>16</v>
      </c>
      <c r="F271" t="s">
        <v>27</v>
      </c>
      <c r="G271">
        <v>10</v>
      </c>
      <c r="H271" s="1">
        <v>43469</v>
      </c>
      <c r="I271" s="2">
        <v>0.56527777777777777</v>
      </c>
      <c r="J271" t="s">
        <v>18</v>
      </c>
      <c r="K271">
        <v>17.77</v>
      </c>
      <c r="L271">
        <v>7</v>
      </c>
    </row>
    <row r="272" spans="1:12" x14ac:dyDescent="0.25">
      <c r="A272" t="s">
        <v>301</v>
      </c>
      <c r="B272" t="s">
        <v>37</v>
      </c>
      <c r="C272" t="s">
        <v>38</v>
      </c>
      <c r="D272" t="s">
        <v>22</v>
      </c>
      <c r="E272" t="s">
        <v>16</v>
      </c>
      <c r="F272" t="s">
        <v>31</v>
      </c>
      <c r="G272">
        <v>5</v>
      </c>
      <c r="H272" s="1">
        <v>43530</v>
      </c>
      <c r="I272" s="2">
        <v>0.75902777777777775</v>
      </c>
      <c r="J272" t="s">
        <v>18</v>
      </c>
      <c r="K272">
        <v>16.857500000000002</v>
      </c>
      <c r="L272">
        <v>6.3</v>
      </c>
    </row>
    <row r="273" spans="1:12" x14ac:dyDescent="0.25">
      <c r="A273" t="s">
        <v>302</v>
      </c>
      <c r="B273" t="s">
        <v>20</v>
      </c>
      <c r="C273" t="s">
        <v>21</v>
      </c>
      <c r="D273" t="s">
        <v>15</v>
      </c>
      <c r="E273" t="s">
        <v>16</v>
      </c>
      <c r="F273" t="s">
        <v>17</v>
      </c>
      <c r="G273">
        <v>2</v>
      </c>
      <c r="H273" s="1">
        <v>43468</v>
      </c>
      <c r="I273" s="2">
        <v>0.80347222222222225</v>
      </c>
      <c r="J273" t="s">
        <v>24</v>
      </c>
      <c r="K273">
        <v>2.1120000000000001</v>
      </c>
      <c r="L273">
        <v>9.6999999999999993</v>
      </c>
    </row>
    <row r="274" spans="1:12" x14ac:dyDescent="0.25">
      <c r="A274" t="s">
        <v>303</v>
      </c>
      <c r="B274" t="s">
        <v>13</v>
      </c>
      <c r="C274" t="s">
        <v>14</v>
      </c>
      <c r="D274" t="s">
        <v>15</v>
      </c>
      <c r="E274" t="s">
        <v>16</v>
      </c>
      <c r="F274" t="s">
        <v>27</v>
      </c>
      <c r="G274">
        <v>9</v>
      </c>
      <c r="H274" s="1">
        <v>43472</v>
      </c>
      <c r="I274" s="2">
        <v>0.48888888888888887</v>
      </c>
      <c r="J274" t="s">
        <v>28</v>
      </c>
      <c r="K274">
        <v>9.6929999999999996</v>
      </c>
      <c r="L274">
        <v>8.8000000000000007</v>
      </c>
    </row>
    <row r="275" spans="1:12" x14ac:dyDescent="0.25">
      <c r="A275" t="s">
        <v>304</v>
      </c>
      <c r="B275" t="s">
        <v>13</v>
      </c>
      <c r="C275" t="s">
        <v>14</v>
      </c>
      <c r="D275" t="s">
        <v>22</v>
      </c>
      <c r="E275" t="s">
        <v>16</v>
      </c>
      <c r="F275" t="s">
        <v>27</v>
      </c>
      <c r="G275">
        <v>2</v>
      </c>
      <c r="H275" s="1">
        <v>43492</v>
      </c>
      <c r="I275" s="2">
        <v>0.66041666666666665</v>
      </c>
      <c r="J275" t="s">
        <v>24</v>
      </c>
      <c r="K275">
        <v>1.2030000000000001</v>
      </c>
      <c r="L275">
        <v>5.0999999999999996</v>
      </c>
    </row>
    <row r="276" spans="1:12" x14ac:dyDescent="0.25">
      <c r="A276" t="s">
        <v>305</v>
      </c>
      <c r="B276" t="s">
        <v>37</v>
      </c>
      <c r="C276" t="s">
        <v>38</v>
      </c>
      <c r="D276" t="s">
        <v>22</v>
      </c>
      <c r="E276" t="s">
        <v>16</v>
      </c>
      <c r="F276" t="s">
        <v>17</v>
      </c>
      <c r="G276">
        <v>6</v>
      </c>
      <c r="H276" s="1">
        <v>43522</v>
      </c>
      <c r="I276" s="2">
        <v>0.70277777777777783</v>
      </c>
      <c r="J276" t="s">
        <v>18</v>
      </c>
      <c r="K276">
        <v>29.913</v>
      </c>
      <c r="L276">
        <v>7.9</v>
      </c>
    </row>
    <row r="277" spans="1:12" x14ac:dyDescent="0.25">
      <c r="A277" t="s">
        <v>306</v>
      </c>
      <c r="B277" t="s">
        <v>37</v>
      </c>
      <c r="C277" t="s">
        <v>38</v>
      </c>
      <c r="D277" t="s">
        <v>22</v>
      </c>
      <c r="E277" t="s">
        <v>26</v>
      </c>
      <c r="F277" t="s">
        <v>41</v>
      </c>
      <c r="G277">
        <v>7</v>
      </c>
      <c r="H277" s="1">
        <v>43472</v>
      </c>
      <c r="I277" s="2">
        <v>0.86944444444444446</v>
      </c>
      <c r="J277" t="s">
        <v>24</v>
      </c>
      <c r="K277">
        <v>16.7895</v>
      </c>
      <c r="L277">
        <v>6.2</v>
      </c>
    </row>
    <row r="278" spans="1:12" x14ac:dyDescent="0.25">
      <c r="A278" t="s">
        <v>307</v>
      </c>
      <c r="B278" t="s">
        <v>20</v>
      </c>
      <c r="C278" t="s">
        <v>21</v>
      </c>
      <c r="D278" t="s">
        <v>15</v>
      </c>
      <c r="E278" t="s">
        <v>16</v>
      </c>
      <c r="F278" t="s">
        <v>27</v>
      </c>
      <c r="G278">
        <v>10</v>
      </c>
      <c r="H278" s="1">
        <v>43472</v>
      </c>
      <c r="I278" s="2">
        <v>0.73333333333333339</v>
      </c>
      <c r="J278" t="s">
        <v>24</v>
      </c>
      <c r="K278">
        <v>10.91</v>
      </c>
      <c r="L278">
        <v>7.1</v>
      </c>
    </row>
    <row r="279" spans="1:12" x14ac:dyDescent="0.25">
      <c r="A279" t="s">
        <v>308</v>
      </c>
      <c r="B279" t="s">
        <v>20</v>
      </c>
      <c r="C279" t="s">
        <v>21</v>
      </c>
      <c r="D279" t="s">
        <v>22</v>
      </c>
      <c r="E279" t="s">
        <v>16</v>
      </c>
      <c r="F279" t="s">
        <v>41</v>
      </c>
      <c r="G279">
        <v>4</v>
      </c>
      <c r="H279" s="1">
        <v>43498</v>
      </c>
      <c r="I279" s="2">
        <v>0.55763888888888891</v>
      </c>
      <c r="J279" t="s">
        <v>18</v>
      </c>
      <c r="K279">
        <v>19.084</v>
      </c>
      <c r="L279">
        <v>6.4</v>
      </c>
    </row>
    <row r="280" spans="1:12" x14ac:dyDescent="0.25">
      <c r="A280" t="s">
        <v>309</v>
      </c>
      <c r="B280" t="s">
        <v>20</v>
      </c>
      <c r="C280" t="s">
        <v>21</v>
      </c>
      <c r="D280" t="s">
        <v>15</v>
      </c>
      <c r="E280" t="s">
        <v>26</v>
      </c>
      <c r="F280" t="s">
        <v>41</v>
      </c>
      <c r="G280">
        <v>10</v>
      </c>
      <c r="H280" s="1">
        <v>43544</v>
      </c>
      <c r="I280" s="2">
        <v>0.68611111111111101</v>
      </c>
      <c r="J280" t="s">
        <v>24</v>
      </c>
      <c r="K280">
        <v>35.494999999999997</v>
      </c>
      <c r="L280">
        <v>5.7</v>
      </c>
    </row>
    <row r="281" spans="1:12" x14ac:dyDescent="0.25">
      <c r="A281" t="s">
        <v>310</v>
      </c>
      <c r="B281" t="s">
        <v>13</v>
      </c>
      <c r="C281" t="s">
        <v>14</v>
      </c>
      <c r="D281" t="s">
        <v>15</v>
      </c>
      <c r="E281" t="s">
        <v>26</v>
      </c>
      <c r="F281" t="s">
        <v>31</v>
      </c>
      <c r="G281">
        <v>10</v>
      </c>
      <c r="H281" s="1">
        <v>43544</v>
      </c>
      <c r="I281" s="2">
        <v>0.83124999999999993</v>
      </c>
      <c r="J281" t="s">
        <v>28</v>
      </c>
      <c r="K281">
        <v>22.01</v>
      </c>
      <c r="L281">
        <v>9.6</v>
      </c>
    </row>
    <row r="282" spans="1:12" x14ac:dyDescent="0.25">
      <c r="A282" t="s">
        <v>311</v>
      </c>
      <c r="B282" t="s">
        <v>13</v>
      </c>
      <c r="C282" t="s">
        <v>14</v>
      </c>
      <c r="D282" t="s">
        <v>22</v>
      </c>
      <c r="E282" t="s">
        <v>16</v>
      </c>
      <c r="F282" t="s">
        <v>27</v>
      </c>
      <c r="G282">
        <v>8</v>
      </c>
      <c r="H282" s="1">
        <v>43511</v>
      </c>
      <c r="I282" s="2">
        <v>0.7090277777777777</v>
      </c>
      <c r="J282" t="s">
        <v>28</v>
      </c>
      <c r="K282">
        <v>27.984000000000002</v>
      </c>
      <c r="L282">
        <v>6.4</v>
      </c>
    </row>
    <row r="283" spans="1:12" x14ac:dyDescent="0.25">
      <c r="A283" t="s">
        <v>312</v>
      </c>
      <c r="B283" t="s">
        <v>20</v>
      </c>
      <c r="C283" t="s">
        <v>21</v>
      </c>
      <c r="D283" t="s">
        <v>22</v>
      </c>
      <c r="E283" t="s">
        <v>26</v>
      </c>
      <c r="F283" t="s">
        <v>27</v>
      </c>
      <c r="G283">
        <v>1</v>
      </c>
      <c r="H283" s="1">
        <v>43530</v>
      </c>
      <c r="I283" s="2">
        <v>0.56180555555555556</v>
      </c>
      <c r="J283" t="s">
        <v>28</v>
      </c>
      <c r="K283">
        <v>1.85</v>
      </c>
      <c r="L283">
        <v>7.9</v>
      </c>
    </row>
    <row r="284" spans="1:12" x14ac:dyDescent="0.25">
      <c r="A284" t="s">
        <v>313</v>
      </c>
      <c r="B284" t="s">
        <v>13</v>
      </c>
      <c r="C284" t="s">
        <v>14</v>
      </c>
      <c r="D284" t="s">
        <v>22</v>
      </c>
      <c r="E284" t="s">
        <v>16</v>
      </c>
      <c r="F284" t="s">
        <v>31</v>
      </c>
      <c r="G284">
        <v>1</v>
      </c>
      <c r="H284" s="1">
        <v>43471</v>
      </c>
      <c r="I284" s="2">
        <v>0.46458333333333335</v>
      </c>
      <c r="J284" t="s">
        <v>24</v>
      </c>
      <c r="K284">
        <v>0.76700000000000002</v>
      </c>
      <c r="L284">
        <v>6.5</v>
      </c>
    </row>
    <row r="285" spans="1:12" x14ac:dyDescent="0.25">
      <c r="A285" t="s">
        <v>314</v>
      </c>
      <c r="B285" t="s">
        <v>13</v>
      </c>
      <c r="C285" t="s">
        <v>14</v>
      </c>
      <c r="D285" t="s">
        <v>15</v>
      </c>
      <c r="E285" t="s">
        <v>26</v>
      </c>
      <c r="F285" t="s">
        <v>17</v>
      </c>
      <c r="G285">
        <v>6</v>
      </c>
      <c r="H285" s="1">
        <v>43528</v>
      </c>
      <c r="I285" s="2">
        <v>0.62638888888888888</v>
      </c>
      <c r="J285" t="s">
        <v>18</v>
      </c>
      <c r="K285">
        <v>29.949000000000002</v>
      </c>
      <c r="L285">
        <v>8.5</v>
      </c>
    </row>
    <row r="286" spans="1:12" x14ac:dyDescent="0.25">
      <c r="A286" t="s">
        <v>315</v>
      </c>
      <c r="B286" t="s">
        <v>13</v>
      </c>
      <c r="C286" t="s">
        <v>14</v>
      </c>
      <c r="D286" t="s">
        <v>15</v>
      </c>
      <c r="E286" t="s">
        <v>16</v>
      </c>
      <c r="F286" t="s">
        <v>17</v>
      </c>
      <c r="G286">
        <v>4</v>
      </c>
      <c r="H286" s="1">
        <v>43536</v>
      </c>
      <c r="I286" s="2">
        <v>0.59791666666666665</v>
      </c>
      <c r="J286" t="s">
        <v>24</v>
      </c>
      <c r="K286">
        <v>9.5340000000000007</v>
      </c>
      <c r="L286">
        <v>9.1</v>
      </c>
    </row>
    <row r="287" spans="1:12" x14ac:dyDescent="0.25">
      <c r="A287" t="s">
        <v>316</v>
      </c>
      <c r="B287" t="s">
        <v>37</v>
      </c>
      <c r="C287" t="s">
        <v>38</v>
      </c>
      <c r="D287" t="s">
        <v>22</v>
      </c>
      <c r="E287" t="s">
        <v>26</v>
      </c>
      <c r="F287" t="s">
        <v>17</v>
      </c>
      <c r="G287">
        <v>5</v>
      </c>
      <c r="H287" s="1">
        <v>43516</v>
      </c>
      <c r="I287" s="2">
        <v>0.75069444444444444</v>
      </c>
      <c r="J287" t="s">
        <v>24</v>
      </c>
      <c r="K287">
        <v>16.670000000000002</v>
      </c>
      <c r="L287">
        <v>7.6</v>
      </c>
    </row>
    <row r="288" spans="1:12" x14ac:dyDescent="0.25">
      <c r="A288" t="s">
        <v>317</v>
      </c>
      <c r="B288" t="s">
        <v>20</v>
      </c>
      <c r="C288" t="s">
        <v>21</v>
      </c>
      <c r="D288" t="s">
        <v>15</v>
      </c>
      <c r="E288" t="s">
        <v>26</v>
      </c>
      <c r="F288" t="s">
        <v>27</v>
      </c>
      <c r="G288">
        <v>1</v>
      </c>
      <c r="H288" s="1">
        <v>43548</v>
      </c>
      <c r="I288" s="2">
        <v>0.61736111111111114</v>
      </c>
      <c r="J288" t="s">
        <v>24</v>
      </c>
      <c r="K288">
        <v>3.7429999999999999</v>
      </c>
      <c r="L288">
        <v>6.9</v>
      </c>
    </row>
    <row r="289" spans="1:12" x14ac:dyDescent="0.25">
      <c r="A289" t="s">
        <v>318</v>
      </c>
      <c r="B289" t="s">
        <v>20</v>
      </c>
      <c r="C289" t="s">
        <v>21</v>
      </c>
      <c r="D289" t="s">
        <v>22</v>
      </c>
      <c r="E289" t="s">
        <v>16</v>
      </c>
      <c r="F289" t="s">
        <v>31</v>
      </c>
      <c r="G289">
        <v>9</v>
      </c>
      <c r="H289" s="1">
        <v>43496</v>
      </c>
      <c r="I289" s="2">
        <v>0.50138888888888888</v>
      </c>
      <c r="J289" t="s">
        <v>24</v>
      </c>
      <c r="K289">
        <v>10.6875</v>
      </c>
      <c r="L289">
        <v>9.5</v>
      </c>
    </row>
    <row r="290" spans="1:12" x14ac:dyDescent="0.25">
      <c r="A290" t="s">
        <v>319</v>
      </c>
      <c r="B290" t="s">
        <v>37</v>
      </c>
      <c r="C290" t="s">
        <v>38</v>
      </c>
      <c r="D290" t="s">
        <v>22</v>
      </c>
      <c r="E290" t="s">
        <v>16</v>
      </c>
      <c r="F290" t="s">
        <v>39</v>
      </c>
      <c r="G290">
        <v>7</v>
      </c>
      <c r="H290" s="1">
        <v>43490</v>
      </c>
      <c r="I290" s="2">
        <v>0.5625</v>
      </c>
      <c r="J290" t="s">
        <v>28</v>
      </c>
      <c r="K290">
        <v>16.9785</v>
      </c>
      <c r="L290">
        <v>5.2</v>
      </c>
    </row>
    <row r="291" spans="1:12" x14ac:dyDescent="0.25">
      <c r="A291" t="s">
        <v>320</v>
      </c>
      <c r="B291" t="s">
        <v>13</v>
      </c>
      <c r="C291" t="s">
        <v>14</v>
      </c>
      <c r="D291" t="s">
        <v>15</v>
      </c>
      <c r="E291" t="s">
        <v>16</v>
      </c>
      <c r="F291" t="s">
        <v>27</v>
      </c>
      <c r="G291">
        <v>7</v>
      </c>
      <c r="H291" s="1">
        <v>43499</v>
      </c>
      <c r="I291" s="2">
        <v>0.60972222222222217</v>
      </c>
      <c r="J291" t="s">
        <v>24</v>
      </c>
      <c r="K291">
        <v>33.207999999999998</v>
      </c>
      <c r="L291">
        <v>4.2</v>
      </c>
    </row>
    <row r="292" spans="1:12" x14ac:dyDescent="0.25">
      <c r="A292" t="s">
        <v>321</v>
      </c>
      <c r="B292" t="s">
        <v>37</v>
      </c>
      <c r="C292" t="s">
        <v>38</v>
      </c>
      <c r="D292" t="s">
        <v>15</v>
      </c>
      <c r="E292" t="s">
        <v>26</v>
      </c>
      <c r="F292" t="s">
        <v>23</v>
      </c>
      <c r="G292">
        <v>10</v>
      </c>
      <c r="H292" s="1">
        <v>43489</v>
      </c>
      <c r="I292" s="2">
        <v>0.73402777777777783</v>
      </c>
      <c r="J292" t="s">
        <v>28</v>
      </c>
      <c r="K292">
        <v>20.149999999999999</v>
      </c>
      <c r="L292">
        <v>7</v>
      </c>
    </row>
    <row r="293" spans="1:12" x14ac:dyDescent="0.25">
      <c r="A293" t="s">
        <v>322</v>
      </c>
      <c r="B293" t="s">
        <v>20</v>
      </c>
      <c r="C293" t="s">
        <v>21</v>
      </c>
      <c r="D293" t="s">
        <v>22</v>
      </c>
      <c r="E293" t="s">
        <v>26</v>
      </c>
      <c r="F293" t="s">
        <v>23</v>
      </c>
      <c r="G293">
        <v>7</v>
      </c>
      <c r="H293" s="1">
        <v>43538</v>
      </c>
      <c r="I293" s="2">
        <v>0.72222222222222221</v>
      </c>
      <c r="J293" t="s">
        <v>18</v>
      </c>
      <c r="K293">
        <v>9.7475000000000005</v>
      </c>
      <c r="L293">
        <v>6</v>
      </c>
    </row>
    <row r="294" spans="1:12" x14ac:dyDescent="0.25">
      <c r="A294" t="s">
        <v>323</v>
      </c>
      <c r="B294" t="s">
        <v>13</v>
      </c>
      <c r="C294" t="s">
        <v>14</v>
      </c>
      <c r="D294" t="s">
        <v>15</v>
      </c>
      <c r="E294" t="s">
        <v>16</v>
      </c>
      <c r="F294" t="s">
        <v>23</v>
      </c>
      <c r="G294">
        <v>1</v>
      </c>
      <c r="H294" s="1">
        <v>43514</v>
      </c>
      <c r="I294" s="2">
        <v>0.8534722222222223</v>
      </c>
      <c r="J294" t="s">
        <v>24</v>
      </c>
      <c r="K294">
        <v>3.1240000000000001</v>
      </c>
      <c r="L294">
        <v>4.7</v>
      </c>
    </row>
    <row r="295" spans="1:12" x14ac:dyDescent="0.25">
      <c r="A295" t="s">
        <v>324</v>
      </c>
      <c r="B295" t="s">
        <v>13</v>
      </c>
      <c r="C295" t="s">
        <v>14</v>
      </c>
      <c r="D295" t="s">
        <v>15</v>
      </c>
      <c r="E295" t="s">
        <v>16</v>
      </c>
      <c r="F295" t="s">
        <v>39</v>
      </c>
      <c r="G295">
        <v>2</v>
      </c>
      <c r="H295" s="1">
        <v>43486</v>
      </c>
      <c r="I295" s="2">
        <v>0.41666666666666669</v>
      </c>
      <c r="J295" t="s">
        <v>24</v>
      </c>
      <c r="K295">
        <v>3.6360000000000001</v>
      </c>
      <c r="L295">
        <v>7.1</v>
      </c>
    </row>
    <row r="296" spans="1:12" x14ac:dyDescent="0.25">
      <c r="A296" t="s">
        <v>325</v>
      </c>
      <c r="B296" t="s">
        <v>37</v>
      </c>
      <c r="C296" t="s">
        <v>38</v>
      </c>
      <c r="D296" t="s">
        <v>22</v>
      </c>
      <c r="E296" t="s">
        <v>26</v>
      </c>
      <c r="F296" t="s">
        <v>17</v>
      </c>
      <c r="G296">
        <v>10</v>
      </c>
      <c r="H296" s="1">
        <v>43537</v>
      </c>
      <c r="I296" s="2">
        <v>0.49027777777777781</v>
      </c>
      <c r="J296" t="s">
        <v>18</v>
      </c>
      <c r="K296">
        <v>9.0549999999999997</v>
      </c>
      <c r="L296">
        <v>5.9</v>
      </c>
    </row>
    <row r="297" spans="1:12" x14ac:dyDescent="0.25">
      <c r="A297" t="s">
        <v>326</v>
      </c>
      <c r="B297" t="s">
        <v>20</v>
      </c>
      <c r="C297" t="s">
        <v>21</v>
      </c>
      <c r="D297" t="s">
        <v>15</v>
      </c>
      <c r="E297" t="s">
        <v>16</v>
      </c>
      <c r="F297" t="s">
        <v>23</v>
      </c>
      <c r="G297">
        <v>5</v>
      </c>
      <c r="H297" s="1">
        <v>43527</v>
      </c>
      <c r="I297" s="2">
        <v>0.5708333333333333</v>
      </c>
      <c r="J297" t="s">
        <v>24</v>
      </c>
      <c r="K297">
        <v>12.98</v>
      </c>
      <c r="L297">
        <v>7.5</v>
      </c>
    </row>
    <row r="298" spans="1:12" x14ac:dyDescent="0.25">
      <c r="A298" t="s">
        <v>327</v>
      </c>
      <c r="B298" t="s">
        <v>20</v>
      </c>
      <c r="C298" t="s">
        <v>21</v>
      </c>
      <c r="D298" t="s">
        <v>22</v>
      </c>
      <c r="E298" t="s">
        <v>26</v>
      </c>
      <c r="F298" t="s">
        <v>23</v>
      </c>
      <c r="G298">
        <v>4</v>
      </c>
      <c r="H298" s="1">
        <v>43553</v>
      </c>
      <c r="I298" s="2">
        <v>0.61388888888888882</v>
      </c>
      <c r="J298" t="s">
        <v>24</v>
      </c>
      <c r="K298">
        <v>5.7679999999999998</v>
      </c>
      <c r="L298">
        <v>6.4</v>
      </c>
    </row>
    <row r="299" spans="1:12" x14ac:dyDescent="0.25">
      <c r="A299" t="s">
        <v>328</v>
      </c>
      <c r="B299" t="s">
        <v>13</v>
      </c>
      <c r="C299" t="s">
        <v>14</v>
      </c>
      <c r="D299" t="s">
        <v>15</v>
      </c>
      <c r="E299" t="s">
        <v>26</v>
      </c>
      <c r="F299" t="s">
        <v>27</v>
      </c>
      <c r="G299">
        <v>6</v>
      </c>
      <c r="H299" s="1">
        <v>43475</v>
      </c>
      <c r="I299" s="2">
        <v>0.59444444444444444</v>
      </c>
      <c r="J299" t="s">
        <v>18</v>
      </c>
      <c r="K299">
        <v>23.513999999999999</v>
      </c>
      <c r="L299">
        <v>5.8</v>
      </c>
    </row>
    <row r="300" spans="1:12" x14ac:dyDescent="0.25">
      <c r="A300" t="s">
        <v>329</v>
      </c>
      <c r="B300" t="s">
        <v>13</v>
      </c>
      <c r="C300" t="s">
        <v>14</v>
      </c>
      <c r="D300" t="s">
        <v>15</v>
      </c>
      <c r="E300" t="s">
        <v>26</v>
      </c>
      <c r="F300" t="s">
        <v>27</v>
      </c>
      <c r="G300">
        <v>4</v>
      </c>
      <c r="H300" s="1">
        <v>43490</v>
      </c>
      <c r="I300" s="2">
        <v>0.66249999999999998</v>
      </c>
      <c r="J300" t="s">
        <v>24</v>
      </c>
      <c r="K300">
        <v>12.002000000000001</v>
      </c>
      <c r="L300">
        <v>4.5</v>
      </c>
    </row>
    <row r="301" spans="1:12" x14ac:dyDescent="0.25">
      <c r="A301" t="s">
        <v>330</v>
      </c>
      <c r="B301" t="s">
        <v>20</v>
      </c>
      <c r="C301" t="s">
        <v>21</v>
      </c>
      <c r="D301" t="s">
        <v>15</v>
      </c>
      <c r="E301" t="s">
        <v>16</v>
      </c>
      <c r="F301" t="s">
        <v>27</v>
      </c>
      <c r="G301">
        <v>1</v>
      </c>
      <c r="H301" s="1">
        <v>43484</v>
      </c>
      <c r="I301" s="2">
        <v>0.43124999999999997</v>
      </c>
      <c r="J301" t="s">
        <v>24</v>
      </c>
      <c r="K301">
        <v>4.4305000000000003</v>
      </c>
      <c r="L301">
        <v>7.7</v>
      </c>
    </row>
    <row r="302" spans="1:12" x14ac:dyDescent="0.25">
      <c r="A302" t="s">
        <v>331</v>
      </c>
      <c r="B302" t="s">
        <v>20</v>
      </c>
      <c r="C302" t="s">
        <v>21</v>
      </c>
      <c r="D302" t="s">
        <v>22</v>
      </c>
      <c r="E302" t="s">
        <v>26</v>
      </c>
      <c r="F302" t="s">
        <v>41</v>
      </c>
      <c r="G302">
        <v>2</v>
      </c>
      <c r="H302" s="1">
        <v>43467</v>
      </c>
      <c r="I302" s="2">
        <v>0.75624999999999998</v>
      </c>
      <c r="J302" t="s">
        <v>28</v>
      </c>
      <c r="K302">
        <v>9.9819999999999993</v>
      </c>
      <c r="L302">
        <v>6.7</v>
      </c>
    </row>
    <row r="303" spans="1:12" x14ac:dyDescent="0.25">
      <c r="A303" t="s">
        <v>332</v>
      </c>
      <c r="B303" t="s">
        <v>37</v>
      </c>
      <c r="C303" t="s">
        <v>38</v>
      </c>
      <c r="D303" t="s">
        <v>15</v>
      </c>
      <c r="E303" t="s">
        <v>26</v>
      </c>
      <c r="F303" t="s">
        <v>17</v>
      </c>
      <c r="G303">
        <v>1</v>
      </c>
      <c r="H303" s="1">
        <v>43536</v>
      </c>
      <c r="I303" s="2">
        <v>0.69861111111111107</v>
      </c>
      <c r="J303" t="s">
        <v>28</v>
      </c>
      <c r="K303">
        <v>1.9504999999999999</v>
      </c>
      <c r="L303">
        <v>4.7</v>
      </c>
    </row>
    <row r="304" spans="1:12" x14ac:dyDescent="0.25">
      <c r="A304" t="s">
        <v>333</v>
      </c>
      <c r="B304" t="s">
        <v>20</v>
      </c>
      <c r="C304" t="s">
        <v>21</v>
      </c>
      <c r="D304" t="s">
        <v>22</v>
      </c>
      <c r="E304" t="s">
        <v>26</v>
      </c>
      <c r="F304" t="s">
        <v>39</v>
      </c>
      <c r="G304">
        <v>1</v>
      </c>
      <c r="H304" s="1">
        <v>43521</v>
      </c>
      <c r="I304" s="2">
        <v>0.64652777777777781</v>
      </c>
      <c r="J304" t="s">
        <v>24</v>
      </c>
      <c r="K304">
        <v>2.4304999999999999</v>
      </c>
      <c r="L304">
        <v>4.4000000000000004</v>
      </c>
    </row>
    <row r="305" spans="1:12" x14ac:dyDescent="0.25">
      <c r="A305" t="s">
        <v>334</v>
      </c>
      <c r="B305" t="s">
        <v>13</v>
      </c>
      <c r="C305" t="s">
        <v>14</v>
      </c>
      <c r="D305" t="s">
        <v>22</v>
      </c>
      <c r="E305" t="s">
        <v>16</v>
      </c>
      <c r="F305" t="s">
        <v>23</v>
      </c>
      <c r="G305">
        <v>4</v>
      </c>
      <c r="H305" s="1">
        <v>43542</v>
      </c>
      <c r="I305" s="2">
        <v>0.71875</v>
      </c>
      <c r="J305" t="s">
        <v>28</v>
      </c>
      <c r="K305">
        <v>10.238</v>
      </c>
      <c r="L305">
        <v>4.7</v>
      </c>
    </row>
    <row r="306" spans="1:12" x14ac:dyDescent="0.25">
      <c r="A306" t="s">
        <v>335</v>
      </c>
      <c r="B306" t="s">
        <v>37</v>
      </c>
      <c r="C306" t="s">
        <v>38</v>
      </c>
      <c r="D306" t="s">
        <v>22</v>
      </c>
      <c r="E306" t="s">
        <v>16</v>
      </c>
      <c r="F306" t="s">
        <v>23</v>
      </c>
      <c r="G306">
        <v>8</v>
      </c>
      <c r="H306" s="1">
        <v>43519</v>
      </c>
      <c r="I306" s="2">
        <v>0.52013888888888882</v>
      </c>
      <c r="J306" t="s">
        <v>24</v>
      </c>
      <c r="K306">
        <v>5.984</v>
      </c>
      <c r="L306">
        <v>8.6</v>
      </c>
    </row>
    <row r="307" spans="1:12" x14ac:dyDescent="0.25">
      <c r="A307" t="s">
        <v>336</v>
      </c>
      <c r="B307" t="s">
        <v>13</v>
      </c>
      <c r="C307" t="s">
        <v>14</v>
      </c>
      <c r="D307" t="s">
        <v>15</v>
      </c>
      <c r="E307" t="s">
        <v>26</v>
      </c>
      <c r="F307" t="s">
        <v>23</v>
      </c>
      <c r="G307">
        <v>7</v>
      </c>
      <c r="H307" s="1">
        <v>43550</v>
      </c>
      <c r="I307" s="2">
        <v>0.84305555555555556</v>
      </c>
      <c r="J307" t="s">
        <v>18</v>
      </c>
      <c r="K307">
        <v>25.27</v>
      </c>
      <c r="L307">
        <v>4.3</v>
      </c>
    </row>
    <row r="308" spans="1:12" x14ac:dyDescent="0.25">
      <c r="A308" t="s">
        <v>337</v>
      </c>
      <c r="B308" t="s">
        <v>13</v>
      </c>
      <c r="C308" t="s">
        <v>14</v>
      </c>
      <c r="D308" t="s">
        <v>22</v>
      </c>
      <c r="E308" t="s">
        <v>16</v>
      </c>
      <c r="F308" t="s">
        <v>31</v>
      </c>
      <c r="G308">
        <v>7</v>
      </c>
      <c r="H308" s="1">
        <v>43554</v>
      </c>
      <c r="I308" s="2">
        <v>0.55694444444444446</v>
      </c>
      <c r="J308" t="s">
        <v>24</v>
      </c>
      <c r="K308">
        <v>14.080500000000001</v>
      </c>
      <c r="L308">
        <v>9.6</v>
      </c>
    </row>
    <row r="309" spans="1:12" x14ac:dyDescent="0.25">
      <c r="A309" t="s">
        <v>338</v>
      </c>
      <c r="B309" t="s">
        <v>13</v>
      </c>
      <c r="C309" t="s">
        <v>14</v>
      </c>
      <c r="D309" t="s">
        <v>15</v>
      </c>
      <c r="E309" t="s">
        <v>16</v>
      </c>
      <c r="F309" t="s">
        <v>27</v>
      </c>
      <c r="G309">
        <v>8</v>
      </c>
      <c r="H309" s="1">
        <v>43513</v>
      </c>
      <c r="I309" s="2">
        <v>0.71458333333333324</v>
      </c>
      <c r="J309" t="s">
        <v>24</v>
      </c>
      <c r="K309">
        <v>35.515999999999998</v>
      </c>
      <c r="L309">
        <v>4.0999999999999996</v>
      </c>
    </row>
    <row r="310" spans="1:12" x14ac:dyDescent="0.25">
      <c r="A310" t="s">
        <v>339</v>
      </c>
      <c r="B310" t="s">
        <v>13</v>
      </c>
      <c r="C310" t="s">
        <v>14</v>
      </c>
      <c r="D310" t="s">
        <v>15</v>
      </c>
      <c r="E310" t="s">
        <v>16</v>
      </c>
      <c r="F310" t="s">
        <v>23</v>
      </c>
      <c r="G310">
        <v>3</v>
      </c>
      <c r="H310" s="1">
        <v>43545</v>
      </c>
      <c r="I310" s="2">
        <v>0.44444444444444442</v>
      </c>
      <c r="J310" t="s">
        <v>18</v>
      </c>
      <c r="K310">
        <v>3.972</v>
      </c>
      <c r="L310">
        <v>4.7</v>
      </c>
    </row>
    <row r="311" spans="1:12" x14ac:dyDescent="0.25">
      <c r="A311" t="s">
        <v>340</v>
      </c>
      <c r="B311" t="s">
        <v>13</v>
      </c>
      <c r="C311" t="s">
        <v>14</v>
      </c>
      <c r="D311" t="s">
        <v>22</v>
      </c>
      <c r="E311" t="s">
        <v>16</v>
      </c>
      <c r="F311" t="s">
        <v>41</v>
      </c>
      <c r="G311">
        <v>2</v>
      </c>
      <c r="H311" s="1">
        <v>43529</v>
      </c>
      <c r="I311" s="2">
        <v>0.73819444444444438</v>
      </c>
      <c r="J311" t="s">
        <v>24</v>
      </c>
      <c r="K311">
        <v>8.1910000000000007</v>
      </c>
      <c r="L311">
        <v>7.8</v>
      </c>
    </row>
    <row r="312" spans="1:12" x14ac:dyDescent="0.25">
      <c r="A312" t="s">
        <v>341</v>
      </c>
      <c r="B312" t="s">
        <v>37</v>
      </c>
      <c r="C312" t="s">
        <v>38</v>
      </c>
      <c r="D312" t="s">
        <v>15</v>
      </c>
      <c r="E312" t="s">
        <v>26</v>
      </c>
      <c r="F312" t="s">
        <v>31</v>
      </c>
      <c r="G312">
        <v>6</v>
      </c>
      <c r="H312" s="1">
        <v>43496</v>
      </c>
      <c r="I312" s="2">
        <v>0.58611111111111114</v>
      </c>
      <c r="J312" t="s">
        <v>24</v>
      </c>
      <c r="K312">
        <v>23.978999999999999</v>
      </c>
      <c r="L312">
        <v>5.5</v>
      </c>
    </row>
    <row r="313" spans="1:12" x14ac:dyDescent="0.25">
      <c r="A313" t="s">
        <v>342</v>
      </c>
      <c r="B313" t="s">
        <v>20</v>
      </c>
      <c r="C313" t="s">
        <v>21</v>
      </c>
      <c r="D313" t="s">
        <v>15</v>
      </c>
      <c r="E313" t="s">
        <v>26</v>
      </c>
      <c r="F313" t="s">
        <v>41</v>
      </c>
      <c r="G313">
        <v>2</v>
      </c>
      <c r="H313" s="1">
        <v>43501</v>
      </c>
      <c r="I313" s="2">
        <v>0.79513888888888884</v>
      </c>
      <c r="J313" t="s">
        <v>18</v>
      </c>
      <c r="K313">
        <v>6.9329999999999998</v>
      </c>
      <c r="L313">
        <v>9.6999999999999993</v>
      </c>
    </row>
    <row r="314" spans="1:12" x14ac:dyDescent="0.25">
      <c r="A314" t="s">
        <v>343</v>
      </c>
      <c r="B314" t="s">
        <v>13</v>
      </c>
      <c r="C314" t="s">
        <v>14</v>
      </c>
      <c r="D314" t="s">
        <v>15</v>
      </c>
      <c r="E314" t="s">
        <v>16</v>
      </c>
      <c r="F314" t="s">
        <v>39</v>
      </c>
      <c r="G314">
        <v>5</v>
      </c>
      <c r="H314" s="1">
        <v>43497</v>
      </c>
      <c r="I314" s="2">
        <v>0.42222222222222222</v>
      </c>
      <c r="J314" t="s">
        <v>28</v>
      </c>
      <c r="K314">
        <v>3.5575000000000001</v>
      </c>
      <c r="L314">
        <v>4.4000000000000004</v>
      </c>
    </row>
    <row r="315" spans="1:12" x14ac:dyDescent="0.25">
      <c r="A315" t="s">
        <v>344</v>
      </c>
      <c r="B315" t="s">
        <v>13</v>
      </c>
      <c r="C315" t="s">
        <v>14</v>
      </c>
      <c r="D315" t="s">
        <v>15</v>
      </c>
      <c r="E315" t="s">
        <v>16</v>
      </c>
      <c r="F315" t="s">
        <v>17</v>
      </c>
      <c r="G315">
        <v>9</v>
      </c>
      <c r="H315" s="1">
        <v>43531</v>
      </c>
      <c r="I315" s="2">
        <v>0.54999999999999993</v>
      </c>
      <c r="J315" t="s">
        <v>24</v>
      </c>
      <c r="K315">
        <v>6.9974999999999996</v>
      </c>
      <c r="L315">
        <v>5</v>
      </c>
    </row>
    <row r="316" spans="1:12" x14ac:dyDescent="0.25">
      <c r="A316" t="s">
        <v>345</v>
      </c>
      <c r="B316" t="s">
        <v>20</v>
      </c>
      <c r="C316" t="s">
        <v>21</v>
      </c>
      <c r="D316" t="s">
        <v>15</v>
      </c>
      <c r="E316" t="s">
        <v>16</v>
      </c>
      <c r="F316" t="s">
        <v>23</v>
      </c>
      <c r="G316">
        <v>10</v>
      </c>
      <c r="H316" s="1">
        <v>43506</v>
      </c>
      <c r="I316" s="2">
        <v>0.86875000000000002</v>
      </c>
      <c r="J316" t="s">
        <v>24</v>
      </c>
      <c r="K316">
        <v>39.064999999999998</v>
      </c>
      <c r="L316">
        <v>4.4000000000000004</v>
      </c>
    </row>
    <row r="317" spans="1:12" x14ac:dyDescent="0.25">
      <c r="A317" t="s">
        <v>346</v>
      </c>
      <c r="B317" t="s">
        <v>20</v>
      </c>
      <c r="C317" t="s">
        <v>21</v>
      </c>
      <c r="D317" t="s">
        <v>15</v>
      </c>
      <c r="E317" t="s">
        <v>26</v>
      </c>
      <c r="F317" t="s">
        <v>39</v>
      </c>
      <c r="G317">
        <v>2</v>
      </c>
      <c r="H317" s="1">
        <v>43510</v>
      </c>
      <c r="I317" s="2">
        <v>0.7284722222222223</v>
      </c>
      <c r="J317" t="s">
        <v>24</v>
      </c>
      <c r="K317">
        <v>9.9369999999999994</v>
      </c>
      <c r="L317">
        <v>5.2</v>
      </c>
    </row>
    <row r="318" spans="1:12" x14ac:dyDescent="0.25">
      <c r="A318" t="s">
        <v>347</v>
      </c>
      <c r="B318" t="s">
        <v>20</v>
      </c>
      <c r="C318" t="s">
        <v>21</v>
      </c>
      <c r="D318" t="s">
        <v>15</v>
      </c>
      <c r="E318" t="s">
        <v>16</v>
      </c>
      <c r="F318" t="s">
        <v>39</v>
      </c>
      <c r="G318">
        <v>3</v>
      </c>
      <c r="H318" s="1">
        <v>43505</v>
      </c>
      <c r="I318" s="2">
        <v>0.43402777777777773</v>
      </c>
      <c r="J318" t="s">
        <v>24</v>
      </c>
      <c r="K318">
        <v>3.1619999999999999</v>
      </c>
      <c r="L318">
        <v>7.3</v>
      </c>
    </row>
    <row r="319" spans="1:12" x14ac:dyDescent="0.25">
      <c r="A319" t="s">
        <v>348</v>
      </c>
      <c r="B319" t="s">
        <v>20</v>
      </c>
      <c r="C319" t="s">
        <v>21</v>
      </c>
      <c r="D319" t="s">
        <v>15</v>
      </c>
      <c r="E319" t="s">
        <v>26</v>
      </c>
      <c r="F319" t="s">
        <v>23</v>
      </c>
      <c r="G319">
        <v>5</v>
      </c>
      <c r="H319" s="1">
        <v>43475</v>
      </c>
      <c r="I319" s="2">
        <v>0.48194444444444445</v>
      </c>
      <c r="J319" t="s">
        <v>24</v>
      </c>
      <c r="K319">
        <v>18.697500000000002</v>
      </c>
      <c r="L319">
        <v>4.9000000000000004</v>
      </c>
    </row>
    <row r="320" spans="1:12" x14ac:dyDescent="0.25">
      <c r="A320" t="s">
        <v>349</v>
      </c>
      <c r="B320" t="s">
        <v>20</v>
      </c>
      <c r="C320" t="s">
        <v>21</v>
      </c>
      <c r="D320" t="s">
        <v>15</v>
      </c>
      <c r="E320" t="s">
        <v>16</v>
      </c>
      <c r="F320" t="s">
        <v>17</v>
      </c>
      <c r="G320">
        <v>7</v>
      </c>
      <c r="H320" s="1">
        <v>43535</v>
      </c>
      <c r="I320" s="2">
        <v>0.79027777777777775</v>
      </c>
      <c r="J320" t="s">
        <v>28</v>
      </c>
      <c r="K320">
        <v>10.384499999999999</v>
      </c>
      <c r="L320">
        <v>8.1</v>
      </c>
    </row>
    <row r="321" spans="1:12" x14ac:dyDescent="0.25">
      <c r="A321" t="s">
        <v>350</v>
      </c>
      <c r="B321" t="s">
        <v>20</v>
      </c>
      <c r="C321" t="s">
        <v>21</v>
      </c>
      <c r="D321" t="s">
        <v>15</v>
      </c>
      <c r="E321" t="s">
        <v>26</v>
      </c>
      <c r="F321" t="s">
        <v>17</v>
      </c>
      <c r="G321">
        <v>4</v>
      </c>
      <c r="H321" s="1">
        <v>43514</v>
      </c>
      <c r="I321" s="2">
        <v>0.68611111111111101</v>
      </c>
      <c r="J321" t="s">
        <v>18</v>
      </c>
      <c r="K321">
        <v>8.8140000000000001</v>
      </c>
      <c r="L321">
        <v>8.4</v>
      </c>
    </row>
    <row r="322" spans="1:12" x14ac:dyDescent="0.25">
      <c r="A322" t="s">
        <v>351</v>
      </c>
      <c r="B322" t="s">
        <v>20</v>
      </c>
      <c r="C322" t="s">
        <v>21</v>
      </c>
      <c r="D322" t="s">
        <v>22</v>
      </c>
      <c r="E322" t="s">
        <v>16</v>
      </c>
      <c r="F322" t="s">
        <v>39</v>
      </c>
      <c r="G322">
        <v>9</v>
      </c>
      <c r="H322" s="1">
        <v>43522</v>
      </c>
      <c r="I322" s="2">
        <v>0.85138888888888886</v>
      </c>
      <c r="J322" t="s">
        <v>24</v>
      </c>
      <c r="K322">
        <v>10.3185</v>
      </c>
      <c r="L322">
        <v>5.5</v>
      </c>
    </row>
    <row r="323" spans="1:12" x14ac:dyDescent="0.25">
      <c r="A323" t="s">
        <v>352</v>
      </c>
      <c r="B323" t="s">
        <v>20</v>
      </c>
      <c r="C323" t="s">
        <v>21</v>
      </c>
      <c r="D323" t="s">
        <v>22</v>
      </c>
      <c r="E323" t="s">
        <v>16</v>
      </c>
      <c r="F323" t="s">
        <v>17</v>
      </c>
      <c r="G323">
        <v>1</v>
      </c>
      <c r="H323" s="1">
        <v>43483</v>
      </c>
      <c r="I323" s="2">
        <v>0.63055555555555554</v>
      </c>
      <c r="J323" t="s">
        <v>24</v>
      </c>
      <c r="K323">
        <v>1.9710000000000001</v>
      </c>
      <c r="L323">
        <v>8.4</v>
      </c>
    </row>
    <row r="324" spans="1:12" x14ac:dyDescent="0.25">
      <c r="A324" t="s">
        <v>353</v>
      </c>
      <c r="B324" t="s">
        <v>13</v>
      </c>
      <c r="C324" t="s">
        <v>14</v>
      </c>
      <c r="D324" t="s">
        <v>22</v>
      </c>
      <c r="E324" t="s">
        <v>26</v>
      </c>
      <c r="F324" t="s">
        <v>17</v>
      </c>
      <c r="G324">
        <v>6</v>
      </c>
      <c r="H324" s="1">
        <v>43511</v>
      </c>
      <c r="I324" s="2">
        <v>0.75208333333333333</v>
      </c>
      <c r="J324" t="s">
        <v>18</v>
      </c>
      <c r="K324">
        <v>4.5780000000000003</v>
      </c>
      <c r="L324">
        <v>9.8000000000000007</v>
      </c>
    </row>
    <row r="325" spans="1:12" x14ac:dyDescent="0.25">
      <c r="A325" t="s">
        <v>354</v>
      </c>
      <c r="B325" t="s">
        <v>13</v>
      </c>
      <c r="C325" t="s">
        <v>14</v>
      </c>
      <c r="D325" t="s">
        <v>22</v>
      </c>
      <c r="E325" t="s">
        <v>16</v>
      </c>
      <c r="F325" t="s">
        <v>41</v>
      </c>
      <c r="G325">
        <v>5</v>
      </c>
      <c r="H325" s="1">
        <v>43532</v>
      </c>
      <c r="I325" s="2">
        <v>0.55625000000000002</v>
      </c>
      <c r="J325" t="s">
        <v>24</v>
      </c>
      <c r="K325">
        <v>15.442500000000001</v>
      </c>
      <c r="L325">
        <v>6.7</v>
      </c>
    </row>
    <row r="326" spans="1:12" x14ac:dyDescent="0.25">
      <c r="A326" t="s">
        <v>355</v>
      </c>
      <c r="B326" t="s">
        <v>13</v>
      </c>
      <c r="C326" t="s">
        <v>14</v>
      </c>
      <c r="D326" t="s">
        <v>22</v>
      </c>
      <c r="E326" t="s">
        <v>26</v>
      </c>
      <c r="F326" t="s">
        <v>27</v>
      </c>
      <c r="G326">
        <v>6</v>
      </c>
      <c r="H326" s="1">
        <v>43482</v>
      </c>
      <c r="I326" s="2">
        <v>0.53333333333333333</v>
      </c>
      <c r="J326" t="s">
        <v>28</v>
      </c>
      <c r="K326">
        <v>6.4560000000000004</v>
      </c>
      <c r="L326">
        <v>9.4</v>
      </c>
    </row>
    <row r="327" spans="1:12" x14ac:dyDescent="0.25">
      <c r="A327" t="s">
        <v>356</v>
      </c>
      <c r="B327" t="s">
        <v>37</v>
      </c>
      <c r="C327" t="s">
        <v>38</v>
      </c>
      <c r="D327" t="s">
        <v>22</v>
      </c>
      <c r="E327" t="s">
        <v>26</v>
      </c>
      <c r="F327" t="s">
        <v>31</v>
      </c>
      <c r="G327">
        <v>4</v>
      </c>
      <c r="H327" s="1">
        <v>43536</v>
      </c>
      <c r="I327" s="2">
        <v>0.82847222222222217</v>
      </c>
      <c r="J327" t="s">
        <v>18</v>
      </c>
      <c r="K327">
        <v>19.547999999999998</v>
      </c>
      <c r="L327">
        <v>6.4</v>
      </c>
    </row>
    <row r="328" spans="1:12" x14ac:dyDescent="0.25">
      <c r="A328" t="s">
        <v>357</v>
      </c>
      <c r="B328" t="s">
        <v>13</v>
      </c>
      <c r="C328" t="s">
        <v>14</v>
      </c>
      <c r="D328" t="s">
        <v>15</v>
      </c>
      <c r="E328" t="s">
        <v>26</v>
      </c>
      <c r="F328" t="s">
        <v>39</v>
      </c>
      <c r="G328">
        <v>5</v>
      </c>
      <c r="H328" s="1">
        <v>43533</v>
      </c>
      <c r="I328" s="2">
        <v>0.79791666666666661</v>
      </c>
      <c r="J328" t="s">
        <v>24</v>
      </c>
      <c r="K328">
        <v>24.945</v>
      </c>
      <c r="L328">
        <v>5.4</v>
      </c>
    </row>
    <row r="329" spans="1:12" x14ac:dyDescent="0.25">
      <c r="A329" t="s">
        <v>358</v>
      </c>
      <c r="B329" t="s">
        <v>20</v>
      </c>
      <c r="C329" t="s">
        <v>21</v>
      </c>
      <c r="D329" t="s">
        <v>15</v>
      </c>
      <c r="E329" t="s">
        <v>26</v>
      </c>
      <c r="F329" t="s">
        <v>39</v>
      </c>
      <c r="G329">
        <v>4</v>
      </c>
      <c r="H329" s="1">
        <v>43536</v>
      </c>
      <c r="I329" s="2">
        <v>0.6875</v>
      </c>
      <c r="J329" t="s">
        <v>24</v>
      </c>
      <c r="K329">
        <v>18.852</v>
      </c>
      <c r="L329">
        <v>8.6</v>
      </c>
    </row>
    <row r="330" spans="1:12" x14ac:dyDescent="0.25">
      <c r="A330" t="s">
        <v>359</v>
      </c>
      <c r="B330" t="s">
        <v>37</v>
      </c>
      <c r="C330" t="s">
        <v>38</v>
      </c>
      <c r="D330" t="s">
        <v>15</v>
      </c>
      <c r="E330" t="s">
        <v>26</v>
      </c>
      <c r="F330" t="s">
        <v>17</v>
      </c>
      <c r="G330">
        <v>4</v>
      </c>
      <c r="H330" s="1">
        <v>43490</v>
      </c>
      <c r="I330" s="2">
        <v>0.42430555555555555</v>
      </c>
      <c r="J330" t="s">
        <v>28</v>
      </c>
      <c r="K330">
        <v>10.226000000000001</v>
      </c>
      <c r="L330">
        <v>4</v>
      </c>
    </row>
    <row r="331" spans="1:12" x14ac:dyDescent="0.25">
      <c r="A331" t="s">
        <v>360</v>
      </c>
      <c r="B331" t="s">
        <v>13</v>
      </c>
      <c r="C331" t="s">
        <v>14</v>
      </c>
      <c r="D331" t="s">
        <v>15</v>
      </c>
      <c r="E331" t="s">
        <v>26</v>
      </c>
      <c r="F331" t="s">
        <v>23</v>
      </c>
      <c r="G331">
        <v>4</v>
      </c>
      <c r="H331" s="1">
        <v>43549</v>
      </c>
      <c r="I331" s="2">
        <v>0.54652777777777783</v>
      </c>
      <c r="J331" t="s">
        <v>24</v>
      </c>
      <c r="K331">
        <v>7.2720000000000002</v>
      </c>
      <c r="L331">
        <v>7.6</v>
      </c>
    </row>
    <row r="332" spans="1:12" x14ac:dyDescent="0.25">
      <c r="A332" t="s">
        <v>361</v>
      </c>
      <c r="B332" t="s">
        <v>37</v>
      </c>
      <c r="C332" t="s">
        <v>38</v>
      </c>
      <c r="D332" t="s">
        <v>22</v>
      </c>
      <c r="E332" t="s">
        <v>26</v>
      </c>
      <c r="F332" t="s">
        <v>27</v>
      </c>
      <c r="G332">
        <v>9</v>
      </c>
      <c r="H332" s="1">
        <v>43503</v>
      </c>
      <c r="I332" s="2">
        <v>0.78333333333333333</v>
      </c>
      <c r="J332" t="s">
        <v>24</v>
      </c>
      <c r="K332">
        <v>9.9090000000000007</v>
      </c>
      <c r="L332">
        <v>6.8</v>
      </c>
    </row>
    <row r="333" spans="1:12" x14ac:dyDescent="0.25">
      <c r="A333" t="s">
        <v>362</v>
      </c>
      <c r="B333" t="s">
        <v>13</v>
      </c>
      <c r="C333" t="s">
        <v>14</v>
      </c>
      <c r="D333" t="s">
        <v>22</v>
      </c>
      <c r="E333" t="s">
        <v>26</v>
      </c>
      <c r="F333" t="s">
        <v>39</v>
      </c>
      <c r="G333">
        <v>3</v>
      </c>
      <c r="H333" s="1">
        <v>43513</v>
      </c>
      <c r="I333" s="2">
        <v>0.7270833333333333</v>
      </c>
      <c r="J333" t="s">
        <v>28</v>
      </c>
      <c r="K333">
        <v>4.9349999999999996</v>
      </c>
      <c r="L333">
        <v>9.1</v>
      </c>
    </row>
    <row r="334" spans="1:12" x14ac:dyDescent="0.25">
      <c r="A334" t="s">
        <v>363</v>
      </c>
      <c r="B334" t="s">
        <v>13</v>
      </c>
      <c r="C334" t="s">
        <v>14</v>
      </c>
      <c r="D334" t="s">
        <v>22</v>
      </c>
      <c r="E334" t="s">
        <v>26</v>
      </c>
      <c r="F334" t="s">
        <v>41</v>
      </c>
      <c r="G334">
        <v>5</v>
      </c>
      <c r="H334" s="1">
        <v>43499</v>
      </c>
      <c r="I334" s="2">
        <v>0.66597222222222219</v>
      </c>
      <c r="J334" t="s">
        <v>24</v>
      </c>
      <c r="K334">
        <v>19.254999999999999</v>
      </c>
      <c r="L334">
        <v>5.5</v>
      </c>
    </row>
    <row r="335" spans="1:12" x14ac:dyDescent="0.25">
      <c r="A335" t="s">
        <v>364</v>
      </c>
      <c r="B335" t="s">
        <v>13</v>
      </c>
      <c r="C335" t="s">
        <v>14</v>
      </c>
      <c r="D335" t="s">
        <v>15</v>
      </c>
      <c r="E335" t="s">
        <v>26</v>
      </c>
      <c r="F335" t="s">
        <v>39</v>
      </c>
      <c r="G335">
        <v>2</v>
      </c>
      <c r="H335" s="1">
        <v>43538</v>
      </c>
      <c r="I335" s="2">
        <v>0.47291666666666665</v>
      </c>
      <c r="J335" t="s">
        <v>28</v>
      </c>
      <c r="K335">
        <v>2.3479999999999999</v>
      </c>
      <c r="L335">
        <v>7.9</v>
      </c>
    </row>
    <row r="336" spans="1:12" x14ac:dyDescent="0.25">
      <c r="A336" t="s">
        <v>365</v>
      </c>
      <c r="B336" t="s">
        <v>20</v>
      </c>
      <c r="C336" t="s">
        <v>21</v>
      </c>
      <c r="D336" t="s">
        <v>15</v>
      </c>
      <c r="E336" t="s">
        <v>26</v>
      </c>
      <c r="F336" t="s">
        <v>31</v>
      </c>
      <c r="G336">
        <v>5</v>
      </c>
      <c r="H336" s="1">
        <v>43548</v>
      </c>
      <c r="I336" s="2">
        <v>0.57500000000000007</v>
      </c>
      <c r="J336" t="s">
        <v>18</v>
      </c>
      <c r="K336">
        <v>3.6749999999999998</v>
      </c>
      <c r="L336">
        <v>8.5</v>
      </c>
    </row>
    <row r="337" spans="1:12" x14ac:dyDescent="0.25">
      <c r="A337" t="s">
        <v>366</v>
      </c>
      <c r="B337" t="s">
        <v>13</v>
      </c>
      <c r="C337" t="s">
        <v>14</v>
      </c>
      <c r="D337" t="s">
        <v>15</v>
      </c>
      <c r="E337" t="s">
        <v>16</v>
      </c>
      <c r="F337" t="s">
        <v>23</v>
      </c>
      <c r="G337">
        <v>5</v>
      </c>
      <c r="H337" s="1">
        <v>43545</v>
      </c>
      <c r="I337" s="2">
        <v>0.4284722222222222</v>
      </c>
      <c r="J337" t="s">
        <v>28</v>
      </c>
      <c r="K337">
        <v>7.1124999999999998</v>
      </c>
      <c r="L337">
        <v>9.1</v>
      </c>
    </row>
    <row r="338" spans="1:12" x14ac:dyDescent="0.25">
      <c r="A338" t="s">
        <v>367</v>
      </c>
      <c r="B338" t="s">
        <v>13</v>
      </c>
      <c r="C338" t="s">
        <v>14</v>
      </c>
      <c r="D338" t="s">
        <v>22</v>
      </c>
      <c r="E338" t="s">
        <v>26</v>
      </c>
      <c r="F338" t="s">
        <v>41</v>
      </c>
      <c r="G338">
        <v>9</v>
      </c>
      <c r="H338" s="1">
        <v>43543</v>
      </c>
      <c r="I338" s="2">
        <v>0.65902777777777777</v>
      </c>
      <c r="J338" t="s">
        <v>18</v>
      </c>
      <c r="K338">
        <v>34.380000000000003</v>
      </c>
      <c r="L338">
        <v>7.5</v>
      </c>
    </row>
    <row r="339" spans="1:12" x14ac:dyDescent="0.25">
      <c r="A339" t="s">
        <v>368</v>
      </c>
      <c r="B339" t="s">
        <v>37</v>
      </c>
      <c r="C339" t="s">
        <v>38</v>
      </c>
      <c r="D339" t="s">
        <v>22</v>
      </c>
      <c r="E339" t="s">
        <v>16</v>
      </c>
      <c r="F339" t="s">
        <v>31</v>
      </c>
      <c r="G339">
        <v>6</v>
      </c>
      <c r="H339" s="1">
        <v>43520</v>
      </c>
      <c r="I339" s="2">
        <v>0.54305555555555551</v>
      </c>
      <c r="J339" t="s">
        <v>24</v>
      </c>
      <c r="K339">
        <v>17.385000000000002</v>
      </c>
      <c r="L339">
        <v>5.2</v>
      </c>
    </row>
    <row r="340" spans="1:12" x14ac:dyDescent="0.25">
      <c r="A340" t="s">
        <v>369</v>
      </c>
      <c r="B340" t="s">
        <v>20</v>
      </c>
      <c r="C340" t="s">
        <v>21</v>
      </c>
      <c r="D340" t="s">
        <v>22</v>
      </c>
      <c r="E340" t="s">
        <v>16</v>
      </c>
      <c r="F340" t="s">
        <v>23</v>
      </c>
      <c r="G340">
        <v>3</v>
      </c>
      <c r="H340" s="1">
        <v>43552</v>
      </c>
      <c r="I340" s="2">
        <v>0.54027777777777775</v>
      </c>
      <c r="J340" t="s">
        <v>28</v>
      </c>
      <c r="K340">
        <v>7.1475</v>
      </c>
      <c r="L340">
        <v>9.5</v>
      </c>
    </row>
    <row r="341" spans="1:12" x14ac:dyDescent="0.25">
      <c r="A341" t="s">
        <v>370</v>
      </c>
      <c r="B341" t="s">
        <v>37</v>
      </c>
      <c r="C341" t="s">
        <v>38</v>
      </c>
      <c r="D341" t="s">
        <v>15</v>
      </c>
      <c r="E341" t="s">
        <v>16</v>
      </c>
      <c r="F341" t="s">
        <v>39</v>
      </c>
      <c r="G341">
        <v>9</v>
      </c>
      <c r="H341" s="1">
        <v>43501</v>
      </c>
      <c r="I341" s="2">
        <v>0.6430555555555556</v>
      </c>
      <c r="J341" t="s">
        <v>28</v>
      </c>
      <c r="K341">
        <v>19.268999999999998</v>
      </c>
      <c r="L341">
        <v>8.9</v>
      </c>
    </row>
    <row r="342" spans="1:12" x14ac:dyDescent="0.25">
      <c r="A342" t="s">
        <v>371</v>
      </c>
      <c r="B342" t="s">
        <v>37</v>
      </c>
      <c r="C342" t="s">
        <v>38</v>
      </c>
      <c r="D342" t="s">
        <v>15</v>
      </c>
      <c r="E342" t="s">
        <v>26</v>
      </c>
      <c r="F342" t="s">
        <v>23</v>
      </c>
      <c r="G342">
        <v>3</v>
      </c>
      <c r="H342" s="1">
        <v>43506</v>
      </c>
      <c r="I342" s="2">
        <v>0.76597222222222217</v>
      </c>
      <c r="J342" t="s">
        <v>28</v>
      </c>
      <c r="K342">
        <v>7.2134999999999998</v>
      </c>
      <c r="L342">
        <v>7.8</v>
      </c>
    </row>
    <row r="343" spans="1:12" x14ac:dyDescent="0.25">
      <c r="A343" t="s">
        <v>372</v>
      </c>
      <c r="B343" t="s">
        <v>37</v>
      </c>
      <c r="C343" t="s">
        <v>38</v>
      </c>
      <c r="D343" t="s">
        <v>15</v>
      </c>
      <c r="E343" t="s">
        <v>16</v>
      </c>
      <c r="F343" t="s">
        <v>17</v>
      </c>
      <c r="G343">
        <v>7</v>
      </c>
      <c r="H343" s="1">
        <v>43529</v>
      </c>
      <c r="I343" s="2">
        <v>0.79583333333333339</v>
      </c>
      <c r="J343" t="s">
        <v>18</v>
      </c>
      <c r="K343">
        <v>19.589500000000001</v>
      </c>
      <c r="L343">
        <v>8.9</v>
      </c>
    </row>
    <row r="344" spans="1:12" x14ac:dyDescent="0.25">
      <c r="A344" t="s">
        <v>373</v>
      </c>
      <c r="B344" t="s">
        <v>37</v>
      </c>
      <c r="C344" t="s">
        <v>38</v>
      </c>
      <c r="D344" t="s">
        <v>15</v>
      </c>
      <c r="E344" t="s">
        <v>16</v>
      </c>
      <c r="F344" t="s">
        <v>17</v>
      </c>
      <c r="G344">
        <v>7</v>
      </c>
      <c r="H344" s="1">
        <v>43511</v>
      </c>
      <c r="I344" s="2">
        <v>0.84791666666666676</v>
      </c>
      <c r="J344" t="s">
        <v>24</v>
      </c>
      <c r="K344">
        <v>26.914999999999999</v>
      </c>
      <c r="L344">
        <v>7.7</v>
      </c>
    </row>
    <row r="345" spans="1:12" x14ac:dyDescent="0.25">
      <c r="A345" t="s">
        <v>374</v>
      </c>
      <c r="B345" t="s">
        <v>20</v>
      </c>
      <c r="C345" t="s">
        <v>21</v>
      </c>
      <c r="D345" t="s">
        <v>22</v>
      </c>
      <c r="E345" t="s">
        <v>16</v>
      </c>
      <c r="F345" t="s">
        <v>39</v>
      </c>
      <c r="G345">
        <v>5</v>
      </c>
      <c r="H345" s="1">
        <v>43495</v>
      </c>
      <c r="I345" s="2">
        <v>0.68333333333333324</v>
      </c>
      <c r="J345" t="s">
        <v>18</v>
      </c>
      <c r="K345">
        <v>24.2575</v>
      </c>
      <c r="L345">
        <v>9.3000000000000007</v>
      </c>
    </row>
    <row r="346" spans="1:12" x14ac:dyDescent="0.25">
      <c r="A346" t="s">
        <v>375</v>
      </c>
      <c r="B346" t="s">
        <v>13</v>
      </c>
      <c r="C346" t="s">
        <v>14</v>
      </c>
      <c r="D346" t="s">
        <v>22</v>
      </c>
      <c r="E346" t="s">
        <v>26</v>
      </c>
      <c r="F346" t="s">
        <v>31</v>
      </c>
      <c r="G346">
        <v>3</v>
      </c>
      <c r="H346" s="1">
        <v>43510</v>
      </c>
      <c r="I346" s="2">
        <v>0.62777777777777777</v>
      </c>
      <c r="J346" t="s">
        <v>24</v>
      </c>
      <c r="K346">
        <v>6.6974999999999998</v>
      </c>
      <c r="L346">
        <v>6.2</v>
      </c>
    </row>
    <row r="347" spans="1:12" x14ac:dyDescent="0.25">
      <c r="A347" t="s">
        <v>376</v>
      </c>
      <c r="B347" t="s">
        <v>13</v>
      </c>
      <c r="C347" t="s">
        <v>14</v>
      </c>
      <c r="D347" t="s">
        <v>22</v>
      </c>
      <c r="E347" t="s">
        <v>16</v>
      </c>
      <c r="F347" t="s">
        <v>41</v>
      </c>
      <c r="G347">
        <v>9</v>
      </c>
      <c r="H347" s="1">
        <v>43523</v>
      </c>
      <c r="I347" s="2">
        <v>0.67361111111111116</v>
      </c>
      <c r="J347" t="s">
        <v>18</v>
      </c>
      <c r="K347">
        <v>35.0685</v>
      </c>
      <c r="L347">
        <v>7.6</v>
      </c>
    </row>
    <row r="348" spans="1:12" x14ac:dyDescent="0.25">
      <c r="A348" t="s">
        <v>377</v>
      </c>
      <c r="B348" t="s">
        <v>13</v>
      </c>
      <c r="C348" t="s">
        <v>14</v>
      </c>
      <c r="D348" t="s">
        <v>15</v>
      </c>
      <c r="E348" t="s">
        <v>26</v>
      </c>
      <c r="F348" t="s">
        <v>23</v>
      </c>
      <c r="G348">
        <v>1</v>
      </c>
      <c r="H348" s="1">
        <v>43500</v>
      </c>
      <c r="I348" s="2">
        <v>0.50972222222222219</v>
      </c>
      <c r="J348" t="s">
        <v>24</v>
      </c>
      <c r="K348">
        <v>3.5975000000000001</v>
      </c>
      <c r="L348">
        <v>7.3</v>
      </c>
    </row>
    <row r="349" spans="1:12" x14ac:dyDescent="0.25">
      <c r="A349" t="s">
        <v>378</v>
      </c>
      <c r="B349" t="s">
        <v>20</v>
      </c>
      <c r="C349" t="s">
        <v>21</v>
      </c>
      <c r="D349" t="s">
        <v>15</v>
      </c>
      <c r="E349" t="s">
        <v>16</v>
      </c>
      <c r="F349" t="s">
        <v>27</v>
      </c>
      <c r="G349">
        <v>8</v>
      </c>
      <c r="H349" s="1">
        <v>43485</v>
      </c>
      <c r="I349" s="2">
        <v>0.42569444444444443</v>
      </c>
      <c r="J349" t="s">
        <v>24</v>
      </c>
      <c r="K349">
        <v>35.700000000000003</v>
      </c>
      <c r="L349">
        <v>4.7</v>
      </c>
    </row>
    <row r="350" spans="1:12" x14ac:dyDescent="0.25">
      <c r="A350" t="s">
        <v>379</v>
      </c>
      <c r="B350" t="s">
        <v>13</v>
      </c>
      <c r="C350" t="s">
        <v>14</v>
      </c>
      <c r="D350" t="s">
        <v>22</v>
      </c>
      <c r="E350" t="s">
        <v>26</v>
      </c>
      <c r="F350" t="s">
        <v>23</v>
      </c>
      <c r="G350">
        <v>7</v>
      </c>
      <c r="H350" s="1">
        <v>43552</v>
      </c>
      <c r="I350" s="2">
        <v>0.73472222222222217</v>
      </c>
      <c r="J350" t="s">
        <v>24</v>
      </c>
      <c r="K350">
        <v>9.1069999999999993</v>
      </c>
      <c r="L350">
        <v>5.0999999999999996</v>
      </c>
    </row>
    <row r="351" spans="1:12" x14ac:dyDescent="0.25">
      <c r="A351" t="s">
        <v>380</v>
      </c>
      <c r="B351" t="s">
        <v>37</v>
      </c>
      <c r="C351" t="s">
        <v>38</v>
      </c>
      <c r="D351" t="s">
        <v>22</v>
      </c>
      <c r="E351" t="s">
        <v>16</v>
      </c>
      <c r="F351" t="s">
        <v>17</v>
      </c>
      <c r="G351">
        <v>10</v>
      </c>
      <c r="H351" s="1">
        <v>43523</v>
      </c>
      <c r="I351" s="2">
        <v>0.46249999999999997</v>
      </c>
      <c r="J351" t="s">
        <v>28</v>
      </c>
      <c r="K351">
        <v>6.75</v>
      </c>
      <c r="L351">
        <v>4.8</v>
      </c>
    </row>
    <row r="352" spans="1:12" x14ac:dyDescent="0.25">
      <c r="A352" t="s">
        <v>381</v>
      </c>
      <c r="B352" t="s">
        <v>20</v>
      </c>
      <c r="C352" t="s">
        <v>21</v>
      </c>
      <c r="D352" t="s">
        <v>15</v>
      </c>
      <c r="E352" t="s">
        <v>16</v>
      </c>
      <c r="F352" t="s">
        <v>41</v>
      </c>
      <c r="G352">
        <v>10</v>
      </c>
      <c r="H352" s="1">
        <v>43511</v>
      </c>
      <c r="I352" s="2">
        <v>0.62013888888888891</v>
      </c>
      <c r="J352" t="s">
        <v>28</v>
      </c>
      <c r="K352">
        <v>49.65</v>
      </c>
      <c r="L352">
        <v>6.6</v>
      </c>
    </row>
    <row r="353" spans="1:12" x14ac:dyDescent="0.25">
      <c r="A353" t="s">
        <v>382</v>
      </c>
      <c r="B353" t="s">
        <v>13</v>
      </c>
      <c r="C353" t="s">
        <v>14</v>
      </c>
      <c r="D353" t="s">
        <v>22</v>
      </c>
      <c r="E353" t="s">
        <v>26</v>
      </c>
      <c r="F353" t="s">
        <v>23</v>
      </c>
      <c r="G353">
        <v>7</v>
      </c>
      <c r="H353" s="1">
        <v>43491</v>
      </c>
      <c r="I353" s="2">
        <v>0.76527777777777783</v>
      </c>
      <c r="J353" t="s">
        <v>24</v>
      </c>
      <c r="K353">
        <v>18.0915</v>
      </c>
      <c r="L353">
        <v>5.5</v>
      </c>
    </row>
    <row r="354" spans="1:12" x14ac:dyDescent="0.25">
      <c r="A354" t="s">
        <v>383</v>
      </c>
      <c r="B354" t="s">
        <v>37</v>
      </c>
      <c r="C354" t="s">
        <v>38</v>
      </c>
      <c r="D354" t="s">
        <v>15</v>
      </c>
      <c r="E354" t="s">
        <v>16</v>
      </c>
      <c r="F354" t="s">
        <v>41</v>
      </c>
      <c r="G354">
        <v>7</v>
      </c>
      <c r="H354" s="1">
        <v>43538</v>
      </c>
      <c r="I354" s="2">
        <v>0.79305555555555562</v>
      </c>
      <c r="J354" t="s">
        <v>28</v>
      </c>
      <c r="K354">
        <v>19.1555</v>
      </c>
      <c r="L354">
        <v>8.5</v>
      </c>
    </row>
    <row r="355" spans="1:12" x14ac:dyDescent="0.25">
      <c r="A355" t="s">
        <v>384</v>
      </c>
      <c r="B355" t="s">
        <v>37</v>
      </c>
      <c r="C355" t="s">
        <v>38</v>
      </c>
      <c r="D355" t="s">
        <v>15</v>
      </c>
      <c r="E355" t="s">
        <v>26</v>
      </c>
      <c r="F355" t="s">
        <v>27</v>
      </c>
      <c r="G355">
        <v>9</v>
      </c>
      <c r="H355" s="1">
        <v>43526</v>
      </c>
      <c r="I355" s="2">
        <v>0.59444444444444444</v>
      </c>
      <c r="J355" t="s">
        <v>24</v>
      </c>
      <c r="K355">
        <v>12.15</v>
      </c>
      <c r="L355">
        <v>4.8</v>
      </c>
    </row>
    <row r="356" spans="1:12" x14ac:dyDescent="0.25">
      <c r="A356" t="s">
        <v>385</v>
      </c>
      <c r="B356" t="s">
        <v>20</v>
      </c>
      <c r="C356" t="s">
        <v>21</v>
      </c>
      <c r="D356" t="s">
        <v>22</v>
      </c>
      <c r="E356" t="s">
        <v>16</v>
      </c>
      <c r="F356" t="s">
        <v>23</v>
      </c>
      <c r="G356">
        <v>1</v>
      </c>
      <c r="H356" s="1">
        <v>43528</v>
      </c>
      <c r="I356" s="2">
        <v>0.65555555555555556</v>
      </c>
      <c r="J356" t="s">
        <v>24</v>
      </c>
      <c r="K356">
        <v>1.512</v>
      </c>
      <c r="L356">
        <v>8.4</v>
      </c>
    </row>
    <row r="357" spans="1:12" x14ac:dyDescent="0.25">
      <c r="A357" t="s">
        <v>386</v>
      </c>
      <c r="B357" t="s">
        <v>37</v>
      </c>
      <c r="C357" t="s">
        <v>38</v>
      </c>
      <c r="D357" t="s">
        <v>15</v>
      </c>
      <c r="E357" t="s">
        <v>16</v>
      </c>
      <c r="F357" t="s">
        <v>39</v>
      </c>
      <c r="G357">
        <v>4</v>
      </c>
      <c r="H357" s="1">
        <v>43472</v>
      </c>
      <c r="I357" s="2">
        <v>0.51388888888888895</v>
      </c>
      <c r="J357" t="s">
        <v>28</v>
      </c>
      <c r="K357">
        <v>17.827999999999999</v>
      </c>
      <c r="L357">
        <v>7.8</v>
      </c>
    </row>
    <row r="358" spans="1:12" x14ac:dyDescent="0.25">
      <c r="A358" t="s">
        <v>387</v>
      </c>
      <c r="B358" t="s">
        <v>20</v>
      </c>
      <c r="C358" t="s">
        <v>21</v>
      </c>
      <c r="D358" t="s">
        <v>22</v>
      </c>
      <c r="E358" t="s">
        <v>16</v>
      </c>
      <c r="F358" t="s">
        <v>41</v>
      </c>
      <c r="G358">
        <v>10</v>
      </c>
      <c r="H358" s="1">
        <v>43532</v>
      </c>
      <c r="I358" s="2">
        <v>0.8340277777777777</v>
      </c>
      <c r="J358" t="s">
        <v>28</v>
      </c>
      <c r="K358">
        <v>18.774999999999999</v>
      </c>
      <c r="L358">
        <v>9.3000000000000007</v>
      </c>
    </row>
    <row r="359" spans="1:12" x14ac:dyDescent="0.25">
      <c r="A359" t="s">
        <v>388</v>
      </c>
      <c r="B359" t="s">
        <v>20</v>
      </c>
      <c r="C359" t="s">
        <v>21</v>
      </c>
      <c r="D359" t="s">
        <v>22</v>
      </c>
      <c r="E359" t="s">
        <v>16</v>
      </c>
      <c r="F359" t="s">
        <v>31</v>
      </c>
      <c r="G359">
        <v>10</v>
      </c>
      <c r="H359" s="1">
        <v>43474</v>
      </c>
      <c r="I359" s="2">
        <v>0.57291666666666663</v>
      </c>
      <c r="J359" t="s">
        <v>24</v>
      </c>
      <c r="K359">
        <v>47.72</v>
      </c>
      <c r="L359">
        <v>5.2</v>
      </c>
    </row>
    <row r="360" spans="1:12" x14ac:dyDescent="0.25">
      <c r="A360" t="s">
        <v>389</v>
      </c>
      <c r="B360" t="s">
        <v>37</v>
      </c>
      <c r="C360" t="s">
        <v>38</v>
      </c>
      <c r="D360" t="s">
        <v>22</v>
      </c>
      <c r="E360" t="s">
        <v>26</v>
      </c>
      <c r="F360" t="s">
        <v>23</v>
      </c>
      <c r="G360">
        <v>3</v>
      </c>
      <c r="H360" s="1">
        <v>43525</v>
      </c>
      <c r="I360" s="2">
        <v>0.65277777777777779</v>
      </c>
      <c r="J360" t="s">
        <v>18</v>
      </c>
      <c r="K360">
        <v>4.125</v>
      </c>
      <c r="L360">
        <v>6.5</v>
      </c>
    </row>
    <row r="361" spans="1:12" x14ac:dyDescent="0.25">
      <c r="A361" t="s">
        <v>390</v>
      </c>
      <c r="B361" t="s">
        <v>37</v>
      </c>
      <c r="C361" t="s">
        <v>38</v>
      </c>
      <c r="D361" t="s">
        <v>22</v>
      </c>
      <c r="E361" t="s">
        <v>26</v>
      </c>
      <c r="F361" t="s">
        <v>31</v>
      </c>
      <c r="G361">
        <v>1</v>
      </c>
      <c r="H361" s="1">
        <v>43540</v>
      </c>
      <c r="I361" s="2">
        <v>0.70694444444444438</v>
      </c>
      <c r="J361" t="s">
        <v>24</v>
      </c>
      <c r="K361">
        <v>3.7484999999999999</v>
      </c>
      <c r="L361">
        <v>5.6</v>
      </c>
    </row>
    <row r="362" spans="1:12" x14ac:dyDescent="0.25">
      <c r="A362" t="s">
        <v>391</v>
      </c>
      <c r="B362" t="s">
        <v>13</v>
      </c>
      <c r="C362" t="s">
        <v>14</v>
      </c>
      <c r="D362" t="s">
        <v>15</v>
      </c>
      <c r="E362" t="s">
        <v>26</v>
      </c>
      <c r="F362" t="s">
        <v>39</v>
      </c>
      <c r="G362">
        <v>8</v>
      </c>
      <c r="H362" s="1">
        <v>43513</v>
      </c>
      <c r="I362" s="2">
        <v>0.46666666666666662</v>
      </c>
      <c r="J362" t="s">
        <v>28</v>
      </c>
      <c r="K362">
        <v>32.384</v>
      </c>
      <c r="L362">
        <v>7.4</v>
      </c>
    </row>
    <row r="363" spans="1:12" x14ac:dyDescent="0.25">
      <c r="A363" t="s">
        <v>392</v>
      </c>
      <c r="B363" t="s">
        <v>20</v>
      </c>
      <c r="C363" t="s">
        <v>21</v>
      </c>
      <c r="D363" t="s">
        <v>22</v>
      </c>
      <c r="E363" t="s">
        <v>16</v>
      </c>
      <c r="F363" t="s">
        <v>39</v>
      </c>
      <c r="G363">
        <v>8</v>
      </c>
      <c r="H363" s="1">
        <v>43523</v>
      </c>
      <c r="I363" s="2">
        <v>0.6333333333333333</v>
      </c>
      <c r="J363" t="s">
        <v>24</v>
      </c>
      <c r="K363">
        <v>37.787999999999997</v>
      </c>
      <c r="L363">
        <v>9.1</v>
      </c>
    </row>
    <row r="364" spans="1:12" x14ac:dyDescent="0.25">
      <c r="A364" t="s">
        <v>393</v>
      </c>
      <c r="B364" t="s">
        <v>20</v>
      </c>
      <c r="C364" t="s">
        <v>21</v>
      </c>
      <c r="D364" t="s">
        <v>22</v>
      </c>
      <c r="E364" t="s">
        <v>26</v>
      </c>
      <c r="F364" t="s">
        <v>39</v>
      </c>
      <c r="G364">
        <v>2</v>
      </c>
      <c r="H364" s="1">
        <v>43531</v>
      </c>
      <c r="I364" s="2">
        <v>0.85902777777777783</v>
      </c>
      <c r="J364" t="s">
        <v>18</v>
      </c>
      <c r="K364">
        <v>9.9789999999999992</v>
      </c>
      <c r="L364">
        <v>8</v>
      </c>
    </row>
    <row r="365" spans="1:12" x14ac:dyDescent="0.25">
      <c r="A365" t="s">
        <v>394</v>
      </c>
      <c r="B365" t="s">
        <v>13</v>
      </c>
      <c r="C365" t="s">
        <v>14</v>
      </c>
      <c r="D365" t="s">
        <v>22</v>
      </c>
      <c r="E365" t="s">
        <v>26</v>
      </c>
      <c r="F365" t="s">
        <v>27</v>
      </c>
      <c r="G365">
        <v>6</v>
      </c>
      <c r="H365" s="1">
        <v>43486</v>
      </c>
      <c r="I365" s="2">
        <v>0.73888888888888893</v>
      </c>
      <c r="J365" t="s">
        <v>24</v>
      </c>
      <c r="K365">
        <v>21.966000000000001</v>
      </c>
      <c r="L365">
        <v>7.2</v>
      </c>
    </row>
    <row r="366" spans="1:12" x14ac:dyDescent="0.25">
      <c r="A366" t="s">
        <v>395</v>
      </c>
      <c r="B366" t="s">
        <v>20</v>
      </c>
      <c r="C366" t="s">
        <v>21</v>
      </c>
      <c r="D366" t="s">
        <v>22</v>
      </c>
      <c r="E366" t="s">
        <v>16</v>
      </c>
      <c r="F366" t="s">
        <v>39</v>
      </c>
      <c r="G366">
        <v>4</v>
      </c>
      <c r="H366" s="1">
        <v>43515</v>
      </c>
      <c r="I366" s="2">
        <v>0.68263888888888891</v>
      </c>
      <c r="J366" t="s">
        <v>24</v>
      </c>
      <c r="K366">
        <v>8.2479999999999993</v>
      </c>
      <c r="L366">
        <v>7.1</v>
      </c>
    </row>
    <row r="367" spans="1:12" x14ac:dyDescent="0.25">
      <c r="A367" t="s">
        <v>396</v>
      </c>
      <c r="B367" t="s">
        <v>20</v>
      </c>
      <c r="C367" t="s">
        <v>21</v>
      </c>
      <c r="D367" t="s">
        <v>22</v>
      </c>
      <c r="E367" t="s">
        <v>16</v>
      </c>
      <c r="F367" t="s">
        <v>41</v>
      </c>
      <c r="G367">
        <v>4</v>
      </c>
      <c r="H367" s="1">
        <v>43471</v>
      </c>
      <c r="I367" s="2">
        <v>0.5083333333333333</v>
      </c>
      <c r="J367" t="s">
        <v>24</v>
      </c>
      <c r="K367">
        <v>16.335999999999999</v>
      </c>
      <c r="L367">
        <v>9.1</v>
      </c>
    </row>
    <row r="368" spans="1:12" x14ac:dyDescent="0.25">
      <c r="A368" t="s">
        <v>397</v>
      </c>
      <c r="B368" t="s">
        <v>20</v>
      </c>
      <c r="C368" t="s">
        <v>21</v>
      </c>
      <c r="D368" t="s">
        <v>22</v>
      </c>
      <c r="E368" t="s">
        <v>16</v>
      </c>
      <c r="F368" t="s">
        <v>23</v>
      </c>
      <c r="G368">
        <v>9</v>
      </c>
      <c r="H368" s="1">
        <v>43538</v>
      </c>
      <c r="I368" s="2">
        <v>0.81458333333333333</v>
      </c>
      <c r="J368" t="s">
        <v>24</v>
      </c>
      <c r="K368">
        <v>23.094000000000001</v>
      </c>
      <c r="L368">
        <v>5.6</v>
      </c>
    </row>
    <row r="369" spans="1:12" x14ac:dyDescent="0.25">
      <c r="A369" t="s">
        <v>398</v>
      </c>
      <c r="B369" t="s">
        <v>13</v>
      </c>
      <c r="C369" t="s">
        <v>14</v>
      </c>
      <c r="D369" t="s">
        <v>15</v>
      </c>
      <c r="E369" t="s">
        <v>26</v>
      </c>
      <c r="F369" t="s">
        <v>27</v>
      </c>
      <c r="G369">
        <v>4</v>
      </c>
      <c r="H369" s="1">
        <v>43548</v>
      </c>
      <c r="I369" s="2">
        <v>0.4368055555555555</v>
      </c>
      <c r="J369" t="s">
        <v>24</v>
      </c>
      <c r="K369">
        <v>13.188000000000001</v>
      </c>
      <c r="L369">
        <v>6</v>
      </c>
    </row>
    <row r="370" spans="1:12" x14ac:dyDescent="0.25">
      <c r="A370" t="s">
        <v>399</v>
      </c>
      <c r="B370" t="s">
        <v>20</v>
      </c>
      <c r="C370" t="s">
        <v>21</v>
      </c>
      <c r="D370" t="s">
        <v>22</v>
      </c>
      <c r="E370" t="s">
        <v>16</v>
      </c>
      <c r="F370" t="s">
        <v>31</v>
      </c>
      <c r="G370">
        <v>10</v>
      </c>
      <c r="H370" s="1">
        <v>43492</v>
      </c>
      <c r="I370" s="2">
        <v>0.60277777777777775</v>
      </c>
      <c r="J370" t="s">
        <v>24</v>
      </c>
      <c r="K370">
        <v>7.18</v>
      </c>
      <c r="L370">
        <v>5.4</v>
      </c>
    </row>
    <row r="371" spans="1:12" x14ac:dyDescent="0.25">
      <c r="A371" t="s">
        <v>400</v>
      </c>
      <c r="B371" t="s">
        <v>13</v>
      </c>
      <c r="C371" t="s">
        <v>14</v>
      </c>
      <c r="D371" t="s">
        <v>15</v>
      </c>
      <c r="E371" t="s">
        <v>26</v>
      </c>
      <c r="F371" t="s">
        <v>23</v>
      </c>
      <c r="G371">
        <v>9</v>
      </c>
      <c r="H371" s="1">
        <v>43530</v>
      </c>
      <c r="I371" s="2">
        <v>0.53194444444444444</v>
      </c>
      <c r="J371" t="s">
        <v>28</v>
      </c>
      <c r="K371">
        <v>9.6750000000000007</v>
      </c>
      <c r="L371">
        <v>7.8</v>
      </c>
    </row>
    <row r="372" spans="1:12" x14ac:dyDescent="0.25">
      <c r="A372" t="s">
        <v>401</v>
      </c>
      <c r="B372" t="s">
        <v>37</v>
      </c>
      <c r="C372" t="s">
        <v>38</v>
      </c>
      <c r="D372" t="s">
        <v>15</v>
      </c>
      <c r="E372" t="s">
        <v>16</v>
      </c>
      <c r="F372" t="s">
        <v>23</v>
      </c>
      <c r="G372">
        <v>7</v>
      </c>
      <c r="H372" s="1">
        <v>43498</v>
      </c>
      <c r="I372" s="2">
        <v>0.81944444444444453</v>
      </c>
      <c r="J372" t="s">
        <v>24</v>
      </c>
      <c r="K372">
        <v>9.1910000000000007</v>
      </c>
      <c r="L372">
        <v>9.9</v>
      </c>
    </row>
    <row r="373" spans="1:12" x14ac:dyDescent="0.25">
      <c r="A373" t="s">
        <v>402</v>
      </c>
      <c r="B373" t="s">
        <v>37</v>
      </c>
      <c r="C373" t="s">
        <v>38</v>
      </c>
      <c r="D373" t="s">
        <v>22</v>
      </c>
      <c r="E373" t="s">
        <v>16</v>
      </c>
      <c r="F373" t="s">
        <v>41</v>
      </c>
      <c r="G373">
        <v>2</v>
      </c>
      <c r="H373" s="1">
        <v>43490</v>
      </c>
      <c r="I373" s="2">
        <v>0.81874999999999998</v>
      </c>
      <c r="J373" t="s">
        <v>28</v>
      </c>
      <c r="K373">
        <v>6.0960000000000001</v>
      </c>
      <c r="L373">
        <v>4.9000000000000004</v>
      </c>
    </row>
    <row r="374" spans="1:12" x14ac:dyDescent="0.25">
      <c r="A374" t="s">
        <v>403</v>
      </c>
      <c r="B374" t="s">
        <v>20</v>
      </c>
      <c r="C374" t="s">
        <v>21</v>
      </c>
      <c r="D374" t="s">
        <v>22</v>
      </c>
      <c r="E374" t="s">
        <v>16</v>
      </c>
      <c r="F374" t="s">
        <v>27</v>
      </c>
      <c r="G374">
        <v>6</v>
      </c>
      <c r="H374" s="1">
        <v>43538</v>
      </c>
      <c r="I374" s="2">
        <v>0.74583333333333324</v>
      </c>
      <c r="J374" t="s">
        <v>18</v>
      </c>
      <c r="K374">
        <v>21.033000000000001</v>
      </c>
      <c r="L374">
        <v>5.2</v>
      </c>
    </row>
    <row r="375" spans="1:12" x14ac:dyDescent="0.25">
      <c r="A375" t="s">
        <v>404</v>
      </c>
      <c r="B375" t="s">
        <v>20</v>
      </c>
      <c r="C375" t="s">
        <v>21</v>
      </c>
      <c r="D375" t="s">
        <v>22</v>
      </c>
      <c r="E375" t="s">
        <v>26</v>
      </c>
      <c r="F375" t="s">
        <v>41</v>
      </c>
      <c r="G375">
        <v>6</v>
      </c>
      <c r="H375" s="1">
        <v>43494</v>
      </c>
      <c r="I375" s="2">
        <v>0.51736111111111105</v>
      </c>
      <c r="J375" t="s">
        <v>24</v>
      </c>
      <c r="K375">
        <v>12.624000000000001</v>
      </c>
      <c r="L375">
        <v>8.9</v>
      </c>
    </row>
    <row r="376" spans="1:12" x14ac:dyDescent="0.25">
      <c r="A376" t="s">
        <v>405</v>
      </c>
      <c r="B376" t="s">
        <v>13</v>
      </c>
      <c r="C376" t="s">
        <v>14</v>
      </c>
      <c r="D376" t="s">
        <v>22</v>
      </c>
      <c r="E376" t="s">
        <v>16</v>
      </c>
      <c r="F376" t="s">
        <v>27</v>
      </c>
      <c r="G376">
        <v>5</v>
      </c>
      <c r="H376" s="1">
        <v>43468</v>
      </c>
      <c r="I376" s="2">
        <v>0.69930555555555562</v>
      </c>
      <c r="J376" t="s">
        <v>28</v>
      </c>
      <c r="K376">
        <v>16.772500000000001</v>
      </c>
      <c r="L376">
        <v>9.1</v>
      </c>
    </row>
    <row r="377" spans="1:12" x14ac:dyDescent="0.25">
      <c r="A377" t="s">
        <v>406</v>
      </c>
      <c r="B377" t="s">
        <v>13</v>
      </c>
      <c r="C377" t="s">
        <v>14</v>
      </c>
      <c r="D377" t="s">
        <v>15</v>
      </c>
      <c r="E377" t="s">
        <v>16</v>
      </c>
      <c r="F377" t="s">
        <v>41</v>
      </c>
      <c r="G377">
        <v>5</v>
      </c>
      <c r="H377" s="1">
        <v>43479</v>
      </c>
      <c r="I377" s="2">
        <v>0.53611111111111109</v>
      </c>
      <c r="J377" t="s">
        <v>18</v>
      </c>
      <c r="K377">
        <v>24.175000000000001</v>
      </c>
      <c r="L377">
        <v>7</v>
      </c>
    </row>
    <row r="378" spans="1:12" x14ac:dyDescent="0.25">
      <c r="A378" t="s">
        <v>407</v>
      </c>
      <c r="B378" t="s">
        <v>37</v>
      </c>
      <c r="C378" t="s">
        <v>38</v>
      </c>
      <c r="D378" t="s">
        <v>15</v>
      </c>
      <c r="E378" t="s">
        <v>16</v>
      </c>
      <c r="F378" t="s">
        <v>27</v>
      </c>
      <c r="G378">
        <v>9</v>
      </c>
      <c r="H378" s="1">
        <v>43470</v>
      </c>
      <c r="I378" s="2">
        <v>0.82638888888888884</v>
      </c>
      <c r="J378" t="s">
        <v>28</v>
      </c>
      <c r="K378">
        <v>15.920999999999999</v>
      </c>
      <c r="L378">
        <v>9.6</v>
      </c>
    </row>
    <row r="379" spans="1:12" x14ac:dyDescent="0.25">
      <c r="A379" t="s">
        <v>408</v>
      </c>
      <c r="B379" t="s">
        <v>20</v>
      </c>
      <c r="C379" t="s">
        <v>21</v>
      </c>
      <c r="D379" t="s">
        <v>22</v>
      </c>
      <c r="E379" t="s">
        <v>26</v>
      </c>
      <c r="F379" t="s">
        <v>31</v>
      </c>
      <c r="G379">
        <v>7</v>
      </c>
      <c r="H379" s="1">
        <v>43518</v>
      </c>
      <c r="I379" s="2">
        <v>0.76180555555555562</v>
      </c>
      <c r="J379" t="s">
        <v>18</v>
      </c>
      <c r="K379">
        <v>33.421500000000002</v>
      </c>
      <c r="L379">
        <v>8.6999999999999993</v>
      </c>
    </row>
    <row r="380" spans="1:12" x14ac:dyDescent="0.25">
      <c r="A380" t="s">
        <v>409</v>
      </c>
      <c r="B380" t="s">
        <v>20</v>
      </c>
      <c r="C380" t="s">
        <v>21</v>
      </c>
      <c r="D380" t="s">
        <v>15</v>
      </c>
      <c r="E380" t="s">
        <v>26</v>
      </c>
      <c r="F380" t="s">
        <v>41</v>
      </c>
      <c r="G380">
        <v>4</v>
      </c>
      <c r="H380" s="1">
        <v>43502</v>
      </c>
      <c r="I380" s="2">
        <v>0.72222222222222221</v>
      </c>
      <c r="J380" t="s">
        <v>18</v>
      </c>
      <c r="K380">
        <v>19.396000000000001</v>
      </c>
      <c r="L380">
        <v>9.4</v>
      </c>
    </row>
    <row r="381" spans="1:12" x14ac:dyDescent="0.25">
      <c r="A381" t="s">
        <v>410</v>
      </c>
      <c r="B381" t="s">
        <v>37</v>
      </c>
      <c r="C381" t="s">
        <v>38</v>
      </c>
      <c r="D381" t="s">
        <v>22</v>
      </c>
      <c r="E381" t="s">
        <v>16</v>
      </c>
      <c r="F381" t="s">
        <v>23</v>
      </c>
      <c r="G381">
        <v>4</v>
      </c>
      <c r="H381" s="1">
        <v>43495</v>
      </c>
      <c r="I381" s="2">
        <v>0.56388888888888888</v>
      </c>
      <c r="J381" t="s">
        <v>28</v>
      </c>
      <c r="K381">
        <v>4.7300000000000004</v>
      </c>
      <c r="L381">
        <v>4</v>
      </c>
    </row>
    <row r="382" spans="1:12" x14ac:dyDescent="0.25">
      <c r="A382" t="s">
        <v>411</v>
      </c>
      <c r="B382" t="s">
        <v>13</v>
      </c>
      <c r="C382" t="s">
        <v>14</v>
      </c>
      <c r="D382" t="s">
        <v>15</v>
      </c>
      <c r="E382" t="s">
        <v>26</v>
      </c>
      <c r="F382" t="s">
        <v>31</v>
      </c>
      <c r="G382">
        <v>4</v>
      </c>
      <c r="H382" s="1">
        <v>43476</v>
      </c>
      <c r="I382" s="2">
        <v>0.44236111111111115</v>
      </c>
      <c r="J382" t="s">
        <v>28</v>
      </c>
      <c r="K382">
        <v>16.466000000000001</v>
      </c>
      <c r="L382">
        <v>7.5</v>
      </c>
    </row>
    <row r="383" spans="1:12" x14ac:dyDescent="0.25">
      <c r="A383" t="s">
        <v>412</v>
      </c>
      <c r="B383" t="s">
        <v>20</v>
      </c>
      <c r="C383" t="s">
        <v>21</v>
      </c>
      <c r="D383" t="s">
        <v>22</v>
      </c>
      <c r="E383" t="s">
        <v>16</v>
      </c>
      <c r="F383" t="s">
        <v>23</v>
      </c>
      <c r="G383">
        <v>2</v>
      </c>
      <c r="H383" s="1">
        <v>43543</v>
      </c>
      <c r="I383" s="2">
        <v>0.60763888888888895</v>
      </c>
      <c r="J383" t="s">
        <v>24</v>
      </c>
      <c r="K383">
        <v>2.661</v>
      </c>
      <c r="L383">
        <v>4.2</v>
      </c>
    </row>
    <row r="384" spans="1:12" x14ac:dyDescent="0.25">
      <c r="A384" t="s">
        <v>413</v>
      </c>
      <c r="B384" t="s">
        <v>37</v>
      </c>
      <c r="C384" t="s">
        <v>38</v>
      </c>
      <c r="D384" t="s">
        <v>22</v>
      </c>
      <c r="E384" t="s">
        <v>16</v>
      </c>
      <c r="F384" t="s">
        <v>39</v>
      </c>
      <c r="G384">
        <v>5</v>
      </c>
      <c r="H384" s="1">
        <v>43479</v>
      </c>
      <c r="I384" s="2">
        <v>0.50624999999999998</v>
      </c>
      <c r="J384" t="s">
        <v>24</v>
      </c>
      <c r="K384">
        <v>24.922499999999999</v>
      </c>
      <c r="L384">
        <v>9.9</v>
      </c>
    </row>
    <row r="385" spans="1:12" x14ac:dyDescent="0.25">
      <c r="A385" t="s">
        <v>414</v>
      </c>
      <c r="B385" t="s">
        <v>20</v>
      </c>
      <c r="C385" t="s">
        <v>21</v>
      </c>
      <c r="D385" t="s">
        <v>15</v>
      </c>
      <c r="E385" t="s">
        <v>16</v>
      </c>
      <c r="F385" t="s">
        <v>39</v>
      </c>
      <c r="G385">
        <v>4</v>
      </c>
      <c r="H385" s="1">
        <v>43525</v>
      </c>
      <c r="I385" s="2">
        <v>0.64722222222222225</v>
      </c>
      <c r="J385" t="s">
        <v>18</v>
      </c>
      <c r="K385">
        <v>14.978</v>
      </c>
      <c r="L385">
        <v>4.2</v>
      </c>
    </row>
    <row r="386" spans="1:12" x14ac:dyDescent="0.25">
      <c r="A386" t="s">
        <v>415</v>
      </c>
      <c r="B386" t="s">
        <v>13</v>
      </c>
      <c r="C386" t="s">
        <v>14</v>
      </c>
      <c r="D386" t="s">
        <v>22</v>
      </c>
      <c r="E386" t="s">
        <v>16</v>
      </c>
      <c r="F386" t="s">
        <v>39</v>
      </c>
      <c r="G386">
        <v>5</v>
      </c>
      <c r="H386" s="1">
        <v>43471</v>
      </c>
      <c r="I386" s="2">
        <v>0.58194444444444449</v>
      </c>
      <c r="J386" t="s">
        <v>18</v>
      </c>
      <c r="K386">
        <v>10.234999999999999</v>
      </c>
      <c r="L386">
        <v>9.9</v>
      </c>
    </row>
    <row r="387" spans="1:12" x14ac:dyDescent="0.25">
      <c r="A387" t="s">
        <v>416</v>
      </c>
      <c r="B387" t="s">
        <v>37</v>
      </c>
      <c r="C387" t="s">
        <v>38</v>
      </c>
      <c r="D387" t="s">
        <v>15</v>
      </c>
      <c r="E387" t="s">
        <v>26</v>
      </c>
      <c r="F387" t="s">
        <v>31</v>
      </c>
      <c r="G387">
        <v>1</v>
      </c>
      <c r="H387" s="1">
        <v>43496</v>
      </c>
      <c r="I387" s="2">
        <v>0.55486111111111114</v>
      </c>
      <c r="J387" t="s">
        <v>24</v>
      </c>
      <c r="K387">
        <v>3.7909999999999999</v>
      </c>
      <c r="L387">
        <v>5.8</v>
      </c>
    </row>
    <row r="388" spans="1:12" x14ac:dyDescent="0.25">
      <c r="A388" t="s">
        <v>417</v>
      </c>
      <c r="B388" t="s">
        <v>20</v>
      </c>
      <c r="C388" t="s">
        <v>21</v>
      </c>
      <c r="D388" t="s">
        <v>22</v>
      </c>
      <c r="E388" t="s">
        <v>26</v>
      </c>
      <c r="F388" t="s">
        <v>39</v>
      </c>
      <c r="G388">
        <v>6</v>
      </c>
      <c r="H388" s="1">
        <v>43535</v>
      </c>
      <c r="I388" s="2">
        <v>0.56736111111111109</v>
      </c>
      <c r="J388" t="s">
        <v>24</v>
      </c>
      <c r="K388">
        <v>14.031000000000001</v>
      </c>
      <c r="L388">
        <v>6</v>
      </c>
    </row>
    <row r="389" spans="1:12" x14ac:dyDescent="0.25">
      <c r="A389" t="s">
        <v>418</v>
      </c>
      <c r="B389" t="s">
        <v>13</v>
      </c>
      <c r="C389" t="s">
        <v>14</v>
      </c>
      <c r="D389" t="s">
        <v>22</v>
      </c>
      <c r="E389" t="s">
        <v>16</v>
      </c>
      <c r="F389" t="s">
        <v>17</v>
      </c>
      <c r="G389">
        <v>10</v>
      </c>
      <c r="H389" s="1">
        <v>43516</v>
      </c>
      <c r="I389" s="2">
        <v>0.7006944444444444</v>
      </c>
      <c r="J389" t="s">
        <v>28</v>
      </c>
      <c r="K389">
        <v>16.16</v>
      </c>
      <c r="L389">
        <v>10</v>
      </c>
    </row>
    <row r="390" spans="1:12" x14ac:dyDescent="0.25">
      <c r="A390" t="s">
        <v>419</v>
      </c>
      <c r="B390" t="s">
        <v>20</v>
      </c>
      <c r="C390" t="s">
        <v>21</v>
      </c>
      <c r="D390" t="s">
        <v>15</v>
      </c>
      <c r="E390" t="s">
        <v>16</v>
      </c>
      <c r="F390" t="s">
        <v>41</v>
      </c>
      <c r="G390">
        <v>9</v>
      </c>
      <c r="H390" s="1">
        <v>43492</v>
      </c>
      <c r="I390" s="2">
        <v>0.62152777777777779</v>
      </c>
      <c r="J390" t="s">
        <v>18</v>
      </c>
      <c r="K390">
        <v>24.331499999999998</v>
      </c>
      <c r="L390">
        <v>9.5</v>
      </c>
    </row>
    <row r="391" spans="1:12" x14ac:dyDescent="0.25">
      <c r="A391" t="s">
        <v>420</v>
      </c>
      <c r="B391" t="s">
        <v>37</v>
      </c>
      <c r="C391" t="s">
        <v>38</v>
      </c>
      <c r="D391" t="s">
        <v>22</v>
      </c>
      <c r="E391" t="s">
        <v>26</v>
      </c>
      <c r="F391" t="s">
        <v>39</v>
      </c>
      <c r="G391">
        <v>7</v>
      </c>
      <c r="H391" s="1">
        <v>43534</v>
      </c>
      <c r="I391" s="2">
        <v>0.58611111111111114</v>
      </c>
      <c r="J391" t="s">
        <v>28</v>
      </c>
      <c r="K391">
        <v>6.3769999999999998</v>
      </c>
      <c r="L391">
        <v>6.6</v>
      </c>
    </row>
    <row r="392" spans="1:12" x14ac:dyDescent="0.25">
      <c r="A392" t="s">
        <v>421</v>
      </c>
      <c r="B392" t="s">
        <v>20</v>
      </c>
      <c r="C392" t="s">
        <v>21</v>
      </c>
      <c r="D392" t="s">
        <v>15</v>
      </c>
      <c r="E392" t="s">
        <v>16</v>
      </c>
      <c r="F392" t="s">
        <v>41</v>
      </c>
      <c r="G392">
        <v>3</v>
      </c>
      <c r="H392" s="1">
        <v>43511</v>
      </c>
      <c r="I392" s="2">
        <v>0.52152777777777781</v>
      </c>
      <c r="J392" t="s">
        <v>24</v>
      </c>
      <c r="K392">
        <v>12.071999999999999</v>
      </c>
      <c r="L392">
        <v>8.1</v>
      </c>
    </row>
    <row r="393" spans="1:12" x14ac:dyDescent="0.25">
      <c r="A393" t="s">
        <v>422</v>
      </c>
      <c r="B393" t="s">
        <v>37</v>
      </c>
      <c r="C393" t="s">
        <v>38</v>
      </c>
      <c r="D393" t="s">
        <v>22</v>
      </c>
      <c r="E393" t="s">
        <v>16</v>
      </c>
      <c r="F393" t="s">
        <v>41</v>
      </c>
      <c r="G393">
        <v>10</v>
      </c>
      <c r="H393" s="1">
        <v>43491</v>
      </c>
      <c r="I393" s="2">
        <v>0.61875000000000002</v>
      </c>
      <c r="J393" t="s">
        <v>24</v>
      </c>
      <c r="K393">
        <v>18.975000000000001</v>
      </c>
      <c r="L393">
        <v>9.6999999999999993</v>
      </c>
    </row>
    <row r="394" spans="1:12" x14ac:dyDescent="0.25">
      <c r="A394" t="s">
        <v>423</v>
      </c>
      <c r="B394" t="s">
        <v>13</v>
      </c>
      <c r="C394" t="s">
        <v>14</v>
      </c>
      <c r="D394" t="s">
        <v>15</v>
      </c>
      <c r="E394" t="s">
        <v>26</v>
      </c>
      <c r="F394" t="s">
        <v>23</v>
      </c>
      <c r="G394">
        <v>1</v>
      </c>
      <c r="H394" s="1">
        <v>43509</v>
      </c>
      <c r="I394" s="2">
        <v>0.76874999999999993</v>
      </c>
      <c r="J394" t="s">
        <v>18</v>
      </c>
      <c r="K394">
        <v>3.8410000000000002</v>
      </c>
      <c r="L394">
        <v>7.2</v>
      </c>
    </row>
    <row r="395" spans="1:12" x14ac:dyDescent="0.25">
      <c r="A395" t="s">
        <v>424</v>
      </c>
      <c r="B395" t="s">
        <v>13</v>
      </c>
      <c r="C395" t="s">
        <v>14</v>
      </c>
      <c r="D395" t="s">
        <v>15</v>
      </c>
      <c r="E395" t="s">
        <v>16</v>
      </c>
      <c r="F395" t="s">
        <v>31</v>
      </c>
      <c r="G395">
        <v>10</v>
      </c>
      <c r="H395" s="1">
        <v>43533</v>
      </c>
      <c r="I395" s="2">
        <v>0.53125</v>
      </c>
      <c r="J395" t="s">
        <v>28</v>
      </c>
      <c r="K395">
        <v>26.13</v>
      </c>
      <c r="L395">
        <v>6.2</v>
      </c>
    </row>
    <row r="396" spans="1:12" x14ac:dyDescent="0.25">
      <c r="A396" t="s">
        <v>425</v>
      </c>
      <c r="B396" t="s">
        <v>13</v>
      </c>
      <c r="C396" t="s">
        <v>14</v>
      </c>
      <c r="D396" t="s">
        <v>22</v>
      </c>
      <c r="E396" t="s">
        <v>16</v>
      </c>
      <c r="F396" t="s">
        <v>17</v>
      </c>
      <c r="G396">
        <v>1</v>
      </c>
      <c r="H396" s="1">
        <v>43530</v>
      </c>
      <c r="I396" s="2">
        <v>0.44166666666666665</v>
      </c>
      <c r="J396" t="s">
        <v>18</v>
      </c>
      <c r="K396">
        <v>3.9870000000000001</v>
      </c>
      <c r="L396">
        <v>7.3</v>
      </c>
    </row>
    <row r="397" spans="1:12" x14ac:dyDescent="0.25">
      <c r="A397" t="s">
        <v>426</v>
      </c>
      <c r="B397" t="s">
        <v>13</v>
      </c>
      <c r="C397" t="s">
        <v>14</v>
      </c>
      <c r="D397" t="s">
        <v>22</v>
      </c>
      <c r="E397" t="s">
        <v>16</v>
      </c>
      <c r="F397" t="s">
        <v>17</v>
      </c>
      <c r="G397">
        <v>5</v>
      </c>
      <c r="H397" s="1">
        <v>43489</v>
      </c>
      <c r="I397" s="2">
        <v>0.85833333333333339</v>
      </c>
      <c r="J397" t="s">
        <v>18</v>
      </c>
      <c r="K397">
        <v>19.375</v>
      </c>
      <c r="L397">
        <v>4.3</v>
      </c>
    </row>
    <row r="398" spans="1:12" x14ac:dyDescent="0.25">
      <c r="A398" t="s">
        <v>427</v>
      </c>
      <c r="B398" t="s">
        <v>13</v>
      </c>
      <c r="C398" t="s">
        <v>14</v>
      </c>
      <c r="D398" t="s">
        <v>22</v>
      </c>
      <c r="E398" t="s">
        <v>16</v>
      </c>
      <c r="F398" t="s">
        <v>39</v>
      </c>
      <c r="G398">
        <v>5</v>
      </c>
      <c r="H398" s="1">
        <v>43537</v>
      </c>
      <c r="I398" s="2">
        <v>0.59444444444444444</v>
      </c>
      <c r="J398" t="s">
        <v>18</v>
      </c>
      <c r="K398">
        <v>13.567500000000001</v>
      </c>
      <c r="L398">
        <v>4.5999999999999996</v>
      </c>
    </row>
    <row r="399" spans="1:12" x14ac:dyDescent="0.25">
      <c r="A399" t="s">
        <v>428</v>
      </c>
      <c r="B399" t="s">
        <v>37</v>
      </c>
      <c r="C399" t="s">
        <v>38</v>
      </c>
      <c r="D399" t="s">
        <v>22</v>
      </c>
      <c r="E399" t="s">
        <v>26</v>
      </c>
      <c r="F399" t="s">
        <v>27</v>
      </c>
      <c r="G399">
        <v>9</v>
      </c>
      <c r="H399" s="1">
        <v>43539</v>
      </c>
      <c r="I399" s="2">
        <v>0.43472222222222223</v>
      </c>
      <c r="J399" t="s">
        <v>24</v>
      </c>
      <c r="K399">
        <v>6.1154999999999999</v>
      </c>
      <c r="L399">
        <v>5.8</v>
      </c>
    </row>
    <row r="400" spans="1:12" x14ac:dyDescent="0.25">
      <c r="A400" t="s">
        <v>429</v>
      </c>
      <c r="B400" t="s">
        <v>37</v>
      </c>
      <c r="C400" t="s">
        <v>38</v>
      </c>
      <c r="D400" t="s">
        <v>15</v>
      </c>
      <c r="E400" t="s">
        <v>16</v>
      </c>
      <c r="F400" t="s">
        <v>17</v>
      </c>
      <c r="G400">
        <v>6</v>
      </c>
      <c r="H400" s="1">
        <v>43529</v>
      </c>
      <c r="I400" s="2">
        <v>0.5625</v>
      </c>
      <c r="J400" t="s">
        <v>28</v>
      </c>
      <c r="K400">
        <v>12.318</v>
      </c>
      <c r="L400">
        <v>8.3000000000000007</v>
      </c>
    </row>
    <row r="401" spans="1:12" x14ac:dyDescent="0.25">
      <c r="A401" t="s">
        <v>430</v>
      </c>
      <c r="B401" t="s">
        <v>37</v>
      </c>
      <c r="C401" t="s">
        <v>38</v>
      </c>
      <c r="D401" t="s">
        <v>15</v>
      </c>
      <c r="E401" t="s">
        <v>26</v>
      </c>
      <c r="F401" t="s">
        <v>23</v>
      </c>
      <c r="G401">
        <v>9</v>
      </c>
      <c r="H401" s="1">
        <v>43528</v>
      </c>
      <c r="I401" s="2">
        <v>0.68611111111111101</v>
      </c>
      <c r="J401" t="s">
        <v>24</v>
      </c>
      <c r="K401">
        <v>8.6579999999999995</v>
      </c>
      <c r="L401">
        <v>8</v>
      </c>
    </row>
    <row r="402" spans="1:12" x14ac:dyDescent="0.25">
      <c r="A402" t="s">
        <v>431</v>
      </c>
      <c r="B402" t="s">
        <v>20</v>
      </c>
      <c r="C402" t="s">
        <v>21</v>
      </c>
      <c r="D402" t="s">
        <v>22</v>
      </c>
      <c r="E402" t="s">
        <v>16</v>
      </c>
      <c r="F402" t="s">
        <v>39</v>
      </c>
      <c r="G402">
        <v>6</v>
      </c>
      <c r="H402" s="1">
        <v>43549</v>
      </c>
      <c r="I402" s="2">
        <v>0.84583333333333333</v>
      </c>
      <c r="J402" t="s">
        <v>28</v>
      </c>
      <c r="K402">
        <v>11.829000000000001</v>
      </c>
      <c r="L402">
        <v>9.4</v>
      </c>
    </row>
    <row r="403" spans="1:12" x14ac:dyDescent="0.25">
      <c r="A403" t="s">
        <v>432</v>
      </c>
      <c r="B403" t="s">
        <v>20</v>
      </c>
      <c r="C403" t="s">
        <v>21</v>
      </c>
      <c r="D403" t="s">
        <v>22</v>
      </c>
      <c r="E403" t="s">
        <v>26</v>
      </c>
      <c r="F403" t="s">
        <v>27</v>
      </c>
      <c r="G403">
        <v>4</v>
      </c>
      <c r="H403" s="1">
        <v>43536</v>
      </c>
      <c r="I403" s="2">
        <v>0.83611111111111114</v>
      </c>
      <c r="J403" t="s">
        <v>28</v>
      </c>
      <c r="K403">
        <v>9.2439999999999998</v>
      </c>
      <c r="L403">
        <v>6.2</v>
      </c>
    </row>
    <row r="404" spans="1:12" x14ac:dyDescent="0.25">
      <c r="A404" t="s">
        <v>433</v>
      </c>
      <c r="B404" t="s">
        <v>20</v>
      </c>
      <c r="C404" t="s">
        <v>21</v>
      </c>
      <c r="D404" t="s">
        <v>15</v>
      </c>
      <c r="E404" t="s">
        <v>26</v>
      </c>
      <c r="F404" t="s">
        <v>27</v>
      </c>
      <c r="G404">
        <v>1</v>
      </c>
      <c r="H404" s="1">
        <v>43500</v>
      </c>
      <c r="I404" s="2">
        <v>0.56805555555555554</v>
      </c>
      <c r="J404" t="s">
        <v>18</v>
      </c>
      <c r="K404">
        <v>0.69899999999999995</v>
      </c>
      <c r="L404">
        <v>9.8000000000000007</v>
      </c>
    </row>
    <row r="405" spans="1:12" x14ac:dyDescent="0.25">
      <c r="A405" t="s">
        <v>434</v>
      </c>
      <c r="B405" t="s">
        <v>37</v>
      </c>
      <c r="C405" t="s">
        <v>38</v>
      </c>
      <c r="D405" t="s">
        <v>22</v>
      </c>
      <c r="E405" t="s">
        <v>16</v>
      </c>
      <c r="F405" t="s">
        <v>41</v>
      </c>
      <c r="G405">
        <v>5</v>
      </c>
      <c r="H405" s="1">
        <v>43518</v>
      </c>
      <c r="I405" s="2">
        <v>0.4465277777777778</v>
      </c>
      <c r="J405" t="s">
        <v>18</v>
      </c>
      <c r="K405">
        <v>9.9375</v>
      </c>
      <c r="L405">
        <v>9.6</v>
      </c>
    </row>
    <row r="406" spans="1:12" x14ac:dyDescent="0.25">
      <c r="A406" t="s">
        <v>435</v>
      </c>
      <c r="B406" t="s">
        <v>20</v>
      </c>
      <c r="C406" t="s">
        <v>21</v>
      </c>
      <c r="D406" t="s">
        <v>15</v>
      </c>
      <c r="E406" t="s">
        <v>16</v>
      </c>
      <c r="F406" t="s">
        <v>41</v>
      </c>
      <c r="G406">
        <v>7</v>
      </c>
      <c r="H406" s="1">
        <v>43512</v>
      </c>
      <c r="I406" s="2">
        <v>0.72916666666666663</v>
      </c>
      <c r="J406" t="s">
        <v>18</v>
      </c>
      <c r="K406">
        <v>34.226500000000001</v>
      </c>
      <c r="L406">
        <v>4.9000000000000004</v>
      </c>
    </row>
    <row r="407" spans="1:12" x14ac:dyDescent="0.25">
      <c r="A407" t="s">
        <v>436</v>
      </c>
      <c r="B407" t="s">
        <v>13</v>
      </c>
      <c r="C407" t="s">
        <v>14</v>
      </c>
      <c r="D407" t="s">
        <v>15</v>
      </c>
      <c r="E407" t="s">
        <v>26</v>
      </c>
      <c r="F407" t="s">
        <v>31</v>
      </c>
      <c r="G407">
        <v>4</v>
      </c>
      <c r="H407" s="1">
        <v>43484</v>
      </c>
      <c r="I407" s="2">
        <v>0.64444444444444449</v>
      </c>
      <c r="J407" t="s">
        <v>28</v>
      </c>
      <c r="K407">
        <v>13.452</v>
      </c>
      <c r="L407">
        <v>8</v>
      </c>
    </row>
    <row r="408" spans="1:12" x14ac:dyDescent="0.25">
      <c r="A408" t="s">
        <v>437</v>
      </c>
      <c r="B408" t="s">
        <v>13</v>
      </c>
      <c r="C408" t="s">
        <v>14</v>
      </c>
      <c r="D408" t="s">
        <v>22</v>
      </c>
      <c r="E408" t="s">
        <v>26</v>
      </c>
      <c r="F408" t="s">
        <v>39</v>
      </c>
      <c r="G408">
        <v>5</v>
      </c>
      <c r="H408" s="1">
        <v>43476</v>
      </c>
      <c r="I408" s="2">
        <v>0.79652777777777783</v>
      </c>
      <c r="J408" t="s">
        <v>28</v>
      </c>
      <c r="K408">
        <v>3.4474999999999998</v>
      </c>
      <c r="L408">
        <v>7.8</v>
      </c>
    </row>
    <row r="409" spans="1:12" x14ac:dyDescent="0.25">
      <c r="A409" t="s">
        <v>438</v>
      </c>
      <c r="B409" t="s">
        <v>37</v>
      </c>
      <c r="C409" t="s">
        <v>38</v>
      </c>
      <c r="D409" t="s">
        <v>15</v>
      </c>
      <c r="E409" t="s">
        <v>16</v>
      </c>
      <c r="F409" t="s">
        <v>41</v>
      </c>
      <c r="G409">
        <v>4</v>
      </c>
      <c r="H409" s="1">
        <v>43469</v>
      </c>
      <c r="I409" s="2">
        <v>0.79236111111111107</v>
      </c>
      <c r="J409" t="s">
        <v>24</v>
      </c>
      <c r="K409">
        <v>13.742000000000001</v>
      </c>
      <c r="L409">
        <v>4.0999999999999996</v>
      </c>
    </row>
    <row r="410" spans="1:12" x14ac:dyDescent="0.25">
      <c r="A410" t="s">
        <v>439</v>
      </c>
      <c r="B410" t="s">
        <v>13</v>
      </c>
      <c r="C410" t="s">
        <v>14</v>
      </c>
      <c r="D410" t="s">
        <v>22</v>
      </c>
      <c r="E410" t="s">
        <v>16</v>
      </c>
      <c r="F410" t="s">
        <v>27</v>
      </c>
      <c r="G410">
        <v>4</v>
      </c>
      <c r="H410" s="1">
        <v>43528</v>
      </c>
      <c r="I410" s="2">
        <v>0.82500000000000007</v>
      </c>
      <c r="J410" t="s">
        <v>18</v>
      </c>
      <c r="K410">
        <v>11.305999999999999</v>
      </c>
      <c r="L410">
        <v>5.5</v>
      </c>
    </row>
    <row r="411" spans="1:12" x14ac:dyDescent="0.25">
      <c r="A411" t="s">
        <v>440</v>
      </c>
      <c r="B411" t="s">
        <v>20</v>
      </c>
      <c r="C411" t="s">
        <v>21</v>
      </c>
      <c r="D411" t="s">
        <v>22</v>
      </c>
      <c r="E411" t="s">
        <v>16</v>
      </c>
      <c r="F411" t="s">
        <v>41</v>
      </c>
      <c r="G411">
        <v>5</v>
      </c>
      <c r="H411" s="1">
        <v>43493</v>
      </c>
      <c r="I411" s="2">
        <v>0.80833333333333324</v>
      </c>
      <c r="J411" t="s">
        <v>18</v>
      </c>
      <c r="K411">
        <v>5.9550000000000001</v>
      </c>
      <c r="L411">
        <v>5.4</v>
      </c>
    </row>
    <row r="412" spans="1:12" x14ac:dyDescent="0.25">
      <c r="A412" t="s">
        <v>441</v>
      </c>
      <c r="B412" t="s">
        <v>37</v>
      </c>
      <c r="C412" t="s">
        <v>38</v>
      </c>
      <c r="D412" t="s">
        <v>22</v>
      </c>
      <c r="E412" t="s">
        <v>16</v>
      </c>
      <c r="F412" t="s">
        <v>17</v>
      </c>
      <c r="G412">
        <v>10</v>
      </c>
      <c r="H412" s="1">
        <v>43467</v>
      </c>
      <c r="I412" s="2">
        <v>0.54166666666666663</v>
      </c>
      <c r="J412" t="s">
        <v>24</v>
      </c>
      <c r="K412">
        <v>17.105</v>
      </c>
      <c r="L412">
        <v>5.0999999999999996</v>
      </c>
    </row>
    <row r="413" spans="1:12" x14ac:dyDescent="0.25">
      <c r="A413" t="s">
        <v>442</v>
      </c>
      <c r="B413" t="s">
        <v>37</v>
      </c>
      <c r="C413" t="s">
        <v>38</v>
      </c>
      <c r="D413" t="s">
        <v>22</v>
      </c>
      <c r="E413" t="s">
        <v>26</v>
      </c>
      <c r="F413" t="s">
        <v>31</v>
      </c>
      <c r="G413">
        <v>2</v>
      </c>
      <c r="H413" s="1">
        <v>43490</v>
      </c>
      <c r="I413" s="2">
        <v>0.60347222222222219</v>
      </c>
      <c r="J413" t="s">
        <v>18</v>
      </c>
      <c r="K413">
        <v>2.1869999999999998</v>
      </c>
      <c r="L413">
        <v>6.9</v>
      </c>
    </row>
    <row r="414" spans="1:12" x14ac:dyDescent="0.25">
      <c r="A414" t="s">
        <v>443</v>
      </c>
      <c r="B414" t="s">
        <v>13</v>
      </c>
      <c r="C414" t="s">
        <v>14</v>
      </c>
      <c r="D414" t="s">
        <v>15</v>
      </c>
      <c r="E414" t="s">
        <v>26</v>
      </c>
      <c r="F414" t="s">
        <v>17</v>
      </c>
      <c r="G414">
        <v>5</v>
      </c>
      <c r="H414" s="1">
        <v>43469</v>
      </c>
      <c r="I414" s="2">
        <v>0.55625000000000002</v>
      </c>
      <c r="J414" t="s">
        <v>24</v>
      </c>
      <c r="K414">
        <v>5.2424999999999997</v>
      </c>
      <c r="L414">
        <v>7.8</v>
      </c>
    </row>
    <row r="415" spans="1:12" x14ac:dyDescent="0.25">
      <c r="A415" t="s">
        <v>444</v>
      </c>
      <c r="B415" t="s">
        <v>13</v>
      </c>
      <c r="C415" t="s">
        <v>14</v>
      </c>
      <c r="D415" t="s">
        <v>22</v>
      </c>
      <c r="E415" t="s">
        <v>26</v>
      </c>
      <c r="F415" t="s">
        <v>31</v>
      </c>
      <c r="G415">
        <v>3</v>
      </c>
      <c r="H415" s="1">
        <v>43534</v>
      </c>
      <c r="I415" s="2">
        <v>0.78819444444444453</v>
      </c>
      <c r="J415" t="s">
        <v>18</v>
      </c>
      <c r="K415">
        <v>3.8759999999999999</v>
      </c>
      <c r="L415">
        <v>6.6</v>
      </c>
    </row>
    <row r="416" spans="1:12" x14ac:dyDescent="0.25">
      <c r="A416" t="s">
        <v>445</v>
      </c>
      <c r="B416" t="s">
        <v>13</v>
      </c>
      <c r="C416" t="s">
        <v>14</v>
      </c>
      <c r="D416" t="s">
        <v>22</v>
      </c>
      <c r="E416" t="s">
        <v>26</v>
      </c>
      <c r="F416" t="s">
        <v>27</v>
      </c>
      <c r="G416">
        <v>8</v>
      </c>
      <c r="H416" s="1">
        <v>43546</v>
      </c>
      <c r="I416" s="2">
        <v>0.81666666666666676</v>
      </c>
      <c r="J416" t="s">
        <v>18</v>
      </c>
      <c r="K416">
        <v>20.372</v>
      </c>
      <c r="L416">
        <v>9.1999999999999993</v>
      </c>
    </row>
    <row r="417" spans="1:12" x14ac:dyDescent="0.25">
      <c r="A417" t="s">
        <v>446</v>
      </c>
      <c r="B417" t="s">
        <v>37</v>
      </c>
      <c r="C417" t="s">
        <v>38</v>
      </c>
      <c r="D417" t="s">
        <v>22</v>
      </c>
      <c r="E417" t="s">
        <v>26</v>
      </c>
      <c r="F417" t="s">
        <v>17</v>
      </c>
      <c r="G417">
        <v>1</v>
      </c>
      <c r="H417" s="1">
        <v>43490</v>
      </c>
      <c r="I417" s="2">
        <v>0.68611111111111101</v>
      </c>
      <c r="J417" t="s">
        <v>18</v>
      </c>
      <c r="K417">
        <v>4.8055000000000003</v>
      </c>
      <c r="L417">
        <v>7.8</v>
      </c>
    </row>
    <row r="418" spans="1:12" x14ac:dyDescent="0.25">
      <c r="A418" t="s">
        <v>447</v>
      </c>
      <c r="B418" t="s">
        <v>20</v>
      </c>
      <c r="C418" t="s">
        <v>21</v>
      </c>
      <c r="D418" t="s">
        <v>22</v>
      </c>
      <c r="E418" t="s">
        <v>16</v>
      </c>
      <c r="F418" t="s">
        <v>27</v>
      </c>
      <c r="G418">
        <v>4</v>
      </c>
      <c r="H418" s="1">
        <v>43473</v>
      </c>
      <c r="I418" s="2">
        <v>0.57500000000000007</v>
      </c>
      <c r="J418" t="s">
        <v>28</v>
      </c>
      <c r="K418">
        <v>9.0760000000000005</v>
      </c>
      <c r="L418">
        <v>8.6999999999999993</v>
      </c>
    </row>
    <row r="419" spans="1:12" x14ac:dyDescent="0.25">
      <c r="A419" t="s">
        <v>448</v>
      </c>
      <c r="B419" t="s">
        <v>20</v>
      </c>
      <c r="C419" t="s">
        <v>21</v>
      </c>
      <c r="D419" t="s">
        <v>15</v>
      </c>
      <c r="E419" t="s">
        <v>16</v>
      </c>
      <c r="F419" t="s">
        <v>17</v>
      </c>
      <c r="G419">
        <v>1</v>
      </c>
      <c r="H419" s="1">
        <v>43487</v>
      </c>
      <c r="I419" s="2">
        <v>0.45624999999999999</v>
      </c>
      <c r="J419" t="s">
        <v>18</v>
      </c>
      <c r="K419">
        <v>4.0754999999999999</v>
      </c>
      <c r="L419">
        <v>9.1999999999999993</v>
      </c>
    </row>
    <row r="420" spans="1:12" x14ac:dyDescent="0.25">
      <c r="A420" t="s">
        <v>449</v>
      </c>
      <c r="B420" t="s">
        <v>37</v>
      </c>
      <c r="C420" t="s">
        <v>38</v>
      </c>
      <c r="D420" t="s">
        <v>22</v>
      </c>
      <c r="E420" t="s">
        <v>16</v>
      </c>
      <c r="F420" t="s">
        <v>17</v>
      </c>
      <c r="G420">
        <v>2</v>
      </c>
      <c r="H420" s="1">
        <v>43477</v>
      </c>
      <c r="I420" s="2">
        <v>0.71736111111111101</v>
      </c>
      <c r="J420" t="s">
        <v>18</v>
      </c>
      <c r="K420">
        <v>5.7220000000000004</v>
      </c>
      <c r="L420">
        <v>8.3000000000000007</v>
      </c>
    </row>
    <row r="421" spans="1:12" x14ac:dyDescent="0.25">
      <c r="A421" t="s">
        <v>450</v>
      </c>
      <c r="B421" t="s">
        <v>13</v>
      </c>
      <c r="C421" t="s">
        <v>14</v>
      </c>
      <c r="D421" t="s">
        <v>15</v>
      </c>
      <c r="E421" t="s">
        <v>16</v>
      </c>
      <c r="F421" t="s">
        <v>23</v>
      </c>
      <c r="G421">
        <v>7</v>
      </c>
      <c r="H421" s="1">
        <v>43500</v>
      </c>
      <c r="I421" s="2">
        <v>0.43263888888888885</v>
      </c>
      <c r="J421" t="s">
        <v>24</v>
      </c>
      <c r="K421">
        <v>8.827</v>
      </c>
      <c r="L421">
        <v>8.1999999999999993</v>
      </c>
    </row>
    <row r="422" spans="1:12" x14ac:dyDescent="0.25">
      <c r="A422" t="s">
        <v>451</v>
      </c>
      <c r="B422" t="s">
        <v>20</v>
      </c>
      <c r="C422" t="s">
        <v>21</v>
      </c>
      <c r="D422" t="s">
        <v>15</v>
      </c>
      <c r="E422" t="s">
        <v>16</v>
      </c>
      <c r="F422" t="s">
        <v>39</v>
      </c>
      <c r="G422">
        <v>3</v>
      </c>
      <c r="H422" s="1">
        <v>43552</v>
      </c>
      <c r="I422" s="2">
        <v>0.58124999999999993</v>
      </c>
      <c r="J422" t="s">
        <v>18</v>
      </c>
      <c r="K422">
        <v>5.79</v>
      </c>
      <c r="L422">
        <v>7.5</v>
      </c>
    </row>
    <row r="423" spans="1:12" x14ac:dyDescent="0.25">
      <c r="A423" t="s">
        <v>452</v>
      </c>
      <c r="B423" t="s">
        <v>20</v>
      </c>
      <c r="C423" t="s">
        <v>21</v>
      </c>
      <c r="D423" t="s">
        <v>22</v>
      </c>
      <c r="E423" t="s">
        <v>16</v>
      </c>
      <c r="F423" t="s">
        <v>23</v>
      </c>
      <c r="G423">
        <v>3</v>
      </c>
      <c r="H423" s="1">
        <v>43488</v>
      </c>
      <c r="I423" s="2">
        <v>0.56180555555555556</v>
      </c>
      <c r="J423" t="s">
        <v>24</v>
      </c>
      <c r="K423">
        <v>12.6075</v>
      </c>
      <c r="L423">
        <v>9.8000000000000007</v>
      </c>
    </row>
    <row r="424" spans="1:12" x14ac:dyDescent="0.25">
      <c r="A424" t="s">
        <v>453</v>
      </c>
      <c r="B424" t="s">
        <v>20</v>
      </c>
      <c r="C424" t="s">
        <v>21</v>
      </c>
      <c r="D424" t="s">
        <v>15</v>
      </c>
      <c r="E424" t="s">
        <v>16</v>
      </c>
      <c r="F424" t="s">
        <v>41</v>
      </c>
      <c r="G424">
        <v>10</v>
      </c>
      <c r="H424" s="1">
        <v>43504</v>
      </c>
      <c r="I424" s="2">
        <v>0.54166666666666663</v>
      </c>
      <c r="J424" t="s">
        <v>28</v>
      </c>
      <c r="K424">
        <v>48.604999999999997</v>
      </c>
      <c r="L424">
        <v>8.6999999999999993</v>
      </c>
    </row>
    <row r="425" spans="1:12" x14ac:dyDescent="0.25">
      <c r="A425" t="s">
        <v>454</v>
      </c>
      <c r="B425" t="s">
        <v>37</v>
      </c>
      <c r="C425" t="s">
        <v>38</v>
      </c>
      <c r="D425" t="s">
        <v>15</v>
      </c>
      <c r="E425" t="s">
        <v>26</v>
      </c>
      <c r="F425" t="s">
        <v>41</v>
      </c>
      <c r="G425">
        <v>8</v>
      </c>
      <c r="H425" s="1">
        <v>43543</v>
      </c>
      <c r="I425" s="2">
        <v>0.8208333333333333</v>
      </c>
      <c r="J425" t="s">
        <v>28</v>
      </c>
      <c r="K425">
        <v>10.167999999999999</v>
      </c>
      <c r="L425">
        <v>6.7</v>
      </c>
    </row>
    <row r="426" spans="1:12" x14ac:dyDescent="0.25">
      <c r="A426" t="s">
        <v>455</v>
      </c>
      <c r="B426" t="s">
        <v>20</v>
      </c>
      <c r="C426" t="s">
        <v>21</v>
      </c>
      <c r="D426" t="s">
        <v>22</v>
      </c>
      <c r="E426" t="s">
        <v>26</v>
      </c>
      <c r="F426" t="s">
        <v>41</v>
      </c>
      <c r="G426">
        <v>1</v>
      </c>
      <c r="H426" s="1">
        <v>43533</v>
      </c>
      <c r="I426" s="2">
        <v>0.65</v>
      </c>
      <c r="J426" t="s">
        <v>24</v>
      </c>
      <c r="K426">
        <v>0.81399999999999995</v>
      </c>
      <c r="L426">
        <v>5</v>
      </c>
    </row>
    <row r="427" spans="1:12" x14ac:dyDescent="0.25">
      <c r="A427" t="s">
        <v>456</v>
      </c>
      <c r="B427" t="s">
        <v>37</v>
      </c>
      <c r="C427" t="s">
        <v>38</v>
      </c>
      <c r="D427" t="s">
        <v>15</v>
      </c>
      <c r="E427" t="s">
        <v>26</v>
      </c>
      <c r="F427" t="s">
        <v>41</v>
      </c>
      <c r="G427">
        <v>9</v>
      </c>
      <c r="H427" s="1">
        <v>43467</v>
      </c>
      <c r="I427" s="2">
        <v>0.56944444444444442</v>
      </c>
      <c r="J427" t="s">
        <v>24</v>
      </c>
      <c r="K427">
        <v>18.2745</v>
      </c>
      <c r="L427">
        <v>7</v>
      </c>
    </row>
    <row r="428" spans="1:12" x14ac:dyDescent="0.25">
      <c r="A428" t="s">
        <v>457</v>
      </c>
      <c r="B428" t="s">
        <v>13</v>
      </c>
      <c r="C428" t="s">
        <v>14</v>
      </c>
      <c r="D428" t="s">
        <v>15</v>
      </c>
      <c r="E428" t="s">
        <v>26</v>
      </c>
      <c r="F428" t="s">
        <v>17</v>
      </c>
      <c r="G428">
        <v>7</v>
      </c>
      <c r="H428" s="1">
        <v>43486</v>
      </c>
      <c r="I428" s="2">
        <v>0.75069444444444444</v>
      </c>
      <c r="J428" t="s">
        <v>24</v>
      </c>
      <c r="K428">
        <v>18.609500000000001</v>
      </c>
      <c r="L428">
        <v>8.9</v>
      </c>
    </row>
    <row r="429" spans="1:12" x14ac:dyDescent="0.25">
      <c r="A429" t="s">
        <v>458</v>
      </c>
      <c r="B429" t="s">
        <v>37</v>
      </c>
      <c r="C429" t="s">
        <v>38</v>
      </c>
      <c r="D429" t="s">
        <v>15</v>
      </c>
      <c r="E429" t="s">
        <v>16</v>
      </c>
      <c r="F429" t="s">
        <v>39</v>
      </c>
      <c r="G429">
        <v>3</v>
      </c>
      <c r="H429" s="1">
        <v>43544</v>
      </c>
      <c r="I429" s="2">
        <v>0.57847222222222217</v>
      </c>
      <c r="J429" t="s">
        <v>28</v>
      </c>
      <c r="K429">
        <v>3.1305000000000001</v>
      </c>
      <c r="L429">
        <v>8</v>
      </c>
    </row>
    <row r="430" spans="1:12" x14ac:dyDescent="0.25">
      <c r="A430" t="s">
        <v>459</v>
      </c>
      <c r="B430" t="s">
        <v>37</v>
      </c>
      <c r="C430" t="s">
        <v>38</v>
      </c>
      <c r="D430" t="s">
        <v>22</v>
      </c>
      <c r="E430" t="s">
        <v>26</v>
      </c>
      <c r="F430" t="s">
        <v>31</v>
      </c>
      <c r="G430">
        <v>5</v>
      </c>
      <c r="H430" s="1">
        <v>43523</v>
      </c>
      <c r="I430" s="2">
        <v>0.7270833333333333</v>
      </c>
      <c r="J430" t="s">
        <v>24</v>
      </c>
      <c r="K430">
        <v>16.817499999999999</v>
      </c>
      <c r="L430">
        <v>6.9</v>
      </c>
    </row>
    <row r="431" spans="1:12" x14ac:dyDescent="0.25">
      <c r="A431" t="s">
        <v>460</v>
      </c>
      <c r="B431" t="s">
        <v>13</v>
      </c>
      <c r="C431" t="s">
        <v>14</v>
      </c>
      <c r="D431" t="s">
        <v>15</v>
      </c>
      <c r="E431" t="s">
        <v>16</v>
      </c>
      <c r="F431" t="s">
        <v>27</v>
      </c>
      <c r="G431">
        <v>10</v>
      </c>
      <c r="H431" s="1">
        <v>43532</v>
      </c>
      <c r="I431" s="2">
        <v>0.45347222222222222</v>
      </c>
      <c r="J431" t="s">
        <v>18</v>
      </c>
      <c r="K431">
        <v>45.325000000000003</v>
      </c>
      <c r="L431">
        <v>7.3</v>
      </c>
    </row>
    <row r="432" spans="1:12" x14ac:dyDescent="0.25">
      <c r="A432" t="s">
        <v>461</v>
      </c>
      <c r="B432" t="s">
        <v>37</v>
      </c>
      <c r="C432" t="s">
        <v>38</v>
      </c>
      <c r="D432" t="s">
        <v>22</v>
      </c>
      <c r="E432" t="s">
        <v>26</v>
      </c>
      <c r="F432" t="s">
        <v>41</v>
      </c>
      <c r="G432">
        <v>2</v>
      </c>
      <c r="H432" s="1">
        <v>43496</v>
      </c>
      <c r="I432" s="2">
        <v>0.82500000000000007</v>
      </c>
      <c r="J432" t="s">
        <v>28</v>
      </c>
      <c r="K432">
        <v>6.9080000000000004</v>
      </c>
      <c r="L432">
        <v>6.9</v>
      </c>
    </row>
    <row r="433" spans="1:12" x14ac:dyDescent="0.25">
      <c r="A433" t="s">
        <v>462</v>
      </c>
      <c r="B433" t="s">
        <v>20</v>
      </c>
      <c r="C433" t="s">
        <v>21</v>
      </c>
      <c r="D433" t="s">
        <v>22</v>
      </c>
      <c r="E433" t="s">
        <v>26</v>
      </c>
      <c r="F433" t="s">
        <v>39</v>
      </c>
      <c r="G433">
        <v>2</v>
      </c>
      <c r="H433" s="1">
        <v>43532</v>
      </c>
      <c r="I433" s="2">
        <v>0.70347222222222217</v>
      </c>
      <c r="J433" t="s">
        <v>18</v>
      </c>
      <c r="K433">
        <v>4.327</v>
      </c>
      <c r="L433">
        <v>5.7</v>
      </c>
    </row>
    <row r="434" spans="1:12" x14ac:dyDescent="0.25">
      <c r="A434" t="s">
        <v>463</v>
      </c>
      <c r="B434" t="s">
        <v>13</v>
      </c>
      <c r="C434" t="s">
        <v>14</v>
      </c>
      <c r="D434" t="s">
        <v>22</v>
      </c>
      <c r="E434" t="s">
        <v>16</v>
      </c>
      <c r="F434" t="s">
        <v>23</v>
      </c>
      <c r="G434">
        <v>6</v>
      </c>
      <c r="H434" s="1">
        <v>43478</v>
      </c>
      <c r="I434" s="2">
        <v>0.80138888888888893</v>
      </c>
      <c r="J434" t="s">
        <v>18</v>
      </c>
      <c r="K434">
        <v>7.0380000000000003</v>
      </c>
      <c r="L434">
        <v>6.4</v>
      </c>
    </row>
    <row r="435" spans="1:12" x14ac:dyDescent="0.25">
      <c r="A435" t="s">
        <v>464</v>
      </c>
      <c r="B435" t="s">
        <v>37</v>
      </c>
      <c r="C435" t="s">
        <v>38</v>
      </c>
      <c r="D435" t="s">
        <v>22</v>
      </c>
      <c r="E435" t="s">
        <v>26</v>
      </c>
      <c r="F435" t="s">
        <v>41</v>
      </c>
      <c r="G435">
        <v>7</v>
      </c>
      <c r="H435" s="1">
        <v>43533</v>
      </c>
      <c r="I435" s="2">
        <v>0.60833333333333328</v>
      </c>
      <c r="J435" t="s">
        <v>28</v>
      </c>
      <c r="K435">
        <v>33.439</v>
      </c>
      <c r="L435">
        <v>9.6</v>
      </c>
    </row>
    <row r="436" spans="1:12" x14ac:dyDescent="0.25">
      <c r="A436" t="s">
        <v>465</v>
      </c>
      <c r="B436" t="s">
        <v>37</v>
      </c>
      <c r="C436" t="s">
        <v>38</v>
      </c>
      <c r="D436" t="s">
        <v>22</v>
      </c>
      <c r="E436" t="s">
        <v>16</v>
      </c>
      <c r="F436" t="s">
        <v>41</v>
      </c>
      <c r="G436">
        <v>1</v>
      </c>
      <c r="H436" s="1">
        <v>43518</v>
      </c>
      <c r="I436" s="2">
        <v>0.7631944444444444</v>
      </c>
      <c r="J436" t="s">
        <v>28</v>
      </c>
      <c r="K436">
        <v>2.3719999999999999</v>
      </c>
      <c r="L436">
        <v>6.8</v>
      </c>
    </row>
    <row r="437" spans="1:12" x14ac:dyDescent="0.25">
      <c r="A437" t="s">
        <v>466</v>
      </c>
      <c r="B437" t="s">
        <v>20</v>
      </c>
      <c r="C437" t="s">
        <v>21</v>
      </c>
      <c r="D437" t="s">
        <v>22</v>
      </c>
      <c r="E437" t="s">
        <v>26</v>
      </c>
      <c r="F437" t="s">
        <v>31</v>
      </c>
      <c r="G437">
        <v>9</v>
      </c>
      <c r="H437" s="1">
        <v>43543</v>
      </c>
      <c r="I437" s="2">
        <v>0.79791666666666661</v>
      </c>
      <c r="J437" t="s">
        <v>18</v>
      </c>
      <c r="K437">
        <v>44.658000000000001</v>
      </c>
      <c r="L437">
        <v>9</v>
      </c>
    </row>
    <row r="438" spans="1:12" x14ac:dyDescent="0.25">
      <c r="A438" t="s">
        <v>467</v>
      </c>
      <c r="B438" t="s">
        <v>20</v>
      </c>
      <c r="C438" t="s">
        <v>21</v>
      </c>
      <c r="D438" t="s">
        <v>15</v>
      </c>
      <c r="E438" t="s">
        <v>26</v>
      </c>
      <c r="F438" t="s">
        <v>31</v>
      </c>
      <c r="G438">
        <v>4</v>
      </c>
      <c r="H438" s="1">
        <v>43485</v>
      </c>
      <c r="I438" s="2">
        <v>0.70208333333333339</v>
      </c>
      <c r="J438" t="s">
        <v>18</v>
      </c>
      <c r="K438">
        <v>16.585999999999999</v>
      </c>
      <c r="L438">
        <v>9.6</v>
      </c>
    </row>
    <row r="439" spans="1:12" x14ac:dyDescent="0.25">
      <c r="A439" t="s">
        <v>468</v>
      </c>
      <c r="B439" t="s">
        <v>13</v>
      </c>
      <c r="C439" t="s">
        <v>14</v>
      </c>
      <c r="D439" t="s">
        <v>22</v>
      </c>
      <c r="E439" t="s">
        <v>26</v>
      </c>
      <c r="F439" t="s">
        <v>27</v>
      </c>
      <c r="G439">
        <v>6</v>
      </c>
      <c r="H439" s="1">
        <v>43532</v>
      </c>
      <c r="I439" s="2">
        <v>0.65069444444444446</v>
      </c>
      <c r="J439" t="s">
        <v>28</v>
      </c>
      <c r="K439">
        <v>10.196999999999999</v>
      </c>
      <c r="L439">
        <v>7.7</v>
      </c>
    </row>
    <row r="440" spans="1:12" x14ac:dyDescent="0.25">
      <c r="A440" t="s">
        <v>469</v>
      </c>
      <c r="B440" t="s">
        <v>20</v>
      </c>
      <c r="C440" t="s">
        <v>21</v>
      </c>
      <c r="D440" t="s">
        <v>15</v>
      </c>
      <c r="E440" t="s">
        <v>26</v>
      </c>
      <c r="F440" t="s">
        <v>39</v>
      </c>
      <c r="G440">
        <v>4</v>
      </c>
      <c r="H440" s="1">
        <v>43532</v>
      </c>
      <c r="I440" s="2">
        <v>0.84375</v>
      </c>
      <c r="J440" t="s">
        <v>18</v>
      </c>
      <c r="K440">
        <v>3.4079999999999999</v>
      </c>
      <c r="L440">
        <v>7</v>
      </c>
    </row>
    <row r="441" spans="1:12" x14ac:dyDescent="0.25">
      <c r="A441" t="s">
        <v>470</v>
      </c>
      <c r="B441" t="s">
        <v>20</v>
      </c>
      <c r="C441" t="s">
        <v>21</v>
      </c>
      <c r="D441" t="s">
        <v>22</v>
      </c>
      <c r="E441" t="s">
        <v>16</v>
      </c>
      <c r="F441" t="s">
        <v>23</v>
      </c>
      <c r="G441">
        <v>8</v>
      </c>
      <c r="H441" s="1">
        <v>43503</v>
      </c>
      <c r="I441" s="2">
        <v>0.60972222222222217</v>
      </c>
      <c r="J441" t="s">
        <v>28</v>
      </c>
      <c r="K441">
        <v>16.344000000000001</v>
      </c>
      <c r="L441">
        <v>6.5</v>
      </c>
    </row>
    <row r="442" spans="1:12" x14ac:dyDescent="0.25">
      <c r="A442" t="s">
        <v>471</v>
      </c>
      <c r="B442" t="s">
        <v>20</v>
      </c>
      <c r="C442" t="s">
        <v>21</v>
      </c>
      <c r="D442" t="s">
        <v>15</v>
      </c>
      <c r="E442" t="s">
        <v>26</v>
      </c>
      <c r="F442" t="s">
        <v>39</v>
      </c>
      <c r="G442">
        <v>5</v>
      </c>
      <c r="H442" s="1">
        <v>43480</v>
      </c>
      <c r="I442" s="2">
        <v>0.80902777777777779</v>
      </c>
      <c r="J442" t="s">
        <v>24</v>
      </c>
      <c r="K442">
        <v>4.3600000000000003</v>
      </c>
      <c r="L442">
        <v>8.1</v>
      </c>
    </row>
    <row r="443" spans="1:12" x14ac:dyDescent="0.25">
      <c r="A443" t="s">
        <v>472</v>
      </c>
      <c r="B443" t="s">
        <v>37</v>
      </c>
      <c r="C443" t="s">
        <v>38</v>
      </c>
      <c r="D443" t="s">
        <v>15</v>
      </c>
      <c r="E443" t="s">
        <v>16</v>
      </c>
      <c r="F443" t="s">
        <v>31</v>
      </c>
      <c r="G443">
        <v>8</v>
      </c>
      <c r="H443" s="1">
        <v>43546</v>
      </c>
      <c r="I443" s="2">
        <v>0.81597222222222221</v>
      </c>
      <c r="J443" t="s">
        <v>28</v>
      </c>
      <c r="K443">
        <v>35.372</v>
      </c>
      <c r="L443">
        <v>4.3</v>
      </c>
    </row>
    <row r="444" spans="1:12" x14ac:dyDescent="0.25">
      <c r="A444" t="s">
        <v>473</v>
      </c>
      <c r="B444" t="s">
        <v>13</v>
      </c>
      <c r="C444" t="s">
        <v>14</v>
      </c>
      <c r="D444" t="s">
        <v>15</v>
      </c>
      <c r="E444" t="s">
        <v>16</v>
      </c>
      <c r="F444" t="s">
        <v>27</v>
      </c>
      <c r="G444">
        <v>9</v>
      </c>
      <c r="H444" s="1">
        <v>43480</v>
      </c>
      <c r="I444" s="2">
        <v>0.65416666666666667</v>
      </c>
      <c r="J444" t="s">
        <v>28</v>
      </c>
      <c r="K444">
        <v>40.144500000000001</v>
      </c>
      <c r="L444">
        <v>6.5</v>
      </c>
    </row>
    <row r="445" spans="1:12" x14ac:dyDescent="0.25">
      <c r="A445" t="s">
        <v>474</v>
      </c>
      <c r="B445" t="s">
        <v>20</v>
      </c>
      <c r="C445" t="s">
        <v>21</v>
      </c>
      <c r="D445" t="s">
        <v>22</v>
      </c>
      <c r="E445" t="s">
        <v>26</v>
      </c>
      <c r="F445" t="s">
        <v>41</v>
      </c>
      <c r="G445">
        <v>1</v>
      </c>
      <c r="H445" s="1">
        <v>43473</v>
      </c>
      <c r="I445" s="2">
        <v>0.59097222222222223</v>
      </c>
      <c r="J445" t="s">
        <v>18</v>
      </c>
      <c r="K445">
        <v>0.63900000000000001</v>
      </c>
      <c r="L445">
        <v>9.5</v>
      </c>
    </row>
    <row r="446" spans="1:12" x14ac:dyDescent="0.25">
      <c r="A446" t="s">
        <v>475</v>
      </c>
      <c r="B446" t="s">
        <v>13</v>
      </c>
      <c r="C446" t="s">
        <v>14</v>
      </c>
      <c r="D446" t="s">
        <v>22</v>
      </c>
      <c r="E446" t="s">
        <v>16</v>
      </c>
      <c r="F446" t="s">
        <v>31</v>
      </c>
      <c r="G446">
        <v>7</v>
      </c>
      <c r="H446" s="1">
        <v>43480</v>
      </c>
      <c r="I446" s="2">
        <v>0.4465277777777778</v>
      </c>
      <c r="J446" t="s">
        <v>24</v>
      </c>
      <c r="K446">
        <v>6.6849999999999996</v>
      </c>
      <c r="L446">
        <v>9.6999999999999993</v>
      </c>
    </row>
    <row r="447" spans="1:12" x14ac:dyDescent="0.25">
      <c r="A447" t="s">
        <v>476</v>
      </c>
      <c r="B447" t="s">
        <v>37</v>
      </c>
      <c r="C447" t="s">
        <v>38</v>
      </c>
      <c r="D447" t="s">
        <v>15</v>
      </c>
      <c r="E447" t="s">
        <v>16</v>
      </c>
      <c r="F447" t="s">
        <v>17</v>
      </c>
      <c r="G447">
        <v>1</v>
      </c>
      <c r="H447" s="1">
        <v>43493</v>
      </c>
      <c r="I447" s="2">
        <v>0.74861111111111101</v>
      </c>
      <c r="J447" t="s">
        <v>28</v>
      </c>
      <c r="K447">
        <v>0.95750000000000002</v>
      </c>
      <c r="L447">
        <v>9.5</v>
      </c>
    </row>
    <row r="448" spans="1:12" x14ac:dyDescent="0.25">
      <c r="A448" t="s">
        <v>477</v>
      </c>
      <c r="B448" t="s">
        <v>20</v>
      </c>
      <c r="C448" t="s">
        <v>21</v>
      </c>
      <c r="D448" t="s">
        <v>15</v>
      </c>
      <c r="E448" t="s">
        <v>26</v>
      </c>
      <c r="F448" t="s">
        <v>39</v>
      </c>
      <c r="G448">
        <v>10</v>
      </c>
      <c r="H448" s="1">
        <v>43510</v>
      </c>
      <c r="I448" s="2">
        <v>0.47638888888888892</v>
      </c>
      <c r="J448" t="s">
        <v>28</v>
      </c>
      <c r="K448">
        <v>13.83</v>
      </c>
      <c r="L448">
        <v>8.9</v>
      </c>
    </row>
    <row r="449" spans="1:12" x14ac:dyDescent="0.25">
      <c r="A449" t="s">
        <v>478</v>
      </c>
      <c r="B449" t="s">
        <v>20</v>
      </c>
      <c r="C449" t="s">
        <v>21</v>
      </c>
      <c r="D449" t="s">
        <v>22</v>
      </c>
      <c r="E449" t="s">
        <v>26</v>
      </c>
      <c r="F449" t="s">
        <v>41</v>
      </c>
      <c r="G449">
        <v>3</v>
      </c>
      <c r="H449" s="1">
        <v>43534</v>
      </c>
      <c r="I449" s="2">
        <v>0.73472222222222217</v>
      </c>
      <c r="J449" t="s">
        <v>28</v>
      </c>
      <c r="K449">
        <v>6.8609999999999998</v>
      </c>
      <c r="L449">
        <v>6.5</v>
      </c>
    </row>
    <row r="450" spans="1:12" x14ac:dyDescent="0.25">
      <c r="A450" t="s">
        <v>479</v>
      </c>
      <c r="B450" t="s">
        <v>37</v>
      </c>
      <c r="C450" t="s">
        <v>38</v>
      </c>
      <c r="D450" t="s">
        <v>15</v>
      </c>
      <c r="E450" t="s">
        <v>16</v>
      </c>
      <c r="F450" t="s">
        <v>17</v>
      </c>
      <c r="G450">
        <v>1</v>
      </c>
      <c r="H450" s="1">
        <v>43477</v>
      </c>
      <c r="I450" s="2">
        <v>0.83819444444444446</v>
      </c>
      <c r="J450" t="s">
        <v>28</v>
      </c>
      <c r="K450">
        <v>1.3534999999999999</v>
      </c>
      <c r="L450">
        <v>5.3</v>
      </c>
    </row>
    <row r="451" spans="1:12" x14ac:dyDescent="0.25">
      <c r="A451" t="s">
        <v>480</v>
      </c>
      <c r="B451" t="s">
        <v>37</v>
      </c>
      <c r="C451" t="s">
        <v>38</v>
      </c>
      <c r="D451" t="s">
        <v>15</v>
      </c>
      <c r="E451" t="s">
        <v>16</v>
      </c>
      <c r="F451" t="s">
        <v>31</v>
      </c>
      <c r="G451">
        <v>1</v>
      </c>
      <c r="H451" s="1">
        <v>43550</v>
      </c>
      <c r="I451" s="2">
        <v>0.4597222222222222</v>
      </c>
      <c r="J451" t="s">
        <v>28</v>
      </c>
      <c r="K451">
        <v>1.956</v>
      </c>
      <c r="L451">
        <v>9.6</v>
      </c>
    </row>
    <row r="452" spans="1:12" x14ac:dyDescent="0.25">
      <c r="A452" t="s">
        <v>481</v>
      </c>
      <c r="B452" t="s">
        <v>37</v>
      </c>
      <c r="C452" t="s">
        <v>38</v>
      </c>
      <c r="D452" t="s">
        <v>22</v>
      </c>
      <c r="E452" t="s">
        <v>16</v>
      </c>
      <c r="F452" t="s">
        <v>23</v>
      </c>
      <c r="G452">
        <v>6</v>
      </c>
      <c r="H452" s="1">
        <v>43466</v>
      </c>
      <c r="I452" s="2">
        <v>0.79652777777777783</v>
      </c>
      <c r="J452" t="s">
        <v>24</v>
      </c>
      <c r="K452">
        <v>22.413</v>
      </c>
      <c r="L452">
        <v>6.7</v>
      </c>
    </row>
    <row r="453" spans="1:12" x14ac:dyDescent="0.25">
      <c r="A453" t="s">
        <v>482</v>
      </c>
      <c r="B453" t="s">
        <v>37</v>
      </c>
      <c r="C453" t="s">
        <v>38</v>
      </c>
      <c r="D453" t="s">
        <v>22</v>
      </c>
      <c r="E453" t="s">
        <v>26</v>
      </c>
      <c r="F453" t="s">
        <v>23</v>
      </c>
      <c r="G453">
        <v>6</v>
      </c>
      <c r="H453" s="1">
        <v>43467</v>
      </c>
      <c r="I453" s="2">
        <v>0.78472222222222221</v>
      </c>
      <c r="J453" t="s">
        <v>24</v>
      </c>
      <c r="K453">
        <v>6.6029999999999998</v>
      </c>
      <c r="L453">
        <v>7.6</v>
      </c>
    </row>
    <row r="454" spans="1:12" x14ac:dyDescent="0.25">
      <c r="A454" t="s">
        <v>483</v>
      </c>
      <c r="B454" t="s">
        <v>13</v>
      </c>
      <c r="C454" t="s">
        <v>14</v>
      </c>
      <c r="D454" t="s">
        <v>22</v>
      </c>
      <c r="E454" t="s">
        <v>16</v>
      </c>
      <c r="F454" t="s">
        <v>39</v>
      </c>
      <c r="G454">
        <v>5</v>
      </c>
      <c r="H454" s="1">
        <v>43540</v>
      </c>
      <c r="I454" s="2">
        <v>0.52986111111111112</v>
      </c>
      <c r="J454" t="s">
        <v>18</v>
      </c>
      <c r="K454">
        <v>15.9025</v>
      </c>
      <c r="L454">
        <v>4.8</v>
      </c>
    </row>
    <row r="455" spans="1:12" x14ac:dyDescent="0.25">
      <c r="A455" t="s">
        <v>484</v>
      </c>
      <c r="B455" t="s">
        <v>13</v>
      </c>
      <c r="C455" t="s">
        <v>14</v>
      </c>
      <c r="D455" t="s">
        <v>22</v>
      </c>
      <c r="E455" t="s">
        <v>26</v>
      </c>
      <c r="F455" t="s">
        <v>17</v>
      </c>
      <c r="G455">
        <v>1</v>
      </c>
      <c r="H455" s="1">
        <v>43527</v>
      </c>
      <c r="I455" s="2">
        <v>0.63124999999999998</v>
      </c>
      <c r="J455" t="s">
        <v>18</v>
      </c>
      <c r="K455">
        <v>1.25</v>
      </c>
      <c r="L455">
        <v>5.5</v>
      </c>
    </row>
    <row r="456" spans="1:12" x14ac:dyDescent="0.25">
      <c r="A456" t="s">
        <v>485</v>
      </c>
      <c r="B456" t="s">
        <v>13</v>
      </c>
      <c r="C456" t="s">
        <v>14</v>
      </c>
      <c r="D456" t="s">
        <v>15</v>
      </c>
      <c r="E456" t="s">
        <v>26</v>
      </c>
      <c r="F456" t="s">
        <v>23</v>
      </c>
      <c r="G456">
        <v>4</v>
      </c>
      <c r="H456" s="1">
        <v>43496</v>
      </c>
      <c r="I456" s="2">
        <v>0.57430555555555551</v>
      </c>
      <c r="J456" t="s">
        <v>24</v>
      </c>
      <c r="K456">
        <v>4.1539999999999999</v>
      </c>
      <c r="L456">
        <v>4.7</v>
      </c>
    </row>
    <row r="457" spans="1:12" x14ac:dyDescent="0.25">
      <c r="A457" t="s">
        <v>486</v>
      </c>
      <c r="B457" t="s">
        <v>37</v>
      </c>
      <c r="C457" t="s">
        <v>38</v>
      </c>
      <c r="D457" t="s">
        <v>15</v>
      </c>
      <c r="E457" t="s">
        <v>16</v>
      </c>
      <c r="F457" t="s">
        <v>41</v>
      </c>
      <c r="G457">
        <v>5</v>
      </c>
      <c r="H457" s="1">
        <v>43509</v>
      </c>
      <c r="I457" s="2">
        <v>0.70763888888888893</v>
      </c>
      <c r="J457" t="s">
        <v>24</v>
      </c>
      <c r="K457">
        <v>7.39</v>
      </c>
      <c r="L457">
        <v>6.9</v>
      </c>
    </row>
    <row r="458" spans="1:12" x14ac:dyDescent="0.25">
      <c r="A458" t="s">
        <v>487</v>
      </c>
      <c r="B458" t="s">
        <v>37</v>
      </c>
      <c r="C458" t="s">
        <v>38</v>
      </c>
      <c r="D458" t="s">
        <v>15</v>
      </c>
      <c r="E458" t="s">
        <v>16</v>
      </c>
      <c r="F458" t="s">
        <v>39</v>
      </c>
      <c r="G458">
        <v>9</v>
      </c>
      <c r="H458" s="1">
        <v>43511</v>
      </c>
      <c r="I458" s="2">
        <v>0.59375</v>
      </c>
      <c r="J458" t="s">
        <v>28</v>
      </c>
      <c r="K458">
        <v>34.83</v>
      </c>
      <c r="L458">
        <v>4.5</v>
      </c>
    </row>
    <row r="459" spans="1:12" x14ac:dyDescent="0.25">
      <c r="A459" t="s">
        <v>488</v>
      </c>
      <c r="B459" t="s">
        <v>37</v>
      </c>
      <c r="C459" t="s">
        <v>38</v>
      </c>
      <c r="D459" t="s">
        <v>22</v>
      </c>
      <c r="E459" t="s">
        <v>26</v>
      </c>
      <c r="F459" t="s">
        <v>23</v>
      </c>
      <c r="G459">
        <v>10</v>
      </c>
      <c r="H459" s="1">
        <v>43503</v>
      </c>
      <c r="I459" s="2">
        <v>0.85</v>
      </c>
      <c r="J459" t="s">
        <v>24</v>
      </c>
      <c r="K459">
        <v>39.695</v>
      </c>
      <c r="L459">
        <v>6.2</v>
      </c>
    </row>
    <row r="460" spans="1:12" x14ac:dyDescent="0.25">
      <c r="A460" t="s">
        <v>489</v>
      </c>
      <c r="B460" t="s">
        <v>20</v>
      </c>
      <c r="C460" t="s">
        <v>21</v>
      </c>
      <c r="D460" t="s">
        <v>15</v>
      </c>
      <c r="E460" t="s">
        <v>16</v>
      </c>
      <c r="F460" t="s">
        <v>23</v>
      </c>
      <c r="G460">
        <v>10</v>
      </c>
      <c r="H460" s="1">
        <v>43492</v>
      </c>
      <c r="I460" s="2">
        <v>0.58194444444444449</v>
      </c>
      <c r="J460" t="s">
        <v>24</v>
      </c>
      <c r="K460">
        <v>23.285</v>
      </c>
      <c r="L460">
        <v>7.6</v>
      </c>
    </row>
    <row r="461" spans="1:12" x14ac:dyDescent="0.25">
      <c r="A461" t="s">
        <v>490</v>
      </c>
      <c r="B461" t="s">
        <v>20</v>
      </c>
      <c r="C461" t="s">
        <v>21</v>
      </c>
      <c r="D461" t="s">
        <v>22</v>
      </c>
      <c r="E461" t="s">
        <v>26</v>
      </c>
      <c r="F461" t="s">
        <v>39</v>
      </c>
      <c r="G461">
        <v>1</v>
      </c>
      <c r="H461" s="1">
        <v>43519</v>
      </c>
      <c r="I461" s="2">
        <v>0.70277777777777783</v>
      </c>
      <c r="J461" t="s">
        <v>28</v>
      </c>
      <c r="K461">
        <v>1.7945</v>
      </c>
      <c r="L461">
        <v>7.9</v>
      </c>
    </row>
    <row r="462" spans="1:12" x14ac:dyDescent="0.25">
      <c r="A462" t="s">
        <v>491</v>
      </c>
      <c r="B462" t="s">
        <v>20</v>
      </c>
      <c r="C462" t="s">
        <v>21</v>
      </c>
      <c r="D462" t="s">
        <v>22</v>
      </c>
      <c r="E462" t="s">
        <v>26</v>
      </c>
      <c r="F462" t="s">
        <v>39</v>
      </c>
      <c r="G462">
        <v>5</v>
      </c>
      <c r="H462" s="1">
        <v>43499</v>
      </c>
      <c r="I462" s="2">
        <v>0.6381944444444444</v>
      </c>
      <c r="J462" t="s">
        <v>24</v>
      </c>
      <c r="K462">
        <v>10.130000000000001</v>
      </c>
      <c r="L462">
        <v>4.5</v>
      </c>
    </row>
    <row r="463" spans="1:12" x14ac:dyDescent="0.25">
      <c r="A463" t="s">
        <v>492</v>
      </c>
      <c r="B463" t="s">
        <v>37</v>
      </c>
      <c r="C463" t="s">
        <v>38</v>
      </c>
      <c r="D463" t="s">
        <v>15</v>
      </c>
      <c r="E463" t="s">
        <v>16</v>
      </c>
      <c r="F463" t="s">
        <v>39</v>
      </c>
      <c r="G463">
        <v>10</v>
      </c>
      <c r="H463" s="1">
        <v>43527</v>
      </c>
      <c r="I463" s="2">
        <v>0.51736111111111105</v>
      </c>
      <c r="J463" t="s">
        <v>28</v>
      </c>
      <c r="K463">
        <v>36.524999999999999</v>
      </c>
      <c r="L463">
        <v>8.6999999999999993</v>
      </c>
    </row>
    <row r="464" spans="1:12" x14ac:dyDescent="0.25">
      <c r="A464" t="s">
        <v>493</v>
      </c>
      <c r="B464" t="s">
        <v>20</v>
      </c>
      <c r="C464" t="s">
        <v>21</v>
      </c>
      <c r="D464" t="s">
        <v>22</v>
      </c>
      <c r="E464" t="s">
        <v>16</v>
      </c>
      <c r="F464" t="s">
        <v>31</v>
      </c>
      <c r="G464">
        <v>4</v>
      </c>
      <c r="H464" s="1">
        <v>43499</v>
      </c>
      <c r="I464" s="2">
        <v>0.41805555555555557</v>
      </c>
      <c r="J464" t="s">
        <v>24</v>
      </c>
      <c r="K464">
        <v>14.79</v>
      </c>
      <c r="L464">
        <v>6.1</v>
      </c>
    </row>
    <row r="465" spans="1:12" x14ac:dyDescent="0.25">
      <c r="A465" t="s">
        <v>494</v>
      </c>
      <c r="B465" t="s">
        <v>20</v>
      </c>
      <c r="C465" t="s">
        <v>21</v>
      </c>
      <c r="D465" t="s">
        <v>15</v>
      </c>
      <c r="E465" t="s">
        <v>16</v>
      </c>
      <c r="F465" t="s">
        <v>39</v>
      </c>
      <c r="G465">
        <v>1</v>
      </c>
      <c r="H465" s="1">
        <v>43541</v>
      </c>
      <c r="I465" s="2">
        <v>0.79027777777777775</v>
      </c>
      <c r="J465" t="s">
        <v>24</v>
      </c>
      <c r="K465">
        <v>1.131</v>
      </c>
      <c r="L465">
        <v>6.4</v>
      </c>
    </row>
    <row r="466" spans="1:12" x14ac:dyDescent="0.25">
      <c r="A466" t="s">
        <v>495</v>
      </c>
      <c r="B466" t="s">
        <v>13</v>
      </c>
      <c r="C466" t="s">
        <v>14</v>
      </c>
      <c r="D466" t="s">
        <v>15</v>
      </c>
      <c r="E466" t="s">
        <v>26</v>
      </c>
      <c r="F466" t="s">
        <v>39</v>
      </c>
      <c r="G466">
        <v>5</v>
      </c>
      <c r="H466" s="1">
        <v>43552</v>
      </c>
      <c r="I466" s="2">
        <v>0.64652777777777781</v>
      </c>
      <c r="J466" t="s">
        <v>28</v>
      </c>
      <c r="K466">
        <v>12.835000000000001</v>
      </c>
      <c r="L466">
        <v>9.1</v>
      </c>
    </row>
    <row r="467" spans="1:12" x14ac:dyDescent="0.25">
      <c r="A467" t="s">
        <v>496</v>
      </c>
      <c r="B467" t="s">
        <v>20</v>
      </c>
      <c r="C467" t="s">
        <v>21</v>
      </c>
      <c r="D467" t="s">
        <v>15</v>
      </c>
      <c r="E467" t="s">
        <v>16</v>
      </c>
      <c r="F467" t="s">
        <v>31</v>
      </c>
      <c r="G467">
        <v>10</v>
      </c>
      <c r="H467" s="1">
        <v>43526</v>
      </c>
      <c r="I467" s="2">
        <v>0.47361111111111115</v>
      </c>
      <c r="J467" t="s">
        <v>28</v>
      </c>
      <c r="K467">
        <v>27.274999999999999</v>
      </c>
      <c r="L467">
        <v>7.1</v>
      </c>
    </row>
    <row r="468" spans="1:12" x14ac:dyDescent="0.25">
      <c r="A468" t="s">
        <v>497</v>
      </c>
      <c r="B468" t="s">
        <v>20</v>
      </c>
      <c r="C468" t="s">
        <v>21</v>
      </c>
      <c r="D468" t="s">
        <v>15</v>
      </c>
      <c r="E468" t="s">
        <v>16</v>
      </c>
      <c r="F468" t="s">
        <v>17</v>
      </c>
      <c r="G468">
        <v>7</v>
      </c>
      <c r="H468" s="1">
        <v>43504</v>
      </c>
      <c r="I468" s="2">
        <v>0.54999999999999993</v>
      </c>
      <c r="J468" t="s">
        <v>28</v>
      </c>
      <c r="K468">
        <v>13.0025</v>
      </c>
      <c r="L468">
        <v>7.7</v>
      </c>
    </row>
    <row r="469" spans="1:12" x14ac:dyDescent="0.25">
      <c r="A469" t="s">
        <v>498</v>
      </c>
      <c r="B469" t="s">
        <v>37</v>
      </c>
      <c r="C469" t="s">
        <v>38</v>
      </c>
      <c r="D469" t="s">
        <v>22</v>
      </c>
      <c r="E469" t="s">
        <v>26</v>
      </c>
      <c r="F469" t="s">
        <v>31</v>
      </c>
      <c r="G469">
        <v>6</v>
      </c>
      <c r="H469" s="1">
        <v>43546</v>
      </c>
      <c r="I469" s="2">
        <v>0.7729166666666667</v>
      </c>
      <c r="J469" t="s">
        <v>24</v>
      </c>
      <c r="K469">
        <v>11.106</v>
      </c>
      <c r="L469">
        <v>4.5</v>
      </c>
    </row>
    <row r="470" spans="1:12" x14ac:dyDescent="0.25">
      <c r="A470" t="s">
        <v>499</v>
      </c>
      <c r="B470" t="s">
        <v>20</v>
      </c>
      <c r="C470" t="s">
        <v>21</v>
      </c>
      <c r="D470" t="s">
        <v>22</v>
      </c>
      <c r="E470" t="s">
        <v>26</v>
      </c>
      <c r="F470" t="s">
        <v>39</v>
      </c>
      <c r="G470">
        <v>1</v>
      </c>
      <c r="H470" s="1">
        <v>43505</v>
      </c>
      <c r="I470" s="2">
        <v>0.41805555555555557</v>
      </c>
      <c r="J470" t="s">
        <v>18</v>
      </c>
      <c r="K470">
        <v>1.079</v>
      </c>
      <c r="L470">
        <v>7.2</v>
      </c>
    </row>
    <row r="471" spans="1:12" x14ac:dyDescent="0.25">
      <c r="A471" t="s">
        <v>500</v>
      </c>
      <c r="B471" t="s">
        <v>20</v>
      </c>
      <c r="C471" t="s">
        <v>21</v>
      </c>
      <c r="D471" t="s">
        <v>15</v>
      </c>
      <c r="E471" t="s">
        <v>16</v>
      </c>
      <c r="F471" t="s">
        <v>23</v>
      </c>
      <c r="G471">
        <v>1</v>
      </c>
      <c r="H471" s="1">
        <v>43511</v>
      </c>
      <c r="I471" s="2">
        <v>0.47291666666666665</v>
      </c>
      <c r="J471" t="s">
        <v>24</v>
      </c>
      <c r="K471">
        <v>4.9420000000000002</v>
      </c>
      <c r="L471">
        <v>8.4</v>
      </c>
    </row>
    <row r="472" spans="1:12" x14ac:dyDescent="0.25">
      <c r="A472" t="s">
        <v>501</v>
      </c>
      <c r="B472" t="s">
        <v>20</v>
      </c>
      <c r="C472" t="s">
        <v>21</v>
      </c>
      <c r="D472" t="s">
        <v>15</v>
      </c>
      <c r="E472" t="s">
        <v>16</v>
      </c>
      <c r="F472" t="s">
        <v>27</v>
      </c>
      <c r="G472">
        <v>6</v>
      </c>
      <c r="H472" s="1">
        <v>43488</v>
      </c>
      <c r="I472" s="2">
        <v>0.50694444444444442</v>
      </c>
      <c r="J472" t="s">
        <v>18</v>
      </c>
      <c r="K472">
        <v>25.131</v>
      </c>
      <c r="L472">
        <v>5.4</v>
      </c>
    </row>
    <row r="473" spans="1:12" x14ac:dyDescent="0.25">
      <c r="A473" t="s">
        <v>502</v>
      </c>
      <c r="B473" t="s">
        <v>13</v>
      </c>
      <c r="C473" t="s">
        <v>14</v>
      </c>
      <c r="D473" t="s">
        <v>15</v>
      </c>
      <c r="E473" t="s">
        <v>16</v>
      </c>
      <c r="F473" t="s">
        <v>31</v>
      </c>
      <c r="G473">
        <v>4</v>
      </c>
      <c r="H473" s="1">
        <v>43490</v>
      </c>
      <c r="I473" s="2">
        <v>0.4861111111111111</v>
      </c>
      <c r="J473" t="s">
        <v>24</v>
      </c>
      <c r="K473">
        <v>8.01</v>
      </c>
      <c r="L473">
        <v>9.6999999999999993</v>
      </c>
    </row>
    <row r="474" spans="1:12" x14ac:dyDescent="0.25">
      <c r="A474" t="s">
        <v>503</v>
      </c>
      <c r="B474" t="s">
        <v>13</v>
      </c>
      <c r="C474" t="s">
        <v>14</v>
      </c>
      <c r="D474" t="s">
        <v>15</v>
      </c>
      <c r="E474" t="s">
        <v>26</v>
      </c>
      <c r="F474" t="s">
        <v>41</v>
      </c>
      <c r="G474">
        <v>10</v>
      </c>
      <c r="H474" s="1">
        <v>43498</v>
      </c>
      <c r="I474" s="2">
        <v>0.7715277777777777</v>
      </c>
      <c r="J474" t="s">
        <v>28</v>
      </c>
      <c r="K474">
        <v>21.565000000000001</v>
      </c>
      <c r="L474">
        <v>5.5</v>
      </c>
    </row>
    <row r="475" spans="1:12" x14ac:dyDescent="0.25">
      <c r="A475" t="s">
        <v>504</v>
      </c>
      <c r="B475" t="s">
        <v>37</v>
      </c>
      <c r="C475" t="s">
        <v>38</v>
      </c>
      <c r="D475" t="s">
        <v>15</v>
      </c>
      <c r="E475" t="s">
        <v>26</v>
      </c>
      <c r="F475" t="s">
        <v>17</v>
      </c>
      <c r="G475">
        <v>8</v>
      </c>
      <c r="H475" s="1">
        <v>43554</v>
      </c>
      <c r="I475" s="2">
        <v>0.74861111111111101</v>
      </c>
      <c r="J475" t="s">
        <v>24</v>
      </c>
      <c r="K475">
        <v>29.027999999999999</v>
      </c>
      <c r="L475">
        <v>4.5999999999999996</v>
      </c>
    </row>
    <row r="476" spans="1:12" x14ac:dyDescent="0.25">
      <c r="A476" t="s">
        <v>505</v>
      </c>
      <c r="B476" t="s">
        <v>13</v>
      </c>
      <c r="C476" t="s">
        <v>14</v>
      </c>
      <c r="D476" t="s">
        <v>15</v>
      </c>
      <c r="E476" t="s">
        <v>16</v>
      </c>
      <c r="F476" t="s">
        <v>23</v>
      </c>
      <c r="G476">
        <v>5</v>
      </c>
      <c r="H476" s="1">
        <v>43554</v>
      </c>
      <c r="I476" s="2">
        <v>0.71111111111111114</v>
      </c>
      <c r="J476" t="s">
        <v>24</v>
      </c>
      <c r="K476">
        <v>16.11</v>
      </c>
      <c r="L476">
        <v>6.6</v>
      </c>
    </row>
    <row r="477" spans="1:12" x14ac:dyDescent="0.25">
      <c r="A477" t="s">
        <v>506</v>
      </c>
      <c r="B477" t="s">
        <v>13</v>
      </c>
      <c r="C477" t="s">
        <v>14</v>
      </c>
      <c r="D477" t="s">
        <v>22</v>
      </c>
      <c r="E477" t="s">
        <v>26</v>
      </c>
      <c r="F477" t="s">
        <v>17</v>
      </c>
      <c r="G477">
        <v>3</v>
      </c>
      <c r="H477" s="1">
        <v>43521</v>
      </c>
      <c r="I477" s="2">
        <v>0.85763888888888884</v>
      </c>
      <c r="J477" t="s">
        <v>28</v>
      </c>
      <c r="K477">
        <v>9.7769999999999992</v>
      </c>
      <c r="L477">
        <v>6.3</v>
      </c>
    </row>
    <row r="478" spans="1:12" x14ac:dyDescent="0.25">
      <c r="A478" t="s">
        <v>507</v>
      </c>
      <c r="B478" t="s">
        <v>13</v>
      </c>
      <c r="C478" t="s">
        <v>14</v>
      </c>
      <c r="D478" t="s">
        <v>22</v>
      </c>
      <c r="E478" t="s">
        <v>16</v>
      </c>
      <c r="F478" t="s">
        <v>31</v>
      </c>
      <c r="G478">
        <v>5</v>
      </c>
      <c r="H478" s="1">
        <v>43542</v>
      </c>
      <c r="I478" s="2">
        <v>0.67361111111111116</v>
      </c>
      <c r="J478" t="s">
        <v>28</v>
      </c>
      <c r="K478">
        <v>8.3149999999999995</v>
      </c>
      <c r="L478">
        <v>4.2</v>
      </c>
    </row>
    <row r="479" spans="1:12" x14ac:dyDescent="0.25">
      <c r="A479" t="s">
        <v>508</v>
      </c>
      <c r="B479" t="s">
        <v>20</v>
      </c>
      <c r="C479" t="s">
        <v>21</v>
      </c>
      <c r="D479" t="s">
        <v>22</v>
      </c>
      <c r="E479" t="s">
        <v>26</v>
      </c>
      <c r="F479" t="s">
        <v>23</v>
      </c>
      <c r="G479">
        <v>4</v>
      </c>
      <c r="H479" s="1">
        <v>43531</v>
      </c>
      <c r="I479" s="2">
        <v>0.70416666666666661</v>
      </c>
      <c r="J479" t="s">
        <v>18</v>
      </c>
      <c r="K479">
        <v>16.814</v>
      </c>
      <c r="L479">
        <v>4.4000000000000004</v>
      </c>
    </row>
    <row r="480" spans="1:12" x14ac:dyDescent="0.25">
      <c r="A480" t="s">
        <v>509</v>
      </c>
      <c r="B480" t="s">
        <v>37</v>
      </c>
      <c r="C480" t="s">
        <v>38</v>
      </c>
      <c r="D480" t="s">
        <v>22</v>
      </c>
      <c r="E480" t="s">
        <v>26</v>
      </c>
      <c r="F480" t="s">
        <v>31</v>
      </c>
      <c r="G480">
        <v>10</v>
      </c>
      <c r="H480" s="1">
        <v>43540</v>
      </c>
      <c r="I480" s="2">
        <v>0.42430555555555555</v>
      </c>
      <c r="J480" t="s">
        <v>18</v>
      </c>
      <c r="K480">
        <v>17.184999999999999</v>
      </c>
      <c r="L480">
        <v>6.7</v>
      </c>
    </row>
    <row r="481" spans="1:12" x14ac:dyDescent="0.25">
      <c r="A481" t="s">
        <v>510</v>
      </c>
      <c r="B481" t="s">
        <v>13</v>
      </c>
      <c r="C481" t="s">
        <v>14</v>
      </c>
      <c r="D481" t="s">
        <v>22</v>
      </c>
      <c r="E481" t="s">
        <v>26</v>
      </c>
      <c r="F481" t="s">
        <v>23</v>
      </c>
      <c r="G481">
        <v>1</v>
      </c>
      <c r="H481" s="1">
        <v>43494</v>
      </c>
      <c r="I481" s="2">
        <v>0.47638888888888892</v>
      </c>
      <c r="J481" t="s">
        <v>18</v>
      </c>
      <c r="K481">
        <v>1.93</v>
      </c>
      <c r="L481">
        <v>6.7</v>
      </c>
    </row>
    <row r="482" spans="1:12" x14ac:dyDescent="0.25">
      <c r="A482" t="s">
        <v>511</v>
      </c>
      <c r="B482" t="s">
        <v>20</v>
      </c>
      <c r="C482" t="s">
        <v>21</v>
      </c>
      <c r="D482" t="s">
        <v>22</v>
      </c>
      <c r="E482" t="s">
        <v>26</v>
      </c>
      <c r="F482" t="s">
        <v>39</v>
      </c>
      <c r="G482">
        <v>8</v>
      </c>
      <c r="H482" s="1">
        <v>43498</v>
      </c>
      <c r="I482" s="2">
        <v>0.8534722222222223</v>
      </c>
      <c r="J482" t="s">
        <v>24</v>
      </c>
      <c r="K482">
        <v>26.388000000000002</v>
      </c>
      <c r="L482">
        <v>8.4</v>
      </c>
    </row>
    <row r="483" spans="1:12" x14ac:dyDescent="0.25">
      <c r="A483" t="s">
        <v>512</v>
      </c>
      <c r="B483" t="s">
        <v>20</v>
      </c>
      <c r="C483" t="s">
        <v>21</v>
      </c>
      <c r="D483" t="s">
        <v>22</v>
      </c>
      <c r="E483" t="s">
        <v>16</v>
      </c>
      <c r="F483" t="s">
        <v>23</v>
      </c>
      <c r="G483">
        <v>10</v>
      </c>
      <c r="H483" s="1">
        <v>43511</v>
      </c>
      <c r="I483" s="2">
        <v>0.5083333333333333</v>
      </c>
      <c r="J483" t="s">
        <v>24</v>
      </c>
      <c r="K483">
        <v>16.399999999999999</v>
      </c>
      <c r="L483">
        <v>6.2</v>
      </c>
    </row>
    <row r="484" spans="1:12" x14ac:dyDescent="0.25">
      <c r="A484" t="s">
        <v>513</v>
      </c>
      <c r="B484" t="s">
        <v>13</v>
      </c>
      <c r="C484" t="s">
        <v>14</v>
      </c>
      <c r="D484" t="s">
        <v>22</v>
      </c>
      <c r="E484" t="s">
        <v>26</v>
      </c>
      <c r="F484" t="s">
        <v>31</v>
      </c>
      <c r="G484">
        <v>5</v>
      </c>
      <c r="H484" s="1">
        <v>43473</v>
      </c>
      <c r="I484" s="2">
        <v>0.54513888888888895</v>
      </c>
      <c r="J484" t="s">
        <v>18</v>
      </c>
      <c r="K484">
        <v>9.2850000000000001</v>
      </c>
      <c r="L484">
        <v>5</v>
      </c>
    </row>
    <row r="485" spans="1:12" x14ac:dyDescent="0.25">
      <c r="A485" t="s">
        <v>514</v>
      </c>
      <c r="B485" t="s">
        <v>37</v>
      </c>
      <c r="C485" t="s">
        <v>38</v>
      </c>
      <c r="D485" t="s">
        <v>15</v>
      </c>
      <c r="E485" t="s">
        <v>26</v>
      </c>
      <c r="F485" t="s">
        <v>27</v>
      </c>
      <c r="G485">
        <v>10</v>
      </c>
      <c r="H485" s="1">
        <v>43508</v>
      </c>
      <c r="I485" s="2">
        <v>0.67986111111111114</v>
      </c>
      <c r="J485" t="s">
        <v>24</v>
      </c>
      <c r="K485">
        <v>30.19</v>
      </c>
      <c r="L485">
        <v>6</v>
      </c>
    </row>
    <row r="486" spans="1:12" x14ac:dyDescent="0.25">
      <c r="A486" t="s">
        <v>515</v>
      </c>
      <c r="B486" t="s">
        <v>20</v>
      </c>
      <c r="C486" t="s">
        <v>21</v>
      </c>
      <c r="D486" t="s">
        <v>15</v>
      </c>
      <c r="E486" t="s">
        <v>16</v>
      </c>
      <c r="F486" t="s">
        <v>31</v>
      </c>
      <c r="G486">
        <v>10</v>
      </c>
      <c r="H486" s="1">
        <v>43466</v>
      </c>
      <c r="I486" s="2">
        <v>0.82500000000000007</v>
      </c>
      <c r="J486" t="s">
        <v>28</v>
      </c>
      <c r="K486">
        <v>18.489999999999998</v>
      </c>
      <c r="L486">
        <v>7</v>
      </c>
    </row>
    <row r="487" spans="1:12" x14ac:dyDescent="0.25">
      <c r="A487" t="s">
        <v>516</v>
      </c>
      <c r="B487" t="s">
        <v>37</v>
      </c>
      <c r="C487" t="s">
        <v>38</v>
      </c>
      <c r="D487" t="s">
        <v>15</v>
      </c>
      <c r="E487" t="s">
        <v>16</v>
      </c>
      <c r="F487" t="s">
        <v>31</v>
      </c>
      <c r="G487">
        <v>4</v>
      </c>
      <c r="H487" s="1">
        <v>43545</v>
      </c>
      <c r="I487" s="2">
        <v>0.64236111111111105</v>
      </c>
      <c r="J487" t="s">
        <v>18</v>
      </c>
      <c r="K487">
        <v>9.8979999999999997</v>
      </c>
      <c r="L487">
        <v>6.6</v>
      </c>
    </row>
    <row r="488" spans="1:12" x14ac:dyDescent="0.25">
      <c r="A488" t="s">
        <v>517</v>
      </c>
      <c r="B488" t="s">
        <v>37</v>
      </c>
      <c r="C488" t="s">
        <v>38</v>
      </c>
      <c r="D488" t="s">
        <v>22</v>
      </c>
      <c r="E488" t="s">
        <v>16</v>
      </c>
      <c r="F488" t="s">
        <v>41</v>
      </c>
      <c r="G488">
        <v>10</v>
      </c>
      <c r="H488" s="1">
        <v>43524</v>
      </c>
      <c r="I488" s="2">
        <v>0.61249999999999993</v>
      </c>
      <c r="J488" t="s">
        <v>24</v>
      </c>
      <c r="K488">
        <v>20.545000000000002</v>
      </c>
      <c r="L488">
        <v>7.3</v>
      </c>
    </row>
    <row r="489" spans="1:12" x14ac:dyDescent="0.25">
      <c r="A489" t="s">
        <v>518</v>
      </c>
      <c r="B489" t="s">
        <v>13</v>
      </c>
      <c r="C489" t="s">
        <v>14</v>
      </c>
      <c r="D489" t="s">
        <v>22</v>
      </c>
      <c r="E489" t="s">
        <v>26</v>
      </c>
      <c r="F489" t="s">
        <v>41</v>
      </c>
      <c r="G489">
        <v>4</v>
      </c>
      <c r="H489" s="1">
        <v>43547</v>
      </c>
      <c r="I489" s="2">
        <v>0.7909722222222223</v>
      </c>
      <c r="J489" t="s">
        <v>18</v>
      </c>
      <c r="K489">
        <v>7.43</v>
      </c>
      <c r="L489">
        <v>8.3000000000000007</v>
      </c>
    </row>
    <row r="490" spans="1:12" x14ac:dyDescent="0.25">
      <c r="A490" t="s">
        <v>519</v>
      </c>
      <c r="B490" t="s">
        <v>20</v>
      </c>
      <c r="C490" t="s">
        <v>21</v>
      </c>
      <c r="D490" t="s">
        <v>22</v>
      </c>
      <c r="E490" t="s">
        <v>26</v>
      </c>
      <c r="F490" t="s">
        <v>27</v>
      </c>
      <c r="G490">
        <v>1</v>
      </c>
      <c r="H490" s="1">
        <v>43495</v>
      </c>
      <c r="I490" s="2">
        <v>0.86597222222222225</v>
      </c>
      <c r="J490" t="s">
        <v>24</v>
      </c>
      <c r="K490">
        <v>1.1479999999999999</v>
      </c>
      <c r="L490">
        <v>4.3</v>
      </c>
    </row>
    <row r="491" spans="1:12" x14ac:dyDescent="0.25">
      <c r="A491" t="s">
        <v>520</v>
      </c>
      <c r="B491" t="s">
        <v>37</v>
      </c>
      <c r="C491" t="s">
        <v>38</v>
      </c>
      <c r="D491" t="s">
        <v>15</v>
      </c>
      <c r="E491" t="s">
        <v>16</v>
      </c>
      <c r="F491" t="s">
        <v>27</v>
      </c>
      <c r="G491">
        <v>9</v>
      </c>
      <c r="H491" s="1">
        <v>43500</v>
      </c>
      <c r="I491" s="2">
        <v>0.55625000000000002</v>
      </c>
      <c r="J491" t="s">
        <v>18</v>
      </c>
      <c r="K491">
        <v>34.956000000000003</v>
      </c>
      <c r="L491">
        <v>9.8000000000000007</v>
      </c>
    </row>
    <row r="492" spans="1:12" x14ac:dyDescent="0.25">
      <c r="A492" t="s">
        <v>521</v>
      </c>
      <c r="B492" t="s">
        <v>37</v>
      </c>
      <c r="C492" t="s">
        <v>38</v>
      </c>
      <c r="D492" t="s">
        <v>22</v>
      </c>
      <c r="E492" t="s">
        <v>16</v>
      </c>
      <c r="F492" t="s">
        <v>41</v>
      </c>
      <c r="G492">
        <v>2</v>
      </c>
      <c r="H492" s="1">
        <v>43537</v>
      </c>
      <c r="I492" s="2">
        <v>0.82500000000000007</v>
      </c>
      <c r="J492" t="s">
        <v>18</v>
      </c>
      <c r="K492">
        <v>3.47</v>
      </c>
      <c r="L492">
        <v>8.1999999999999993</v>
      </c>
    </row>
    <row r="493" spans="1:12" x14ac:dyDescent="0.25">
      <c r="A493" t="s">
        <v>522</v>
      </c>
      <c r="B493" t="s">
        <v>13</v>
      </c>
      <c r="C493" t="s">
        <v>14</v>
      </c>
      <c r="D493" t="s">
        <v>15</v>
      </c>
      <c r="E493" t="s">
        <v>16</v>
      </c>
      <c r="F493" t="s">
        <v>41</v>
      </c>
      <c r="G493">
        <v>10</v>
      </c>
      <c r="H493" s="1">
        <v>43539</v>
      </c>
      <c r="I493" s="2">
        <v>0.76388888888888884</v>
      </c>
      <c r="J493" t="s">
        <v>28</v>
      </c>
      <c r="K493">
        <v>9.83</v>
      </c>
      <c r="L493">
        <v>7.2</v>
      </c>
    </row>
    <row r="494" spans="1:12" x14ac:dyDescent="0.25">
      <c r="A494" t="s">
        <v>523</v>
      </c>
      <c r="B494" t="s">
        <v>37</v>
      </c>
      <c r="C494" t="s">
        <v>38</v>
      </c>
      <c r="D494" t="s">
        <v>15</v>
      </c>
      <c r="E494" t="s">
        <v>16</v>
      </c>
      <c r="F494" t="s">
        <v>17</v>
      </c>
      <c r="G494">
        <v>8</v>
      </c>
      <c r="H494" s="1">
        <v>43529</v>
      </c>
      <c r="I494" s="2">
        <v>0.85</v>
      </c>
      <c r="J494" t="s">
        <v>18</v>
      </c>
      <c r="K494">
        <v>10.128</v>
      </c>
      <c r="L494">
        <v>8.6999999999999993</v>
      </c>
    </row>
    <row r="495" spans="1:12" x14ac:dyDescent="0.25">
      <c r="A495" t="s">
        <v>524</v>
      </c>
      <c r="B495" t="s">
        <v>20</v>
      </c>
      <c r="C495" t="s">
        <v>21</v>
      </c>
      <c r="D495" t="s">
        <v>15</v>
      </c>
      <c r="E495" t="s">
        <v>16</v>
      </c>
      <c r="F495" t="s">
        <v>27</v>
      </c>
      <c r="G495">
        <v>10</v>
      </c>
      <c r="H495" s="1">
        <v>43529</v>
      </c>
      <c r="I495" s="2">
        <v>0.57222222222222219</v>
      </c>
      <c r="J495" t="s">
        <v>28</v>
      </c>
      <c r="K495">
        <v>6.06</v>
      </c>
      <c r="L495">
        <v>8.4</v>
      </c>
    </row>
    <row r="496" spans="1:12" x14ac:dyDescent="0.25">
      <c r="A496" t="s">
        <v>525</v>
      </c>
      <c r="B496" t="s">
        <v>37</v>
      </c>
      <c r="C496" t="s">
        <v>38</v>
      </c>
      <c r="D496" t="s">
        <v>22</v>
      </c>
      <c r="E496" t="s">
        <v>26</v>
      </c>
      <c r="F496" t="s">
        <v>41</v>
      </c>
      <c r="G496">
        <v>2</v>
      </c>
      <c r="H496" s="1">
        <v>43522</v>
      </c>
      <c r="I496" s="2">
        <v>0.4916666666666667</v>
      </c>
      <c r="J496" t="s">
        <v>18</v>
      </c>
      <c r="K496">
        <v>9.9890000000000008</v>
      </c>
      <c r="L496">
        <v>7.1</v>
      </c>
    </row>
    <row r="497" spans="1:12" x14ac:dyDescent="0.25">
      <c r="A497" t="s">
        <v>526</v>
      </c>
      <c r="B497" t="s">
        <v>37</v>
      </c>
      <c r="C497" t="s">
        <v>38</v>
      </c>
      <c r="D497" t="s">
        <v>22</v>
      </c>
      <c r="E497" t="s">
        <v>26</v>
      </c>
      <c r="F497" t="s">
        <v>31</v>
      </c>
      <c r="G497">
        <v>8</v>
      </c>
      <c r="H497" s="1">
        <v>43544</v>
      </c>
      <c r="I497" s="2">
        <v>0.59305555555555556</v>
      </c>
      <c r="J497" t="s">
        <v>24</v>
      </c>
      <c r="K497">
        <v>30.367999999999999</v>
      </c>
      <c r="L497">
        <v>5.5</v>
      </c>
    </row>
    <row r="498" spans="1:12" x14ac:dyDescent="0.25">
      <c r="A498" t="s">
        <v>527</v>
      </c>
      <c r="B498" t="s">
        <v>20</v>
      </c>
      <c r="C498" t="s">
        <v>21</v>
      </c>
      <c r="D498" t="s">
        <v>22</v>
      </c>
      <c r="E498" t="s">
        <v>16</v>
      </c>
      <c r="F498" t="s">
        <v>23</v>
      </c>
      <c r="G498">
        <v>2</v>
      </c>
      <c r="H498" s="1">
        <v>43466</v>
      </c>
      <c r="I498" s="2">
        <v>0.66041666666666665</v>
      </c>
      <c r="J498" t="s">
        <v>24</v>
      </c>
      <c r="K498">
        <v>6.3220000000000001</v>
      </c>
      <c r="L498">
        <v>8.5</v>
      </c>
    </row>
    <row r="499" spans="1:12" x14ac:dyDescent="0.25">
      <c r="A499" t="s">
        <v>528</v>
      </c>
      <c r="B499" t="s">
        <v>20</v>
      </c>
      <c r="C499" t="s">
        <v>21</v>
      </c>
      <c r="D499" t="s">
        <v>22</v>
      </c>
      <c r="E499" t="s">
        <v>16</v>
      </c>
      <c r="F499" t="s">
        <v>39</v>
      </c>
      <c r="G499">
        <v>6</v>
      </c>
      <c r="H499" s="1">
        <v>43492</v>
      </c>
      <c r="I499" s="2">
        <v>0.47013888888888888</v>
      </c>
      <c r="J499" t="s">
        <v>24</v>
      </c>
      <c r="K499">
        <v>27.071999999999999</v>
      </c>
      <c r="L499">
        <v>6.2</v>
      </c>
    </row>
    <row r="500" spans="1:12" x14ac:dyDescent="0.25">
      <c r="A500" t="s">
        <v>529</v>
      </c>
      <c r="B500" t="s">
        <v>37</v>
      </c>
      <c r="C500" t="s">
        <v>38</v>
      </c>
      <c r="D500" t="s">
        <v>15</v>
      </c>
      <c r="E500" t="s">
        <v>16</v>
      </c>
      <c r="F500" t="s">
        <v>31</v>
      </c>
      <c r="G500">
        <v>1</v>
      </c>
      <c r="H500" s="1">
        <v>43486</v>
      </c>
      <c r="I500" s="2">
        <v>0.73333333333333339</v>
      </c>
      <c r="J500" t="s">
        <v>24</v>
      </c>
      <c r="K500">
        <v>4.9065000000000003</v>
      </c>
      <c r="L500">
        <v>8.9</v>
      </c>
    </row>
    <row r="501" spans="1:12" x14ac:dyDescent="0.25">
      <c r="A501" t="s">
        <v>530</v>
      </c>
      <c r="B501" t="s">
        <v>13</v>
      </c>
      <c r="C501" t="s">
        <v>14</v>
      </c>
      <c r="D501" t="s">
        <v>15</v>
      </c>
      <c r="E501" t="s">
        <v>16</v>
      </c>
      <c r="F501" t="s">
        <v>31</v>
      </c>
      <c r="G501">
        <v>8</v>
      </c>
      <c r="H501" s="1">
        <v>43498</v>
      </c>
      <c r="I501" s="2">
        <v>0.65763888888888888</v>
      </c>
      <c r="J501" t="s">
        <v>24</v>
      </c>
      <c r="K501">
        <v>20.608000000000001</v>
      </c>
      <c r="L501">
        <v>9.6</v>
      </c>
    </row>
    <row r="502" spans="1:12" x14ac:dyDescent="0.25">
      <c r="A502" t="s">
        <v>531</v>
      </c>
      <c r="B502" t="s">
        <v>37</v>
      </c>
      <c r="C502" t="s">
        <v>38</v>
      </c>
      <c r="D502" t="s">
        <v>15</v>
      </c>
      <c r="E502" t="s">
        <v>26</v>
      </c>
      <c r="F502" t="s">
        <v>31</v>
      </c>
      <c r="G502">
        <v>1</v>
      </c>
      <c r="H502" s="1">
        <v>43499</v>
      </c>
      <c r="I502" s="2">
        <v>0.66180555555555554</v>
      </c>
      <c r="J502" t="s">
        <v>28</v>
      </c>
      <c r="K502">
        <v>3.6985000000000001</v>
      </c>
      <c r="L502">
        <v>5.4</v>
      </c>
    </row>
    <row r="503" spans="1:12" x14ac:dyDescent="0.25">
      <c r="A503" t="s">
        <v>532</v>
      </c>
      <c r="B503" t="s">
        <v>20</v>
      </c>
      <c r="C503" t="s">
        <v>21</v>
      </c>
      <c r="D503" t="s">
        <v>15</v>
      </c>
      <c r="E503" t="s">
        <v>16</v>
      </c>
      <c r="F503" t="s">
        <v>41</v>
      </c>
      <c r="G503">
        <v>1</v>
      </c>
      <c r="H503" s="1">
        <v>43470</v>
      </c>
      <c r="I503" s="2">
        <v>0.52777777777777779</v>
      </c>
      <c r="J503" t="s">
        <v>18</v>
      </c>
      <c r="K503">
        <v>1.595</v>
      </c>
      <c r="L503">
        <v>9.1</v>
      </c>
    </row>
    <row r="504" spans="1:12" x14ac:dyDescent="0.25">
      <c r="A504" t="s">
        <v>533</v>
      </c>
      <c r="B504" t="s">
        <v>20</v>
      </c>
      <c r="C504" t="s">
        <v>21</v>
      </c>
      <c r="D504" t="s">
        <v>22</v>
      </c>
      <c r="E504" t="s">
        <v>26</v>
      </c>
      <c r="F504" t="s">
        <v>27</v>
      </c>
      <c r="G504">
        <v>2</v>
      </c>
      <c r="H504" s="1">
        <v>43492</v>
      </c>
      <c r="I504" s="2">
        <v>0.82500000000000007</v>
      </c>
      <c r="J504" t="s">
        <v>18</v>
      </c>
      <c r="K504">
        <v>6.94</v>
      </c>
      <c r="L504">
        <v>9</v>
      </c>
    </row>
    <row r="505" spans="1:12" x14ac:dyDescent="0.25">
      <c r="A505" t="s">
        <v>534</v>
      </c>
      <c r="B505" t="s">
        <v>37</v>
      </c>
      <c r="C505" t="s">
        <v>38</v>
      </c>
      <c r="D505" t="s">
        <v>22</v>
      </c>
      <c r="E505" t="s">
        <v>16</v>
      </c>
      <c r="F505" t="s">
        <v>31</v>
      </c>
      <c r="G505">
        <v>2</v>
      </c>
      <c r="H505" s="1">
        <v>43549</v>
      </c>
      <c r="I505" s="2">
        <v>0.74513888888888891</v>
      </c>
      <c r="J505" t="s">
        <v>24</v>
      </c>
      <c r="K505">
        <v>9.3309999999999995</v>
      </c>
      <c r="L505">
        <v>6.3</v>
      </c>
    </row>
    <row r="506" spans="1:12" x14ac:dyDescent="0.25">
      <c r="A506" t="s">
        <v>535</v>
      </c>
      <c r="B506" t="s">
        <v>37</v>
      </c>
      <c r="C506" t="s">
        <v>38</v>
      </c>
      <c r="D506" t="s">
        <v>22</v>
      </c>
      <c r="E506" t="s">
        <v>26</v>
      </c>
      <c r="F506" t="s">
        <v>31</v>
      </c>
      <c r="G506">
        <v>1</v>
      </c>
      <c r="H506" s="1">
        <v>43521</v>
      </c>
      <c r="I506" s="2">
        <v>0.69166666666666676</v>
      </c>
      <c r="J506" t="s">
        <v>28</v>
      </c>
      <c r="K506">
        <v>4.4225000000000003</v>
      </c>
      <c r="L506">
        <v>9.5</v>
      </c>
    </row>
    <row r="507" spans="1:12" x14ac:dyDescent="0.25">
      <c r="A507" t="s">
        <v>536</v>
      </c>
      <c r="B507" t="s">
        <v>13</v>
      </c>
      <c r="C507" t="s">
        <v>14</v>
      </c>
      <c r="D507" t="s">
        <v>15</v>
      </c>
      <c r="E507" t="s">
        <v>26</v>
      </c>
      <c r="F507" t="s">
        <v>23</v>
      </c>
      <c r="G507">
        <v>8</v>
      </c>
      <c r="H507" s="1">
        <v>43493</v>
      </c>
      <c r="I507" s="2">
        <v>0.87083333333333324</v>
      </c>
      <c r="J507" t="s">
        <v>18</v>
      </c>
      <c r="K507">
        <v>9.6720000000000006</v>
      </c>
      <c r="L507">
        <v>9.8000000000000007</v>
      </c>
    </row>
    <row r="508" spans="1:12" x14ac:dyDescent="0.25">
      <c r="A508" t="s">
        <v>537</v>
      </c>
      <c r="B508" t="s">
        <v>37</v>
      </c>
      <c r="C508" t="s">
        <v>38</v>
      </c>
      <c r="D508" t="s">
        <v>15</v>
      </c>
      <c r="E508" t="s">
        <v>16</v>
      </c>
      <c r="F508" t="s">
        <v>31</v>
      </c>
      <c r="G508">
        <v>3</v>
      </c>
      <c r="H508" s="1">
        <v>43473</v>
      </c>
      <c r="I508" s="2">
        <v>0.53472222222222221</v>
      </c>
      <c r="J508" t="s">
        <v>24</v>
      </c>
      <c r="K508">
        <v>7.2750000000000004</v>
      </c>
      <c r="L508">
        <v>6.7</v>
      </c>
    </row>
    <row r="509" spans="1:12" x14ac:dyDescent="0.25">
      <c r="A509" t="s">
        <v>538</v>
      </c>
      <c r="B509" t="s">
        <v>37</v>
      </c>
      <c r="C509" t="s">
        <v>38</v>
      </c>
      <c r="D509" t="s">
        <v>22</v>
      </c>
      <c r="E509" t="s">
        <v>16</v>
      </c>
      <c r="F509" t="s">
        <v>39</v>
      </c>
      <c r="G509">
        <v>6</v>
      </c>
      <c r="H509" s="1">
        <v>43494</v>
      </c>
      <c r="I509" s="2">
        <v>0.45</v>
      </c>
      <c r="J509" t="s">
        <v>28</v>
      </c>
      <c r="K509">
        <v>25.215</v>
      </c>
      <c r="L509">
        <v>7.7</v>
      </c>
    </row>
    <row r="510" spans="1:12" x14ac:dyDescent="0.25">
      <c r="A510" t="s">
        <v>539</v>
      </c>
      <c r="B510" t="s">
        <v>37</v>
      </c>
      <c r="C510" t="s">
        <v>38</v>
      </c>
      <c r="D510" t="s">
        <v>15</v>
      </c>
      <c r="E510" t="s">
        <v>26</v>
      </c>
      <c r="F510" t="s">
        <v>17</v>
      </c>
      <c r="G510">
        <v>5</v>
      </c>
      <c r="H510" s="1">
        <v>43553</v>
      </c>
      <c r="I510" s="2">
        <v>0.60277777777777775</v>
      </c>
      <c r="J510" t="s">
        <v>24</v>
      </c>
      <c r="K510">
        <v>15.3225</v>
      </c>
      <c r="L510">
        <v>7</v>
      </c>
    </row>
    <row r="511" spans="1:12" x14ac:dyDescent="0.25">
      <c r="A511" t="s">
        <v>540</v>
      </c>
      <c r="B511" t="s">
        <v>20</v>
      </c>
      <c r="C511" t="s">
        <v>21</v>
      </c>
      <c r="D511" t="s">
        <v>15</v>
      </c>
      <c r="E511" t="s">
        <v>16</v>
      </c>
      <c r="F511" t="s">
        <v>27</v>
      </c>
      <c r="G511">
        <v>6</v>
      </c>
      <c r="H511" s="1">
        <v>43505</v>
      </c>
      <c r="I511" s="2">
        <v>0.71875</v>
      </c>
      <c r="J511" t="s">
        <v>28</v>
      </c>
      <c r="K511">
        <v>4.7850000000000001</v>
      </c>
      <c r="L511">
        <v>5.0999999999999996</v>
      </c>
    </row>
    <row r="512" spans="1:12" x14ac:dyDescent="0.25">
      <c r="A512" t="s">
        <v>541</v>
      </c>
      <c r="B512" t="s">
        <v>37</v>
      </c>
      <c r="C512" t="s">
        <v>38</v>
      </c>
      <c r="D512" t="s">
        <v>15</v>
      </c>
      <c r="E512" t="s">
        <v>16</v>
      </c>
      <c r="F512" t="s">
        <v>31</v>
      </c>
      <c r="G512">
        <v>7</v>
      </c>
      <c r="H512" s="1">
        <v>43481</v>
      </c>
      <c r="I512" s="2">
        <v>0.75208333333333333</v>
      </c>
      <c r="J512" t="s">
        <v>28</v>
      </c>
      <c r="K512">
        <v>31.759</v>
      </c>
      <c r="L512">
        <v>6.2</v>
      </c>
    </row>
    <row r="513" spans="1:12" x14ac:dyDescent="0.25">
      <c r="A513" t="s">
        <v>542</v>
      </c>
      <c r="B513" t="s">
        <v>13</v>
      </c>
      <c r="C513" t="s">
        <v>14</v>
      </c>
      <c r="D513" t="s">
        <v>22</v>
      </c>
      <c r="E513" t="s">
        <v>16</v>
      </c>
      <c r="F513" t="s">
        <v>27</v>
      </c>
      <c r="G513">
        <v>5</v>
      </c>
      <c r="H513" s="1">
        <v>43470</v>
      </c>
      <c r="I513" s="2">
        <v>0.7284722222222223</v>
      </c>
      <c r="J513" t="s">
        <v>18</v>
      </c>
      <c r="K513">
        <v>10.727499999999999</v>
      </c>
      <c r="L513">
        <v>6.1</v>
      </c>
    </row>
    <row r="514" spans="1:12" x14ac:dyDescent="0.25">
      <c r="A514" t="s">
        <v>543</v>
      </c>
      <c r="B514" t="s">
        <v>13</v>
      </c>
      <c r="C514" t="s">
        <v>14</v>
      </c>
      <c r="D514" t="s">
        <v>22</v>
      </c>
      <c r="E514" t="s">
        <v>16</v>
      </c>
      <c r="F514" t="s">
        <v>41</v>
      </c>
      <c r="G514">
        <v>7</v>
      </c>
      <c r="H514" s="1">
        <v>43492</v>
      </c>
      <c r="I514" s="2">
        <v>0.75347222222222221</v>
      </c>
      <c r="J514" t="s">
        <v>18</v>
      </c>
      <c r="K514">
        <v>18.998000000000001</v>
      </c>
      <c r="L514">
        <v>9.3000000000000007</v>
      </c>
    </row>
    <row r="515" spans="1:12" x14ac:dyDescent="0.25">
      <c r="A515" t="s">
        <v>544</v>
      </c>
      <c r="B515" t="s">
        <v>13</v>
      </c>
      <c r="C515" t="s">
        <v>14</v>
      </c>
      <c r="D515" t="s">
        <v>22</v>
      </c>
      <c r="E515" t="s">
        <v>26</v>
      </c>
      <c r="F515" t="s">
        <v>23</v>
      </c>
      <c r="G515">
        <v>7</v>
      </c>
      <c r="H515" s="1">
        <v>43538</v>
      </c>
      <c r="I515" s="2">
        <v>0.50486111111111109</v>
      </c>
      <c r="J515" t="s">
        <v>24</v>
      </c>
      <c r="K515">
        <v>34.842500000000001</v>
      </c>
      <c r="L515">
        <v>7.6</v>
      </c>
    </row>
    <row r="516" spans="1:12" x14ac:dyDescent="0.25">
      <c r="A516" t="s">
        <v>545</v>
      </c>
      <c r="B516" t="s">
        <v>20</v>
      </c>
      <c r="C516" t="s">
        <v>21</v>
      </c>
      <c r="D516" t="s">
        <v>15</v>
      </c>
      <c r="E516" t="s">
        <v>26</v>
      </c>
      <c r="F516" t="s">
        <v>31</v>
      </c>
      <c r="G516">
        <v>7</v>
      </c>
      <c r="H516" s="1">
        <v>43519</v>
      </c>
      <c r="I516" s="2">
        <v>0.8256944444444444</v>
      </c>
      <c r="J516" t="s">
        <v>28</v>
      </c>
      <c r="K516">
        <v>20.436499999999999</v>
      </c>
      <c r="L516">
        <v>8.1999999999999993</v>
      </c>
    </row>
    <row r="517" spans="1:12" x14ac:dyDescent="0.25">
      <c r="A517" t="s">
        <v>546</v>
      </c>
      <c r="B517" t="s">
        <v>20</v>
      </c>
      <c r="C517" t="s">
        <v>21</v>
      </c>
      <c r="D517" t="s">
        <v>15</v>
      </c>
      <c r="E517" t="s">
        <v>16</v>
      </c>
      <c r="F517" t="s">
        <v>41</v>
      </c>
      <c r="G517">
        <v>1</v>
      </c>
      <c r="H517" s="1">
        <v>43542</v>
      </c>
      <c r="I517" s="2">
        <v>0.66111111111111109</v>
      </c>
      <c r="J517" t="s">
        <v>18</v>
      </c>
      <c r="K517">
        <v>2.5735000000000001</v>
      </c>
      <c r="L517">
        <v>8.5</v>
      </c>
    </row>
    <row r="518" spans="1:12" x14ac:dyDescent="0.25">
      <c r="A518" t="s">
        <v>547</v>
      </c>
      <c r="B518" t="s">
        <v>37</v>
      </c>
      <c r="C518" t="s">
        <v>38</v>
      </c>
      <c r="D518" t="s">
        <v>15</v>
      </c>
      <c r="E518" t="s">
        <v>26</v>
      </c>
      <c r="F518" t="s">
        <v>17</v>
      </c>
      <c r="G518">
        <v>5</v>
      </c>
      <c r="H518" s="1">
        <v>43553</v>
      </c>
      <c r="I518" s="2">
        <v>0.70000000000000007</v>
      </c>
      <c r="J518" t="s">
        <v>18</v>
      </c>
      <c r="K518">
        <v>13.715</v>
      </c>
      <c r="L518">
        <v>9.8000000000000007</v>
      </c>
    </row>
    <row r="519" spans="1:12" x14ac:dyDescent="0.25">
      <c r="A519" t="s">
        <v>548</v>
      </c>
      <c r="B519" t="s">
        <v>20</v>
      </c>
      <c r="C519" t="s">
        <v>21</v>
      </c>
      <c r="D519" t="s">
        <v>15</v>
      </c>
      <c r="E519" t="s">
        <v>26</v>
      </c>
      <c r="F519" t="s">
        <v>27</v>
      </c>
      <c r="G519">
        <v>5</v>
      </c>
      <c r="H519" s="1">
        <v>43487</v>
      </c>
      <c r="I519" s="2">
        <v>0.8652777777777777</v>
      </c>
      <c r="J519" t="s">
        <v>28</v>
      </c>
      <c r="K519">
        <v>9.8475000000000001</v>
      </c>
      <c r="L519">
        <v>8.6999999999999993</v>
      </c>
    </row>
    <row r="520" spans="1:12" x14ac:dyDescent="0.25">
      <c r="A520" t="s">
        <v>549</v>
      </c>
      <c r="B520" t="s">
        <v>13</v>
      </c>
      <c r="C520" t="s">
        <v>14</v>
      </c>
      <c r="D520" t="s">
        <v>22</v>
      </c>
      <c r="E520" t="s">
        <v>26</v>
      </c>
      <c r="F520" t="s">
        <v>27</v>
      </c>
      <c r="G520">
        <v>2</v>
      </c>
      <c r="H520" s="1">
        <v>43525</v>
      </c>
      <c r="I520" s="2">
        <v>0.7597222222222223</v>
      </c>
      <c r="J520" t="s">
        <v>18</v>
      </c>
      <c r="K520">
        <v>3.4729999999999999</v>
      </c>
      <c r="L520">
        <v>9.6999999999999993</v>
      </c>
    </row>
    <row r="521" spans="1:12" x14ac:dyDescent="0.25">
      <c r="A521" t="s">
        <v>550</v>
      </c>
      <c r="B521" t="s">
        <v>20</v>
      </c>
      <c r="C521" t="s">
        <v>21</v>
      </c>
      <c r="D521" t="s">
        <v>15</v>
      </c>
      <c r="E521" t="s">
        <v>26</v>
      </c>
      <c r="F521" t="s">
        <v>31</v>
      </c>
      <c r="G521">
        <v>5</v>
      </c>
      <c r="H521" s="1">
        <v>43482</v>
      </c>
      <c r="I521" s="2">
        <v>0.62847222222222221</v>
      </c>
      <c r="J521" t="s">
        <v>28</v>
      </c>
      <c r="K521">
        <v>17.98</v>
      </c>
      <c r="L521">
        <v>4.3</v>
      </c>
    </row>
    <row r="522" spans="1:12" x14ac:dyDescent="0.25">
      <c r="A522" t="s">
        <v>551</v>
      </c>
      <c r="B522" t="s">
        <v>37</v>
      </c>
      <c r="C522" t="s">
        <v>38</v>
      </c>
      <c r="D522" t="s">
        <v>22</v>
      </c>
      <c r="E522" t="s">
        <v>16</v>
      </c>
      <c r="F522" t="s">
        <v>23</v>
      </c>
      <c r="G522">
        <v>3</v>
      </c>
      <c r="H522" s="1">
        <v>43550</v>
      </c>
      <c r="I522" s="2">
        <v>0.44027777777777777</v>
      </c>
      <c r="J522" t="s">
        <v>28</v>
      </c>
      <c r="K522">
        <v>6.8564999999999996</v>
      </c>
      <c r="L522">
        <v>7.7</v>
      </c>
    </row>
    <row r="523" spans="1:12" x14ac:dyDescent="0.25">
      <c r="A523" t="s">
        <v>552</v>
      </c>
      <c r="B523" t="s">
        <v>20</v>
      </c>
      <c r="C523" t="s">
        <v>21</v>
      </c>
      <c r="D523" t="s">
        <v>15</v>
      </c>
      <c r="E523" t="s">
        <v>16</v>
      </c>
      <c r="F523" t="s">
        <v>27</v>
      </c>
      <c r="G523">
        <v>6</v>
      </c>
      <c r="H523" s="1">
        <v>43544</v>
      </c>
      <c r="I523" s="2">
        <v>0.47430555555555554</v>
      </c>
      <c r="J523" t="s">
        <v>24</v>
      </c>
      <c r="K523">
        <v>24.951000000000001</v>
      </c>
      <c r="L523">
        <v>7.3</v>
      </c>
    </row>
    <row r="524" spans="1:12" x14ac:dyDescent="0.25">
      <c r="A524" t="s">
        <v>553</v>
      </c>
      <c r="B524" t="s">
        <v>13</v>
      </c>
      <c r="C524" t="s">
        <v>14</v>
      </c>
      <c r="D524" t="s">
        <v>15</v>
      </c>
      <c r="E524" t="s">
        <v>16</v>
      </c>
      <c r="F524" t="s">
        <v>27</v>
      </c>
      <c r="G524">
        <v>6</v>
      </c>
      <c r="H524" s="1">
        <v>43502</v>
      </c>
      <c r="I524" s="2">
        <v>0.57986111111111105</v>
      </c>
      <c r="J524" t="s">
        <v>28</v>
      </c>
      <c r="K524">
        <v>11.231999999999999</v>
      </c>
      <c r="L524">
        <v>5.9</v>
      </c>
    </row>
    <row r="525" spans="1:12" x14ac:dyDescent="0.25">
      <c r="A525" t="s">
        <v>554</v>
      </c>
      <c r="B525" t="s">
        <v>20</v>
      </c>
      <c r="C525" t="s">
        <v>21</v>
      </c>
      <c r="D525" t="s">
        <v>22</v>
      </c>
      <c r="E525" t="s">
        <v>26</v>
      </c>
      <c r="F525" t="s">
        <v>17</v>
      </c>
      <c r="G525">
        <v>2</v>
      </c>
      <c r="H525" s="1">
        <v>43466</v>
      </c>
      <c r="I525" s="2">
        <v>0.48819444444444443</v>
      </c>
      <c r="J525" t="s">
        <v>24</v>
      </c>
      <c r="K525">
        <v>6.2869999999999999</v>
      </c>
      <c r="L525">
        <v>5</v>
      </c>
    </row>
    <row r="526" spans="1:12" x14ac:dyDescent="0.25">
      <c r="A526" t="s">
        <v>555</v>
      </c>
      <c r="B526" t="s">
        <v>13</v>
      </c>
      <c r="C526" t="s">
        <v>14</v>
      </c>
      <c r="D526" t="s">
        <v>22</v>
      </c>
      <c r="E526" t="s">
        <v>26</v>
      </c>
      <c r="F526" t="s">
        <v>39</v>
      </c>
      <c r="G526">
        <v>6</v>
      </c>
      <c r="H526" s="1">
        <v>43492</v>
      </c>
      <c r="I526" s="2">
        <v>0.60833333333333328</v>
      </c>
      <c r="J526" t="s">
        <v>28</v>
      </c>
      <c r="K526">
        <v>24.513000000000002</v>
      </c>
      <c r="L526">
        <v>8</v>
      </c>
    </row>
    <row r="527" spans="1:12" x14ac:dyDescent="0.25">
      <c r="A527" t="s">
        <v>556</v>
      </c>
      <c r="B527" t="s">
        <v>13</v>
      </c>
      <c r="C527" t="s">
        <v>14</v>
      </c>
      <c r="D527" t="s">
        <v>15</v>
      </c>
      <c r="E527" t="s">
        <v>16</v>
      </c>
      <c r="F527" t="s">
        <v>31</v>
      </c>
      <c r="G527">
        <v>5</v>
      </c>
      <c r="H527" s="1">
        <v>43521</v>
      </c>
      <c r="I527" s="2">
        <v>0.66875000000000007</v>
      </c>
      <c r="J527" t="s">
        <v>18</v>
      </c>
      <c r="K527">
        <v>22.852499999999999</v>
      </c>
      <c r="L527">
        <v>7.1</v>
      </c>
    </row>
    <row r="528" spans="1:12" x14ac:dyDescent="0.25">
      <c r="A528" t="s">
        <v>557</v>
      </c>
      <c r="B528" t="s">
        <v>37</v>
      </c>
      <c r="C528" t="s">
        <v>38</v>
      </c>
      <c r="D528" t="s">
        <v>22</v>
      </c>
      <c r="E528" t="s">
        <v>26</v>
      </c>
      <c r="F528" t="s">
        <v>41</v>
      </c>
      <c r="G528">
        <v>4</v>
      </c>
      <c r="H528" s="1">
        <v>43481</v>
      </c>
      <c r="I528" s="2">
        <v>0.8354166666666667</v>
      </c>
      <c r="J528" t="s">
        <v>28</v>
      </c>
      <c r="K528">
        <v>7.8419999999999996</v>
      </c>
      <c r="L528">
        <v>9</v>
      </c>
    </row>
    <row r="529" spans="1:12" x14ac:dyDescent="0.25">
      <c r="A529" t="s">
        <v>558</v>
      </c>
      <c r="B529" t="s">
        <v>37</v>
      </c>
      <c r="C529" t="s">
        <v>38</v>
      </c>
      <c r="D529" t="s">
        <v>15</v>
      </c>
      <c r="E529" t="s">
        <v>26</v>
      </c>
      <c r="F529" t="s">
        <v>41</v>
      </c>
      <c r="G529">
        <v>2</v>
      </c>
      <c r="H529" s="1">
        <v>43478</v>
      </c>
      <c r="I529" s="2">
        <v>0.62152777777777779</v>
      </c>
      <c r="J529" t="s">
        <v>18</v>
      </c>
      <c r="K529">
        <v>5.9859999999999998</v>
      </c>
      <c r="L529">
        <v>6.7</v>
      </c>
    </row>
    <row r="530" spans="1:12" x14ac:dyDescent="0.25">
      <c r="A530" t="s">
        <v>559</v>
      </c>
      <c r="B530" t="s">
        <v>37</v>
      </c>
      <c r="C530" t="s">
        <v>38</v>
      </c>
      <c r="D530" t="s">
        <v>15</v>
      </c>
      <c r="E530" t="s">
        <v>16</v>
      </c>
      <c r="F530" t="s">
        <v>39</v>
      </c>
      <c r="G530">
        <v>10</v>
      </c>
      <c r="H530" s="1">
        <v>43503</v>
      </c>
      <c r="I530" s="2">
        <v>0.4777777777777778</v>
      </c>
      <c r="J530" t="s">
        <v>28</v>
      </c>
      <c r="K530">
        <v>27.18</v>
      </c>
      <c r="L530">
        <v>6.1</v>
      </c>
    </row>
    <row r="531" spans="1:12" x14ac:dyDescent="0.25">
      <c r="A531" t="s">
        <v>560</v>
      </c>
      <c r="B531" t="s">
        <v>13</v>
      </c>
      <c r="C531" t="s">
        <v>14</v>
      </c>
      <c r="D531" t="s">
        <v>22</v>
      </c>
      <c r="E531" t="s">
        <v>26</v>
      </c>
      <c r="F531" t="s">
        <v>31</v>
      </c>
      <c r="G531">
        <v>9</v>
      </c>
      <c r="H531" s="1">
        <v>43513</v>
      </c>
      <c r="I531" s="2">
        <v>0.82013888888888886</v>
      </c>
      <c r="J531" t="s">
        <v>24</v>
      </c>
      <c r="K531">
        <v>44.140500000000003</v>
      </c>
      <c r="L531">
        <v>9.3000000000000007</v>
      </c>
    </row>
    <row r="532" spans="1:12" x14ac:dyDescent="0.25">
      <c r="A532" t="s">
        <v>561</v>
      </c>
      <c r="B532" t="s">
        <v>13</v>
      </c>
      <c r="C532" t="s">
        <v>14</v>
      </c>
      <c r="D532" t="s">
        <v>22</v>
      </c>
      <c r="E532" t="s">
        <v>26</v>
      </c>
      <c r="F532" t="s">
        <v>17</v>
      </c>
      <c r="G532">
        <v>6</v>
      </c>
      <c r="H532" s="1">
        <v>43508</v>
      </c>
      <c r="I532" s="2">
        <v>0.79236111111111107</v>
      </c>
      <c r="J532" t="s">
        <v>18</v>
      </c>
      <c r="K532">
        <v>7.6289999999999996</v>
      </c>
      <c r="L532">
        <v>7</v>
      </c>
    </row>
    <row r="533" spans="1:12" x14ac:dyDescent="0.25">
      <c r="A533" t="s">
        <v>562</v>
      </c>
      <c r="B533" t="s">
        <v>13</v>
      </c>
      <c r="C533" t="s">
        <v>14</v>
      </c>
      <c r="D533" t="s">
        <v>15</v>
      </c>
      <c r="E533" t="s">
        <v>26</v>
      </c>
      <c r="F533" t="s">
        <v>41</v>
      </c>
      <c r="G533">
        <v>8</v>
      </c>
      <c r="H533" s="1">
        <v>43489</v>
      </c>
      <c r="I533" s="2">
        <v>0.75277777777777777</v>
      </c>
      <c r="J533" t="s">
        <v>28</v>
      </c>
      <c r="K533">
        <v>34.671999999999997</v>
      </c>
      <c r="L533">
        <v>7.2</v>
      </c>
    </row>
    <row r="534" spans="1:12" x14ac:dyDescent="0.25">
      <c r="A534" t="s">
        <v>563</v>
      </c>
      <c r="B534" t="s">
        <v>37</v>
      </c>
      <c r="C534" t="s">
        <v>38</v>
      </c>
      <c r="D534" t="s">
        <v>22</v>
      </c>
      <c r="E534" t="s">
        <v>26</v>
      </c>
      <c r="F534" t="s">
        <v>23</v>
      </c>
      <c r="G534">
        <v>10</v>
      </c>
      <c r="H534" s="1">
        <v>43502</v>
      </c>
      <c r="I534" s="2">
        <v>0.80555555555555547</v>
      </c>
      <c r="J534" t="s">
        <v>18</v>
      </c>
      <c r="K534">
        <v>11.475</v>
      </c>
      <c r="L534">
        <v>8.1999999999999993</v>
      </c>
    </row>
    <row r="535" spans="1:12" x14ac:dyDescent="0.25">
      <c r="A535" t="s">
        <v>564</v>
      </c>
      <c r="B535" t="s">
        <v>20</v>
      </c>
      <c r="C535" t="s">
        <v>21</v>
      </c>
      <c r="D535" t="s">
        <v>22</v>
      </c>
      <c r="E535" t="s">
        <v>16</v>
      </c>
      <c r="F535" t="s">
        <v>39</v>
      </c>
      <c r="G535">
        <v>9</v>
      </c>
      <c r="H535" s="1">
        <v>43550</v>
      </c>
      <c r="I535" s="2">
        <v>0.4381944444444445</v>
      </c>
      <c r="J535" t="s">
        <v>18</v>
      </c>
      <c r="K535">
        <v>7.3395000000000001</v>
      </c>
      <c r="L535">
        <v>8.4</v>
      </c>
    </row>
    <row r="536" spans="1:12" x14ac:dyDescent="0.25">
      <c r="A536" t="s">
        <v>565</v>
      </c>
      <c r="B536" t="s">
        <v>13</v>
      </c>
      <c r="C536" t="s">
        <v>14</v>
      </c>
      <c r="D536" t="s">
        <v>22</v>
      </c>
      <c r="E536" t="s">
        <v>16</v>
      </c>
      <c r="F536" t="s">
        <v>27</v>
      </c>
      <c r="G536">
        <v>5</v>
      </c>
      <c r="H536" s="1">
        <v>43535</v>
      </c>
      <c r="I536" s="2">
        <v>0.56111111111111112</v>
      </c>
      <c r="J536" t="s">
        <v>18</v>
      </c>
      <c r="K536">
        <v>7.08</v>
      </c>
      <c r="L536">
        <v>6.2</v>
      </c>
    </row>
    <row r="537" spans="1:12" x14ac:dyDescent="0.25">
      <c r="A537" t="s">
        <v>566</v>
      </c>
      <c r="B537" t="s">
        <v>20</v>
      </c>
      <c r="C537" t="s">
        <v>21</v>
      </c>
      <c r="D537" t="s">
        <v>22</v>
      </c>
      <c r="E537" t="s">
        <v>26</v>
      </c>
      <c r="F537" t="s">
        <v>27</v>
      </c>
      <c r="G537">
        <v>7</v>
      </c>
      <c r="H537" s="1">
        <v>43503</v>
      </c>
      <c r="I537" s="2">
        <v>0.48333333333333334</v>
      </c>
      <c r="J537" t="s">
        <v>18</v>
      </c>
      <c r="K537">
        <v>5.8345000000000002</v>
      </c>
      <c r="L537">
        <v>7.4</v>
      </c>
    </row>
    <row r="538" spans="1:12" x14ac:dyDescent="0.25">
      <c r="A538" t="s">
        <v>567</v>
      </c>
      <c r="B538" t="s">
        <v>37</v>
      </c>
      <c r="C538" t="s">
        <v>38</v>
      </c>
      <c r="D538" t="s">
        <v>15</v>
      </c>
      <c r="E538" t="s">
        <v>16</v>
      </c>
      <c r="F538" t="s">
        <v>41</v>
      </c>
      <c r="G538">
        <v>1</v>
      </c>
      <c r="H538" s="1">
        <v>43470</v>
      </c>
      <c r="I538" s="2">
        <v>0.48055555555555557</v>
      </c>
      <c r="J538" t="s">
        <v>28</v>
      </c>
      <c r="K538">
        <v>3.698</v>
      </c>
      <c r="L538">
        <v>5</v>
      </c>
    </row>
    <row r="539" spans="1:12" x14ac:dyDescent="0.25">
      <c r="A539" t="s">
        <v>568</v>
      </c>
      <c r="B539" t="s">
        <v>13</v>
      </c>
      <c r="C539" t="s">
        <v>14</v>
      </c>
      <c r="D539" t="s">
        <v>22</v>
      </c>
      <c r="E539" t="s">
        <v>26</v>
      </c>
      <c r="F539" t="s">
        <v>27</v>
      </c>
      <c r="G539">
        <v>1</v>
      </c>
      <c r="H539" s="1">
        <v>43531</v>
      </c>
      <c r="I539" s="2">
        <v>0.48888888888888887</v>
      </c>
      <c r="J539" t="s">
        <v>18</v>
      </c>
      <c r="K539">
        <v>4.8970000000000002</v>
      </c>
      <c r="L539">
        <v>6.9</v>
      </c>
    </row>
    <row r="540" spans="1:12" x14ac:dyDescent="0.25">
      <c r="A540" t="s">
        <v>569</v>
      </c>
      <c r="B540" t="s">
        <v>13</v>
      </c>
      <c r="C540" t="s">
        <v>14</v>
      </c>
      <c r="D540" t="s">
        <v>22</v>
      </c>
      <c r="E540" t="s">
        <v>16</v>
      </c>
      <c r="F540" t="s">
        <v>41</v>
      </c>
      <c r="G540">
        <v>4</v>
      </c>
      <c r="H540" s="1">
        <v>43521</v>
      </c>
      <c r="I540" s="2">
        <v>0.71944444444444444</v>
      </c>
      <c r="J540" t="s">
        <v>28</v>
      </c>
      <c r="K540">
        <v>14.61</v>
      </c>
      <c r="L540">
        <v>4.9000000000000004</v>
      </c>
    </row>
    <row r="541" spans="1:12" x14ac:dyDescent="0.25">
      <c r="A541" t="s">
        <v>570</v>
      </c>
      <c r="B541" t="s">
        <v>20</v>
      </c>
      <c r="C541" t="s">
        <v>21</v>
      </c>
      <c r="D541" t="s">
        <v>15</v>
      </c>
      <c r="E541" t="s">
        <v>16</v>
      </c>
      <c r="F541" t="s">
        <v>39</v>
      </c>
      <c r="G541">
        <v>6</v>
      </c>
      <c r="H541" s="1">
        <v>43497</v>
      </c>
      <c r="I541" s="2">
        <v>0.77986111111111101</v>
      </c>
      <c r="J541" t="s">
        <v>18</v>
      </c>
      <c r="K541">
        <v>26.244</v>
      </c>
      <c r="L541">
        <v>5.0999999999999996</v>
      </c>
    </row>
    <row r="542" spans="1:12" x14ac:dyDescent="0.25">
      <c r="A542" t="s">
        <v>571</v>
      </c>
      <c r="B542" t="s">
        <v>13</v>
      </c>
      <c r="C542" t="s">
        <v>14</v>
      </c>
      <c r="D542" t="s">
        <v>22</v>
      </c>
      <c r="E542" t="s">
        <v>26</v>
      </c>
      <c r="F542" t="s">
        <v>27</v>
      </c>
      <c r="G542">
        <v>3</v>
      </c>
      <c r="H542" s="1">
        <v>43487</v>
      </c>
      <c r="I542" s="2">
        <v>0.45833333333333331</v>
      </c>
      <c r="J542" t="s">
        <v>18</v>
      </c>
      <c r="K542">
        <v>4.6020000000000003</v>
      </c>
      <c r="L542">
        <v>9.1</v>
      </c>
    </row>
    <row r="543" spans="1:12" x14ac:dyDescent="0.25">
      <c r="A543" t="s">
        <v>572</v>
      </c>
      <c r="B543" t="s">
        <v>20</v>
      </c>
      <c r="C543" t="s">
        <v>21</v>
      </c>
      <c r="D543" t="s">
        <v>15</v>
      </c>
      <c r="E543" t="s">
        <v>26</v>
      </c>
      <c r="F543" t="s">
        <v>17</v>
      </c>
      <c r="G543">
        <v>1</v>
      </c>
      <c r="H543" s="1">
        <v>43468</v>
      </c>
      <c r="I543" s="2">
        <v>0.4375</v>
      </c>
      <c r="J543" t="s">
        <v>28</v>
      </c>
      <c r="K543">
        <v>3.794</v>
      </c>
      <c r="L543">
        <v>7.1</v>
      </c>
    </row>
    <row r="544" spans="1:12" x14ac:dyDescent="0.25">
      <c r="A544" t="s">
        <v>573</v>
      </c>
      <c r="B544" t="s">
        <v>37</v>
      </c>
      <c r="C544" t="s">
        <v>38</v>
      </c>
      <c r="D544" t="s">
        <v>15</v>
      </c>
      <c r="E544" t="s">
        <v>16</v>
      </c>
      <c r="F544" t="s">
        <v>31</v>
      </c>
      <c r="G544">
        <v>4</v>
      </c>
      <c r="H544" s="1">
        <v>43509</v>
      </c>
      <c r="I544" s="2">
        <v>0.50972222222222219</v>
      </c>
      <c r="J544" t="s">
        <v>28</v>
      </c>
      <c r="K544">
        <v>4.0359999999999996</v>
      </c>
      <c r="L544">
        <v>5</v>
      </c>
    </row>
    <row r="545" spans="1:12" x14ac:dyDescent="0.25">
      <c r="A545" t="s">
        <v>574</v>
      </c>
      <c r="B545" t="s">
        <v>20</v>
      </c>
      <c r="C545" t="s">
        <v>21</v>
      </c>
      <c r="D545" t="s">
        <v>15</v>
      </c>
      <c r="E545" t="s">
        <v>26</v>
      </c>
      <c r="F545" t="s">
        <v>23</v>
      </c>
      <c r="G545">
        <v>6</v>
      </c>
      <c r="H545" s="1">
        <v>43493</v>
      </c>
      <c r="I545" s="2">
        <v>0.69652777777777775</v>
      </c>
      <c r="J545" t="s">
        <v>28</v>
      </c>
      <c r="K545">
        <v>5.6310000000000002</v>
      </c>
      <c r="L545">
        <v>5.5</v>
      </c>
    </row>
    <row r="546" spans="1:12" x14ac:dyDescent="0.25">
      <c r="A546" t="s">
        <v>575</v>
      </c>
      <c r="B546" t="s">
        <v>37</v>
      </c>
      <c r="C546" t="s">
        <v>38</v>
      </c>
      <c r="D546" t="s">
        <v>22</v>
      </c>
      <c r="E546" t="s">
        <v>16</v>
      </c>
      <c r="F546" t="s">
        <v>39</v>
      </c>
      <c r="G546">
        <v>1</v>
      </c>
      <c r="H546" s="1">
        <v>43470</v>
      </c>
      <c r="I546" s="2">
        <v>0.86111111111111116</v>
      </c>
      <c r="J546" t="s">
        <v>28</v>
      </c>
      <c r="K546">
        <v>3.56</v>
      </c>
      <c r="L546">
        <v>9.1999999999999993</v>
      </c>
    </row>
    <row r="547" spans="1:12" x14ac:dyDescent="0.25">
      <c r="A547" t="s">
        <v>576</v>
      </c>
      <c r="B547" t="s">
        <v>37</v>
      </c>
      <c r="C547" t="s">
        <v>38</v>
      </c>
      <c r="D547" t="s">
        <v>15</v>
      </c>
      <c r="E547" t="s">
        <v>26</v>
      </c>
      <c r="F547" t="s">
        <v>27</v>
      </c>
      <c r="G547">
        <v>4</v>
      </c>
      <c r="H547" s="1">
        <v>43543</v>
      </c>
      <c r="I547" s="2">
        <v>0.56944444444444442</v>
      </c>
      <c r="J547" t="s">
        <v>18</v>
      </c>
      <c r="K547">
        <v>7.7619999999999996</v>
      </c>
      <c r="L547">
        <v>4.9000000000000004</v>
      </c>
    </row>
    <row r="548" spans="1:12" x14ac:dyDescent="0.25">
      <c r="A548" t="s">
        <v>577</v>
      </c>
      <c r="B548" t="s">
        <v>13</v>
      </c>
      <c r="C548" t="s">
        <v>14</v>
      </c>
      <c r="D548" t="s">
        <v>22</v>
      </c>
      <c r="E548" t="s">
        <v>16</v>
      </c>
      <c r="F548" t="s">
        <v>41</v>
      </c>
      <c r="G548">
        <v>10</v>
      </c>
      <c r="H548" s="1">
        <v>43477</v>
      </c>
      <c r="I548" s="2">
        <v>0.68263888888888891</v>
      </c>
      <c r="J548" t="s">
        <v>18</v>
      </c>
      <c r="K548">
        <v>14.71</v>
      </c>
      <c r="L548">
        <v>8.9</v>
      </c>
    </row>
    <row r="549" spans="1:12" x14ac:dyDescent="0.25">
      <c r="A549" t="s">
        <v>578</v>
      </c>
      <c r="B549" t="s">
        <v>13</v>
      </c>
      <c r="C549" t="s">
        <v>14</v>
      </c>
      <c r="D549" t="s">
        <v>22</v>
      </c>
      <c r="E549" t="s">
        <v>26</v>
      </c>
      <c r="F549" t="s">
        <v>31</v>
      </c>
      <c r="G549">
        <v>9</v>
      </c>
      <c r="H549" s="1">
        <v>43472</v>
      </c>
      <c r="I549" s="2">
        <v>0.50555555555555554</v>
      </c>
      <c r="J549" t="s">
        <v>28</v>
      </c>
      <c r="K549">
        <v>27.427499999999998</v>
      </c>
      <c r="L549">
        <v>6</v>
      </c>
    </row>
    <row r="550" spans="1:12" x14ac:dyDescent="0.25">
      <c r="A550" t="s">
        <v>579</v>
      </c>
      <c r="B550" t="s">
        <v>37</v>
      </c>
      <c r="C550" t="s">
        <v>38</v>
      </c>
      <c r="D550" t="s">
        <v>22</v>
      </c>
      <c r="E550" t="s">
        <v>16</v>
      </c>
      <c r="F550" t="s">
        <v>31</v>
      </c>
      <c r="G550">
        <v>5</v>
      </c>
      <c r="H550" s="1">
        <v>43491</v>
      </c>
      <c r="I550" s="2">
        <v>0.73958333333333337</v>
      </c>
      <c r="J550" t="s">
        <v>24</v>
      </c>
      <c r="K550">
        <v>12.885</v>
      </c>
      <c r="L550">
        <v>4.2</v>
      </c>
    </row>
    <row r="551" spans="1:12" x14ac:dyDescent="0.25">
      <c r="A551" t="s">
        <v>580</v>
      </c>
      <c r="B551" t="s">
        <v>13</v>
      </c>
      <c r="C551" t="s">
        <v>14</v>
      </c>
      <c r="D551" t="s">
        <v>22</v>
      </c>
      <c r="E551" t="s">
        <v>16</v>
      </c>
      <c r="F551" t="s">
        <v>23</v>
      </c>
      <c r="G551">
        <v>6</v>
      </c>
      <c r="H551" s="1">
        <v>43488</v>
      </c>
      <c r="I551" s="2">
        <v>0.43611111111111112</v>
      </c>
      <c r="J551" t="s">
        <v>24</v>
      </c>
      <c r="K551">
        <v>19.818000000000001</v>
      </c>
      <c r="L551">
        <v>7.3</v>
      </c>
    </row>
    <row r="552" spans="1:12" x14ac:dyDescent="0.25">
      <c r="A552" t="s">
        <v>581</v>
      </c>
      <c r="B552" t="s">
        <v>37</v>
      </c>
      <c r="C552" t="s">
        <v>38</v>
      </c>
      <c r="D552" t="s">
        <v>22</v>
      </c>
      <c r="E552" t="s">
        <v>26</v>
      </c>
      <c r="F552" t="s">
        <v>41</v>
      </c>
      <c r="G552">
        <v>3</v>
      </c>
      <c r="H552" s="1">
        <v>43505</v>
      </c>
      <c r="I552" s="2">
        <v>0.85486111111111107</v>
      </c>
      <c r="J552" t="s">
        <v>18</v>
      </c>
      <c r="K552">
        <v>8.5905000000000005</v>
      </c>
      <c r="L552">
        <v>6.5</v>
      </c>
    </row>
    <row r="553" spans="1:12" x14ac:dyDescent="0.25">
      <c r="A553" t="s">
        <v>582</v>
      </c>
      <c r="B553" t="s">
        <v>37</v>
      </c>
      <c r="C553" t="s">
        <v>38</v>
      </c>
      <c r="D553" t="s">
        <v>22</v>
      </c>
      <c r="E553" t="s">
        <v>16</v>
      </c>
      <c r="F553" t="s">
        <v>41</v>
      </c>
      <c r="G553">
        <v>9</v>
      </c>
      <c r="H553" s="1">
        <v>43518</v>
      </c>
      <c r="I553" s="2">
        <v>0.45069444444444445</v>
      </c>
      <c r="J553" t="s">
        <v>24</v>
      </c>
      <c r="K553">
        <v>24.439499999999999</v>
      </c>
      <c r="L553">
        <v>8.9</v>
      </c>
    </row>
    <row r="554" spans="1:12" x14ac:dyDescent="0.25">
      <c r="A554" t="s">
        <v>583</v>
      </c>
      <c r="B554" t="s">
        <v>37</v>
      </c>
      <c r="C554" t="s">
        <v>38</v>
      </c>
      <c r="D554" t="s">
        <v>22</v>
      </c>
      <c r="E554" t="s">
        <v>16</v>
      </c>
      <c r="F554" t="s">
        <v>17</v>
      </c>
      <c r="G554">
        <v>9</v>
      </c>
      <c r="H554" s="1">
        <v>43501</v>
      </c>
      <c r="I554" s="2">
        <v>0.52361111111111114</v>
      </c>
      <c r="J554" t="s">
        <v>24</v>
      </c>
      <c r="K554">
        <v>26.207999999999998</v>
      </c>
      <c r="L554">
        <v>9.6999999999999993</v>
      </c>
    </row>
    <row r="555" spans="1:12" x14ac:dyDescent="0.25">
      <c r="A555" t="s">
        <v>584</v>
      </c>
      <c r="B555" t="s">
        <v>20</v>
      </c>
      <c r="C555" t="s">
        <v>21</v>
      </c>
      <c r="D555" t="s">
        <v>22</v>
      </c>
      <c r="E555" t="s">
        <v>26</v>
      </c>
      <c r="F555" t="s">
        <v>23</v>
      </c>
      <c r="G555">
        <v>6</v>
      </c>
      <c r="H555" s="1">
        <v>43531</v>
      </c>
      <c r="I555" s="2">
        <v>0.43263888888888885</v>
      </c>
      <c r="J555" t="s">
        <v>28</v>
      </c>
      <c r="K555">
        <v>6.6630000000000003</v>
      </c>
      <c r="L555">
        <v>8.6</v>
      </c>
    </row>
    <row r="556" spans="1:12" x14ac:dyDescent="0.25">
      <c r="A556" t="s">
        <v>585</v>
      </c>
      <c r="B556" t="s">
        <v>13</v>
      </c>
      <c r="C556" t="s">
        <v>14</v>
      </c>
      <c r="D556" t="s">
        <v>15</v>
      </c>
      <c r="E556" t="s">
        <v>26</v>
      </c>
      <c r="F556" t="s">
        <v>23</v>
      </c>
      <c r="G556">
        <v>7</v>
      </c>
      <c r="H556" s="1">
        <v>43549</v>
      </c>
      <c r="I556" s="2">
        <v>0.78541666666666676</v>
      </c>
      <c r="J556" t="s">
        <v>24</v>
      </c>
      <c r="K556">
        <v>6.7619999999999996</v>
      </c>
      <c r="L556">
        <v>6.9</v>
      </c>
    </row>
    <row r="557" spans="1:12" x14ac:dyDescent="0.25">
      <c r="A557" t="s">
        <v>586</v>
      </c>
      <c r="B557" t="s">
        <v>37</v>
      </c>
      <c r="C557" t="s">
        <v>38</v>
      </c>
      <c r="D557" t="s">
        <v>22</v>
      </c>
      <c r="E557" t="s">
        <v>26</v>
      </c>
      <c r="F557" t="s">
        <v>27</v>
      </c>
      <c r="G557">
        <v>3</v>
      </c>
      <c r="H557" s="1">
        <v>43485</v>
      </c>
      <c r="I557" s="2">
        <v>0.57291666666666663</v>
      </c>
      <c r="J557" t="s">
        <v>28</v>
      </c>
      <c r="K557">
        <v>5.6219999999999999</v>
      </c>
      <c r="L557">
        <v>7.7</v>
      </c>
    </row>
    <row r="558" spans="1:12" x14ac:dyDescent="0.25">
      <c r="A558" t="s">
        <v>587</v>
      </c>
      <c r="B558" t="s">
        <v>37</v>
      </c>
      <c r="C558" t="s">
        <v>38</v>
      </c>
      <c r="D558" t="s">
        <v>15</v>
      </c>
      <c r="E558" t="s">
        <v>16</v>
      </c>
      <c r="F558" t="s">
        <v>41</v>
      </c>
      <c r="G558">
        <v>2</v>
      </c>
      <c r="H558" s="1">
        <v>43500</v>
      </c>
      <c r="I558" s="2">
        <v>0.81805555555555554</v>
      </c>
      <c r="J558" t="s">
        <v>24</v>
      </c>
      <c r="K558">
        <v>7.2039999999999997</v>
      </c>
      <c r="L558">
        <v>9.5</v>
      </c>
    </row>
    <row r="559" spans="1:12" x14ac:dyDescent="0.25">
      <c r="A559" t="s">
        <v>588</v>
      </c>
      <c r="B559" t="s">
        <v>20</v>
      </c>
      <c r="C559" t="s">
        <v>21</v>
      </c>
      <c r="D559" t="s">
        <v>15</v>
      </c>
      <c r="E559" t="s">
        <v>16</v>
      </c>
      <c r="F559" t="s">
        <v>39</v>
      </c>
      <c r="G559">
        <v>10</v>
      </c>
      <c r="H559" s="1">
        <v>43495</v>
      </c>
      <c r="I559" s="2">
        <v>0.84930555555555554</v>
      </c>
      <c r="J559" t="s">
        <v>18</v>
      </c>
      <c r="K559">
        <v>49.26</v>
      </c>
      <c r="L559">
        <v>4.5</v>
      </c>
    </row>
    <row r="560" spans="1:12" x14ac:dyDescent="0.25">
      <c r="A560" t="s">
        <v>589</v>
      </c>
      <c r="B560" t="s">
        <v>13</v>
      </c>
      <c r="C560" t="s">
        <v>14</v>
      </c>
      <c r="D560" t="s">
        <v>15</v>
      </c>
      <c r="E560" t="s">
        <v>26</v>
      </c>
      <c r="F560" t="s">
        <v>39</v>
      </c>
      <c r="G560">
        <v>6</v>
      </c>
      <c r="H560" s="1">
        <v>43467</v>
      </c>
      <c r="I560" s="2">
        <v>0.64166666666666672</v>
      </c>
      <c r="J560" t="s">
        <v>18</v>
      </c>
      <c r="K560">
        <v>12.497999999999999</v>
      </c>
      <c r="L560">
        <v>5.6</v>
      </c>
    </row>
    <row r="561" spans="1:12" x14ac:dyDescent="0.25">
      <c r="A561" t="s">
        <v>590</v>
      </c>
      <c r="B561" t="s">
        <v>13</v>
      </c>
      <c r="C561" t="s">
        <v>14</v>
      </c>
      <c r="D561" t="s">
        <v>15</v>
      </c>
      <c r="E561" t="s">
        <v>16</v>
      </c>
      <c r="F561" t="s">
        <v>27</v>
      </c>
      <c r="G561">
        <v>3</v>
      </c>
      <c r="H561" s="1">
        <v>43553</v>
      </c>
      <c r="I561" s="2">
        <v>0.70416666666666661</v>
      </c>
      <c r="J561" t="s">
        <v>18</v>
      </c>
      <c r="K561">
        <v>10.863</v>
      </c>
      <c r="L561">
        <v>8.1999999999999993</v>
      </c>
    </row>
    <row r="562" spans="1:12" x14ac:dyDescent="0.25">
      <c r="A562" t="s">
        <v>591</v>
      </c>
      <c r="B562" t="s">
        <v>37</v>
      </c>
      <c r="C562" t="s">
        <v>38</v>
      </c>
      <c r="D562" t="s">
        <v>22</v>
      </c>
      <c r="E562" t="s">
        <v>26</v>
      </c>
      <c r="F562" t="s">
        <v>23</v>
      </c>
      <c r="G562">
        <v>9</v>
      </c>
      <c r="H562" s="1">
        <v>43538</v>
      </c>
      <c r="I562" s="2">
        <v>0.52222222222222225</v>
      </c>
      <c r="J562" t="s">
        <v>24</v>
      </c>
      <c r="K562">
        <v>9.7110000000000003</v>
      </c>
      <c r="L562">
        <v>7.3</v>
      </c>
    </row>
    <row r="563" spans="1:12" x14ac:dyDescent="0.25">
      <c r="A563" t="s">
        <v>592</v>
      </c>
      <c r="B563" t="s">
        <v>20</v>
      </c>
      <c r="C563" t="s">
        <v>21</v>
      </c>
      <c r="D563" t="s">
        <v>22</v>
      </c>
      <c r="E563" t="s">
        <v>26</v>
      </c>
      <c r="F563" t="s">
        <v>39</v>
      </c>
      <c r="G563">
        <v>10</v>
      </c>
      <c r="H563" s="1">
        <v>43507</v>
      </c>
      <c r="I563" s="2">
        <v>0.65416666666666667</v>
      </c>
      <c r="J563" t="s">
        <v>28</v>
      </c>
      <c r="K563">
        <v>44.6</v>
      </c>
      <c r="L563">
        <v>4.4000000000000004</v>
      </c>
    </row>
    <row r="564" spans="1:12" x14ac:dyDescent="0.25">
      <c r="A564" t="s">
        <v>593</v>
      </c>
      <c r="B564" t="s">
        <v>37</v>
      </c>
      <c r="C564" t="s">
        <v>38</v>
      </c>
      <c r="D564" t="s">
        <v>22</v>
      </c>
      <c r="E564" t="s">
        <v>16</v>
      </c>
      <c r="F564" t="s">
        <v>23</v>
      </c>
      <c r="G564">
        <v>8</v>
      </c>
      <c r="H564" s="1">
        <v>43495</v>
      </c>
      <c r="I564" s="2">
        <v>0.58194444444444449</v>
      </c>
      <c r="J564" t="s">
        <v>18</v>
      </c>
      <c r="K564">
        <v>16.968</v>
      </c>
      <c r="L564">
        <v>5.7</v>
      </c>
    </row>
    <row r="565" spans="1:12" x14ac:dyDescent="0.25">
      <c r="A565" t="s">
        <v>594</v>
      </c>
      <c r="B565" t="s">
        <v>13</v>
      </c>
      <c r="C565" t="s">
        <v>14</v>
      </c>
      <c r="D565" t="s">
        <v>15</v>
      </c>
      <c r="E565" t="s">
        <v>26</v>
      </c>
      <c r="F565" t="s">
        <v>23</v>
      </c>
      <c r="G565">
        <v>6</v>
      </c>
      <c r="H565" s="1">
        <v>43544</v>
      </c>
      <c r="I565" s="2">
        <v>0.63055555555555554</v>
      </c>
      <c r="J565" t="s">
        <v>18</v>
      </c>
      <c r="K565">
        <v>22.353000000000002</v>
      </c>
      <c r="L565">
        <v>5</v>
      </c>
    </row>
    <row r="566" spans="1:12" x14ac:dyDescent="0.25">
      <c r="A566" t="s">
        <v>595</v>
      </c>
      <c r="B566" t="s">
        <v>37</v>
      </c>
      <c r="C566" t="s">
        <v>38</v>
      </c>
      <c r="D566" t="s">
        <v>22</v>
      </c>
      <c r="E566" t="s">
        <v>26</v>
      </c>
      <c r="F566" t="s">
        <v>41</v>
      </c>
      <c r="G566">
        <v>2</v>
      </c>
      <c r="H566" s="1">
        <v>43544</v>
      </c>
      <c r="I566" s="2">
        <v>0.54305555555555551</v>
      </c>
      <c r="J566" t="s">
        <v>24</v>
      </c>
      <c r="K566">
        <v>9.9250000000000007</v>
      </c>
      <c r="L566">
        <v>9</v>
      </c>
    </row>
    <row r="567" spans="1:12" x14ac:dyDescent="0.25">
      <c r="A567" t="s">
        <v>596</v>
      </c>
      <c r="B567" t="s">
        <v>13</v>
      </c>
      <c r="C567" t="s">
        <v>14</v>
      </c>
      <c r="D567" t="s">
        <v>22</v>
      </c>
      <c r="E567" t="s">
        <v>16</v>
      </c>
      <c r="F567" t="s">
        <v>39</v>
      </c>
      <c r="G567">
        <v>10</v>
      </c>
      <c r="H567" s="1">
        <v>43482</v>
      </c>
      <c r="I567" s="2">
        <v>0.54236111111111118</v>
      </c>
      <c r="J567" t="s">
        <v>28</v>
      </c>
      <c r="K567">
        <v>40.604999999999997</v>
      </c>
      <c r="L567">
        <v>6.3</v>
      </c>
    </row>
    <row r="568" spans="1:12" x14ac:dyDescent="0.25">
      <c r="A568" t="s">
        <v>597</v>
      </c>
      <c r="B568" t="s">
        <v>20</v>
      </c>
      <c r="C568" t="s">
        <v>21</v>
      </c>
      <c r="D568" t="s">
        <v>22</v>
      </c>
      <c r="E568" t="s">
        <v>16</v>
      </c>
      <c r="F568" t="s">
        <v>31</v>
      </c>
      <c r="G568">
        <v>10</v>
      </c>
      <c r="H568" s="1">
        <v>43499</v>
      </c>
      <c r="I568" s="2">
        <v>0.69444444444444453</v>
      </c>
      <c r="J568" t="s">
        <v>28</v>
      </c>
      <c r="K568">
        <v>24.664999999999999</v>
      </c>
      <c r="L568">
        <v>9.4</v>
      </c>
    </row>
    <row r="569" spans="1:12" x14ac:dyDescent="0.25">
      <c r="A569" t="s">
        <v>598</v>
      </c>
      <c r="B569" t="s">
        <v>13</v>
      </c>
      <c r="C569" t="s">
        <v>14</v>
      </c>
      <c r="D569" t="s">
        <v>22</v>
      </c>
      <c r="E569" t="s">
        <v>16</v>
      </c>
      <c r="F569" t="s">
        <v>41</v>
      </c>
      <c r="G569">
        <v>9</v>
      </c>
      <c r="H569" s="1">
        <v>43466</v>
      </c>
      <c r="I569" s="2">
        <v>0.57986111111111105</v>
      </c>
      <c r="J569" t="s">
        <v>24</v>
      </c>
      <c r="K569">
        <v>29.582999999999998</v>
      </c>
      <c r="L569">
        <v>7.7</v>
      </c>
    </row>
    <row r="570" spans="1:12" x14ac:dyDescent="0.25">
      <c r="A570" t="s">
        <v>599</v>
      </c>
      <c r="B570" t="s">
        <v>37</v>
      </c>
      <c r="C570" t="s">
        <v>38</v>
      </c>
      <c r="D570" t="s">
        <v>22</v>
      </c>
      <c r="E570" t="s">
        <v>16</v>
      </c>
      <c r="F570" t="s">
        <v>41</v>
      </c>
      <c r="G570">
        <v>7</v>
      </c>
      <c r="H570" s="1">
        <v>43475</v>
      </c>
      <c r="I570" s="2">
        <v>0.43958333333333338</v>
      </c>
      <c r="J570" t="s">
        <v>28</v>
      </c>
      <c r="K570">
        <v>27.951000000000001</v>
      </c>
      <c r="L570">
        <v>5.5</v>
      </c>
    </row>
    <row r="571" spans="1:12" x14ac:dyDescent="0.25">
      <c r="A571" t="s">
        <v>600</v>
      </c>
      <c r="B571" t="s">
        <v>20</v>
      </c>
      <c r="C571" t="s">
        <v>21</v>
      </c>
      <c r="D571" t="s">
        <v>22</v>
      </c>
      <c r="E571" t="s">
        <v>16</v>
      </c>
      <c r="F571" t="s">
        <v>31</v>
      </c>
      <c r="G571">
        <v>7</v>
      </c>
      <c r="H571" s="1">
        <v>43526</v>
      </c>
      <c r="I571" s="2">
        <v>0.6958333333333333</v>
      </c>
      <c r="J571" t="s">
        <v>18</v>
      </c>
      <c r="K571">
        <v>25.893000000000001</v>
      </c>
      <c r="L571">
        <v>4.0999999999999996</v>
      </c>
    </row>
    <row r="572" spans="1:12" x14ac:dyDescent="0.25">
      <c r="A572" t="s">
        <v>601</v>
      </c>
      <c r="B572" t="s">
        <v>37</v>
      </c>
      <c r="C572" t="s">
        <v>38</v>
      </c>
      <c r="D572" t="s">
        <v>15</v>
      </c>
      <c r="E572" t="s">
        <v>16</v>
      </c>
      <c r="F572" t="s">
        <v>27</v>
      </c>
      <c r="G572">
        <v>5</v>
      </c>
      <c r="H572" s="1">
        <v>43521</v>
      </c>
      <c r="I572" s="2">
        <v>0.71944444444444444</v>
      </c>
      <c r="J572" t="s">
        <v>28</v>
      </c>
      <c r="K572">
        <v>20.51</v>
      </c>
      <c r="L572">
        <v>7.6</v>
      </c>
    </row>
    <row r="573" spans="1:12" x14ac:dyDescent="0.25">
      <c r="A573" t="s">
        <v>602</v>
      </c>
      <c r="B573" t="s">
        <v>37</v>
      </c>
      <c r="C573" t="s">
        <v>38</v>
      </c>
      <c r="D573" t="s">
        <v>15</v>
      </c>
      <c r="E573" t="s">
        <v>26</v>
      </c>
      <c r="F573" t="s">
        <v>31</v>
      </c>
      <c r="G573">
        <v>10</v>
      </c>
      <c r="H573" s="1">
        <v>43494</v>
      </c>
      <c r="I573" s="2">
        <v>0.4916666666666667</v>
      </c>
      <c r="J573" t="s">
        <v>24</v>
      </c>
      <c r="K573">
        <v>13.335000000000001</v>
      </c>
      <c r="L573">
        <v>8.6</v>
      </c>
    </row>
    <row r="574" spans="1:12" x14ac:dyDescent="0.25">
      <c r="A574" t="s">
        <v>603</v>
      </c>
      <c r="B574" t="s">
        <v>13</v>
      </c>
      <c r="C574" t="s">
        <v>14</v>
      </c>
      <c r="D574" t="s">
        <v>15</v>
      </c>
      <c r="E574" t="s">
        <v>26</v>
      </c>
      <c r="F574" t="s">
        <v>39</v>
      </c>
      <c r="G574">
        <v>7</v>
      </c>
      <c r="H574" s="1">
        <v>43534</v>
      </c>
      <c r="I574" s="2">
        <v>0.81597222222222221</v>
      </c>
      <c r="J574" t="s">
        <v>18</v>
      </c>
      <c r="K574">
        <v>3.5455000000000001</v>
      </c>
      <c r="L574">
        <v>8.3000000000000007</v>
      </c>
    </row>
    <row r="575" spans="1:12" x14ac:dyDescent="0.25">
      <c r="A575" t="s">
        <v>604</v>
      </c>
      <c r="B575" t="s">
        <v>37</v>
      </c>
      <c r="C575" t="s">
        <v>38</v>
      </c>
      <c r="D575" t="s">
        <v>22</v>
      </c>
      <c r="E575" t="s">
        <v>26</v>
      </c>
      <c r="F575" t="s">
        <v>39</v>
      </c>
      <c r="G575">
        <v>2</v>
      </c>
      <c r="H575" s="1">
        <v>43478</v>
      </c>
      <c r="I575" s="2">
        <v>0.82986111111111116</v>
      </c>
      <c r="J575" t="s">
        <v>28</v>
      </c>
      <c r="K575">
        <v>7.2389999999999999</v>
      </c>
      <c r="L575">
        <v>8.1</v>
      </c>
    </row>
    <row r="576" spans="1:12" x14ac:dyDescent="0.25">
      <c r="A576" t="s">
        <v>605</v>
      </c>
      <c r="B576" t="s">
        <v>13</v>
      </c>
      <c r="C576" t="s">
        <v>14</v>
      </c>
      <c r="D576" t="s">
        <v>22</v>
      </c>
      <c r="E576" t="s">
        <v>26</v>
      </c>
      <c r="F576" t="s">
        <v>31</v>
      </c>
      <c r="G576">
        <v>5</v>
      </c>
      <c r="H576" s="1">
        <v>43546</v>
      </c>
      <c r="I576" s="2">
        <v>0.60625000000000007</v>
      </c>
      <c r="J576" t="s">
        <v>28</v>
      </c>
      <c r="K576">
        <v>21.477499999999999</v>
      </c>
      <c r="L576">
        <v>8.6</v>
      </c>
    </row>
    <row r="577" spans="1:12" x14ac:dyDescent="0.25">
      <c r="A577" t="s">
        <v>606</v>
      </c>
      <c r="B577" t="s">
        <v>37</v>
      </c>
      <c r="C577" t="s">
        <v>38</v>
      </c>
      <c r="D577" t="s">
        <v>15</v>
      </c>
      <c r="E577" t="s">
        <v>26</v>
      </c>
      <c r="F577" t="s">
        <v>41</v>
      </c>
      <c r="G577">
        <v>7</v>
      </c>
      <c r="H577" s="1">
        <v>43525</v>
      </c>
      <c r="I577" s="2">
        <v>0.8256944444444444</v>
      </c>
      <c r="J577" t="s">
        <v>18</v>
      </c>
      <c r="K577">
        <v>28.458500000000001</v>
      </c>
      <c r="L577">
        <v>6.3</v>
      </c>
    </row>
    <row r="578" spans="1:12" x14ac:dyDescent="0.25">
      <c r="A578" t="s">
        <v>607</v>
      </c>
      <c r="B578" t="s">
        <v>37</v>
      </c>
      <c r="C578" t="s">
        <v>38</v>
      </c>
      <c r="D578" t="s">
        <v>22</v>
      </c>
      <c r="E578" t="s">
        <v>26</v>
      </c>
      <c r="F578" t="s">
        <v>39</v>
      </c>
      <c r="G578">
        <v>4</v>
      </c>
      <c r="H578" s="1">
        <v>43516</v>
      </c>
      <c r="I578" s="2">
        <v>0.77986111111111101</v>
      </c>
      <c r="J578" t="s">
        <v>24</v>
      </c>
      <c r="K578">
        <v>12.06</v>
      </c>
      <c r="L578">
        <v>5.8</v>
      </c>
    </row>
    <row r="579" spans="1:12" x14ac:dyDescent="0.25">
      <c r="A579" t="s">
        <v>608</v>
      </c>
      <c r="B579" t="s">
        <v>20</v>
      </c>
      <c r="C579" t="s">
        <v>21</v>
      </c>
      <c r="D579" t="s">
        <v>22</v>
      </c>
      <c r="E579" t="s">
        <v>26</v>
      </c>
      <c r="F579" t="s">
        <v>39</v>
      </c>
      <c r="G579">
        <v>4</v>
      </c>
      <c r="H579" s="1">
        <v>43479</v>
      </c>
      <c r="I579" s="2">
        <v>0.61319444444444449</v>
      </c>
      <c r="J579" t="s">
        <v>18</v>
      </c>
      <c r="K579">
        <v>6.3540000000000001</v>
      </c>
      <c r="L579">
        <v>6.2</v>
      </c>
    </row>
    <row r="580" spans="1:12" x14ac:dyDescent="0.25">
      <c r="A580" t="s">
        <v>609</v>
      </c>
      <c r="B580" t="s">
        <v>13</v>
      </c>
      <c r="C580" t="s">
        <v>14</v>
      </c>
      <c r="D580" t="s">
        <v>22</v>
      </c>
      <c r="E580" t="s">
        <v>16</v>
      </c>
      <c r="F580" t="s">
        <v>17</v>
      </c>
      <c r="G580">
        <v>4</v>
      </c>
      <c r="H580" s="1">
        <v>43550</v>
      </c>
      <c r="I580" s="2">
        <v>0.57916666666666672</v>
      </c>
      <c r="J580" t="s">
        <v>24</v>
      </c>
      <c r="K580">
        <v>12.853999999999999</v>
      </c>
      <c r="L580">
        <v>7.7</v>
      </c>
    </row>
    <row r="581" spans="1:12" x14ac:dyDescent="0.25">
      <c r="A581" t="s">
        <v>610</v>
      </c>
      <c r="B581" t="s">
        <v>37</v>
      </c>
      <c r="C581" t="s">
        <v>38</v>
      </c>
      <c r="D581" t="s">
        <v>22</v>
      </c>
      <c r="E581" t="s">
        <v>26</v>
      </c>
      <c r="F581" t="s">
        <v>17</v>
      </c>
      <c r="G581">
        <v>2</v>
      </c>
      <c r="H581" s="1">
        <v>43525</v>
      </c>
      <c r="I581" s="2">
        <v>0.51041666666666663</v>
      </c>
      <c r="J581" t="s">
        <v>18</v>
      </c>
      <c r="K581">
        <v>6.9509999999999996</v>
      </c>
      <c r="L581">
        <v>8.1</v>
      </c>
    </row>
    <row r="582" spans="1:12" x14ac:dyDescent="0.25">
      <c r="A582" t="s">
        <v>611</v>
      </c>
      <c r="B582" t="s">
        <v>20</v>
      </c>
      <c r="C582" t="s">
        <v>21</v>
      </c>
      <c r="D582" t="s">
        <v>22</v>
      </c>
      <c r="E582" t="s">
        <v>26</v>
      </c>
      <c r="F582" t="s">
        <v>39</v>
      </c>
      <c r="G582">
        <v>3</v>
      </c>
      <c r="H582" s="1">
        <v>43472</v>
      </c>
      <c r="I582" s="2">
        <v>0.52569444444444446</v>
      </c>
      <c r="J582" t="s">
        <v>24</v>
      </c>
      <c r="K582">
        <v>4.0830000000000002</v>
      </c>
      <c r="L582">
        <v>7.3</v>
      </c>
    </row>
    <row r="583" spans="1:12" x14ac:dyDescent="0.25">
      <c r="A583" t="s">
        <v>612</v>
      </c>
      <c r="B583" t="s">
        <v>13</v>
      </c>
      <c r="C583" t="s">
        <v>14</v>
      </c>
      <c r="D583" t="s">
        <v>15</v>
      </c>
      <c r="E583" t="s">
        <v>16</v>
      </c>
      <c r="F583" t="s">
        <v>17</v>
      </c>
      <c r="G583">
        <v>4</v>
      </c>
      <c r="H583" s="1">
        <v>43497</v>
      </c>
      <c r="I583" s="2">
        <v>0.82916666666666661</v>
      </c>
      <c r="J583" t="s">
        <v>24</v>
      </c>
      <c r="K583">
        <v>15.536</v>
      </c>
      <c r="L583">
        <v>8.4</v>
      </c>
    </row>
    <row r="584" spans="1:12" x14ac:dyDescent="0.25">
      <c r="A584" t="s">
        <v>613</v>
      </c>
      <c r="B584" t="s">
        <v>20</v>
      </c>
      <c r="C584" t="s">
        <v>21</v>
      </c>
      <c r="D584" t="s">
        <v>15</v>
      </c>
      <c r="E584" t="s">
        <v>16</v>
      </c>
      <c r="F584" t="s">
        <v>41</v>
      </c>
      <c r="G584">
        <v>2</v>
      </c>
      <c r="H584" s="1">
        <v>43509</v>
      </c>
      <c r="I584" s="2">
        <v>0.62916666666666665</v>
      </c>
      <c r="J584" t="s">
        <v>28</v>
      </c>
      <c r="K584">
        <v>9.298</v>
      </c>
      <c r="L584">
        <v>8</v>
      </c>
    </row>
    <row r="585" spans="1:12" x14ac:dyDescent="0.25">
      <c r="A585" t="s">
        <v>614</v>
      </c>
      <c r="B585" t="s">
        <v>37</v>
      </c>
      <c r="C585" t="s">
        <v>38</v>
      </c>
      <c r="D585" t="s">
        <v>15</v>
      </c>
      <c r="E585" t="s">
        <v>16</v>
      </c>
      <c r="F585" t="s">
        <v>41</v>
      </c>
      <c r="G585">
        <v>4</v>
      </c>
      <c r="H585" s="1">
        <v>43479</v>
      </c>
      <c r="I585" s="2">
        <v>0.75208333333333333</v>
      </c>
      <c r="J585" t="s">
        <v>28</v>
      </c>
      <c r="K585">
        <v>3.6160000000000001</v>
      </c>
      <c r="L585">
        <v>9.5</v>
      </c>
    </row>
    <row r="586" spans="1:12" x14ac:dyDescent="0.25">
      <c r="A586" t="s">
        <v>615</v>
      </c>
      <c r="B586" t="s">
        <v>37</v>
      </c>
      <c r="C586" t="s">
        <v>38</v>
      </c>
      <c r="D586" t="s">
        <v>22</v>
      </c>
      <c r="E586" t="s">
        <v>26</v>
      </c>
      <c r="F586" t="s">
        <v>31</v>
      </c>
      <c r="G586">
        <v>3</v>
      </c>
      <c r="H586" s="1">
        <v>43484</v>
      </c>
      <c r="I586" s="2">
        <v>0.66527777777777775</v>
      </c>
      <c r="J586" t="s">
        <v>18</v>
      </c>
      <c r="K586">
        <v>9.4589999999999996</v>
      </c>
      <c r="L586">
        <v>7</v>
      </c>
    </row>
    <row r="587" spans="1:12" x14ac:dyDescent="0.25">
      <c r="A587" t="s">
        <v>616</v>
      </c>
      <c r="B587" t="s">
        <v>13</v>
      </c>
      <c r="C587" t="s">
        <v>14</v>
      </c>
      <c r="D587" t="s">
        <v>22</v>
      </c>
      <c r="E587" t="s">
        <v>26</v>
      </c>
      <c r="F587" t="s">
        <v>17</v>
      </c>
      <c r="G587">
        <v>4</v>
      </c>
      <c r="H587" s="1">
        <v>43533</v>
      </c>
      <c r="I587" s="2">
        <v>0.57847222222222217</v>
      </c>
      <c r="J587" t="s">
        <v>28</v>
      </c>
      <c r="K587">
        <v>10.342000000000001</v>
      </c>
      <c r="L587">
        <v>9.8000000000000007</v>
      </c>
    </row>
    <row r="588" spans="1:12" x14ac:dyDescent="0.25">
      <c r="A588" t="s">
        <v>617</v>
      </c>
      <c r="B588" t="s">
        <v>13</v>
      </c>
      <c r="C588" t="s">
        <v>14</v>
      </c>
      <c r="D588" t="s">
        <v>22</v>
      </c>
      <c r="E588" t="s">
        <v>16</v>
      </c>
      <c r="F588" t="s">
        <v>39</v>
      </c>
      <c r="G588">
        <v>3</v>
      </c>
      <c r="H588" s="1">
        <v>43551</v>
      </c>
      <c r="I588" s="2">
        <v>0.5854166666666667</v>
      </c>
      <c r="J588" t="s">
        <v>24</v>
      </c>
      <c r="K588">
        <v>7.851</v>
      </c>
      <c r="L588">
        <v>9.1999999999999993</v>
      </c>
    </row>
    <row r="589" spans="1:12" x14ac:dyDescent="0.25">
      <c r="A589" t="s">
        <v>618</v>
      </c>
      <c r="B589" t="s">
        <v>13</v>
      </c>
      <c r="C589" t="s">
        <v>14</v>
      </c>
      <c r="D589" t="s">
        <v>22</v>
      </c>
      <c r="E589" t="s">
        <v>16</v>
      </c>
      <c r="F589" t="s">
        <v>31</v>
      </c>
      <c r="G589">
        <v>5</v>
      </c>
      <c r="H589" s="1">
        <v>43500</v>
      </c>
      <c r="I589" s="2">
        <v>0.69305555555555554</v>
      </c>
      <c r="J589" t="s">
        <v>18</v>
      </c>
      <c r="K589">
        <v>10.765000000000001</v>
      </c>
      <c r="L589">
        <v>7.7</v>
      </c>
    </row>
    <row r="590" spans="1:12" x14ac:dyDescent="0.25">
      <c r="A590" t="s">
        <v>619</v>
      </c>
      <c r="B590" t="s">
        <v>20</v>
      </c>
      <c r="C590" t="s">
        <v>21</v>
      </c>
      <c r="D590" t="s">
        <v>22</v>
      </c>
      <c r="E590" t="s">
        <v>26</v>
      </c>
      <c r="F590" t="s">
        <v>41</v>
      </c>
      <c r="G590">
        <v>10</v>
      </c>
      <c r="H590" s="1">
        <v>43538</v>
      </c>
      <c r="I590" s="2">
        <v>0.46319444444444446</v>
      </c>
      <c r="J590" t="s">
        <v>24</v>
      </c>
      <c r="K590">
        <v>29.805</v>
      </c>
      <c r="L590">
        <v>5.3</v>
      </c>
    </row>
    <row r="591" spans="1:12" x14ac:dyDescent="0.25">
      <c r="A591" t="s">
        <v>620</v>
      </c>
      <c r="B591" t="s">
        <v>13</v>
      </c>
      <c r="C591" t="s">
        <v>14</v>
      </c>
      <c r="D591" t="s">
        <v>22</v>
      </c>
      <c r="E591" t="s">
        <v>26</v>
      </c>
      <c r="F591" t="s">
        <v>17</v>
      </c>
      <c r="G591">
        <v>5</v>
      </c>
      <c r="H591" s="1">
        <v>43528</v>
      </c>
      <c r="I591" s="2">
        <v>0.51597222222222217</v>
      </c>
      <c r="J591" t="s">
        <v>24</v>
      </c>
      <c r="K591">
        <v>3.6549999999999998</v>
      </c>
      <c r="L591">
        <v>4.4000000000000004</v>
      </c>
    </row>
    <row r="592" spans="1:12" x14ac:dyDescent="0.25">
      <c r="A592" t="s">
        <v>621</v>
      </c>
      <c r="B592" t="s">
        <v>20</v>
      </c>
      <c r="C592" t="s">
        <v>21</v>
      </c>
      <c r="D592" t="s">
        <v>15</v>
      </c>
      <c r="E592" t="s">
        <v>26</v>
      </c>
      <c r="F592" t="s">
        <v>17</v>
      </c>
      <c r="G592">
        <v>6</v>
      </c>
      <c r="H592" s="1">
        <v>43527</v>
      </c>
      <c r="I592" s="2">
        <v>0.45416666666666666</v>
      </c>
      <c r="J592" t="s">
        <v>28</v>
      </c>
      <c r="K592">
        <v>13.959</v>
      </c>
      <c r="L592">
        <v>4.3</v>
      </c>
    </row>
    <row r="593" spans="1:12" x14ac:dyDescent="0.25">
      <c r="A593" t="s">
        <v>622</v>
      </c>
      <c r="B593" t="s">
        <v>20</v>
      </c>
      <c r="C593" t="s">
        <v>21</v>
      </c>
      <c r="D593" t="s">
        <v>15</v>
      </c>
      <c r="E593" t="s">
        <v>16</v>
      </c>
      <c r="F593" t="s">
        <v>27</v>
      </c>
      <c r="G593">
        <v>7</v>
      </c>
      <c r="H593" s="1">
        <v>43492</v>
      </c>
      <c r="I593" s="2">
        <v>0.73472222222222217</v>
      </c>
      <c r="J593" t="s">
        <v>18</v>
      </c>
      <c r="K593">
        <v>8.484</v>
      </c>
      <c r="L593">
        <v>9.4</v>
      </c>
    </row>
    <row r="594" spans="1:12" x14ac:dyDescent="0.25">
      <c r="A594" t="s">
        <v>623</v>
      </c>
      <c r="B594" t="s">
        <v>13</v>
      </c>
      <c r="C594" t="s">
        <v>14</v>
      </c>
      <c r="D594" t="s">
        <v>15</v>
      </c>
      <c r="E594" t="s">
        <v>16</v>
      </c>
      <c r="F594" t="s">
        <v>31</v>
      </c>
      <c r="G594">
        <v>1</v>
      </c>
      <c r="H594" s="1">
        <v>43503</v>
      </c>
      <c r="I594" s="2">
        <v>0.59236111111111112</v>
      </c>
      <c r="J594" t="s">
        <v>24</v>
      </c>
      <c r="K594">
        <v>2.2789999999999999</v>
      </c>
      <c r="L594">
        <v>9.8000000000000007</v>
      </c>
    </row>
    <row r="595" spans="1:12" x14ac:dyDescent="0.25">
      <c r="A595" t="s">
        <v>624</v>
      </c>
      <c r="B595" t="s">
        <v>13</v>
      </c>
      <c r="C595" t="s">
        <v>14</v>
      </c>
      <c r="D595" t="s">
        <v>15</v>
      </c>
      <c r="E595" t="s">
        <v>16</v>
      </c>
      <c r="F595" t="s">
        <v>31</v>
      </c>
      <c r="G595">
        <v>3</v>
      </c>
      <c r="H595" s="1">
        <v>43501</v>
      </c>
      <c r="I595" s="2">
        <v>0.49374999999999997</v>
      </c>
      <c r="J595" t="s">
        <v>18</v>
      </c>
      <c r="K595">
        <v>11.28</v>
      </c>
      <c r="L595">
        <v>4.8</v>
      </c>
    </row>
    <row r="596" spans="1:12" x14ac:dyDescent="0.25">
      <c r="A596" t="s">
        <v>625</v>
      </c>
      <c r="B596" t="s">
        <v>37</v>
      </c>
      <c r="C596" t="s">
        <v>38</v>
      </c>
      <c r="D596" t="s">
        <v>15</v>
      </c>
      <c r="E596" t="s">
        <v>26</v>
      </c>
      <c r="F596" t="s">
        <v>31</v>
      </c>
      <c r="G596">
        <v>3</v>
      </c>
      <c r="H596" s="1">
        <v>43539</v>
      </c>
      <c r="I596" s="2">
        <v>0.54513888888888895</v>
      </c>
      <c r="J596" t="s">
        <v>24</v>
      </c>
      <c r="K596">
        <v>14.52</v>
      </c>
      <c r="L596">
        <v>5.3</v>
      </c>
    </row>
    <row r="597" spans="1:12" x14ac:dyDescent="0.25">
      <c r="A597" t="s">
        <v>626</v>
      </c>
      <c r="B597" t="s">
        <v>37</v>
      </c>
      <c r="C597" t="s">
        <v>38</v>
      </c>
      <c r="D597" t="s">
        <v>22</v>
      </c>
      <c r="E597" t="s">
        <v>26</v>
      </c>
      <c r="F597" t="s">
        <v>17</v>
      </c>
      <c r="G597">
        <v>3</v>
      </c>
      <c r="H597" s="1">
        <v>43525</v>
      </c>
      <c r="I597" s="2">
        <v>0.47916666666666669</v>
      </c>
      <c r="J597" t="s">
        <v>28</v>
      </c>
      <c r="K597">
        <v>2.2229999999999999</v>
      </c>
      <c r="L597">
        <v>8.6999999999999993</v>
      </c>
    </row>
    <row r="598" spans="1:12" x14ac:dyDescent="0.25">
      <c r="A598" t="s">
        <v>627</v>
      </c>
      <c r="B598" t="s">
        <v>13</v>
      </c>
      <c r="C598" t="s">
        <v>14</v>
      </c>
      <c r="D598" t="s">
        <v>22</v>
      </c>
      <c r="E598" t="s">
        <v>26</v>
      </c>
      <c r="F598" t="s">
        <v>39</v>
      </c>
      <c r="G598">
        <v>3</v>
      </c>
      <c r="H598" s="1">
        <v>43511</v>
      </c>
      <c r="I598" s="2">
        <v>0.5625</v>
      </c>
      <c r="J598" t="s">
        <v>28</v>
      </c>
      <c r="K598">
        <v>7.83</v>
      </c>
      <c r="L598">
        <v>9.5</v>
      </c>
    </row>
    <row r="599" spans="1:12" x14ac:dyDescent="0.25">
      <c r="A599" t="s">
        <v>628</v>
      </c>
      <c r="B599" t="s">
        <v>20</v>
      </c>
      <c r="C599" t="s">
        <v>21</v>
      </c>
      <c r="D599" t="s">
        <v>22</v>
      </c>
      <c r="E599" t="s">
        <v>16</v>
      </c>
      <c r="F599" t="s">
        <v>31</v>
      </c>
      <c r="G599">
        <v>9</v>
      </c>
      <c r="H599" s="1">
        <v>43513</v>
      </c>
      <c r="I599" s="2">
        <v>0.7993055555555556</v>
      </c>
      <c r="J599" t="s">
        <v>18</v>
      </c>
      <c r="K599">
        <v>20.997</v>
      </c>
      <c r="L599">
        <v>5.3</v>
      </c>
    </row>
    <row r="600" spans="1:12" x14ac:dyDescent="0.25">
      <c r="A600" t="s">
        <v>629</v>
      </c>
      <c r="B600" t="s">
        <v>20</v>
      </c>
      <c r="C600" t="s">
        <v>21</v>
      </c>
      <c r="D600" t="s">
        <v>22</v>
      </c>
      <c r="E600" t="s">
        <v>16</v>
      </c>
      <c r="F600" t="s">
        <v>41</v>
      </c>
      <c r="G600">
        <v>5</v>
      </c>
      <c r="H600" s="1">
        <v>43491</v>
      </c>
      <c r="I600" s="2">
        <v>0.78680555555555554</v>
      </c>
      <c r="J600" t="s">
        <v>24</v>
      </c>
      <c r="K600">
        <v>9.2125000000000004</v>
      </c>
      <c r="L600">
        <v>9.1999999999999993</v>
      </c>
    </row>
    <row r="601" spans="1:12" x14ac:dyDescent="0.25">
      <c r="A601" t="s">
        <v>630</v>
      </c>
      <c r="B601" t="s">
        <v>13</v>
      </c>
      <c r="C601" t="s">
        <v>14</v>
      </c>
      <c r="D601" t="s">
        <v>15</v>
      </c>
      <c r="E601" t="s">
        <v>16</v>
      </c>
      <c r="F601" t="s">
        <v>27</v>
      </c>
      <c r="G601">
        <v>2</v>
      </c>
      <c r="H601" s="1">
        <v>43548</v>
      </c>
      <c r="I601" s="2">
        <v>0.59861111111111109</v>
      </c>
      <c r="J601" t="s">
        <v>18</v>
      </c>
      <c r="K601">
        <v>7.032</v>
      </c>
      <c r="L601">
        <v>9.6</v>
      </c>
    </row>
    <row r="602" spans="1:12" x14ac:dyDescent="0.25">
      <c r="A602" t="s">
        <v>631</v>
      </c>
      <c r="B602" t="s">
        <v>20</v>
      </c>
      <c r="C602" t="s">
        <v>21</v>
      </c>
      <c r="D602" t="s">
        <v>22</v>
      </c>
      <c r="E602" t="s">
        <v>26</v>
      </c>
      <c r="F602" t="s">
        <v>23</v>
      </c>
      <c r="G602">
        <v>1</v>
      </c>
      <c r="H602" s="1">
        <v>43488</v>
      </c>
      <c r="I602" s="2">
        <v>0.71944444444444444</v>
      </c>
      <c r="J602" t="s">
        <v>18</v>
      </c>
      <c r="K602">
        <v>4.1539999999999999</v>
      </c>
      <c r="L602">
        <v>6.4</v>
      </c>
    </row>
    <row r="603" spans="1:12" x14ac:dyDescent="0.25">
      <c r="A603" t="s">
        <v>632</v>
      </c>
      <c r="B603" t="s">
        <v>20</v>
      </c>
      <c r="C603" t="s">
        <v>21</v>
      </c>
      <c r="D603" t="s">
        <v>22</v>
      </c>
      <c r="E603" t="s">
        <v>16</v>
      </c>
      <c r="F603" t="s">
        <v>41</v>
      </c>
      <c r="G603">
        <v>1</v>
      </c>
      <c r="H603" s="1">
        <v>43491</v>
      </c>
      <c r="I603" s="2">
        <v>0.42083333333333334</v>
      </c>
      <c r="J603" t="s">
        <v>28</v>
      </c>
      <c r="K603">
        <v>3.2494999999999998</v>
      </c>
      <c r="L603">
        <v>4.5</v>
      </c>
    </row>
    <row r="604" spans="1:12" x14ac:dyDescent="0.25">
      <c r="A604" t="s">
        <v>633</v>
      </c>
      <c r="B604" t="s">
        <v>20</v>
      </c>
      <c r="C604" t="s">
        <v>21</v>
      </c>
      <c r="D604" t="s">
        <v>22</v>
      </c>
      <c r="E604" t="s">
        <v>26</v>
      </c>
      <c r="F604" t="s">
        <v>39</v>
      </c>
      <c r="G604">
        <v>10</v>
      </c>
      <c r="H604" s="1">
        <v>43538</v>
      </c>
      <c r="I604" s="2">
        <v>0.85763888888888884</v>
      </c>
      <c r="J604" t="s">
        <v>18</v>
      </c>
      <c r="K604">
        <v>38.78</v>
      </c>
      <c r="L604">
        <v>6.9</v>
      </c>
    </row>
    <row r="605" spans="1:12" x14ac:dyDescent="0.25">
      <c r="A605" t="s">
        <v>634</v>
      </c>
      <c r="B605" t="s">
        <v>37</v>
      </c>
      <c r="C605" t="s">
        <v>38</v>
      </c>
      <c r="D605" t="s">
        <v>22</v>
      </c>
      <c r="E605" t="s">
        <v>16</v>
      </c>
      <c r="F605" t="s">
        <v>31</v>
      </c>
      <c r="G605">
        <v>6</v>
      </c>
      <c r="H605" s="1">
        <v>43541</v>
      </c>
      <c r="I605" s="2">
        <v>0.57916666666666672</v>
      </c>
      <c r="J605" t="s">
        <v>18</v>
      </c>
      <c r="K605">
        <v>16.353000000000002</v>
      </c>
      <c r="L605">
        <v>7.8</v>
      </c>
    </row>
    <row r="606" spans="1:12" x14ac:dyDescent="0.25">
      <c r="A606" t="s">
        <v>635</v>
      </c>
      <c r="B606" t="s">
        <v>20</v>
      </c>
      <c r="C606" t="s">
        <v>21</v>
      </c>
      <c r="D606" t="s">
        <v>15</v>
      </c>
      <c r="E606" t="s">
        <v>16</v>
      </c>
      <c r="F606" t="s">
        <v>41</v>
      </c>
      <c r="G606">
        <v>7</v>
      </c>
      <c r="H606" s="1">
        <v>43473</v>
      </c>
      <c r="I606" s="2">
        <v>0.83888888888888891</v>
      </c>
      <c r="J606" t="s">
        <v>24</v>
      </c>
      <c r="K606">
        <v>18.1615</v>
      </c>
      <c r="L606">
        <v>4.5</v>
      </c>
    </row>
    <row r="607" spans="1:12" x14ac:dyDescent="0.25">
      <c r="A607" t="s">
        <v>636</v>
      </c>
      <c r="B607" t="s">
        <v>37</v>
      </c>
      <c r="C607" t="s">
        <v>38</v>
      </c>
      <c r="D607" t="s">
        <v>22</v>
      </c>
      <c r="E607" t="s">
        <v>26</v>
      </c>
      <c r="F607" t="s">
        <v>27</v>
      </c>
      <c r="G607">
        <v>4</v>
      </c>
      <c r="H607" s="1">
        <v>43504</v>
      </c>
      <c r="I607" s="2">
        <v>0.6430555555555556</v>
      </c>
      <c r="J607" t="s">
        <v>24</v>
      </c>
      <c r="K607">
        <v>6.35</v>
      </c>
      <c r="L607">
        <v>8.6</v>
      </c>
    </row>
    <row r="608" spans="1:12" x14ac:dyDescent="0.25">
      <c r="A608" t="s">
        <v>637</v>
      </c>
      <c r="B608" t="s">
        <v>13</v>
      </c>
      <c r="C608" t="s">
        <v>14</v>
      </c>
      <c r="D608" t="s">
        <v>15</v>
      </c>
      <c r="E608" t="s">
        <v>16</v>
      </c>
      <c r="F608" t="s">
        <v>41</v>
      </c>
      <c r="G608">
        <v>7</v>
      </c>
      <c r="H608" s="1">
        <v>43506</v>
      </c>
      <c r="I608" s="2">
        <v>0.53888888888888886</v>
      </c>
      <c r="J608" t="s">
        <v>18</v>
      </c>
      <c r="K608">
        <v>18.7775</v>
      </c>
      <c r="L608">
        <v>5.2</v>
      </c>
    </row>
    <row r="609" spans="1:12" x14ac:dyDescent="0.25">
      <c r="A609" t="s">
        <v>638</v>
      </c>
      <c r="B609" t="s">
        <v>20</v>
      </c>
      <c r="C609" t="s">
        <v>21</v>
      </c>
      <c r="D609" t="s">
        <v>15</v>
      </c>
      <c r="E609" t="s">
        <v>16</v>
      </c>
      <c r="F609" t="s">
        <v>39</v>
      </c>
      <c r="G609">
        <v>4</v>
      </c>
      <c r="H609" s="1">
        <v>43552</v>
      </c>
      <c r="I609" s="2">
        <v>0.8027777777777777</v>
      </c>
      <c r="J609" t="s">
        <v>28</v>
      </c>
      <c r="K609">
        <v>9.9580000000000002</v>
      </c>
      <c r="L609">
        <v>6.4</v>
      </c>
    </row>
    <row r="610" spans="1:12" x14ac:dyDescent="0.25">
      <c r="A610" t="s">
        <v>639</v>
      </c>
      <c r="B610" t="s">
        <v>13</v>
      </c>
      <c r="C610" t="s">
        <v>14</v>
      </c>
      <c r="D610" t="s">
        <v>22</v>
      </c>
      <c r="E610" t="s">
        <v>26</v>
      </c>
      <c r="F610" t="s">
        <v>41</v>
      </c>
      <c r="G610">
        <v>1</v>
      </c>
      <c r="H610" s="1">
        <v>43488</v>
      </c>
      <c r="I610" s="2">
        <v>0.51388888888888895</v>
      </c>
      <c r="J610" t="s">
        <v>18</v>
      </c>
      <c r="K610">
        <v>1.5305</v>
      </c>
      <c r="L610">
        <v>5.2</v>
      </c>
    </row>
    <row r="611" spans="1:12" x14ac:dyDescent="0.25">
      <c r="A611" t="s">
        <v>640</v>
      </c>
      <c r="B611" t="s">
        <v>37</v>
      </c>
      <c r="C611" t="s">
        <v>38</v>
      </c>
      <c r="D611" t="s">
        <v>15</v>
      </c>
      <c r="E611" t="s">
        <v>26</v>
      </c>
      <c r="F611" t="s">
        <v>39</v>
      </c>
      <c r="G611">
        <v>2</v>
      </c>
      <c r="H611" s="1">
        <v>43482</v>
      </c>
      <c r="I611" s="2">
        <v>0.44236111111111115</v>
      </c>
      <c r="J611" t="s">
        <v>18</v>
      </c>
      <c r="K611">
        <v>5.7889999999999997</v>
      </c>
      <c r="L611">
        <v>8.9</v>
      </c>
    </row>
    <row r="612" spans="1:12" x14ac:dyDescent="0.25">
      <c r="A612" t="s">
        <v>641</v>
      </c>
      <c r="B612" t="s">
        <v>13</v>
      </c>
      <c r="C612" t="s">
        <v>14</v>
      </c>
      <c r="D612" t="s">
        <v>22</v>
      </c>
      <c r="E612" t="s">
        <v>16</v>
      </c>
      <c r="F612" t="s">
        <v>23</v>
      </c>
      <c r="G612">
        <v>1</v>
      </c>
      <c r="H612" s="1">
        <v>43503</v>
      </c>
      <c r="I612" s="2">
        <v>0.4291666666666667</v>
      </c>
      <c r="J612" t="s">
        <v>28</v>
      </c>
      <c r="K612">
        <v>1.448</v>
      </c>
      <c r="L612">
        <v>6.2</v>
      </c>
    </row>
    <row r="613" spans="1:12" x14ac:dyDescent="0.25">
      <c r="A613" t="s">
        <v>642</v>
      </c>
      <c r="B613" t="s">
        <v>20</v>
      </c>
      <c r="C613" t="s">
        <v>21</v>
      </c>
      <c r="D613" t="s">
        <v>15</v>
      </c>
      <c r="E613" t="s">
        <v>16</v>
      </c>
      <c r="F613" t="s">
        <v>39</v>
      </c>
      <c r="G613">
        <v>9</v>
      </c>
      <c r="H613" s="1">
        <v>43533</v>
      </c>
      <c r="I613" s="2">
        <v>0.47430555555555554</v>
      </c>
      <c r="J613" t="s">
        <v>24</v>
      </c>
      <c r="K613">
        <v>44.536499999999997</v>
      </c>
      <c r="L613">
        <v>6.7</v>
      </c>
    </row>
    <row r="614" spans="1:12" x14ac:dyDescent="0.25">
      <c r="A614" t="s">
        <v>643</v>
      </c>
      <c r="B614" t="s">
        <v>37</v>
      </c>
      <c r="C614" t="s">
        <v>38</v>
      </c>
      <c r="D614" t="s">
        <v>15</v>
      </c>
      <c r="E614" t="s">
        <v>26</v>
      </c>
      <c r="F614" t="s">
        <v>41</v>
      </c>
      <c r="G614">
        <v>3</v>
      </c>
      <c r="H614" s="1">
        <v>43489</v>
      </c>
      <c r="I614" s="2">
        <v>0.48958333333333331</v>
      </c>
      <c r="J614" t="s">
        <v>24</v>
      </c>
      <c r="K614">
        <v>13.983000000000001</v>
      </c>
      <c r="L614">
        <v>7.2</v>
      </c>
    </row>
    <row r="615" spans="1:12" x14ac:dyDescent="0.25">
      <c r="A615" t="s">
        <v>644</v>
      </c>
      <c r="B615" t="s">
        <v>20</v>
      </c>
      <c r="C615" t="s">
        <v>21</v>
      </c>
      <c r="D615" t="s">
        <v>15</v>
      </c>
      <c r="E615" t="s">
        <v>26</v>
      </c>
      <c r="F615" t="s">
        <v>31</v>
      </c>
      <c r="G615">
        <v>1</v>
      </c>
      <c r="H615" s="1">
        <v>43484</v>
      </c>
      <c r="I615" s="2">
        <v>0.67222222222222217</v>
      </c>
      <c r="J615" t="s">
        <v>28</v>
      </c>
      <c r="K615">
        <v>4.0465</v>
      </c>
      <c r="L615">
        <v>9</v>
      </c>
    </row>
    <row r="616" spans="1:12" x14ac:dyDescent="0.25">
      <c r="A616" t="s">
        <v>645</v>
      </c>
      <c r="B616" t="s">
        <v>13</v>
      </c>
      <c r="C616" t="s">
        <v>14</v>
      </c>
      <c r="D616" t="s">
        <v>15</v>
      </c>
      <c r="E616" t="s">
        <v>26</v>
      </c>
      <c r="F616" t="s">
        <v>39</v>
      </c>
      <c r="G616">
        <v>10</v>
      </c>
      <c r="H616" s="1">
        <v>43499</v>
      </c>
      <c r="I616" s="2">
        <v>0.47569444444444442</v>
      </c>
      <c r="J616" t="s">
        <v>18</v>
      </c>
      <c r="K616">
        <v>33.725000000000001</v>
      </c>
      <c r="L616">
        <v>4.2</v>
      </c>
    </row>
    <row r="617" spans="1:12" x14ac:dyDescent="0.25">
      <c r="A617" t="s">
        <v>646</v>
      </c>
      <c r="B617" t="s">
        <v>13</v>
      </c>
      <c r="C617" t="s">
        <v>14</v>
      </c>
      <c r="D617" t="s">
        <v>15</v>
      </c>
      <c r="E617" t="s">
        <v>16</v>
      </c>
      <c r="F617" t="s">
        <v>31</v>
      </c>
      <c r="G617">
        <v>9</v>
      </c>
      <c r="H617" s="1">
        <v>43544</v>
      </c>
      <c r="I617" s="2">
        <v>0.51666666666666672</v>
      </c>
      <c r="J617" t="s">
        <v>18</v>
      </c>
      <c r="K617">
        <v>17.423999999999999</v>
      </c>
      <c r="L617">
        <v>4.2</v>
      </c>
    </row>
    <row r="618" spans="1:12" x14ac:dyDescent="0.25">
      <c r="A618" t="s">
        <v>647</v>
      </c>
      <c r="B618" t="s">
        <v>37</v>
      </c>
      <c r="C618" t="s">
        <v>38</v>
      </c>
      <c r="D618" t="s">
        <v>15</v>
      </c>
      <c r="E618" t="s">
        <v>26</v>
      </c>
      <c r="F618" t="s">
        <v>31</v>
      </c>
      <c r="G618">
        <v>6</v>
      </c>
      <c r="H618" s="1">
        <v>43478</v>
      </c>
      <c r="I618" s="2">
        <v>0.82708333333333339</v>
      </c>
      <c r="J618" t="s">
        <v>24</v>
      </c>
      <c r="K618">
        <v>21.78</v>
      </c>
      <c r="L618">
        <v>6.9</v>
      </c>
    </row>
    <row r="619" spans="1:12" x14ac:dyDescent="0.25">
      <c r="A619" t="s">
        <v>648</v>
      </c>
      <c r="B619" t="s">
        <v>20</v>
      </c>
      <c r="C619" t="s">
        <v>21</v>
      </c>
      <c r="D619" t="s">
        <v>15</v>
      </c>
      <c r="E619" t="s">
        <v>26</v>
      </c>
      <c r="F619" t="s">
        <v>23</v>
      </c>
      <c r="G619">
        <v>5</v>
      </c>
      <c r="H619" s="1">
        <v>43538</v>
      </c>
      <c r="I619" s="2">
        <v>0.75694444444444453</v>
      </c>
      <c r="J619" t="s">
        <v>18</v>
      </c>
      <c r="K619">
        <v>21.977499999999999</v>
      </c>
      <c r="L619">
        <v>4.4000000000000004</v>
      </c>
    </row>
    <row r="620" spans="1:12" x14ac:dyDescent="0.25">
      <c r="A620" t="s">
        <v>649</v>
      </c>
      <c r="B620" t="s">
        <v>13</v>
      </c>
      <c r="C620" t="s">
        <v>14</v>
      </c>
      <c r="D620" t="s">
        <v>15</v>
      </c>
      <c r="E620" t="s">
        <v>26</v>
      </c>
      <c r="F620" t="s">
        <v>39</v>
      </c>
      <c r="G620">
        <v>6</v>
      </c>
      <c r="H620" s="1">
        <v>43488</v>
      </c>
      <c r="I620" s="2">
        <v>0.47361111111111115</v>
      </c>
      <c r="J620" t="s">
        <v>28</v>
      </c>
      <c r="K620">
        <v>29.559000000000001</v>
      </c>
      <c r="L620">
        <v>4</v>
      </c>
    </row>
    <row r="621" spans="1:12" x14ac:dyDescent="0.25">
      <c r="A621" t="s">
        <v>650</v>
      </c>
      <c r="B621" t="s">
        <v>20</v>
      </c>
      <c r="C621" t="s">
        <v>21</v>
      </c>
      <c r="D621" t="s">
        <v>15</v>
      </c>
      <c r="E621" t="s">
        <v>16</v>
      </c>
      <c r="F621" t="s">
        <v>41</v>
      </c>
      <c r="G621">
        <v>6</v>
      </c>
      <c r="H621" s="1">
        <v>43503</v>
      </c>
      <c r="I621" s="2">
        <v>0.74652777777777779</v>
      </c>
      <c r="J621" t="s">
        <v>18</v>
      </c>
      <c r="K621">
        <v>13.038</v>
      </c>
      <c r="L621">
        <v>8.5</v>
      </c>
    </row>
    <row r="622" spans="1:12" x14ac:dyDescent="0.25">
      <c r="A622" t="s">
        <v>651</v>
      </c>
      <c r="B622" t="s">
        <v>13</v>
      </c>
      <c r="C622" t="s">
        <v>14</v>
      </c>
      <c r="D622" t="s">
        <v>22</v>
      </c>
      <c r="E622" t="s">
        <v>16</v>
      </c>
      <c r="F622" t="s">
        <v>39</v>
      </c>
      <c r="G622">
        <v>3</v>
      </c>
      <c r="H622" s="1">
        <v>43552</v>
      </c>
      <c r="I622" s="2">
        <v>0.64583333333333337</v>
      </c>
      <c r="J622" t="s">
        <v>28</v>
      </c>
      <c r="K622">
        <v>10.752000000000001</v>
      </c>
      <c r="L622">
        <v>9.1999999999999993</v>
      </c>
    </row>
    <row r="623" spans="1:12" x14ac:dyDescent="0.25">
      <c r="A623" t="s">
        <v>652</v>
      </c>
      <c r="B623" t="s">
        <v>13</v>
      </c>
      <c r="C623" t="s">
        <v>14</v>
      </c>
      <c r="D623" t="s">
        <v>15</v>
      </c>
      <c r="E623" t="s">
        <v>16</v>
      </c>
      <c r="F623" t="s">
        <v>39</v>
      </c>
      <c r="G623">
        <v>1</v>
      </c>
      <c r="H623" s="1">
        <v>43544</v>
      </c>
      <c r="I623" s="2">
        <v>0.8222222222222223</v>
      </c>
      <c r="J623" t="s">
        <v>24</v>
      </c>
      <c r="K623">
        <v>4.5804999999999998</v>
      </c>
      <c r="L623">
        <v>9.8000000000000007</v>
      </c>
    </row>
    <row r="624" spans="1:12" x14ac:dyDescent="0.25">
      <c r="A624" t="s">
        <v>653</v>
      </c>
      <c r="B624" t="s">
        <v>37</v>
      </c>
      <c r="C624" t="s">
        <v>38</v>
      </c>
      <c r="D624" t="s">
        <v>15</v>
      </c>
      <c r="E624" t="s">
        <v>16</v>
      </c>
      <c r="F624" t="s">
        <v>27</v>
      </c>
      <c r="G624">
        <v>7</v>
      </c>
      <c r="H624" s="1">
        <v>43482</v>
      </c>
      <c r="I624" s="2">
        <v>0.64374999999999993</v>
      </c>
      <c r="J624" t="s">
        <v>28</v>
      </c>
      <c r="K624">
        <v>33.106499999999997</v>
      </c>
      <c r="L624">
        <v>4.9000000000000004</v>
      </c>
    </row>
    <row r="625" spans="1:12" x14ac:dyDescent="0.25">
      <c r="A625" t="s">
        <v>654</v>
      </c>
      <c r="B625" t="s">
        <v>37</v>
      </c>
      <c r="C625" t="s">
        <v>38</v>
      </c>
      <c r="D625" t="s">
        <v>22</v>
      </c>
      <c r="E625" t="s">
        <v>16</v>
      </c>
      <c r="F625" t="s">
        <v>41</v>
      </c>
      <c r="G625">
        <v>10</v>
      </c>
      <c r="H625" s="1">
        <v>43477</v>
      </c>
      <c r="I625" s="2">
        <v>0.47569444444444442</v>
      </c>
      <c r="J625" t="s">
        <v>28</v>
      </c>
      <c r="K625">
        <v>41.625</v>
      </c>
      <c r="L625">
        <v>4.4000000000000004</v>
      </c>
    </row>
    <row r="626" spans="1:12" x14ac:dyDescent="0.25">
      <c r="A626" t="s">
        <v>655</v>
      </c>
      <c r="B626" t="s">
        <v>37</v>
      </c>
      <c r="C626" t="s">
        <v>38</v>
      </c>
      <c r="D626" t="s">
        <v>15</v>
      </c>
      <c r="E626" t="s">
        <v>26</v>
      </c>
      <c r="F626" t="s">
        <v>41</v>
      </c>
      <c r="G626">
        <v>1</v>
      </c>
      <c r="H626" s="1">
        <v>43512</v>
      </c>
      <c r="I626" s="2">
        <v>0.65416666666666667</v>
      </c>
      <c r="J626" t="s">
        <v>24</v>
      </c>
      <c r="K626">
        <v>4.5674999999999999</v>
      </c>
      <c r="L626">
        <v>6.8</v>
      </c>
    </row>
    <row r="627" spans="1:12" x14ac:dyDescent="0.25">
      <c r="A627" t="s">
        <v>656</v>
      </c>
      <c r="B627" t="s">
        <v>37</v>
      </c>
      <c r="C627" t="s">
        <v>38</v>
      </c>
      <c r="D627" t="s">
        <v>15</v>
      </c>
      <c r="E627" t="s">
        <v>16</v>
      </c>
      <c r="F627" t="s">
        <v>39</v>
      </c>
      <c r="G627">
        <v>2</v>
      </c>
      <c r="H627" s="1">
        <v>43491</v>
      </c>
      <c r="I627" s="2">
        <v>0.6694444444444444</v>
      </c>
      <c r="J627" t="s">
        <v>24</v>
      </c>
      <c r="K627">
        <v>7.8879999999999999</v>
      </c>
      <c r="L627">
        <v>9.1</v>
      </c>
    </row>
    <row r="628" spans="1:12" x14ac:dyDescent="0.25">
      <c r="A628" t="s">
        <v>657</v>
      </c>
      <c r="B628" t="s">
        <v>13</v>
      </c>
      <c r="C628" t="s">
        <v>14</v>
      </c>
      <c r="D628" t="s">
        <v>22</v>
      </c>
      <c r="E628" t="s">
        <v>26</v>
      </c>
      <c r="F628" t="s">
        <v>31</v>
      </c>
      <c r="G628">
        <v>2</v>
      </c>
      <c r="H628" s="1">
        <v>43533</v>
      </c>
      <c r="I628" s="2">
        <v>0.52569444444444446</v>
      </c>
      <c r="J628" t="s">
        <v>18</v>
      </c>
      <c r="K628">
        <v>6.0869999999999997</v>
      </c>
      <c r="L628">
        <v>8.6999999999999993</v>
      </c>
    </row>
    <row r="629" spans="1:12" x14ac:dyDescent="0.25">
      <c r="A629" t="s">
        <v>658</v>
      </c>
      <c r="B629" t="s">
        <v>37</v>
      </c>
      <c r="C629" t="s">
        <v>38</v>
      </c>
      <c r="D629" t="s">
        <v>15</v>
      </c>
      <c r="E629" t="s">
        <v>26</v>
      </c>
      <c r="F629" t="s">
        <v>17</v>
      </c>
      <c r="G629">
        <v>10</v>
      </c>
      <c r="H629" s="1">
        <v>43538</v>
      </c>
      <c r="I629" s="2">
        <v>0.6118055555555556</v>
      </c>
      <c r="J629" t="s">
        <v>24</v>
      </c>
      <c r="K629">
        <v>41.29</v>
      </c>
      <c r="L629">
        <v>5</v>
      </c>
    </row>
    <row r="630" spans="1:12" x14ac:dyDescent="0.25">
      <c r="A630" t="s">
        <v>659</v>
      </c>
      <c r="B630" t="s">
        <v>13</v>
      </c>
      <c r="C630" t="s">
        <v>14</v>
      </c>
      <c r="D630" t="s">
        <v>15</v>
      </c>
      <c r="E630" t="s">
        <v>26</v>
      </c>
      <c r="F630" t="s">
        <v>27</v>
      </c>
      <c r="G630">
        <v>3</v>
      </c>
      <c r="H630" s="1">
        <v>43490</v>
      </c>
      <c r="I630" s="2">
        <v>0.59652777777777777</v>
      </c>
      <c r="J630" t="s">
        <v>18</v>
      </c>
      <c r="K630">
        <v>7.9950000000000001</v>
      </c>
      <c r="L630">
        <v>7.5</v>
      </c>
    </row>
    <row r="631" spans="1:12" x14ac:dyDescent="0.25">
      <c r="A631" t="s">
        <v>660</v>
      </c>
      <c r="B631" t="s">
        <v>13</v>
      </c>
      <c r="C631" t="s">
        <v>14</v>
      </c>
      <c r="D631" t="s">
        <v>22</v>
      </c>
      <c r="E631" t="s">
        <v>16</v>
      </c>
      <c r="F631" t="s">
        <v>41</v>
      </c>
      <c r="G631">
        <v>1</v>
      </c>
      <c r="H631" s="1">
        <v>43491</v>
      </c>
      <c r="I631" s="2">
        <v>0.7631944444444444</v>
      </c>
      <c r="J631" t="s">
        <v>28</v>
      </c>
      <c r="K631">
        <v>0.60450000000000004</v>
      </c>
      <c r="L631">
        <v>8.1999999999999993</v>
      </c>
    </row>
    <row r="632" spans="1:12" x14ac:dyDescent="0.25">
      <c r="A632" t="s">
        <v>661</v>
      </c>
      <c r="B632" t="s">
        <v>13</v>
      </c>
      <c r="C632" t="s">
        <v>14</v>
      </c>
      <c r="D632" t="s">
        <v>22</v>
      </c>
      <c r="E632" t="s">
        <v>26</v>
      </c>
      <c r="F632" t="s">
        <v>31</v>
      </c>
      <c r="G632">
        <v>10</v>
      </c>
      <c r="H632" s="1">
        <v>43484</v>
      </c>
      <c r="I632" s="2">
        <v>0.58888888888888891</v>
      </c>
      <c r="J632" t="s">
        <v>28</v>
      </c>
      <c r="K632">
        <v>32.094999999999999</v>
      </c>
      <c r="L632">
        <v>6.7</v>
      </c>
    </row>
    <row r="633" spans="1:12" x14ac:dyDescent="0.25">
      <c r="A633" t="s">
        <v>662</v>
      </c>
      <c r="B633" t="s">
        <v>13</v>
      </c>
      <c r="C633" t="s">
        <v>14</v>
      </c>
      <c r="D633" t="s">
        <v>22</v>
      </c>
      <c r="E633" t="s">
        <v>26</v>
      </c>
      <c r="F633" t="s">
        <v>23</v>
      </c>
      <c r="G633">
        <v>3</v>
      </c>
      <c r="H633" s="1">
        <v>43529</v>
      </c>
      <c r="I633" s="2">
        <v>0.69305555555555554</v>
      </c>
      <c r="J633" t="s">
        <v>18</v>
      </c>
      <c r="K633">
        <v>11.746499999999999</v>
      </c>
      <c r="L633">
        <v>5.4</v>
      </c>
    </row>
    <row r="634" spans="1:12" x14ac:dyDescent="0.25">
      <c r="A634" t="s">
        <v>663</v>
      </c>
      <c r="B634" t="s">
        <v>13</v>
      </c>
      <c r="C634" t="s">
        <v>14</v>
      </c>
      <c r="D634" t="s">
        <v>15</v>
      </c>
      <c r="E634" t="s">
        <v>26</v>
      </c>
      <c r="F634" t="s">
        <v>39</v>
      </c>
      <c r="G634">
        <v>2</v>
      </c>
      <c r="H634" s="1">
        <v>43480</v>
      </c>
      <c r="I634" s="2">
        <v>0.45416666666666666</v>
      </c>
      <c r="J634" t="s">
        <v>28</v>
      </c>
      <c r="K634">
        <v>8.3770000000000007</v>
      </c>
      <c r="L634">
        <v>7</v>
      </c>
    </row>
    <row r="635" spans="1:12" x14ac:dyDescent="0.25">
      <c r="A635" t="s">
        <v>664</v>
      </c>
      <c r="B635" t="s">
        <v>37</v>
      </c>
      <c r="C635" t="s">
        <v>38</v>
      </c>
      <c r="D635" t="s">
        <v>22</v>
      </c>
      <c r="E635" t="s">
        <v>26</v>
      </c>
      <c r="F635" t="s">
        <v>27</v>
      </c>
      <c r="G635">
        <v>3</v>
      </c>
      <c r="H635" s="1">
        <v>43542</v>
      </c>
      <c r="I635" s="2">
        <v>0.47847222222222219</v>
      </c>
      <c r="J635" t="s">
        <v>18</v>
      </c>
      <c r="K635">
        <v>14.955</v>
      </c>
      <c r="L635">
        <v>4.7</v>
      </c>
    </row>
    <row r="636" spans="1:12" x14ac:dyDescent="0.25">
      <c r="A636" t="s">
        <v>665</v>
      </c>
      <c r="B636" t="s">
        <v>37</v>
      </c>
      <c r="C636" t="s">
        <v>38</v>
      </c>
      <c r="D636" t="s">
        <v>15</v>
      </c>
      <c r="E636" t="s">
        <v>26</v>
      </c>
      <c r="F636" t="s">
        <v>39</v>
      </c>
      <c r="G636">
        <v>3</v>
      </c>
      <c r="H636" s="1">
        <v>43544</v>
      </c>
      <c r="I636" s="2">
        <v>0.81111111111111101</v>
      </c>
      <c r="J636" t="s">
        <v>28</v>
      </c>
      <c r="K636">
        <v>11.986499999999999</v>
      </c>
      <c r="L636">
        <v>5</v>
      </c>
    </row>
    <row r="637" spans="1:12" x14ac:dyDescent="0.25">
      <c r="A637" t="s">
        <v>666</v>
      </c>
      <c r="B637" t="s">
        <v>37</v>
      </c>
      <c r="C637" t="s">
        <v>38</v>
      </c>
      <c r="D637" t="s">
        <v>15</v>
      </c>
      <c r="E637" t="s">
        <v>26</v>
      </c>
      <c r="F637" t="s">
        <v>17</v>
      </c>
      <c r="G637">
        <v>10</v>
      </c>
      <c r="H637" s="1">
        <v>43480</v>
      </c>
      <c r="I637" s="2">
        <v>0.62569444444444444</v>
      </c>
      <c r="J637" t="s">
        <v>28</v>
      </c>
      <c r="K637">
        <v>33.234999999999999</v>
      </c>
      <c r="L637">
        <v>5</v>
      </c>
    </row>
    <row r="638" spans="1:12" x14ac:dyDescent="0.25">
      <c r="A638" t="s">
        <v>667</v>
      </c>
      <c r="B638" t="s">
        <v>13</v>
      </c>
      <c r="C638" t="s">
        <v>14</v>
      </c>
      <c r="D638" t="s">
        <v>22</v>
      </c>
      <c r="E638" t="s">
        <v>26</v>
      </c>
      <c r="F638" t="s">
        <v>17</v>
      </c>
      <c r="G638">
        <v>7</v>
      </c>
      <c r="H638" s="1">
        <v>43527</v>
      </c>
      <c r="I638" s="2">
        <v>0.85486111111111107</v>
      </c>
      <c r="J638" t="s">
        <v>28</v>
      </c>
      <c r="K638">
        <v>10.1325</v>
      </c>
      <c r="L638">
        <v>6</v>
      </c>
    </row>
    <row r="639" spans="1:12" x14ac:dyDescent="0.25">
      <c r="A639" t="s">
        <v>668</v>
      </c>
      <c r="B639" t="s">
        <v>20</v>
      </c>
      <c r="C639" t="s">
        <v>21</v>
      </c>
      <c r="D639" t="s">
        <v>22</v>
      </c>
      <c r="E639" t="s">
        <v>16</v>
      </c>
      <c r="F639" t="s">
        <v>23</v>
      </c>
      <c r="G639">
        <v>1</v>
      </c>
      <c r="H639" s="1">
        <v>43543</v>
      </c>
      <c r="I639" s="2">
        <v>0.51111111111111118</v>
      </c>
      <c r="J639" t="s">
        <v>24</v>
      </c>
      <c r="K639">
        <v>2.31</v>
      </c>
      <c r="L639">
        <v>6.3</v>
      </c>
    </row>
    <row r="640" spans="1:12" x14ac:dyDescent="0.25">
      <c r="A640" t="s">
        <v>669</v>
      </c>
      <c r="B640" t="s">
        <v>37</v>
      </c>
      <c r="C640" t="s">
        <v>38</v>
      </c>
      <c r="D640" t="s">
        <v>15</v>
      </c>
      <c r="E640" t="s">
        <v>16</v>
      </c>
      <c r="F640" t="s">
        <v>39</v>
      </c>
      <c r="G640">
        <v>5</v>
      </c>
      <c r="H640" s="1">
        <v>43532</v>
      </c>
      <c r="I640" s="2">
        <v>0.64374999999999993</v>
      </c>
      <c r="J640" t="s">
        <v>24</v>
      </c>
      <c r="K640">
        <v>4.4074999999999998</v>
      </c>
      <c r="L640">
        <v>8.5</v>
      </c>
    </row>
    <row r="641" spans="1:12" x14ac:dyDescent="0.25">
      <c r="A641" t="s">
        <v>670</v>
      </c>
      <c r="B641" t="s">
        <v>37</v>
      </c>
      <c r="C641" t="s">
        <v>38</v>
      </c>
      <c r="D641" t="s">
        <v>22</v>
      </c>
      <c r="E641" t="s">
        <v>26</v>
      </c>
      <c r="F641" t="s">
        <v>41</v>
      </c>
      <c r="G641">
        <v>3</v>
      </c>
      <c r="H641" s="1">
        <v>43523</v>
      </c>
      <c r="I641" s="2">
        <v>0.73333333333333339</v>
      </c>
      <c r="J641" t="s">
        <v>18</v>
      </c>
      <c r="K641">
        <v>7.8630000000000004</v>
      </c>
      <c r="L641">
        <v>7.5</v>
      </c>
    </row>
    <row r="642" spans="1:12" x14ac:dyDescent="0.25">
      <c r="A642" t="s">
        <v>671</v>
      </c>
      <c r="B642" t="s">
        <v>37</v>
      </c>
      <c r="C642" t="s">
        <v>38</v>
      </c>
      <c r="D642" t="s">
        <v>15</v>
      </c>
      <c r="E642" t="s">
        <v>16</v>
      </c>
      <c r="F642" t="s">
        <v>39</v>
      </c>
      <c r="G642">
        <v>3</v>
      </c>
      <c r="H642" s="1">
        <v>43519</v>
      </c>
      <c r="I642" s="2">
        <v>0.83333333333333337</v>
      </c>
      <c r="J642" t="s">
        <v>18</v>
      </c>
      <c r="K642">
        <v>14.8185</v>
      </c>
      <c r="L642">
        <v>6.4</v>
      </c>
    </row>
    <row r="643" spans="1:12" x14ac:dyDescent="0.25">
      <c r="A643" t="s">
        <v>672</v>
      </c>
      <c r="B643" t="s">
        <v>20</v>
      </c>
      <c r="C643" t="s">
        <v>21</v>
      </c>
      <c r="D643" t="s">
        <v>15</v>
      </c>
      <c r="E643" t="s">
        <v>16</v>
      </c>
      <c r="F643" t="s">
        <v>23</v>
      </c>
      <c r="G643">
        <v>8</v>
      </c>
      <c r="H643" s="1">
        <v>43543</v>
      </c>
      <c r="I643" s="2">
        <v>0.64513888888888882</v>
      </c>
      <c r="J643" t="s">
        <v>18</v>
      </c>
      <c r="K643">
        <v>35.42</v>
      </c>
      <c r="L643">
        <v>4.7</v>
      </c>
    </row>
    <row r="644" spans="1:12" x14ac:dyDescent="0.25">
      <c r="A644" t="s">
        <v>673</v>
      </c>
      <c r="B644" t="s">
        <v>37</v>
      </c>
      <c r="C644" t="s">
        <v>38</v>
      </c>
      <c r="D644" t="s">
        <v>15</v>
      </c>
      <c r="E644" t="s">
        <v>26</v>
      </c>
      <c r="F644" t="s">
        <v>23</v>
      </c>
      <c r="G644">
        <v>2</v>
      </c>
      <c r="H644" s="1">
        <v>43551</v>
      </c>
      <c r="I644" s="2">
        <v>0.63055555555555554</v>
      </c>
      <c r="J644" t="s">
        <v>18</v>
      </c>
      <c r="K644">
        <v>5.5670000000000002</v>
      </c>
      <c r="L644">
        <v>6</v>
      </c>
    </row>
    <row r="645" spans="1:12" x14ac:dyDescent="0.25">
      <c r="A645" t="s">
        <v>674</v>
      </c>
      <c r="B645" t="s">
        <v>20</v>
      </c>
      <c r="C645" t="s">
        <v>21</v>
      </c>
      <c r="D645" t="s">
        <v>15</v>
      </c>
      <c r="E645" t="s">
        <v>16</v>
      </c>
      <c r="F645" t="s">
        <v>39</v>
      </c>
      <c r="G645">
        <v>8</v>
      </c>
      <c r="H645" s="1">
        <v>43554</v>
      </c>
      <c r="I645" s="2">
        <v>0.80972222222222223</v>
      </c>
      <c r="J645" t="s">
        <v>28</v>
      </c>
      <c r="K645">
        <v>29.007999999999999</v>
      </c>
      <c r="L645">
        <v>4</v>
      </c>
    </row>
    <row r="646" spans="1:12" x14ac:dyDescent="0.25">
      <c r="A646" t="s">
        <v>675</v>
      </c>
      <c r="B646" t="s">
        <v>20</v>
      </c>
      <c r="C646" t="s">
        <v>21</v>
      </c>
      <c r="D646" t="s">
        <v>15</v>
      </c>
      <c r="E646" t="s">
        <v>26</v>
      </c>
      <c r="F646" t="s">
        <v>23</v>
      </c>
      <c r="G646">
        <v>5</v>
      </c>
      <c r="H646" s="1">
        <v>43512</v>
      </c>
      <c r="I646" s="2">
        <v>0.66180555555555554</v>
      </c>
      <c r="J646" t="s">
        <v>18</v>
      </c>
      <c r="K646">
        <v>3.0125000000000002</v>
      </c>
      <c r="L646">
        <v>5.5</v>
      </c>
    </row>
    <row r="647" spans="1:12" x14ac:dyDescent="0.25">
      <c r="A647" t="s">
        <v>676</v>
      </c>
      <c r="B647" t="s">
        <v>13</v>
      </c>
      <c r="C647" t="s">
        <v>14</v>
      </c>
      <c r="D647" t="s">
        <v>15</v>
      </c>
      <c r="E647" t="s">
        <v>26</v>
      </c>
      <c r="F647" t="s">
        <v>27</v>
      </c>
      <c r="G647">
        <v>9</v>
      </c>
      <c r="H647" s="1">
        <v>43483</v>
      </c>
      <c r="I647" s="2">
        <v>0.77986111111111101</v>
      </c>
      <c r="J647" t="s">
        <v>18</v>
      </c>
      <c r="K647">
        <v>8.7119999999999997</v>
      </c>
      <c r="L647">
        <v>8.6999999999999993</v>
      </c>
    </row>
    <row r="648" spans="1:12" x14ac:dyDescent="0.25">
      <c r="A648" t="s">
        <v>677</v>
      </c>
      <c r="B648" t="s">
        <v>20</v>
      </c>
      <c r="C648" t="s">
        <v>21</v>
      </c>
      <c r="D648" t="s">
        <v>22</v>
      </c>
      <c r="E648" t="s">
        <v>26</v>
      </c>
      <c r="F648" t="s">
        <v>17</v>
      </c>
      <c r="G648">
        <v>6</v>
      </c>
      <c r="H648" s="1">
        <v>43554</v>
      </c>
      <c r="I648" s="2">
        <v>0.62361111111111112</v>
      </c>
      <c r="J648" t="s">
        <v>24</v>
      </c>
      <c r="K648">
        <v>21.062999999999999</v>
      </c>
      <c r="L648">
        <v>7.4</v>
      </c>
    </row>
    <row r="649" spans="1:12" x14ac:dyDescent="0.25">
      <c r="A649" t="s">
        <v>678</v>
      </c>
      <c r="B649" t="s">
        <v>37</v>
      </c>
      <c r="C649" t="s">
        <v>38</v>
      </c>
      <c r="D649" t="s">
        <v>15</v>
      </c>
      <c r="E649" t="s">
        <v>26</v>
      </c>
      <c r="F649" t="s">
        <v>41</v>
      </c>
      <c r="G649">
        <v>1</v>
      </c>
      <c r="H649" s="1">
        <v>43544</v>
      </c>
      <c r="I649" s="2">
        <v>0.82986111111111116</v>
      </c>
      <c r="J649" t="s">
        <v>24</v>
      </c>
      <c r="K649">
        <v>1.6815</v>
      </c>
      <c r="L649">
        <v>5.6</v>
      </c>
    </row>
    <row r="650" spans="1:12" x14ac:dyDescent="0.25">
      <c r="A650" t="s">
        <v>679</v>
      </c>
      <c r="B650" t="s">
        <v>20</v>
      </c>
      <c r="C650" t="s">
        <v>21</v>
      </c>
      <c r="D650" t="s">
        <v>15</v>
      </c>
      <c r="E650" t="s">
        <v>16</v>
      </c>
      <c r="F650" t="s">
        <v>31</v>
      </c>
      <c r="G650">
        <v>2</v>
      </c>
      <c r="H650" s="1">
        <v>43481</v>
      </c>
      <c r="I650" s="2">
        <v>0.63194444444444442</v>
      </c>
      <c r="J650" t="s">
        <v>24</v>
      </c>
      <c r="K650">
        <v>1.5489999999999999</v>
      </c>
      <c r="L650">
        <v>6.3</v>
      </c>
    </row>
    <row r="651" spans="1:12" x14ac:dyDescent="0.25">
      <c r="A651" t="s">
        <v>680</v>
      </c>
      <c r="B651" t="s">
        <v>20</v>
      </c>
      <c r="C651" t="s">
        <v>21</v>
      </c>
      <c r="D651" t="s">
        <v>22</v>
      </c>
      <c r="E651" t="s">
        <v>26</v>
      </c>
      <c r="F651" t="s">
        <v>23</v>
      </c>
      <c r="G651">
        <v>10</v>
      </c>
      <c r="H651" s="1">
        <v>43520</v>
      </c>
      <c r="I651" s="2">
        <v>0.6972222222222223</v>
      </c>
      <c r="J651" t="s">
        <v>24</v>
      </c>
      <c r="K651">
        <v>12.37</v>
      </c>
      <c r="L651">
        <v>7.1</v>
      </c>
    </row>
    <row r="652" spans="1:12" x14ac:dyDescent="0.25">
      <c r="A652" t="s">
        <v>681</v>
      </c>
      <c r="B652" t="s">
        <v>37</v>
      </c>
      <c r="C652" t="s">
        <v>38</v>
      </c>
      <c r="D652" t="s">
        <v>22</v>
      </c>
      <c r="E652" t="s">
        <v>26</v>
      </c>
      <c r="F652" t="s">
        <v>23</v>
      </c>
      <c r="G652">
        <v>5</v>
      </c>
      <c r="H652" s="1">
        <v>43480</v>
      </c>
      <c r="I652" s="2">
        <v>0.76527777777777783</v>
      </c>
      <c r="J652" t="s">
        <v>18</v>
      </c>
      <c r="K652">
        <v>18.914999999999999</v>
      </c>
      <c r="L652">
        <v>7.8</v>
      </c>
    </row>
    <row r="653" spans="1:12" x14ac:dyDescent="0.25">
      <c r="A653" t="s">
        <v>682</v>
      </c>
      <c r="B653" t="s">
        <v>37</v>
      </c>
      <c r="C653" t="s">
        <v>38</v>
      </c>
      <c r="D653" t="s">
        <v>22</v>
      </c>
      <c r="E653" t="s">
        <v>16</v>
      </c>
      <c r="F653" t="s">
        <v>17</v>
      </c>
      <c r="G653">
        <v>6</v>
      </c>
      <c r="H653" s="1">
        <v>43487</v>
      </c>
      <c r="I653" s="2">
        <v>0.49444444444444446</v>
      </c>
      <c r="J653" t="s">
        <v>24</v>
      </c>
      <c r="K653">
        <v>16.742999999999999</v>
      </c>
      <c r="L653">
        <v>9.9</v>
      </c>
    </row>
    <row r="654" spans="1:12" x14ac:dyDescent="0.25">
      <c r="A654" t="s">
        <v>683</v>
      </c>
      <c r="B654" t="s">
        <v>13</v>
      </c>
      <c r="C654" t="s">
        <v>14</v>
      </c>
      <c r="D654" t="s">
        <v>15</v>
      </c>
      <c r="E654" t="s">
        <v>26</v>
      </c>
      <c r="F654" t="s">
        <v>27</v>
      </c>
      <c r="G654">
        <v>10</v>
      </c>
      <c r="H654" s="1">
        <v>43499</v>
      </c>
      <c r="I654" s="2">
        <v>0.72499999999999998</v>
      </c>
      <c r="J654" t="s">
        <v>24</v>
      </c>
      <c r="K654">
        <v>36.39</v>
      </c>
      <c r="L654">
        <v>7.3</v>
      </c>
    </row>
    <row r="655" spans="1:12" x14ac:dyDescent="0.25">
      <c r="A655" t="s">
        <v>684</v>
      </c>
      <c r="B655" t="s">
        <v>37</v>
      </c>
      <c r="C655" t="s">
        <v>38</v>
      </c>
      <c r="D655" t="s">
        <v>15</v>
      </c>
      <c r="E655" t="s">
        <v>26</v>
      </c>
      <c r="F655" t="s">
        <v>31</v>
      </c>
      <c r="G655">
        <v>9</v>
      </c>
      <c r="H655" s="1">
        <v>43530</v>
      </c>
      <c r="I655" s="2">
        <v>0.64652777777777781</v>
      </c>
      <c r="J655" t="s">
        <v>18</v>
      </c>
      <c r="K655">
        <v>16.794</v>
      </c>
      <c r="L655">
        <v>5.0999999999999996</v>
      </c>
    </row>
    <row r="656" spans="1:12" x14ac:dyDescent="0.25">
      <c r="A656" t="s">
        <v>685</v>
      </c>
      <c r="B656" t="s">
        <v>37</v>
      </c>
      <c r="C656" t="s">
        <v>38</v>
      </c>
      <c r="D656" t="s">
        <v>15</v>
      </c>
      <c r="E656" t="s">
        <v>26</v>
      </c>
      <c r="F656" t="s">
        <v>41</v>
      </c>
      <c r="G656">
        <v>4</v>
      </c>
      <c r="H656" s="1">
        <v>43512</v>
      </c>
      <c r="I656" s="2">
        <v>0.75277777777777777</v>
      </c>
      <c r="J656" t="s">
        <v>28</v>
      </c>
      <c r="K656">
        <v>12.036</v>
      </c>
      <c r="L656">
        <v>9.4</v>
      </c>
    </row>
    <row r="657" spans="1:12" x14ac:dyDescent="0.25">
      <c r="A657" t="s">
        <v>686</v>
      </c>
      <c r="B657" t="s">
        <v>13</v>
      </c>
      <c r="C657" t="s">
        <v>14</v>
      </c>
      <c r="D657" t="s">
        <v>22</v>
      </c>
      <c r="E657" t="s">
        <v>16</v>
      </c>
      <c r="F657" t="s">
        <v>23</v>
      </c>
      <c r="G657">
        <v>3</v>
      </c>
      <c r="H657" s="1">
        <v>43538</v>
      </c>
      <c r="I657" s="2">
        <v>0.59236111111111112</v>
      </c>
      <c r="J657" t="s">
        <v>28</v>
      </c>
      <c r="K657">
        <v>2.3534999999999999</v>
      </c>
      <c r="L657">
        <v>5.8</v>
      </c>
    </row>
    <row r="658" spans="1:12" x14ac:dyDescent="0.25">
      <c r="A658" t="s">
        <v>687</v>
      </c>
      <c r="B658" t="s">
        <v>20</v>
      </c>
      <c r="C658" t="s">
        <v>21</v>
      </c>
      <c r="D658" t="s">
        <v>22</v>
      </c>
      <c r="E658" t="s">
        <v>16</v>
      </c>
      <c r="F658" t="s">
        <v>23</v>
      </c>
      <c r="G658">
        <v>1</v>
      </c>
      <c r="H658" s="1">
        <v>43523</v>
      </c>
      <c r="I658" s="2">
        <v>0.43263888888888885</v>
      </c>
      <c r="J658" t="s">
        <v>28</v>
      </c>
      <c r="K658">
        <v>4.9844999999999997</v>
      </c>
      <c r="L658">
        <v>8</v>
      </c>
    </row>
    <row r="659" spans="1:12" x14ac:dyDescent="0.25">
      <c r="A659" t="s">
        <v>688</v>
      </c>
      <c r="B659" t="s">
        <v>13</v>
      </c>
      <c r="C659" t="s">
        <v>14</v>
      </c>
      <c r="D659" t="s">
        <v>15</v>
      </c>
      <c r="E659" t="s">
        <v>16</v>
      </c>
      <c r="F659" t="s">
        <v>41</v>
      </c>
      <c r="G659">
        <v>3</v>
      </c>
      <c r="H659" s="1">
        <v>43483</v>
      </c>
      <c r="I659" s="2">
        <v>0.42430555555555555</v>
      </c>
      <c r="J659" t="s">
        <v>18</v>
      </c>
      <c r="K659">
        <v>13.2225</v>
      </c>
      <c r="L659">
        <v>7.9</v>
      </c>
    </row>
    <row r="660" spans="1:12" x14ac:dyDescent="0.25">
      <c r="A660" t="s">
        <v>689</v>
      </c>
      <c r="B660" t="s">
        <v>13</v>
      </c>
      <c r="C660" t="s">
        <v>14</v>
      </c>
      <c r="D660" t="s">
        <v>15</v>
      </c>
      <c r="E660" t="s">
        <v>16</v>
      </c>
      <c r="F660" t="s">
        <v>31</v>
      </c>
      <c r="G660">
        <v>5</v>
      </c>
      <c r="H660" s="1">
        <v>43494</v>
      </c>
      <c r="I660" s="2">
        <v>0.65833333333333333</v>
      </c>
      <c r="J660" t="s">
        <v>24</v>
      </c>
      <c r="K660">
        <v>6.9824999999999999</v>
      </c>
      <c r="L660">
        <v>5.9</v>
      </c>
    </row>
    <row r="661" spans="1:12" x14ac:dyDescent="0.25">
      <c r="A661" t="s">
        <v>690</v>
      </c>
      <c r="B661" t="s">
        <v>13</v>
      </c>
      <c r="C661" t="s">
        <v>14</v>
      </c>
      <c r="D661" t="s">
        <v>15</v>
      </c>
      <c r="E661" t="s">
        <v>26</v>
      </c>
      <c r="F661" t="s">
        <v>41</v>
      </c>
      <c r="G661">
        <v>1</v>
      </c>
      <c r="H661" s="1">
        <v>43522</v>
      </c>
      <c r="I661" s="2">
        <v>0.7402777777777777</v>
      </c>
      <c r="J661" t="s">
        <v>28</v>
      </c>
      <c r="K661">
        <v>2.7725</v>
      </c>
      <c r="L661">
        <v>4.9000000000000004</v>
      </c>
    </row>
    <row r="662" spans="1:12" x14ac:dyDescent="0.25">
      <c r="A662" t="s">
        <v>691</v>
      </c>
      <c r="B662" t="s">
        <v>37</v>
      </c>
      <c r="C662" t="s">
        <v>38</v>
      </c>
      <c r="D662" t="s">
        <v>22</v>
      </c>
      <c r="E662" t="s">
        <v>16</v>
      </c>
      <c r="F662" t="s">
        <v>31</v>
      </c>
      <c r="G662">
        <v>3</v>
      </c>
      <c r="H662" s="1">
        <v>43499</v>
      </c>
      <c r="I662" s="2">
        <v>0.49027777777777781</v>
      </c>
      <c r="J662" t="s">
        <v>24</v>
      </c>
      <c r="K662">
        <v>6.4455</v>
      </c>
      <c r="L662">
        <v>9.3000000000000007</v>
      </c>
    </row>
    <row r="663" spans="1:12" x14ac:dyDescent="0.25">
      <c r="A663" t="s">
        <v>692</v>
      </c>
      <c r="B663" t="s">
        <v>20</v>
      </c>
      <c r="C663" t="s">
        <v>21</v>
      </c>
      <c r="D663" t="s">
        <v>15</v>
      </c>
      <c r="E663" t="s">
        <v>26</v>
      </c>
      <c r="F663" t="s">
        <v>31</v>
      </c>
      <c r="G663">
        <v>7</v>
      </c>
      <c r="H663" s="1">
        <v>43481</v>
      </c>
      <c r="I663" s="2">
        <v>0.50486111111111109</v>
      </c>
      <c r="J663" t="s">
        <v>28</v>
      </c>
      <c r="K663">
        <v>5.9989999999999997</v>
      </c>
      <c r="L663">
        <v>7.9</v>
      </c>
    </row>
    <row r="664" spans="1:12" x14ac:dyDescent="0.25">
      <c r="A664" t="s">
        <v>693</v>
      </c>
      <c r="B664" t="s">
        <v>37</v>
      </c>
      <c r="C664" t="s">
        <v>38</v>
      </c>
      <c r="D664" t="s">
        <v>15</v>
      </c>
      <c r="E664" t="s">
        <v>16</v>
      </c>
      <c r="F664" t="s">
        <v>41</v>
      </c>
      <c r="G664">
        <v>6</v>
      </c>
      <c r="H664" s="1">
        <v>43548</v>
      </c>
      <c r="I664" s="2">
        <v>0.7597222222222223</v>
      </c>
      <c r="J664" t="s">
        <v>28</v>
      </c>
      <c r="K664">
        <v>17.625</v>
      </c>
      <c r="L664">
        <v>5.9</v>
      </c>
    </row>
    <row r="665" spans="1:12" x14ac:dyDescent="0.25">
      <c r="A665" t="s">
        <v>694</v>
      </c>
      <c r="B665" t="s">
        <v>20</v>
      </c>
      <c r="C665" t="s">
        <v>21</v>
      </c>
      <c r="D665" t="s">
        <v>15</v>
      </c>
      <c r="E665" t="s">
        <v>16</v>
      </c>
      <c r="F665" t="s">
        <v>39</v>
      </c>
      <c r="G665">
        <v>10</v>
      </c>
      <c r="H665" s="1">
        <v>43508</v>
      </c>
      <c r="I665" s="2">
        <v>0.61458333333333337</v>
      </c>
      <c r="J665" t="s">
        <v>28</v>
      </c>
      <c r="K665">
        <v>43.55</v>
      </c>
      <c r="L665">
        <v>9.9</v>
      </c>
    </row>
    <row r="666" spans="1:12" x14ac:dyDescent="0.25">
      <c r="A666" t="s">
        <v>695</v>
      </c>
      <c r="B666" t="s">
        <v>20</v>
      </c>
      <c r="C666" t="s">
        <v>21</v>
      </c>
      <c r="D666" t="s">
        <v>22</v>
      </c>
      <c r="E666" t="s">
        <v>16</v>
      </c>
      <c r="F666" t="s">
        <v>31</v>
      </c>
      <c r="G666">
        <v>2</v>
      </c>
      <c r="H666" s="1">
        <v>43517</v>
      </c>
      <c r="I666" s="2">
        <v>0.48541666666666666</v>
      </c>
      <c r="J666" t="s">
        <v>24</v>
      </c>
      <c r="K666">
        <v>9.8800000000000008</v>
      </c>
      <c r="L666">
        <v>7.7</v>
      </c>
    </row>
    <row r="667" spans="1:12" x14ac:dyDescent="0.25">
      <c r="A667" t="s">
        <v>696</v>
      </c>
      <c r="B667" t="s">
        <v>13</v>
      </c>
      <c r="C667" t="s">
        <v>14</v>
      </c>
      <c r="D667" t="s">
        <v>22</v>
      </c>
      <c r="E667" t="s">
        <v>16</v>
      </c>
      <c r="F667" t="s">
        <v>41</v>
      </c>
      <c r="G667">
        <v>4</v>
      </c>
      <c r="H667" s="1">
        <v>43500</v>
      </c>
      <c r="I667" s="2">
        <v>0.65555555555555556</v>
      </c>
      <c r="J667" t="s">
        <v>18</v>
      </c>
      <c r="K667">
        <v>9.7260000000000009</v>
      </c>
      <c r="L667">
        <v>7.6</v>
      </c>
    </row>
    <row r="668" spans="1:12" x14ac:dyDescent="0.25">
      <c r="A668" t="s">
        <v>697</v>
      </c>
      <c r="B668" t="s">
        <v>37</v>
      </c>
      <c r="C668" t="s">
        <v>38</v>
      </c>
      <c r="D668" t="s">
        <v>15</v>
      </c>
      <c r="E668" t="s">
        <v>26</v>
      </c>
      <c r="F668" t="s">
        <v>39</v>
      </c>
      <c r="G668">
        <v>3</v>
      </c>
      <c r="H668" s="1">
        <v>43516</v>
      </c>
      <c r="I668" s="2">
        <v>0.54583333333333328</v>
      </c>
      <c r="J668" t="s">
        <v>18</v>
      </c>
      <c r="K668">
        <v>8.6609999999999996</v>
      </c>
      <c r="L668">
        <v>7.7</v>
      </c>
    </row>
    <row r="669" spans="1:12" x14ac:dyDescent="0.25">
      <c r="A669" t="s">
        <v>698</v>
      </c>
      <c r="B669" t="s">
        <v>37</v>
      </c>
      <c r="C669" t="s">
        <v>38</v>
      </c>
      <c r="D669" t="s">
        <v>22</v>
      </c>
      <c r="E669" t="s">
        <v>16</v>
      </c>
      <c r="F669" t="s">
        <v>17</v>
      </c>
      <c r="G669">
        <v>4</v>
      </c>
      <c r="H669" s="1">
        <v>43519</v>
      </c>
      <c r="I669" s="2">
        <v>0.86319444444444438</v>
      </c>
      <c r="J669" t="s">
        <v>18</v>
      </c>
      <c r="K669">
        <v>3.5939999999999999</v>
      </c>
      <c r="L669">
        <v>6.4</v>
      </c>
    </row>
    <row r="670" spans="1:12" x14ac:dyDescent="0.25">
      <c r="A670" t="s">
        <v>699</v>
      </c>
      <c r="B670" t="s">
        <v>20</v>
      </c>
      <c r="C670" t="s">
        <v>21</v>
      </c>
      <c r="D670" t="s">
        <v>15</v>
      </c>
      <c r="E670" t="s">
        <v>16</v>
      </c>
      <c r="F670" t="s">
        <v>17</v>
      </c>
      <c r="G670">
        <v>6</v>
      </c>
      <c r="H670" s="1">
        <v>43512</v>
      </c>
      <c r="I670" s="2">
        <v>0.59652777777777777</v>
      </c>
      <c r="J670" t="s">
        <v>18</v>
      </c>
      <c r="K670">
        <v>14.313000000000001</v>
      </c>
      <c r="L670">
        <v>4.4000000000000004</v>
      </c>
    </row>
    <row r="671" spans="1:12" x14ac:dyDescent="0.25">
      <c r="A671" t="s">
        <v>700</v>
      </c>
      <c r="B671" t="s">
        <v>37</v>
      </c>
      <c r="C671" t="s">
        <v>38</v>
      </c>
      <c r="D671" t="s">
        <v>22</v>
      </c>
      <c r="E671" t="s">
        <v>16</v>
      </c>
      <c r="F671" t="s">
        <v>31</v>
      </c>
      <c r="G671">
        <v>2</v>
      </c>
      <c r="H671" s="1">
        <v>43482</v>
      </c>
      <c r="I671" s="2">
        <v>0.41736111111111113</v>
      </c>
      <c r="J671" t="s">
        <v>28</v>
      </c>
      <c r="K671">
        <v>4.0620000000000003</v>
      </c>
      <c r="L671">
        <v>4.0999999999999996</v>
      </c>
    </row>
    <row r="672" spans="1:12" x14ac:dyDescent="0.25">
      <c r="A672" t="s">
        <v>701</v>
      </c>
      <c r="B672" t="s">
        <v>13</v>
      </c>
      <c r="C672" t="s">
        <v>14</v>
      </c>
      <c r="D672" t="s">
        <v>15</v>
      </c>
      <c r="E672" t="s">
        <v>26</v>
      </c>
      <c r="F672" t="s">
        <v>41</v>
      </c>
      <c r="G672">
        <v>10</v>
      </c>
      <c r="H672" s="1">
        <v>43479</v>
      </c>
      <c r="I672" s="2">
        <v>0.8125</v>
      </c>
      <c r="J672" t="s">
        <v>18</v>
      </c>
      <c r="K672">
        <v>28.02</v>
      </c>
      <c r="L672">
        <v>4.4000000000000004</v>
      </c>
    </row>
    <row r="673" spans="1:12" x14ac:dyDescent="0.25">
      <c r="A673" t="s">
        <v>702</v>
      </c>
      <c r="B673" t="s">
        <v>37</v>
      </c>
      <c r="C673" t="s">
        <v>38</v>
      </c>
      <c r="D673" t="s">
        <v>15</v>
      </c>
      <c r="E673" t="s">
        <v>26</v>
      </c>
      <c r="F673" t="s">
        <v>39</v>
      </c>
      <c r="G673">
        <v>2</v>
      </c>
      <c r="H673" s="1">
        <v>43554</v>
      </c>
      <c r="I673" s="2">
        <v>0.69027777777777777</v>
      </c>
      <c r="J673" t="s">
        <v>24</v>
      </c>
      <c r="K673">
        <v>9.34</v>
      </c>
      <c r="L673">
        <v>5.5</v>
      </c>
    </row>
    <row r="674" spans="1:12" x14ac:dyDescent="0.25">
      <c r="A674" t="s">
        <v>703</v>
      </c>
      <c r="B674" t="s">
        <v>37</v>
      </c>
      <c r="C674" t="s">
        <v>38</v>
      </c>
      <c r="D674" t="s">
        <v>22</v>
      </c>
      <c r="E674" t="s">
        <v>16</v>
      </c>
      <c r="F674" t="s">
        <v>17</v>
      </c>
      <c r="G674">
        <v>3</v>
      </c>
      <c r="H674" s="1">
        <v>43526</v>
      </c>
      <c r="I674" s="2">
        <v>0.54861111111111105</v>
      </c>
      <c r="J674" t="s">
        <v>18</v>
      </c>
      <c r="K674">
        <v>11.0115</v>
      </c>
      <c r="L674">
        <v>4</v>
      </c>
    </row>
    <row r="675" spans="1:12" x14ac:dyDescent="0.25">
      <c r="A675" t="s">
        <v>704</v>
      </c>
      <c r="B675" t="s">
        <v>20</v>
      </c>
      <c r="C675" t="s">
        <v>21</v>
      </c>
      <c r="D675" t="s">
        <v>22</v>
      </c>
      <c r="E675" t="s">
        <v>26</v>
      </c>
      <c r="F675" t="s">
        <v>17</v>
      </c>
      <c r="G675">
        <v>8</v>
      </c>
      <c r="H675" s="1">
        <v>43511</v>
      </c>
      <c r="I675" s="2">
        <v>0.71527777777777779</v>
      </c>
      <c r="J675" t="s">
        <v>28</v>
      </c>
      <c r="K675">
        <v>13.456</v>
      </c>
      <c r="L675">
        <v>9.3000000000000007</v>
      </c>
    </row>
    <row r="676" spans="1:12" x14ac:dyDescent="0.25">
      <c r="A676" t="s">
        <v>705</v>
      </c>
      <c r="B676" t="s">
        <v>13</v>
      </c>
      <c r="C676" t="s">
        <v>14</v>
      </c>
      <c r="D676" t="s">
        <v>22</v>
      </c>
      <c r="E676" t="s">
        <v>16</v>
      </c>
      <c r="F676" t="s">
        <v>23</v>
      </c>
      <c r="G676">
        <v>10</v>
      </c>
      <c r="H676" s="1">
        <v>43525</v>
      </c>
      <c r="I676" s="2">
        <v>0.43194444444444446</v>
      </c>
      <c r="J676" t="s">
        <v>28</v>
      </c>
      <c r="K676">
        <v>22.74</v>
      </c>
      <c r="L676">
        <v>4.8</v>
      </c>
    </row>
    <row r="677" spans="1:12" x14ac:dyDescent="0.25">
      <c r="A677" t="s">
        <v>706</v>
      </c>
      <c r="B677" t="s">
        <v>37</v>
      </c>
      <c r="C677" t="s">
        <v>38</v>
      </c>
      <c r="D677" t="s">
        <v>15</v>
      </c>
      <c r="E677" t="s">
        <v>26</v>
      </c>
      <c r="F677" t="s">
        <v>41</v>
      </c>
      <c r="G677">
        <v>2</v>
      </c>
      <c r="H677" s="1">
        <v>43520</v>
      </c>
      <c r="I677" s="2">
        <v>0.83124999999999993</v>
      </c>
      <c r="J677" t="s">
        <v>24</v>
      </c>
      <c r="K677">
        <v>8.3770000000000007</v>
      </c>
      <c r="L677">
        <v>4.5999999999999996</v>
      </c>
    </row>
    <row r="678" spans="1:12" x14ac:dyDescent="0.25">
      <c r="A678" t="s">
        <v>707</v>
      </c>
      <c r="B678" t="s">
        <v>37</v>
      </c>
      <c r="C678" t="s">
        <v>38</v>
      </c>
      <c r="D678" t="s">
        <v>15</v>
      </c>
      <c r="E678" t="s">
        <v>16</v>
      </c>
      <c r="F678" t="s">
        <v>31</v>
      </c>
      <c r="G678">
        <v>7</v>
      </c>
      <c r="H678" s="1">
        <v>43515</v>
      </c>
      <c r="I678" s="2">
        <v>0.81180555555555556</v>
      </c>
      <c r="J678" t="s">
        <v>28</v>
      </c>
      <c r="K678">
        <v>22.428000000000001</v>
      </c>
      <c r="L678">
        <v>7.3</v>
      </c>
    </row>
    <row r="679" spans="1:12" x14ac:dyDescent="0.25">
      <c r="A679" t="s">
        <v>708</v>
      </c>
      <c r="B679" t="s">
        <v>13</v>
      </c>
      <c r="C679" t="s">
        <v>14</v>
      </c>
      <c r="D679" t="s">
        <v>15</v>
      </c>
      <c r="E679" t="s">
        <v>16</v>
      </c>
      <c r="F679" t="s">
        <v>39</v>
      </c>
      <c r="G679">
        <v>4</v>
      </c>
      <c r="H679" s="1">
        <v>43519</v>
      </c>
      <c r="I679" s="2">
        <v>0.77083333333333337</v>
      </c>
      <c r="J679" t="s">
        <v>24</v>
      </c>
      <c r="K679">
        <v>14.694000000000001</v>
      </c>
      <c r="L679">
        <v>6</v>
      </c>
    </row>
    <row r="680" spans="1:12" x14ac:dyDescent="0.25">
      <c r="A680" t="s">
        <v>709</v>
      </c>
      <c r="B680" t="s">
        <v>20</v>
      </c>
      <c r="C680" t="s">
        <v>21</v>
      </c>
      <c r="D680" t="s">
        <v>22</v>
      </c>
      <c r="E680" t="s">
        <v>26</v>
      </c>
      <c r="F680" t="s">
        <v>17</v>
      </c>
      <c r="G680">
        <v>10</v>
      </c>
      <c r="H680" s="1">
        <v>43503</v>
      </c>
      <c r="I680" s="2">
        <v>0.6020833333333333</v>
      </c>
      <c r="J680" t="s">
        <v>18</v>
      </c>
      <c r="K680">
        <v>29.475000000000001</v>
      </c>
      <c r="L680">
        <v>8.1</v>
      </c>
    </row>
    <row r="681" spans="1:12" x14ac:dyDescent="0.25">
      <c r="A681" t="s">
        <v>710</v>
      </c>
      <c r="B681" t="s">
        <v>13</v>
      </c>
      <c r="C681" t="s">
        <v>14</v>
      </c>
      <c r="D681" t="s">
        <v>15</v>
      </c>
      <c r="E681" t="s">
        <v>26</v>
      </c>
      <c r="F681" t="s">
        <v>39</v>
      </c>
      <c r="G681">
        <v>6</v>
      </c>
      <c r="H681" s="1">
        <v>43476</v>
      </c>
      <c r="I681" s="2">
        <v>0.58124999999999993</v>
      </c>
      <c r="J681" t="s">
        <v>18</v>
      </c>
      <c r="K681">
        <v>14.55</v>
      </c>
      <c r="L681">
        <v>9.4</v>
      </c>
    </row>
    <row r="682" spans="1:12" x14ac:dyDescent="0.25">
      <c r="A682" t="s">
        <v>711</v>
      </c>
      <c r="B682" t="s">
        <v>37</v>
      </c>
      <c r="C682" t="s">
        <v>38</v>
      </c>
      <c r="D682" t="s">
        <v>15</v>
      </c>
      <c r="E682" t="s">
        <v>16</v>
      </c>
      <c r="F682" t="s">
        <v>23</v>
      </c>
      <c r="G682">
        <v>1</v>
      </c>
      <c r="H682" s="1">
        <v>43508</v>
      </c>
      <c r="I682" s="2">
        <v>0.82152777777777775</v>
      </c>
      <c r="J682" t="s">
        <v>24</v>
      </c>
      <c r="K682">
        <v>1.974</v>
      </c>
      <c r="L682">
        <v>6.5</v>
      </c>
    </row>
    <row r="683" spans="1:12" x14ac:dyDescent="0.25">
      <c r="A683" t="s">
        <v>712</v>
      </c>
      <c r="B683" t="s">
        <v>37</v>
      </c>
      <c r="C683" t="s">
        <v>38</v>
      </c>
      <c r="D683" t="s">
        <v>22</v>
      </c>
      <c r="E683" t="s">
        <v>16</v>
      </c>
      <c r="F683" t="s">
        <v>31</v>
      </c>
      <c r="G683">
        <v>1</v>
      </c>
      <c r="H683" s="1">
        <v>43479</v>
      </c>
      <c r="I683" s="2">
        <v>0.42430555555555555</v>
      </c>
      <c r="J683" t="s">
        <v>28</v>
      </c>
      <c r="K683">
        <v>1.7404999999999999</v>
      </c>
      <c r="L683">
        <v>7</v>
      </c>
    </row>
    <row r="684" spans="1:12" x14ac:dyDescent="0.25">
      <c r="A684" t="s">
        <v>713</v>
      </c>
      <c r="B684" t="s">
        <v>20</v>
      </c>
      <c r="C684" t="s">
        <v>21</v>
      </c>
      <c r="D684" t="s">
        <v>22</v>
      </c>
      <c r="E684" t="s">
        <v>16</v>
      </c>
      <c r="F684" t="s">
        <v>41</v>
      </c>
      <c r="G684">
        <v>6</v>
      </c>
      <c r="H684" s="1">
        <v>43474</v>
      </c>
      <c r="I684" s="2">
        <v>0.57361111111111118</v>
      </c>
      <c r="J684" t="s">
        <v>18</v>
      </c>
      <c r="K684">
        <v>14.795999999999999</v>
      </c>
      <c r="L684">
        <v>7.1</v>
      </c>
    </row>
    <row r="685" spans="1:12" x14ac:dyDescent="0.25">
      <c r="A685" t="s">
        <v>714</v>
      </c>
      <c r="B685" t="s">
        <v>13</v>
      </c>
      <c r="C685" t="s">
        <v>14</v>
      </c>
      <c r="D685" t="s">
        <v>15</v>
      </c>
      <c r="E685" t="s">
        <v>26</v>
      </c>
      <c r="F685" t="s">
        <v>41</v>
      </c>
      <c r="G685">
        <v>2</v>
      </c>
      <c r="H685" s="1">
        <v>43523</v>
      </c>
      <c r="I685" s="2">
        <v>0.51527777777777783</v>
      </c>
      <c r="J685" t="s">
        <v>18</v>
      </c>
      <c r="K685">
        <v>2.1480000000000001</v>
      </c>
      <c r="L685">
        <v>6.6</v>
      </c>
    </row>
    <row r="686" spans="1:12" x14ac:dyDescent="0.25">
      <c r="A686" t="s">
        <v>715</v>
      </c>
      <c r="B686" t="s">
        <v>37</v>
      </c>
      <c r="C686" t="s">
        <v>38</v>
      </c>
      <c r="D686" t="s">
        <v>15</v>
      </c>
      <c r="E686" t="s">
        <v>16</v>
      </c>
      <c r="F686" t="s">
        <v>31</v>
      </c>
      <c r="G686">
        <v>6</v>
      </c>
      <c r="H686" s="1">
        <v>43489</v>
      </c>
      <c r="I686" s="2">
        <v>0.80555555555555547</v>
      </c>
      <c r="J686" t="s">
        <v>18</v>
      </c>
      <c r="K686">
        <v>6.9240000000000004</v>
      </c>
      <c r="L686">
        <v>4.9000000000000004</v>
      </c>
    </row>
    <row r="687" spans="1:12" x14ac:dyDescent="0.25">
      <c r="A687" t="s">
        <v>716</v>
      </c>
      <c r="B687" t="s">
        <v>37</v>
      </c>
      <c r="C687" t="s">
        <v>38</v>
      </c>
      <c r="D687" t="s">
        <v>15</v>
      </c>
      <c r="E687" t="s">
        <v>16</v>
      </c>
      <c r="F687" t="s">
        <v>27</v>
      </c>
      <c r="G687">
        <v>2</v>
      </c>
      <c r="H687" s="1">
        <v>43473</v>
      </c>
      <c r="I687" s="2">
        <v>0.54027777777777775</v>
      </c>
      <c r="J687" t="s">
        <v>28</v>
      </c>
      <c r="K687">
        <v>4.91</v>
      </c>
      <c r="L687">
        <v>6.4</v>
      </c>
    </row>
    <row r="688" spans="1:12" x14ac:dyDescent="0.25">
      <c r="A688" t="s">
        <v>717</v>
      </c>
      <c r="B688" t="s">
        <v>37</v>
      </c>
      <c r="C688" t="s">
        <v>38</v>
      </c>
      <c r="D688" t="s">
        <v>15</v>
      </c>
      <c r="E688" t="s">
        <v>16</v>
      </c>
      <c r="F688" t="s">
        <v>31</v>
      </c>
      <c r="G688">
        <v>2</v>
      </c>
      <c r="H688" s="1">
        <v>43473</v>
      </c>
      <c r="I688" s="2">
        <v>0.4993055555555555</v>
      </c>
      <c r="J688" t="s">
        <v>28</v>
      </c>
      <c r="K688">
        <v>6.4829999999999997</v>
      </c>
      <c r="L688">
        <v>8</v>
      </c>
    </row>
    <row r="689" spans="1:12" x14ac:dyDescent="0.25">
      <c r="A689" t="s">
        <v>718</v>
      </c>
      <c r="B689" t="s">
        <v>13</v>
      </c>
      <c r="C689" t="s">
        <v>14</v>
      </c>
      <c r="D689" t="s">
        <v>15</v>
      </c>
      <c r="E689" t="s">
        <v>26</v>
      </c>
      <c r="F689" t="s">
        <v>27</v>
      </c>
      <c r="G689">
        <v>10</v>
      </c>
      <c r="H689" s="1">
        <v>43481</v>
      </c>
      <c r="I689" s="2">
        <v>0.74930555555555556</v>
      </c>
      <c r="J689" t="s">
        <v>24</v>
      </c>
      <c r="K689">
        <v>31.78</v>
      </c>
      <c r="L689">
        <v>4.3</v>
      </c>
    </row>
    <row r="690" spans="1:12" x14ac:dyDescent="0.25">
      <c r="A690" t="s">
        <v>719</v>
      </c>
      <c r="B690" t="s">
        <v>20</v>
      </c>
      <c r="C690" t="s">
        <v>21</v>
      </c>
      <c r="D690" t="s">
        <v>15</v>
      </c>
      <c r="E690" t="s">
        <v>26</v>
      </c>
      <c r="F690" t="s">
        <v>31</v>
      </c>
      <c r="G690">
        <v>2</v>
      </c>
      <c r="H690" s="1">
        <v>43537</v>
      </c>
      <c r="I690" s="2">
        <v>0.53541666666666665</v>
      </c>
      <c r="J690" t="s">
        <v>24</v>
      </c>
      <c r="K690">
        <v>7.2880000000000003</v>
      </c>
      <c r="L690">
        <v>6.1</v>
      </c>
    </row>
    <row r="691" spans="1:12" x14ac:dyDescent="0.25">
      <c r="A691" t="s">
        <v>720</v>
      </c>
      <c r="B691" t="s">
        <v>13</v>
      </c>
      <c r="C691" t="s">
        <v>14</v>
      </c>
      <c r="D691" t="s">
        <v>22</v>
      </c>
      <c r="E691" t="s">
        <v>16</v>
      </c>
      <c r="F691" t="s">
        <v>39</v>
      </c>
      <c r="G691">
        <v>3</v>
      </c>
      <c r="H691" s="1">
        <v>43511</v>
      </c>
      <c r="I691" s="2">
        <v>0.44166666666666665</v>
      </c>
      <c r="J691" t="s">
        <v>24</v>
      </c>
      <c r="K691">
        <v>10.065</v>
      </c>
      <c r="L691">
        <v>7.5</v>
      </c>
    </row>
    <row r="692" spans="1:12" x14ac:dyDescent="0.25">
      <c r="A692" t="s">
        <v>721</v>
      </c>
      <c r="B692" t="s">
        <v>20</v>
      </c>
      <c r="C692" t="s">
        <v>21</v>
      </c>
      <c r="D692" t="s">
        <v>15</v>
      </c>
      <c r="E692" t="s">
        <v>16</v>
      </c>
      <c r="F692" t="s">
        <v>31</v>
      </c>
      <c r="G692">
        <v>9</v>
      </c>
      <c r="H692" s="1">
        <v>43490</v>
      </c>
      <c r="I692" s="2">
        <v>0.56805555555555554</v>
      </c>
      <c r="J692" t="s">
        <v>24</v>
      </c>
      <c r="K692">
        <v>31.5855</v>
      </c>
      <c r="L692">
        <v>6.7</v>
      </c>
    </row>
    <row r="693" spans="1:12" x14ac:dyDescent="0.25">
      <c r="A693" t="s">
        <v>722</v>
      </c>
      <c r="B693" t="s">
        <v>20</v>
      </c>
      <c r="C693" t="s">
        <v>21</v>
      </c>
      <c r="D693" t="s">
        <v>15</v>
      </c>
      <c r="E693" t="s">
        <v>26</v>
      </c>
      <c r="F693" t="s">
        <v>39</v>
      </c>
      <c r="G693">
        <v>7</v>
      </c>
      <c r="H693" s="1">
        <v>43536</v>
      </c>
      <c r="I693" s="2">
        <v>0.81874999999999998</v>
      </c>
      <c r="J693" t="s">
        <v>18</v>
      </c>
      <c r="K693">
        <v>19.263999999999999</v>
      </c>
      <c r="L693">
        <v>5.2</v>
      </c>
    </row>
    <row r="694" spans="1:12" x14ac:dyDescent="0.25">
      <c r="A694" t="s">
        <v>723</v>
      </c>
      <c r="B694" t="s">
        <v>13</v>
      </c>
      <c r="C694" t="s">
        <v>14</v>
      </c>
      <c r="D694" t="s">
        <v>15</v>
      </c>
      <c r="E694" t="s">
        <v>26</v>
      </c>
      <c r="F694" t="s">
        <v>17</v>
      </c>
      <c r="G694">
        <v>10</v>
      </c>
      <c r="H694" s="1">
        <v>43528</v>
      </c>
      <c r="I694" s="2">
        <v>0.53055555555555556</v>
      </c>
      <c r="J694" t="s">
        <v>24</v>
      </c>
      <c r="K694">
        <v>24.315000000000001</v>
      </c>
      <c r="L694">
        <v>8.8000000000000007</v>
      </c>
    </row>
    <row r="695" spans="1:12" x14ac:dyDescent="0.25">
      <c r="A695" t="s">
        <v>724</v>
      </c>
      <c r="B695" t="s">
        <v>20</v>
      </c>
      <c r="C695" t="s">
        <v>21</v>
      </c>
      <c r="D695" t="s">
        <v>15</v>
      </c>
      <c r="E695" t="s">
        <v>16</v>
      </c>
      <c r="F695" t="s">
        <v>41</v>
      </c>
      <c r="G695">
        <v>7</v>
      </c>
      <c r="H695" s="1">
        <v>43506</v>
      </c>
      <c r="I695" s="2">
        <v>0.5805555555555556</v>
      </c>
      <c r="J695" t="s">
        <v>24</v>
      </c>
      <c r="K695">
        <v>25.683</v>
      </c>
      <c r="L695">
        <v>9.5</v>
      </c>
    </row>
    <row r="696" spans="1:12" x14ac:dyDescent="0.25">
      <c r="A696" t="s">
        <v>725</v>
      </c>
      <c r="B696" t="s">
        <v>20</v>
      </c>
      <c r="C696" t="s">
        <v>21</v>
      </c>
      <c r="D696" t="s">
        <v>22</v>
      </c>
      <c r="E696" t="s">
        <v>16</v>
      </c>
      <c r="F696" t="s">
        <v>39</v>
      </c>
      <c r="G696">
        <v>9</v>
      </c>
      <c r="H696" s="1">
        <v>43481</v>
      </c>
      <c r="I696" s="2">
        <v>0.61249999999999993</v>
      </c>
      <c r="J696" t="s">
        <v>24</v>
      </c>
      <c r="K696">
        <v>23.67</v>
      </c>
      <c r="L696">
        <v>7.6</v>
      </c>
    </row>
    <row r="697" spans="1:12" x14ac:dyDescent="0.25">
      <c r="A697" t="s">
        <v>726</v>
      </c>
      <c r="B697" t="s">
        <v>13</v>
      </c>
      <c r="C697" t="s">
        <v>14</v>
      </c>
      <c r="D697" t="s">
        <v>15</v>
      </c>
      <c r="E697" t="s">
        <v>16</v>
      </c>
      <c r="F697" t="s">
        <v>27</v>
      </c>
      <c r="G697">
        <v>5</v>
      </c>
      <c r="H697" s="1">
        <v>43494</v>
      </c>
      <c r="I697" s="2">
        <v>0.82291666666666663</v>
      </c>
      <c r="J697" t="s">
        <v>24</v>
      </c>
      <c r="K697">
        <v>21.842500000000001</v>
      </c>
      <c r="L697">
        <v>6.6</v>
      </c>
    </row>
    <row r="698" spans="1:12" x14ac:dyDescent="0.25">
      <c r="A698" t="s">
        <v>727</v>
      </c>
      <c r="B698" t="s">
        <v>13</v>
      </c>
      <c r="C698" t="s">
        <v>14</v>
      </c>
      <c r="D698" t="s">
        <v>15</v>
      </c>
      <c r="E698" t="s">
        <v>16</v>
      </c>
      <c r="F698" t="s">
        <v>31</v>
      </c>
      <c r="G698">
        <v>4</v>
      </c>
      <c r="H698" s="1">
        <v>43466</v>
      </c>
      <c r="I698" s="2">
        <v>0.85138888888888886</v>
      </c>
      <c r="J698" t="s">
        <v>18</v>
      </c>
      <c r="K698">
        <v>5.4080000000000004</v>
      </c>
      <c r="L698">
        <v>6.9</v>
      </c>
    </row>
    <row r="699" spans="1:12" x14ac:dyDescent="0.25">
      <c r="A699" t="s">
        <v>728</v>
      </c>
      <c r="B699" t="s">
        <v>37</v>
      </c>
      <c r="C699" t="s">
        <v>38</v>
      </c>
      <c r="D699" t="s">
        <v>22</v>
      </c>
      <c r="E699" t="s">
        <v>26</v>
      </c>
      <c r="F699" t="s">
        <v>27</v>
      </c>
      <c r="G699">
        <v>4</v>
      </c>
      <c r="H699" s="1">
        <v>43471</v>
      </c>
      <c r="I699" s="2">
        <v>0.82361111111111107</v>
      </c>
      <c r="J699" t="s">
        <v>18</v>
      </c>
      <c r="K699">
        <v>12.438000000000001</v>
      </c>
      <c r="L699">
        <v>4.3</v>
      </c>
    </row>
    <row r="700" spans="1:12" x14ac:dyDescent="0.25">
      <c r="A700" t="s">
        <v>729</v>
      </c>
      <c r="B700" t="s">
        <v>13</v>
      </c>
      <c r="C700" t="s">
        <v>14</v>
      </c>
      <c r="D700" t="s">
        <v>15</v>
      </c>
      <c r="E700" t="s">
        <v>26</v>
      </c>
      <c r="F700" t="s">
        <v>23</v>
      </c>
      <c r="G700">
        <v>9</v>
      </c>
      <c r="H700" s="1">
        <v>43515</v>
      </c>
      <c r="I700" s="2">
        <v>0.81805555555555554</v>
      </c>
      <c r="J700" t="s">
        <v>28</v>
      </c>
      <c r="K700">
        <v>31.311</v>
      </c>
      <c r="L700">
        <v>7.8</v>
      </c>
    </row>
    <row r="701" spans="1:12" x14ac:dyDescent="0.25">
      <c r="A701" t="s">
        <v>730</v>
      </c>
      <c r="B701" t="s">
        <v>20</v>
      </c>
      <c r="C701" t="s">
        <v>21</v>
      </c>
      <c r="D701" t="s">
        <v>22</v>
      </c>
      <c r="E701" t="s">
        <v>26</v>
      </c>
      <c r="F701" t="s">
        <v>27</v>
      </c>
      <c r="G701">
        <v>10</v>
      </c>
      <c r="H701" s="1">
        <v>43477</v>
      </c>
      <c r="I701" s="2">
        <v>0.6791666666666667</v>
      </c>
      <c r="J701" t="s">
        <v>18</v>
      </c>
      <c r="K701">
        <v>48.75</v>
      </c>
      <c r="L701">
        <v>8</v>
      </c>
    </row>
    <row r="702" spans="1:12" x14ac:dyDescent="0.25">
      <c r="A702" t="s">
        <v>731</v>
      </c>
      <c r="B702" t="s">
        <v>20</v>
      </c>
      <c r="C702" t="s">
        <v>21</v>
      </c>
      <c r="D702" t="s">
        <v>22</v>
      </c>
      <c r="E702" t="s">
        <v>16</v>
      </c>
      <c r="F702" t="s">
        <v>41</v>
      </c>
      <c r="G702">
        <v>8</v>
      </c>
      <c r="H702" s="1">
        <v>43503</v>
      </c>
      <c r="I702" s="2">
        <v>0.51597222222222217</v>
      </c>
      <c r="J702" t="s">
        <v>18</v>
      </c>
      <c r="K702">
        <v>24.164000000000001</v>
      </c>
      <c r="L702">
        <v>9.6</v>
      </c>
    </row>
    <row r="703" spans="1:12" x14ac:dyDescent="0.25">
      <c r="A703" t="s">
        <v>732</v>
      </c>
      <c r="B703" t="s">
        <v>37</v>
      </c>
      <c r="C703" t="s">
        <v>38</v>
      </c>
      <c r="D703" t="s">
        <v>22</v>
      </c>
      <c r="E703" t="s">
        <v>26</v>
      </c>
      <c r="F703" t="s">
        <v>39</v>
      </c>
      <c r="G703">
        <v>3</v>
      </c>
      <c r="H703" s="1">
        <v>43551</v>
      </c>
      <c r="I703" s="2">
        <v>0.7993055555555556</v>
      </c>
      <c r="J703" t="s">
        <v>28</v>
      </c>
      <c r="K703">
        <v>4.8479999999999999</v>
      </c>
      <c r="L703">
        <v>4.3</v>
      </c>
    </row>
    <row r="704" spans="1:12" x14ac:dyDescent="0.25">
      <c r="A704" t="s">
        <v>733</v>
      </c>
      <c r="B704" t="s">
        <v>37</v>
      </c>
      <c r="C704" t="s">
        <v>38</v>
      </c>
      <c r="D704" t="s">
        <v>15</v>
      </c>
      <c r="E704" t="s">
        <v>16</v>
      </c>
      <c r="F704" t="s">
        <v>41</v>
      </c>
      <c r="G704">
        <v>10</v>
      </c>
      <c r="H704" s="1">
        <v>43523</v>
      </c>
      <c r="I704" s="2">
        <v>0.7895833333333333</v>
      </c>
      <c r="J704" t="s">
        <v>28</v>
      </c>
      <c r="K704">
        <v>9.8849999999999998</v>
      </c>
      <c r="L704">
        <v>5</v>
      </c>
    </row>
    <row r="705" spans="1:12" x14ac:dyDescent="0.25">
      <c r="A705" t="s">
        <v>734</v>
      </c>
      <c r="B705" t="s">
        <v>37</v>
      </c>
      <c r="C705" t="s">
        <v>38</v>
      </c>
      <c r="D705" t="s">
        <v>15</v>
      </c>
      <c r="E705" t="s">
        <v>26</v>
      </c>
      <c r="F705" t="s">
        <v>17</v>
      </c>
      <c r="G705">
        <v>9</v>
      </c>
      <c r="H705" s="1">
        <v>43471</v>
      </c>
      <c r="I705" s="2">
        <v>0.47083333333333338</v>
      </c>
      <c r="J705" t="s">
        <v>24</v>
      </c>
      <c r="K705">
        <v>36.211500000000001</v>
      </c>
      <c r="L705">
        <v>9.1999999999999993</v>
      </c>
    </row>
    <row r="706" spans="1:12" x14ac:dyDescent="0.25">
      <c r="A706" t="s">
        <v>735</v>
      </c>
      <c r="B706" t="s">
        <v>37</v>
      </c>
      <c r="C706" t="s">
        <v>38</v>
      </c>
      <c r="D706" t="s">
        <v>15</v>
      </c>
      <c r="E706" t="s">
        <v>16</v>
      </c>
      <c r="F706" t="s">
        <v>27</v>
      </c>
      <c r="G706">
        <v>9</v>
      </c>
      <c r="H706" s="1">
        <v>43526</v>
      </c>
      <c r="I706" s="2">
        <v>0.52777777777777779</v>
      </c>
      <c r="J706" t="s">
        <v>24</v>
      </c>
      <c r="K706">
        <v>39.775500000000001</v>
      </c>
      <c r="L706">
        <v>6.3</v>
      </c>
    </row>
    <row r="707" spans="1:12" x14ac:dyDescent="0.25">
      <c r="A707" t="s">
        <v>736</v>
      </c>
      <c r="B707" t="s">
        <v>37</v>
      </c>
      <c r="C707" t="s">
        <v>38</v>
      </c>
      <c r="D707" t="s">
        <v>22</v>
      </c>
      <c r="E707" t="s">
        <v>26</v>
      </c>
      <c r="F707" t="s">
        <v>17</v>
      </c>
      <c r="G707">
        <v>7</v>
      </c>
      <c r="H707" s="1">
        <v>43553</v>
      </c>
      <c r="I707" s="2">
        <v>0.58750000000000002</v>
      </c>
      <c r="J707" t="s">
        <v>24</v>
      </c>
      <c r="K707">
        <v>25.119499999999999</v>
      </c>
      <c r="L707">
        <v>8.9</v>
      </c>
    </row>
    <row r="708" spans="1:12" x14ac:dyDescent="0.25">
      <c r="A708" t="s">
        <v>737</v>
      </c>
      <c r="B708" t="s">
        <v>37</v>
      </c>
      <c r="C708" t="s">
        <v>38</v>
      </c>
      <c r="D708" t="s">
        <v>22</v>
      </c>
      <c r="E708" t="s">
        <v>16</v>
      </c>
      <c r="F708" t="s">
        <v>23</v>
      </c>
      <c r="G708">
        <v>4</v>
      </c>
      <c r="H708" s="1">
        <v>43496</v>
      </c>
      <c r="I708" s="2">
        <v>0.8666666666666667</v>
      </c>
      <c r="J708" t="s">
        <v>18</v>
      </c>
      <c r="K708">
        <v>8.6</v>
      </c>
      <c r="L708">
        <v>7.6</v>
      </c>
    </row>
    <row r="709" spans="1:12" x14ac:dyDescent="0.25">
      <c r="A709" t="s">
        <v>738</v>
      </c>
      <c r="B709" t="s">
        <v>20</v>
      </c>
      <c r="C709" t="s">
        <v>21</v>
      </c>
      <c r="D709" t="s">
        <v>15</v>
      </c>
      <c r="E709" t="s">
        <v>26</v>
      </c>
      <c r="F709" t="s">
        <v>39</v>
      </c>
      <c r="G709">
        <v>1</v>
      </c>
      <c r="H709" s="1">
        <v>43486</v>
      </c>
      <c r="I709" s="2">
        <v>0.84236111111111101</v>
      </c>
      <c r="J709" t="s">
        <v>24</v>
      </c>
      <c r="K709">
        <v>3.4489999999999998</v>
      </c>
      <c r="L709">
        <v>4.8</v>
      </c>
    </row>
    <row r="710" spans="1:12" x14ac:dyDescent="0.25">
      <c r="A710" t="s">
        <v>739</v>
      </c>
      <c r="B710" t="s">
        <v>20</v>
      </c>
      <c r="C710" t="s">
        <v>21</v>
      </c>
      <c r="D710" t="s">
        <v>22</v>
      </c>
      <c r="E710" t="s">
        <v>26</v>
      </c>
      <c r="F710" t="s">
        <v>41</v>
      </c>
      <c r="G710">
        <v>8</v>
      </c>
      <c r="H710" s="1">
        <v>43485</v>
      </c>
      <c r="I710" s="2">
        <v>0.85902777777777783</v>
      </c>
      <c r="J710" t="s">
        <v>18</v>
      </c>
      <c r="K710">
        <v>6.2480000000000002</v>
      </c>
      <c r="L710">
        <v>9.1</v>
      </c>
    </row>
    <row r="711" spans="1:12" x14ac:dyDescent="0.25">
      <c r="A711" t="s">
        <v>740</v>
      </c>
      <c r="B711" t="s">
        <v>13</v>
      </c>
      <c r="C711" t="s">
        <v>14</v>
      </c>
      <c r="D711" t="s">
        <v>22</v>
      </c>
      <c r="E711" t="s">
        <v>26</v>
      </c>
      <c r="F711" t="s">
        <v>31</v>
      </c>
      <c r="G711">
        <v>3</v>
      </c>
      <c r="H711" s="1">
        <v>43482</v>
      </c>
      <c r="I711" s="2">
        <v>0.74930555555555556</v>
      </c>
      <c r="J711" t="s">
        <v>18</v>
      </c>
      <c r="K711">
        <v>3.855</v>
      </c>
      <c r="L711">
        <v>6.1</v>
      </c>
    </row>
    <row r="712" spans="1:12" x14ac:dyDescent="0.25">
      <c r="A712" t="s">
        <v>741</v>
      </c>
      <c r="B712" t="s">
        <v>13</v>
      </c>
      <c r="C712" t="s">
        <v>14</v>
      </c>
      <c r="D712" t="s">
        <v>15</v>
      </c>
      <c r="E712" t="s">
        <v>26</v>
      </c>
      <c r="F712" t="s">
        <v>39</v>
      </c>
      <c r="G712">
        <v>6</v>
      </c>
      <c r="H712" s="1">
        <v>43524</v>
      </c>
      <c r="I712" s="2">
        <v>0.84583333333333333</v>
      </c>
      <c r="J712" t="s">
        <v>24</v>
      </c>
      <c r="K712">
        <v>24.186</v>
      </c>
      <c r="L712">
        <v>9.1</v>
      </c>
    </row>
    <row r="713" spans="1:12" x14ac:dyDescent="0.25">
      <c r="A713" t="s">
        <v>742</v>
      </c>
      <c r="B713" t="s">
        <v>20</v>
      </c>
      <c r="C713" t="s">
        <v>21</v>
      </c>
      <c r="D713" t="s">
        <v>15</v>
      </c>
      <c r="E713" t="s">
        <v>16</v>
      </c>
      <c r="F713" t="s">
        <v>27</v>
      </c>
      <c r="G713">
        <v>4</v>
      </c>
      <c r="H713" s="1">
        <v>43543</v>
      </c>
      <c r="I713" s="2">
        <v>0.66111111111111109</v>
      </c>
      <c r="J713" t="s">
        <v>18</v>
      </c>
      <c r="K713">
        <v>15.106</v>
      </c>
      <c r="L713">
        <v>8.3000000000000007</v>
      </c>
    </row>
    <row r="714" spans="1:12" x14ac:dyDescent="0.25">
      <c r="A714" t="s">
        <v>743</v>
      </c>
      <c r="B714" t="s">
        <v>20</v>
      </c>
      <c r="C714" t="s">
        <v>21</v>
      </c>
      <c r="D714" t="s">
        <v>22</v>
      </c>
      <c r="E714" t="s">
        <v>16</v>
      </c>
      <c r="F714" t="s">
        <v>23</v>
      </c>
      <c r="G714">
        <v>9</v>
      </c>
      <c r="H714" s="1">
        <v>43515</v>
      </c>
      <c r="I714" s="2">
        <v>0.63472222222222219</v>
      </c>
      <c r="J714" t="s">
        <v>18</v>
      </c>
      <c r="K714">
        <v>34.933500000000002</v>
      </c>
      <c r="L714">
        <v>7.2</v>
      </c>
    </row>
    <row r="715" spans="1:12" x14ac:dyDescent="0.25">
      <c r="A715" t="s">
        <v>744</v>
      </c>
      <c r="B715" t="s">
        <v>20</v>
      </c>
      <c r="C715" t="s">
        <v>21</v>
      </c>
      <c r="D715" t="s">
        <v>22</v>
      </c>
      <c r="E715" t="s">
        <v>16</v>
      </c>
      <c r="F715" t="s">
        <v>17</v>
      </c>
      <c r="G715">
        <v>9</v>
      </c>
      <c r="H715" s="1">
        <v>43500</v>
      </c>
      <c r="I715" s="2">
        <v>0.53472222222222221</v>
      </c>
      <c r="J715" t="s">
        <v>18</v>
      </c>
      <c r="K715">
        <v>6.2324999999999999</v>
      </c>
      <c r="L715">
        <v>6</v>
      </c>
    </row>
    <row r="716" spans="1:12" x14ac:dyDescent="0.25">
      <c r="A716" t="s">
        <v>745</v>
      </c>
      <c r="B716" t="s">
        <v>20</v>
      </c>
      <c r="C716" t="s">
        <v>21</v>
      </c>
      <c r="D716" t="s">
        <v>15</v>
      </c>
      <c r="E716" t="s">
        <v>26</v>
      </c>
      <c r="F716" t="s">
        <v>41</v>
      </c>
      <c r="G716">
        <v>8</v>
      </c>
      <c r="H716" s="1">
        <v>43496</v>
      </c>
      <c r="I716" s="2">
        <v>0.44166666666666665</v>
      </c>
      <c r="J716" t="s">
        <v>18</v>
      </c>
      <c r="K716">
        <v>39.479999999999997</v>
      </c>
      <c r="L716">
        <v>8.5</v>
      </c>
    </row>
    <row r="717" spans="1:12" x14ac:dyDescent="0.25">
      <c r="A717" t="s">
        <v>746</v>
      </c>
      <c r="B717" t="s">
        <v>13</v>
      </c>
      <c r="C717" t="s">
        <v>14</v>
      </c>
      <c r="D717" t="s">
        <v>22</v>
      </c>
      <c r="E717" t="s">
        <v>16</v>
      </c>
      <c r="F717" t="s">
        <v>17</v>
      </c>
      <c r="G717">
        <v>5</v>
      </c>
      <c r="H717" s="1">
        <v>43502</v>
      </c>
      <c r="I717" s="2">
        <v>0.7729166666666667</v>
      </c>
      <c r="J717" t="s">
        <v>28</v>
      </c>
      <c r="K717">
        <v>8.92</v>
      </c>
      <c r="L717">
        <v>6.6</v>
      </c>
    </row>
    <row r="718" spans="1:12" x14ac:dyDescent="0.25">
      <c r="A718" t="s">
        <v>747</v>
      </c>
      <c r="B718" t="s">
        <v>13</v>
      </c>
      <c r="C718" t="s">
        <v>14</v>
      </c>
      <c r="D718" t="s">
        <v>15</v>
      </c>
      <c r="E718" t="s">
        <v>16</v>
      </c>
      <c r="F718" t="s">
        <v>41</v>
      </c>
      <c r="G718">
        <v>7</v>
      </c>
      <c r="H718" s="1">
        <v>43552</v>
      </c>
      <c r="I718" s="2">
        <v>0.67083333333333339</v>
      </c>
      <c r="J718" t="s">
        <v>18</v>
      </c>
      <c r="K718">
        <v>25.010999999999999</v>
      </c>
      <c r="L718">
        <v>4.5</v>
      </c>
    </row>
    <row r="719" spans="1:12" x14ac:dyDescent="0.25">
      <c r="A719" t="s">
        <v>748</v>
      </c>
      <c r="B719" t="s">
        <v>13</v>
      </c>
      <c r="C719" t="s">
        <v>14</v>
      </c>
      <c r="D719" t="s">
        <v>15</v>
      </c>
      <c r="E719" t="s">
        <v>26</v>
      </c>
      <c r="F719" t="s">
        <v>23</v>
      </c>
      <c r="G719">
        <v>3</v>
      </c>
      <c r="H719" s="1">
        <v>43484</v>
      </c>
      <c r="I719" s="2">
        <v>0.53263888888888888</v>
      </c>
      <c r="J719" t="s">
        <v>28</v>
      </c>
      <c r="K719">
        <v>1.7909999999999999</v>
      </c>
      <c r="L719">
        <v>8.1</v>
      </c>
    </row>
    <row r="720" spans="1:12" x14ac:dyDescent="0.25">
      <c r="A720" t="s">
        <v>749</v>
      </c>
      <c r="B720" t="s">
        <v>13</v>
      </c>
      <c r="C720" t="s">
        <v>14</v>
      </c>
      <c r="D720" t="s">
        <v>22</v>
      </c>
      <c r="E720" t="s">
        <v>26</v>
      </c>
      <c r="F720" t="s">
        <v>41</v>
      </c>
      <c r="G720">
        <v>3</v>
      </c>
      <c r="H720" s="1">
        <v>43513</v>
      </c>
      <c r="I720" s="2">
        <v>0.56527777777777777</v>
      </c>
      <c r="J720" t="s">
        <v>28</v>
      </c>
      <c r="K720">
        <v>6.8070000000000004</v>
      </c>
      <c r="L720">
        <v>7.2</v>
      </c>
    </row>
    <row r="721" spans="1:12" x14ac:dyDescent="0.25">
      <c r="A721" t="s">
        <v>750</v>
      </c>
      <c r="B721" t="s">
        <v>37</v>
      </c>
      <c r="C721" t="s">
        <v>38</v>
      </c>
      <c r="D721" t="s">
        <v>15</v>
      </c>
      <c r="E721" t="s">
        <v>16</v>
      </c>
      <c r="F721" t="s">
        <v>41</v>
      </c>
      <c r="G721">
        <v>6</v>
      </c>
      <c r="H721" s="1">
        <v>43483</v>
      </c>
      <c r="I721" s="2">
        <v>0.62777777777777777</v>
      </c>
      <c r="J721" t="s">
        <v>28</v>
      </c>
      <c r="K721">
        <v>5.2439999999999998</v>
      </c>
      <c r="L721">
        <v>6.1</v>
      </c>
    </row>
    <row r="722" spans="1:12" x14ac:dyDescent="0.25">
      <c r="A722" t="s">
        <v>751</v>
      </c>
      <c r="B722" t="s">
        <v>37</v>
      </c>
      <c r="C722" t="s">
        <v>38</v>
      </c>
      <c r="D722" t="s">
        <v>22</v>
      </c>
      <c r="E722" t="s">
        <v>16</v>
      </c>
      <c r="F722" t="s">
        <v>41</v>
      </c>
      <c r="G722">
        <v>7</v>
      </c>
      <c r="H722" s="1">
        <v>43498</v>
      </c>
      <c r="I722" s="2">
        <v>0.86249999999999993</v>
      </c>
      <c r="J722" t="s">
        <v>24</v>
      </c>
      <c r="K722">
        <v>8.9459999999999997</v>
      </c>
      <c r="L722">
        <v>7.1</v>
      </c>
    </row>
    <row r="723" spans="1:12" x14ac:dyDescent="0.25">
      <c r="A723" t="s">
        <v>752</v>
      </c>
      <c r="B723" t="s">
        <v>20</v>
      </c>
      <c r="C723" t="s">
        <v>21</v>
      </c>
      <c r="D723" t="s">
        <v>15</v>
      </c>
      <c r="E723" t="s">
        <v>16</v>
      </c>
      <c r="F723" t="s">
        <v>31</v>
      </c>
      <c r="G723">
        <v>9</v>
      </c>
      <c r="H723" s="1">
        <v>43483</v>
      </c>
      <c r="I723" s="2">
        <v>0.64444444444444449</v>
      </c>
      <c r="J723" t="s">
        <v>24</v>
      </c>
      <c r="K723">
        <v>40.783499999999997</v>
      </c>
      <c r="L723">
        <v>5.0999999999999996</v>
      </c>
    </row>
    <row r="724" spans="1:12" x14ac:dyDescent="0.25">
      <c r="A724" t="s">
        <v>753</v>
      </c>
      <c r="B724" t="s">
        <v>37</v>
      </c>
      <c r="C724" t="s">
        <v>38</v>
      </c>
      <c r="D724" t="s">
        <v>22</v>
      </c>
      <c r="E724" t="s">
        <v>26</v>
      </c>
      <c r="F724" t="s">
        <v>27</v>
      </c>
      <c r="G724">
        <v>3</v>
      </c>
      <c r="H724" s="1">
        <v>43542</v>
      </c>
      <c r="I724" s="2">
        <v>0.57291666666666663</v>
      </c>
      <c r="J724" t="s">
        <v>28</v>
      </c>
      <c r="K724">
        <v>6.6180000000000003</v>
      </c>
      <c r="L724">
        <v>7.9</v>
      </c>
    </row>
    <row r="725" spans="1:12" x14ac:dyDescent="0.25">
      <c r="A725" t="s">
        <v>754</v>
      </c>
      <c r="B725" t="s">
        <v>20</v>
      </c>
      <c r="C725" t="s">
        <v>21</v>
      </c>
      <c r="D725" t="s">
        <v>15</v>
      </c>
      <c r="E725" t="s">
        <v>16</v>
      </c>
      <c r="F725" t="s">
        <v>39</v>
      </c>
      <c r="G725">
        <v>7</v>
      </c>
      <c r="H725" s="1">
        <v>43476</v>
      </c>
      <c r="I725" s="2">
        <v>0.84027777777777779</v>
      </c>
      <c r="J725" t="s">
        <v>24</v>
      </c>
      <c r="K725">
        <v>12.8695</v>
      </c>
      <c r="L725">
        <v>7.4</v>
      </c>
    </row>
    <row r="726" spans="1:12" x14ac:dyDescent="0.25">
      <c r="A726" t="s">
        <v>755</v>
      </c>
      <c r="B726" t="s">
        <v>37</v>
      </c>
      <c r="C726" t="s">
        <v>38</v>
      </c>
      <c r="D726" t="s">
        <v>15</v>
      </c>
      <c r="E726" t="s">
        <v>26</v>
      </c>
      <c r="F726" t="s">
        <v>39</v>
      </c>
      <c r="G726">
        <v>4</v>
      </c>
      <c r="H726" s="1">
        <v>43500</v>
      </c>
      <c r="I726" s="2">
        <v>0.78680555555555554</v>
      </c>
      <c r="J726" t="s">
        <v>18</v>
      </c>
      <c r="K726">
        <v>4.6680000000000001</v>
      </c>
      <c r="L726">
        <v>7.4</v>
      </c>
    </row>
    <row r="727" spans="1:12" x14ac:dyDescent="0.25">
      <c r="A727" t="s">
        <v>756</v>
      </c>
      <c r="B727" t="s">
        <v>20</v>
      </c>
      <c r="C727" t="s">
        <v>21</v>
      </c>
      <c r="D727" t="s">
        <v>15</v>
      </c>
      <c r="E727" t="s">
        <v>16</v>
      </c>
      <c r="F727" t="s">
        <v>17</v>
      </c>
      <c r="G727">
        <v>8</v>
      </c>
      <c r="H727" s="1">
        <v>43502</v>
      </c>
      <c r="I727" s="2">
        <v>0.6</v>
      </c>
      <c r="J727" t="s">
        <v>24</v>
      </c>
      <c r="K727">
        <v>11.4</v>
      </c>
      <c r="L727">
        <v>6.6</v>
      </c>
    </row>
    <row r="728" spans="1:12" x14ac:dyDescent="0.25">
      <c r="A728" t="s">
        <v>757</v>
      </c>
      <c r="B728" t="s">
        <v>20</v>
      </c>
      <c r="C728" t="s">
        <v>21</v>
      </c>
      <c r="D728" t="s">
        <v>15</v>
      </c>
      <c r="E728" t="s">
        <v>26</v>
      </c>
      <c r="F728" t="s">
        <v>27</v>
      </c>
      <c r="G728">
        <v>3</v>
      </c>
      <c r="H728" s="1">
        <v>43473</v>
      </c>
      <c r="I728" s="2">
        <v>0.48749999999999999</v>
      </c>
      <c r="J728" t="s">
        <v>28</v>
      </c>
      <c r="K728">
        <v>8.3354999999999997</v>
      </c>
      <c r="L728">
        <v>5.9</v>
      </c>
    </row>
    <row r="729" spans="1:12" x14ac:dyDescent="0.25">
      <c r="A729" t="s">
        <v>758</v>
      </c>
      <c r="B729" t="s">
        <v>37</v>
      </c>
      <c r="C729" t="s">
        <v>38</v>
      </c>
      <c r="D729" t="s">
        <v>22</v>
      </c>
      <c r="E729" t="s">
        <v>26</v>
      </c>
      <c r="F729" t="s">
        <v>31</v>
      </c>
      <c r="G729">
        <v>10</v>
      </c>
      <c r="H729" s="1">
        <v>43529</v>
      </c>
      <c r="I729" s="2">
        <v>0.74236111111111114</v>
      </c>
      <c r="J729" t="s">
        <v>28</v>
      </c>
      <c r="K729">
        <v>34.869999999999997</v>
      </c>
      <c r="L729">
        <v>8.9</v>
      </c>
    </row>
    <row r="730" spans="1:12" x14ac:dyDescent="0.25">
      <c r="A730" t="s">
        <v>759</v>
      </c>
      <c r="B730" t="s">
        <v>20</v>
      </c>
      <c r="C730" t="s">
        <v>21</v>
      </c>
      <c r="D730" t="s">
        <v>22</v>
      </c>
      <c r="E730" t="s">
        <v>26</v>
      </c>
      <c r="F730" t="s">
        <v>41</v>
      </c>
      <c r="G730">
        <v>4</v>
      </c>
      <c r="H730" s="1">
        <v>43540</v>
      </c>
      <c r="I730" s="2">
        <v>0.6479166666666667</v>
      </c>
      <c r="J730" t="s">
        <v>18</v>
      </c>
      <c r="K730">
        <v>19.452000000000002</v>
      </c>
      <c r="L730">
        <v>6.8</v>
      </c>
    </row>
    <row r="731" spans="1:12" x14ac:dyDescent="0.25">
      <c r="A731" t="s">
        <v>760</v>
      </c>
      <c r="B731" t="s">
        <v>37</v>
      </c>
      <c r="C731" t="s">
        <v>38</v>
      </c>
      <c r="D731" t="s">
        <v>15</v>
      </c>
      <c r="E731" t="s">
        <v>16</v>
      </c>
      <c r="F731" t="s">
        <v>27</v>
      </c>
      <c r="G731">
        <v>7</v>
      </c>
      <c r="H731" s="1">
        <v>43533</v>
      </c>
      <c r="I731" s="2">
        <v>0.45416666666666666</v>
      </c>
      <c r="J731" t="s">
        <v>24</v>
      </c>
      <c r="K731">
        <v>18.263000000000002</v>
      </c>
      <c r="L731">
        <v>9.3000000000000007</v>
      </c>
    </row>
    <row r="732" spans="1:12" x14ac:dyDescent="0.25">
      <c r="A732" t="s">
        <v>761</v>
      </c>
      <c r="B732" t="s">
        <v>13</v>
      </c>
      <c r="C732" t="s">
        <v>14</v>
      </c>
      <c r="D732" t="s">
        <v>15</v>
      </c>
      <c r="E732" t="s">
        <v>16</v>
      </c>
      <c r="F732" t="s">
        <v>41</v>
      </c>
      <c r="G732">
        <v>4</v>
      </c>
      <c r="H732" s="1">
        <v>43525</v>
      </c>
      <c r="I732" s="2">
        <v>0.68263888888888891</v>
      </c>
      <c r="J732" t="s">
        <v>28</v>
      </c>
      <c r="K732">
        <v>4.4640000000000004</v>
      </c>
      <c r="L732">
        <v>4.4000000000000004</v>
      </c>
    </row>
    <row r="733" spans="1:12" x14ac:dyDescent="0.25">
      <c r="A733" t="s">
        <v>762</v>
      </c>
      <c r="B733" t="s">
        <v>13</v>
      </c>
      <c r="C733" t="s">
        <v>14</v>
      </c>
      <c r="D733" t="s">
        <v>22</v>
      </c>
      <c r="E733" t="s">
        <v>26</v>
      </c>
      <c r="F733" t="s">
        <v>17</v>
      </c>
      <c r="G733">
        <v>3</v>
      </c>
      <c r="H733" s="1">
        <v>43524</v>
      </c>
      <c r="I733" s="2">
        <v>0.81458333333333333</v>
      </c>
      <c r="J733" t="s">
        <v>18</v>
      </c>
      <c r="K733">
        <v>8.4</v>
      </c>
      <c r="L733">
        <v>4.8</v>
      </c>
    </row>
    <row r="734" spans="1:12" x14ac:dyDescent="0.25">
      <c r="A734" t="s">
        <v>763</v>
      </c>
      <c r="B734" t="s">
        <v>13</v>
      </c>
      <c r="C734" t="s">
        <v>14</v>
      </c>
      <c r="D734" t="s">
        <v>15</v>
      </c>
      <c r="E734" t="s">
        <v>26</v>
      </c>
      <c r="F734" t="s">
        <v>41</v>
      </c>
      <c r="G734">
        <v>1</v>
      </c>
      <c r="H734" s="1">
        <v>43504</v>
      </c>
      <c r="I734" s="2">
        <v>0.48541666666666666</v>
      </c>
      <c r="J734" t="s">
        <v>18</v>
      </c>
      <c r="K734">
        <v>0.98499999999999999</v>
      </c>
      <c r="L734">
        <v>9.5</v>
      </c>
    </row>
    <row r="735" spans="1:12" x14ac:dyDescent="0.25">
      <c r="A735" t="s">
        <v>764</v>
      </c>
      <c r="B735" t="s">
        <v>37</v>
      </c>
      <c r="C735" t="s">
        <v>38</v>
      </c>
      <c r="D735" t="s">
        <v>22</v>
      </c>
      <c r="E735" t="s">
        <v>26</v>
      </c>
      <c r="F735" t="s">
        <v>23</v>
      </c>
      <c r="G735">
        <v>7</v>
      </c>
      <c r="H735" s="1">
        <v>43489</v>
      </c>
      <c r="I735" s="2">
        <v>0.44305555555555554</v>
      </c>
      <c r="J735" t="s">
        <v>18</v>
      </c>
      <c r="K735">
        <v>26.558</v>
      </c>
      <c r="L735">
        <v>8.9</v>
      </c>
    </row>
    <row r="736" spans="1:12" x14ac:dyDescent="0.25">
      <c r="A736" t="s">
        <v>765</v>
      </c>
      <c r="B736" t="s">
        <v>37</v>
      </c>
      <c r="C736" t="s">
        <v>38</v>
      </c>
      <c r="D736" t="s">
        <v>15</v>
      </c>
      <c r="E736" t="s">
        <v>26</v>
      </c>
      <c r="F736" t="s">
        <v>39</v>
      </c>
      <c r="G736">
        <v>1</v>
      </c>
      <c r="H736" s="1">
        <v>43525</v>
      </c>
      <c r="I736" s="2">
        <v>0.8354166666666667</v>
      </c>
      <c r="J736" t="s">
        <v>18</v>
      </c>
      <c r="K736">
        <v>2.6859999999999999</v>
      </c>
      <c r="L736">
        <v>6.4</v>
      </c>
    </row>
    <row r="737" spans="1:12" x14ac:dyDescent="0.25">
      <c r="A737" t="s">
        <v>766</v>
      </c>
      <c r="B737" t="s">
        <v>20</v>
      </c>
      <c r="C737" t="s">
        <v>21</v>
      </c>
      <c r="D737" t="s">
        <v>15</v>
      </c>
      <c r="E737" t="s">
        <v>26</v>
      </c>
      <c r="F737" t="s">
        <v>17</v>
      </c>
      <c r="G737">
        <v>10</v>
      </c>
      <c r="H737" s="1">
        <v>43534</v>
      </c>
      <c r="I737" s="2">
        <v>0.52708333333333335</v>
      </c>
      <c r="J737" t="s">
        <v>28</v>
      </c>
      <c r="K737">
        <v>40.975000000000001</v>
      </c>
      <c r="L737">
        <v>6</v>
      </c>
    </row>
    <row r="738" spans="1:12" x14ac:dyDescent="0.25">
      <c r="A738" t="s">
        <v>767</v>
      </c>
      <c r="B738" t="s">
        <v>20</v>
      </c>
      <c r="C738" t="s">
        <v>21</v>
      </c>
      <c r="D738" t="s">
        <v>15</v>
      </c>
      <c r="E738" t="s">
        <v>16</v>
      </c>
      <c r="F738" t="s">
        <v>27</v>
      </c>
      <c r="G738">
        <v>7</v>
      </c>
      <c r="H738" s="1">
        <v>43547</v>
      </c>
      <c r="I738" s="2">
        <v>0.66597222222222219</v>
      </c>
      <c r="J738" t="s">
        <v>28</v>
      </c>
      <c r="K738">
        <v>28.42</v>
      </c>
      <c r="L738">
        <v>8.1</v>
      </c>
    </row>
    <row r="739" spans="1:12" x14ac:dyDescent="0.25">
      <c r="A739" t="s">
        <v>768</v>
      </c>
      <c r="B739" t="s">
        <v>20</v>
      </c>
      <c r="C739" t="s">
        <v>21</v>
      </c>
      <c r="D739" t="s">
        <v>22</v>
      </c>
      <c r="E739" t="s">
        <v>26</v>
      </c>
      <c r="F739" t="s">
        <v>23</v>
      </c>
      <c r="G739">
        <v>10</v>
      </c>
      <c r="H739" s="1">
        <v>43494</v>
      </c>
      <c r="I739" s="2">
        <v>0.60138888888888886</v>
      </c>
      <c r="J739" t="s">
        <v>18</v>
      </c>
      <c r="K739">
        <v>29.38</v>
      </c>
      <c r="L739">
        <v>9</v>
      </c>
    </row>
    <row r="740" spans="1:12" x14ac:dyDescent="0.25">
      <c r="A740" t="s">
        <v>769</v>
      </c>
      <c r="B740" t="s">
        <v>37</v>
      </c>
      <c r="C740" t="s">
        <v>38</v>
      </c>
      <c r="D740" t="s">
        <v>15</v>
      </c>
      <c r="E740" t="s">
        <v>26</v>
      </c>
      <c r="F740" t="s">
        <v>23</v>
      </c>
      <c r="G740">
        <v>8</v>
      </c>
      <c r="H740" s="1">
        <v>43477</v>
      </c>
      <c r="I740" s="2">
        <v>0.76527777777777783</v>
      </c>
      <c r="J740" t="s">
        <v>18</v>
      </c>
      <c r="K740">
        <v>36.624000000000002</v>
      </c>
      <c r="L740">
        <v>6</v>
      </c>
    </row>
    <row r="741" spans="1:12" x14ac:dyDescent="0.25">
      <c r="A741" t="s">
        <v>770</v>
      </c>
      <c r="B741" t="s">
        <v>13</v>
      </c>
      <c r="C741" t="s">
        <v>14</v>
      </c>
      <c r="D741" t="s">
        <v>22</v>
      </c>
      <c r="E741" t="s">
        <v>26</v>
      </c>
      <c r="F741" t="s">
        <v>27</v>
      </c>
      <c r="G741">
        <v>9</v>
      </c>
      <c r="H741" s="1">
        <v>43544</v>
      </c>
      <c r="I741" s="2">
        <v>0.48055555555555557</v>
      </c>
      <c r="J741" t="s">
        <v>24</v>
      </c>
      <c r="K741">
        <v>42.281999999999996</v>
      </c>
      <c r="L741">
        <v>9.8000000000000007</v>
      </c>
    </row>
    <row r="742" spans="1:12" x14ac:dyDescent="0.25">
      <c r="A742" t="s">
        <v>771</v>
      </c>
      <c r="B742" t="s">
        <v>20</v>
      </c>
      <c r="C742" t="s">
        <v>21</v>
      </c>
      <c r="D742" t="s">
        <v>22</v>
      </c>
      <c r="E742" t="s">
        <v>26</v>
      </c>
      <c r="F742" t="s">
        <v>27</v>
      </c>
      <c r="G742">
        <v>7</v>
      </c>
      <c r="H742" s="1">
        <v>43547</v>
      </c>
      <c r="I742" s="2">
        <v>0.52847222222222223</v>
      </c>
      <c r="J742" t="s">
        <v>24</v>
      </c>
      <c r="K742">
        <v>19.4635</v>
      </c>
      <c r="L742">
        <v>8.5</v>
      </c>
    </row>
    <row r="743" spans="1:12" x14ac:dyDescent="0.25">
      <c r="A743" t="s">
        <v>772</v>
      </c>
      <c r="B743" t="s">
        <v>20</v>
      </c>
      <c r="C743" t="s">
        <v>21</v>
      </c>
      <c r="D743" t="s">
        <v>22</v>
      </c>
      <c r="E743" t="s">
        <v>26</v>
      </c>
      <c r="F743" t="s">
        <v>39</v>
      </c>
      <c r="G743">
        <v>1</v>
      </c>
      <c r="H743" s="1">
        <v>43479</v>
      </c>
      <c r="I743" s="2">
        <v>0.63888888888888895</v>
      </c>
      <c r="J743" t="s">
        <v>18</v>
      </c>
      <c r="K743">
        <v>4.2415000000000003</v>
      </c>
      <c r="L743">
        <v>8.8000000000000007</v>
      </c>
    </row>
    <row r="744" spans="1:12" x14ac:dyDescent="0.25">
      <c r="A744" t="s">
        <v>773</v>
      </c>
      <c r="B744" t="s">
        <v>13</v>
      </c>
      <c r="C744" t="s">
        <v>14</v>
      </c>
      <c r="D744" t="s">
        <v>15</v>
      </c>
      <c r="E744" t="s">
        <v>16</v>
      </c>
      <c r="F744" t="s">
        <v>31</v>
      </c>
      <c r="G744">
        <v>2</v>
      </c>
      <c r="H744" s="1">
        <v>43508</v>
      </c>
      <c r="I744" s="2">
        <v>0.60625000000000007</v>
      </c>
      <c r="J744" t="s">
        <v>18</v>
      </c>
      <c r="K744">
        <v>7.1630000000000003</v>
      </c>
      <c r="L744">
        <v>8.8000000000000007</v>
      </c>
    </row>
    <row r="745" spans="1:12" x14ac:dyDescent="0.25">
      <c r="A745" t="s">
        <v>774</v>
      </c>
      <c r="B745" t="s">
        <v>13</v>
      </c>
      <c r="C745" t="s">
        <v>14</v>
      </c>
      <c r="D745" t="s">
        <v>15</v>
      </c>
      <c r="E745" t="s">
        <v>26</v>
      </c>
      <c r="F745" t="s">
        <v>27</v>
      </c>
      <c r="G745">
        <v>2</v>
      </c>
      <c r="H745" s="1">
        <v>43516</v>
      </c>
      <c r="I745" s="2">
        <v>0.64513888888888882</v>
      </c>
      <c r="J745" t="s">
        <v>18</v>
      </c>
      <c r="K745">
        <v>3.7690000000000001</v>
      </c>
      <c r="L745">
        <v>9.5</v>
      </c>
    </row>
    <row r="746" spans="1:12" x14ac:dyDescent="0.25">
      <c r="A746" t="s">
        <v>775</v>
      </c>
      <c r="B746" t="s">
        <v>20</v>
      </c>
      <c r="C746" t="s">
        <v>21</v>
      </c>
      <c r="D746" t="s">
        <v>15</v>
      </c>
      <c r="E746" t="s">
        <v>16</v>
      </c>
      <c r="F746" t="s">
        <v>31</v>
      </c>
      <c r="G746">
        <v>8</v>
      </c>
      <c r="H746" s="1">
        <v>43467</v>
      </c>
      <c r="I746" s="2">
        <v>0.67986111111111114</v>
      </c>
      <c r="J746" t="s">
        <v>28</v>
      </c>
      <c r="K746">
        <v>12.667999999999999</v>
      </c>
      <c r="L746">
        <v>5.6</v>
      </c>
    </row>
    <row r="747" spans="1:12" x14ac:dyDescent="0.25">
      <c r="A747" t="s">
        <v>776</v>
      </c>
      <c r="B747" t="s">
        <v>20</v>
      </c>
      <c r="C747" t="s">
        <v>21</v>
      </c>
      <c r="D747" t="s">
        <v>15</v>
      </c>
      <c r="E747" t="s">
        <v>16</v>
      </c>
      <c r="F747" t="s">
        <v>39</v>
      </c>
      <c r="G747">
        <v>1</v>
      </c>
      <c r="H747" s="1">
        <v>43498</v>
      </c>
      <c r="I747" s="2">
        <v>0.68958333333333333</v>
      </c>
      <c r="J747" t="s">
        <v>24</v>
      </c>
      <c r="K747">
        <v>1.921</v>
      </c>
      <c r="L747">
        <v>8.6</v>
      </c>
    </row>
    <row r="748" spans="1:12" x14ac:dyDescent="0.25">
      <c r="A748" t="s">
        <v>777</v>
      </c>
      <c r="B748" t="s">
        <v>37</v>
      </c>
      <c r="C748" t="s">
        <v>38</v>
      </c>
      <c r="D748" t="s">
        <v>15</v>
      </c>
      <c r="E748" t="s">
        <v>26</v>
      </c>
      <c r="F748" t="s">
        <v>41</v>
      </c>
      <c r="G748">
        <v>10</v>
      </c>
      <c r="H748" s="1">
        <v>43473</v>
      </c>
      <c r="I748" s="2">
        <v>0.79652777777777783</v>
      </c>
      <c r="J748" t="s">
        <v>28</v>
      </c>
      <c r="K748">
        <v>32.615000000000002</v>
      </c>
      <c r="L748">
        <v>5.2</v>
      </c>
    </row>
    <row r="749" spans="1:12" x14ac:dyDescent="0.25">
      <c r="A749" t="s">
        <v>778</v>
      </c>
      <c r="B749" t="s">
        <v>20</v>
      </c>
      <c r="C749" t="s">
        <v>21</v>
      </c>
      <c r="D749" t="s">
        <v>15</v>
      </c>
      <c r="E749" t="s">
        <v>16</v>
      </c>
      <c r="F749" t="s">
        <v>27</v>
      </c>
      <c r="G749">
        <v>5</v>
      </c>
      <c r="H749" s="1">
        <v>43495</v>
      </c>
      <c r="I749" s="2">
        <v>0.61319444444444449</v>
      </c>
      <c r="J749" t="s">
        <v>28</v>
      </c>
      <c r="K749">
        <v>2.6324999999999998</v>
      </c>
      <c r="L749">
        <v>5.8</v>
      </c>
    </row>
    <row r="750" spans="1:12" x14ac:dyDescent="0.25">
      <c r="A750" t="s">
        <v>779</v>
      </c>
      <c r="B750" t="s">
        <v>37</v>
      </c>
      <c r="C750" t="s">
        <v>38</v>
      </c>
      <c r="D750" t="s">
        <v>15</v>
      </c>
      <c r="E750" t="s">
        <v>16</v>
      </c>
      <c r="F750" t="s">
        <v>27</v>
      </c>
      <c r="G750">
        <v>9</v>
      </c>
      <c r="H750" s="1">
        <v>43550</v>
      </c>
      <c r="I750" s="2">
        <v>0.81111111111111101</v>
      </c>
      <c r="J750" t="s">
        <v>28</v>
      </c>
      <c r="K750">
        <v>5.5305</v>
      </c>
      <c r="L750">
        <v>8</v>
      </c>
    </row>
    <row r="751" spans="1:12" x14ac:dyDescent="0.25">
      <c r="A751" t="s">
        <v>780</v>
      </c>
      <c r="B751" t="s">
        <v>20</v>
      </c>
      <c r="C751" t="s">
        <v>21</v>
      </c>
      <c r="D751" t="s">
        <v>15</v>
      </c>
      <c r="E751" t="s">
        <v>26</v>
      </c>
      <c r="F751" t="s">
        <v>17</v>
      </c>
      <c r="G751">
        <v>7</v>
      </c>
      <c r="H751" s="1">
        <v>43480</v>
      </c>
      <c r="I751" s="2">
        <v>0.86388888888888893</v>
      </c>
      <c r="J751" t="s">
        <v>24</v>
      </c>
      <c r="K751">
        <v>28.430499999999999</v>
      </c>
      <c r="L751">
        <v>9</v>
      </c>
    </row>
    <row r="752" spans="1:12" x14ac:dyDescent="0.25">
      <c r="A752" t="s">
        <v>781</v>
      </c>
      <c r="B752" t="s">
        <v>37</v>
      </c>
      <c r="C752" t="s">
        <v>38</v>
      </c>
      <c r="D752" t="s">
        <v>15</v>
      </c>
      <c r="E752" t="s">
        <v>16</v>
      </c>
      <c r="F752" t="s">
        <v>41</v>
      </c>
      <c r="G752">
        <v>4</v>
      </c>
      <c r="H752" s="1">
        <v>43538</v>
      </c>
      <c r="I752" s="2">
        <v>0.4694444444444445</v>
      </c>
      <c r="J752" t="s">
        <v>18</v>
      </c>
      <c r="K752">
        <v>4.4640000000000004</v>
      </c>
      <c r="L752">
        <v>4.0999999999999996</v>
      </c>
    </row>
    <row r="753" spans="1:12" x14ac:dyDescent="0.25">
      <c r="A753" t="s">
        <v>782</v>
      </c>
      <c r="B753" t="s">
        <v>13</v>
      </c>
      <c r="C753" t="s">
        <v>14</v>
      </c>
      <c r="D753" t="s">
        <v>22</v>
      </c>
      <c r="E753" t="s">
        <v>16</v>
      </c>
      <c r="F753" t="s">
        <v>39</v>
      </c>
      <c r="G753">
        <v>5</v>
      </c>
      <c r="H753" s="1">
        <v>43499</v>
      </c>
      <c r="I753" s="2">
        <v>0.4381944444444445</v>
      </c>
      <c r="J753" t="s">
        <v>28</v>
      </c>
      <c r="K753">
        <v>6.82</v>
      </c>
      <c r="L753">
        <v>8.6</v>
      </c>
    </row>
    <row r="754" spans="1:12" x14ac:dyDescent="0.25">
      <c r="A754" t="s">
        <v>783</v>
      </c>
      <c r="B754" t="s">
        <v>13</v>
      </c>
      <c r="C754" t="s">
        <v>14</v>
      </c>
      <c r="D754" t="s">
        <v>15</v>
      </c>
      <c r="E754" t="s">
        <v>16</v>
      </c>
      <c r="F754" t="s">
        <v>23</v>
      </c>
      <c r="G754">
        <v>10</v>
      </c>
      <c r="H754" s="1">
        <v>43518</v>
      </c>
      <c r="I754" s="2">
        <v>0.52083333333333337</v>
      </c>
      <c r="J754" t="s">
        <v>18</v>
      </c>
      <c r="K754">
        <v>8.7100000000000009</v>
      </c>
      <c r="L754">
        <v>7</v>
      </c>
    </row>
    <row r="755" spans="1:12" x14ac:dyDescent="0.25">
      <c r="A755" t="s">
        <v>784</v>
      </c>
      <c r="B755" t="s">
        <v>37</v>
      </c>
      <c r="C755" t="s">
        <v>38</v>
      </c>
      <c r="D755" t="s">
        <v>22</v>
      </c>
      <c r="E755" t="s">
        <v>26</v>
      </c>
      <c r="F755" t="s">
        <v>27</v>
      </c>
      <c r="G755">
        <v>5</v>
      </c>
      <c r="H755" s="1">
        <v>43489</v>
      </c>
      <c r="I755" s="2">
        <v>0.62847222222222221</v>
      </c>
      <c r="J755" t="s">
        <v>18</v>
      </c>
      <c r="K755">
        <v>18.32</v>
      </c>
      <c r="L755">
        <v>8.4</v>
      </c>
    </row>
    <row r="756" spans="1:12" x14ac:dyDescent="0.25">
      <c r="A756" t="s">
        <v>785</v>
      </c>
      <c r="B756" t="s">
        <v>20</v>
      </c>
      <c r="C756" t="s">
        <v>21</v>
      </c>
      <c r="D756" t="s">
        <v>15</v>
      </c>
      <c r="E756" t="s">
        <v>16</v>
      </c>
      <c r="F756" t="s">
        <v>41</v>
      </c>
      <c r="G756">
        <v>3</v>
      </c>
      <c r="H756" s="1">
        <v>43490</v>
      </c>
      <c r="I756" s="2">
        <v>0.77083333333333337</v>
      </c>
      <c r="J756" t="s">
        <v>18</v>
      </c>
      <c r="K756">
        <v>12.730499999999999</v>
      </c>
      <c r="L756">
        <v>7.4</v>
      </c>
    </row>
    <row r="757" spans="1:12" x14ac:dyDescent="0.25">
      <c r="A757" t="s">
        <v>786</v>
      </c>
      <c r="B757" t="s">
        <v>13</v>
      </c>
      <c r="C757" t="s">
        <v>14</v>
      </c>
      <c r="D757" t="s">
        <v>22</v>
      </c>
      <c r="E757" t="s">
        <v>16</v>
      </c>
      <c r="F757" t="s">
        <v>41</v>
      </c>
      <c r="G757">
        <v>8</v>
      </c>
      <c r="H757" s="1">
        <v>43533</v>
      </c>
      <c r="I757" s="2">
        <v>0.5541666666666667</v>
      </c>
      <c r="J757" t="s">
        <v>28</v>
      </c>
      <c r="K757">
        <v>38.915999999999997</v>
      </c>
      <c r="L757">
        <v>6.2</v>
      </c>
    </row>
    <row r="758" spans="1:12" x14ac:dyDescent="0.25">
      <c r="A758" t="s">
        <v>787</v>
      </c>
      <c r="B758" t="s">
        <v>37</v>
      </c>
      <c r="C758" t="s">
        <v>38</v>
      </c>
      <c r="D758" t="s">
        <v>15</v>
      </c>
      <c r="E758" t="s">
        <v>16</v>
      </c>
      <c r="F758" t="s">
        <v>23</v>
      </c>
      <c r="G758">
        <v>8</v>
      </c>
      <c r="H758" s="1">
        <v>43513</v>
      </c>
      <c r="I758" s="2">
        <v>0.64444444444444449</v>
      </c>
      <c r="J758" t="s">
        <v>18</v>
      </c>
      <c r="K758">
        <v>14.295999999999999</v>
      </c>
      <c r="L758">
        <v>4.9000000000000004</v>
      </c>
    </row>
    <row r="759" spans="1:12" x14ac:dyDescent="0.25">
      <c r="A759" t="s">
        <v>788</v>
      </c>
      <c r="B759" t="s">
        <v>13</v>
      </c>
      <c r="C759" t="s">
        <v>14</v>
      </c>
      <c r="D759" t="s">
        <v>22</v>
      </c>
      <c r="E759" t="s">
        <v>16</v>
      </c>
      <c r="F759" t="s">
        <v>27</v>
      </c>
      <c r="G759">
        <v>6</v>
      </c>
      <c r="H759" s="1">
        <v>43476</v>
      </c>
      <c r="I759" s="2">
        <v>0.49444444444444446</v>
      </c>
      <c r="J759" t="s">
        <v>24</v>
      </c>
      <c r="K759">
        <v>28.956</v>
      </c>
      <c r="L759">
        <v>4.5</v>
      </c>
    </row>
    <row r="760" spans="1:12" x14ac:dyDescent="0.25">
      <c r="A760" t="s">
        <v>789</v>
      </c>
      <c r="B760" t="s">
        <v>13</v>
      </c>
      <c r="C760" t="s">
        <v>14</v>
      </c>
      <c r="D760" t="s">
        <v>15</v>
      </c>
      <c r="E760" t="s">
        <v>26</v>
      </c>
      <c r="F760" t="s">
        <v>39</v>
      </c>
      <c r="G760">
        <v>10</v>
      </c>
      <c r="H760" s="1">
        <v>43523</v>
      </c>
      <c r="I760" s="2">
        <v>0.76666666666666661</v>
      </c>
      <c r="J760" t="s">
        <v>18</v>
      </c>
      <c r="K760">
        <v>9.4250000000000007</v>
      </c>
      <c r="L760">
        <v>5.6</v>
      </c>
    </row>
    <row r="761" spans="1:12" x14ac:dyDescent="0.25">
      <c r="A761" t="s">
        <v>790</v>
      </c>
      <c r="B761" t="s">
        <v>13</v>
      </c>
      <c r="C761" t="s">
        <v>14</v>
      </c>
      <c r="D761" t="s">
        <v>22</v>
      </c>
      <c r="E761" t="s">
        <v>16</v>
      </c>
      <c r="F761" t="s">
        <v>39</v>
      </c>
      <c r="G761">
        <v>4</v>
      </c>
      <c r="H761" s="1">
        <v>43549</v>
      </c>
      <c r="I761" s="2">
        <v>0.6381944444444444</v>
      </c>
      <c r="J761" t="s">
        <v>18</v>
      </c>
      <c r="K761">
        <v>11.077999999999999</v>
      </c>
      <c r="L761">
        <v>8</v>
      </c>
    </row>
    <row r="762" spans="1:12" x14ac:dyDescent="0.25">
      <c r="A762" t="s">
        <v>791</v>
      </c>
      <c r="B762" t="s">
        <v>37</v>
      </c>
      <c r="C762" t="s">
        <v>38</v>
      </c>
      <c r="D762" t="s">
        <v>15</v>
      </c>
      <c r="E762" t="s">
        <v>16</v>
      </c>
      <c r="F762" t="s">
        <v>39</v>
      </c>
      <c r="G762">
        <v>10</v>
      </c>
      <c r="H762" s="1">
        <v>43507</v>
      </c>
      <c r="I762" s="2">
        <v>0.44305555555555554</v>
      </c>
      <c r="J762" t="s">
        <v>28</v>
      </c>
      <c r="K762">
        <v>38.6</v>
      </c>
      <c r="L762">
        <v>5.6</v>
      </c>
    </row>
    <row r="763" spans="1:12" x14ac:dyDescent="0.25">
      <c r="A763" t="s">
        <v>792</v>
      </c>
      <c r="B763" t="s">
        <v>37</v>
      </c>
      <c r="C763" t="s">
        <v>38</v>
      </c>
      <c r="D763" t="s">
        <v>22</v>
      </c>
      <c r="E763" t="s">
        <v>26</v>
      </c>
      <c r="F763" t="s">
        <v>23</v>
      </c>
      <c r="G763">
        <v>10</v>
      </c>
      <c r="H763" s="1">
        <v>43496</v>
      </c>
      <c r="I763" s="2">
        <v>0.6333333333333333</v>
      </c>
      <c r="J763" t="s">
        <v>28</v>
      </c>
      <c r="K763">
        <v>36.064999999999998</v>
      </c>
      <c r="L763">
        <v>4.2</v>
      </c>
    </row>
    <row r="764" spans="1:12" x14ac:dyDescent="0.25">
      <c r="A764" t="s">
        <v>793</v>
      </c>
      <c r="B764" t="s">
        <v>13</v>
      </c>
      <c r="C764" t="s">
        <v>14</v>
      </c>
      <c r="D764" t="s">
        <v>15</v>
      </c>
      <c r="E764" t="s">
        <v>16</v>
      </c>
      <c r="F764" t="s">
        <v>41</v>
      </c>
      <c r="G764">
        <v>8</v>
      </c>
      <c r="H764" s="1">
        <v>43485</v>
      </c>
      <c r="I764" s="2">
        <v>0.7416666666666667</v>
      </c>
      <c r="J764" t="s">
        <v>18</v>
      </c>
      <c r="K764">
        <v>25.552</v>
      </c>
      <c r="L764">
        <v>9.9</v>
      </c>
    </row>
    <row r="765" spans="1:12" x14ac:dyDescent="0.25">
      <c r="A765" t="s">
        <v>794</v>
      </c>
      <c r="B765" t="s">
        <v>13</v>
      </c>
      <c r="C765" t="s">
        <v>14</v>
      </c>
      <c r="D765" t="s">
        <v>15</v>
      </c>
      <c r="E765" t="s">
        <v>16</v>
      </c>
      <c r="F765" t="s">
        <v>17</v>
      </c>
      <c r="G765">
        <v>5</v>
      </c>
      <c r="H765" s="1">
        <v>43550</v>
      </c>
      <c r="I765" s="2">
        <v>0.46319444444444446</v>
      </c>
      <c r="J765" t="s">
        <v>18</v>
      </c>
      <c r="K765">
        <v>2.6724999999999999</v>
      </c>
      <c r="L765">
        <v>7.6</v>
      </c>
    </row>
    <row r="766" spans="1:12" x14ac:dyDescent="0.25">
      <c r="A766" t="s">
        <v>795</v>
      </c>
      <c r="B766" t="s">
        <v>13</v>
      </c>
      <c r="C766" t="s">
        <v>14</v>
      </c>
      <c r="D766" t="s">
        <v>15</v>
      </c>
      <c r="E766" t="s">
        <v>26</v>
      </c>
      <c r="F766" t="s">
        <v>17</v>
      </c>
      <c r="G766">
        <v>4</v>
      </c>
      <c r="H766" s="1">
        <v>43485</v>
      </c>
      <c r="I766" s="2">
        <v>0.65833333333333333</v>
      </c>
      <c r="J766" t="s">
        <v>28</v>
      </c>
      <c r="K766">
        <v>11.1</v>
      </c>
      <c r="L766">
        <v>6.6</v>
      </c>
    </row>
    <row r="767" spans="1:12" x14ac:dyDescent="0.25">
      <c r="A767" t="s">
        <v>796</v>
      </c>
      <c r="B767" t="s">
        <v>37</v>
      </c>
      <c r="C767" t="s">
        <v>38</v>
      </c>
      <c r="D767" t="s">
        <v>22</v>
      </c>
      <c r="E767" t="s">
        <v>16</v>
      </c>
      <c r="F767" t="s">
        <v>27</v>
      </c>
      <c r="G767">
        <v>8</v>
      </c>
      <c r="H767" s="1">
        <v>43529</v>
      </c>
      <c r="I767" s="2">
        <v>0.81944444444444453</v>
      </c>
      <c r="J767" t="s">
        <v>18</v>
      </c>
      <c r="K767">
        <v>38.183999999999997</v>
      </c>
      <c r="L767">
        <v>4.7</v>
      </c>
    </row>
    <row r="768" spans="1:12" x14ac:dyDescent="0.25">
      <c r="A768" t="s">
        <v>797</v>
      </c>
      <c r="B768" t="s">
        <v>20</v>
      </c>
      <c r="C768" t="s">
        <v>21</v>
      </c>
      <c r="D768" t="s">
        <v>22</v>
      </c>
      <c r="E768" t="s">
        <v>16</v>
      </c>
      <c r="F768" t="s">
        <v>41</v>
      </c>
      <c r="G768">
        <v>3</v>
      </c>
      <c r="H768" s="1">
        <v>43470</v>
      </c>
      <c r="I768" s="2">
        <v>0.85416666666666663</v>
      </c>
      <c r="J768" t="s">
        <v>28</v>
      </c>
      <c r="K768">
        <v>11.409000000000001</v>
      </c>
      <c r="L768">
        <v>9.8000000000000007</v>
      </c>
    </row>
    <row r="769" spans="1:12" x14ac:dyDescent="0.25">
      <c r="A769" t="s">
        <v>798</v>
      </c>
      <c r="B769" t="s">
        <v>37</v>
      </c>
      <c r="C769" t="s">
        <v>38</v>
      </c>
      <c r="D769" t="s">
        <v>22</v>
      </c>
      <c r="E769" t="s">
        <v>26</v>
      </c>
      <c r="F769" t="s">
        <v>31</v>
      </c>
      <c r="G769">
        <v>6</v>
      </c>
      <c r="H769" s="1">
        <v>43509</v>
      </c>
      <c r="I769" s="2">
        <v>0.58263888888888882</v>
      </c>
      <c r="J769" t="s">
        <v>24</v>
      </c>
      <c r="K769">
        <v>4.1070000000000002</v>
      </c>
      <c r="L769">
        <v>6.3</v>
      </c>
    </row>
    <row r="770" spans="1:12" x14ac:dyDescent="0.25">
      <c r="A770" t="s">
        <v>799</v>
      </c>
      <c r="B770" t="s">
        <v>37</v>
      </c>
      <c r="C770" t="s">
        <v>38</v>
      </c>
      <c r="D770" t="s">
        <v>22</v>
      </c>
      <c r="E770" t="s">
        <v>16</v>
      </c>
      <c r="F770" t="s">
        <v>23</v>
      </c>
      <c r="G770">
        <v>4</v>
      </c>
      <c r="H770" s="1">
        <v>43540</v>
      </c>
      <c r="I770" s="2">
        <v>0.78541666666666676</v>
      </c>
      <c r="J770" t="s">
        <v>24</v>
      </c>
      <c r="K770">
        <v>19.128</v>
      </c>
      <c r="L770">
        <v>7.9</v>
      </c>
    </row>
    <row r="771" spans="1:12" x14ac:dyDescent="0.25">
      <c r="A771" t="s">
        <v>800</v>
      </c>
      <c r="B771" t="s">
        <v>13</v>
      </c>
      <c r="C771" t="s">
        <v>14</v>
      </c>
      <c r="D771" t="s">
        <v>22</v>
      </c>
      <c r="E771" t="s">
        <v>16</v>
      </c>
      <c r="F771" t="s">
        <v>27</v>
      </c>
      <c r="G771">
        <v>6</v>
      </c>
      <c r="H771" s="1">
        <v>43480</v>
      </c>
      <c r="I771" s="2">
        <v>0.72499999999999998</v>
      </c>
      <c r="J771" t="s">
        <v>24</v>
      </c>
      <c r="K771">
        <v>3.4289999999999998</v>
      </c>
      <c r="L771">
        <v>7.7</v>
      </c>
    </row>
    <row r="772" spans="1:12" x14ac:dyDescent="0.25">
      <c r="A772" t="s">
        <v>801</v>
      </c>
      <c r="B772" t="s">
        <v>37</v>
      </c>
      <c r="C772" t="s">
        <v>38</v>
      </c>
      <c r="D772" t="s">
        <v>15</v>
      </c>
      <c r="E772" t="s">
        <v>16</v>
      </c>
      <c r="F772" t="s">
        <v>31</v>
      </c>
      <c r="G772">
        <v>4</v>
      </c>
      <c r="H772" s="1">
        <v>43522</v>
      </c>
      <c r="I772" s="2">
        <v>0.49861111111111112</v>
      </c>
      <c r="J772" t="s">
        <v>18</v>
      </c>
      <c r="K772">
        <v>19.108000000000001</v>
      </c>
      <c r="L772">
        <v>4.5</v>
      </c>
    </row>
    <row r="773" spans="1:12" x14ac:dyDescent="0.25">
      <c r="A773" t="s">
        <v>802</v>
      </c>
      <c r="B773" t="s">
        <v>20</v>
      </c>
      <c r="C773" t="s">
        <v>21</v>
      </c>
      <c r="D773" t="s">
        <v>15</v>
      </c>
      <c r="E773" t="s">
        <v>16</v>
      </c>
      <c r="F773" t="s">
        <v>17</v>
      </c>
      <c r="G773">
        <v>7</v>
      </c>
      <c r="H773" s="1">
        <v>43523</v>
      </c>
      <c r="I773" s="2">
        <v>0.79236111111111107</v>
      </c>
      <c r="J773" t="s">
        <v>28</v>
      </c>
      <c r="K773">
        <v>30.054500000000001</v>
      </c>
      <c r="L773">
        <v>8</v>
      </c>
    </row>
    <row r="774" spans="1:12" x14ac:dyDescent="0.25">
      <c r="A774" t="s">
        <v>803</v>
      </c>
      <c r="B774" t="s">
        <v>20</v>
      </c>
      <c r="C774" t="s">
        <v>21</v>
      </c>
      <c r="D774" t="s">
        <v>15</v>
      </c>
      <c r="E774" t="s">
        <v>16</v>
      </c>
      <c r="F774" t="s">
        <v>31</v>
      </c>
      <c r="G774">
        <v>7</v>
      </c>
      <c r="H774" s="1">
        <v>43513</v>
      </c>
      <c r="I774" s="2">
        <v>0.70138888888888884</v>
      </c>
      <c r="J774" t="s">
        <v>18</v>
      </c>
      <c r="K774">
        <v>23.796500000000002</v>
      </c>
      <c r="L774">
        <v>5.7</v>
      </c>
    </row>
    <row r="775" spans="1:12" x14ac:dyDescent="0.25">
      <c r="A775" t="s">
        <v>804</v>
      </c>
      <c r="B775" t="s">
        <v>20</v>
      </c>
      <c r="C775" t="s">
        <v>21</v>
      </c>
      <c r="D775" t="s">
        <v>22</v>
      </c>
      <c r="E775" t="s">
        <v>16</v>
      </c>
      <c r="F775" t="s">
        <v>39</v>
      </c>
      <c r="G775">
        <v>1</v>
      </c>
      <c r="H775" s="1">
        <v>43502</v>
      </c>
      <c r="I775" s="2">
        <v>0.43194444444444446</v>
      </c>
      <c r="J775" t="s">
        <v>28</v>
      </c>
      <c r="K775">
        <v>2.621</v>
      </c>
      <c r="L775">
        <v>6.3</v>
      </c>
    </row>
    <row r="776" spans="1:12" x14ac:dyDescent="0.25">
      <c r="A776" t="s">
        <v>805</v>
      </c>
      <c r="B776" t="s">
        <v>20</v>
      </c>
      <c r="C776" t="s">
        <v>21</v>
      </c>
      <c r="D776" t="s">
        <v>15</v>
      </c>
      <c r="E776" t="s">
        <v>26</v>
      </c>
      <c r="F776" t="s">
        <v>39</v>
      </c>
      <c r="G776">
        <v>2</v>
      </c>
      <c r="H776" s="1">
        <v>43482</v>
      </c>
      <c r="I776" s="2">
        <v>0.69861111111111107</v>
      </c>
      <c r="J776" t="s">
        <v>24</v>
      </c>
      <c r="K776">
        <v>6.5650000000000004</v>
      </c>
      <c r="L776">
        <v>6</v>
      </c>
    </row>
    <row r="777" spans="1:12" x14ac:dyDescent="0.25">
      <c r="A777" t="s">
        <v>806</v>
      </c>
      <c r="B777" t="s">
        <v>37</v>
      </c>
      <c r="C777" t="s">
        <v>38</v>
      </c>
      <c r="D777" t="s">
        <v>22</v>
      </c>
      <c r="E777" t="s">
        <v>16</v>
      </c>
      <c r="F777" t="s">
        <v>39</v>
      </c>
      <c r="G777">
        <v>5</v>
      </c>
      <c r="H777" s="1">
        <v>43487</v>
      </c>
      <c r="I777" s="2">
        <v>0.75555555555555554</v>
      </c>
      <c r="J777" t="s">
        <v>28</v>
      </c>
      <c r="K777">
        <v>7.2149999999999999</v>
      </c>
      <c r="L777">
        <v>8</v>
      </c>
    </row>
    <row r="778" spans="1:12" x14ac:dyDescent="0.25">
      <c r="A778" t="s">
        <v>807</v>
      </c>
      <c r="B778" t="s">
        <v>20</v>
      </c>
      <c r="C778" t="s">
        <v>21</v>
      </c>
      <c r="D778" t="s">
        <v>15</v>
      </c>
      <c r="E778" t="s">
        <v>26</v>
      </c>
      <c r="F778" t="s">
        <v>17</v>
      </c>
      <c r="G778">
        <v>7</v>
      </c>
      <c r="H778" s="1">
        <v>43529</v>
      </c>
      <c r="I778" s="2">
        <v>0.75138888888888899</v>
      </c>
      <c r="J778" t="s">
        <v>28</v>
      </c>
      <c r="K778">
        <v>22.858499999999999</v>
      </c>
      <c r="L778">
        <v>4.2</v>
      </c>
    </row>
    <row r="779" spans="1:12" x14ac:dyDescent="0.25">
      <c r="A779" t="s">
        <v>808</v>
      </c>
      <c r="B779" t="s">
        <v>37</v>
      </c>
      <c r="C779" t="s">
        <v>38</v>
      </c>
      <c r="D779" t="s">
        <v>22</v>
      </c>
      <c r="E779" t="s">
        <v>26</v>
      </c>
      <c r="F779" t="s">
        <v>31</v>
      </c>
      <c r="G779">
        <v>1</v>
      </c>
      <c r="H779" s="1">
        <v>43468</v>
      </c>
      <c r="I779" s="2">
        <v>0.54652777777777783</v>
      </c>
      <c r="J779" t="s">
        <v>24</v>
      </c>
      <c r="K779">
        <v>4.6689999999999996</v>
      </c>
      <c r="L779">
        <v>9.6</v>
      </c>
    </row>
    <row r="780" spans="1:12" x14ac:dyDescent="0.25">
      <c r="A780" t="s">
        <v>809</v>
      </c>
      <c r="B780" t="s">
        <v>20</v>
      </c>
      <c r="C780" t="s">
        <v>21</v>
      </c>
      <c r="D780" t="s">
        <v>15</v>
      </c>
      <c r="E780" t="s">
        <v>26</v>
      </c>
      <c r="F780" t="s">
        <v>31</v>
      </c>
      <c r="G780">
        <v>5</v>
      </c>
      <c r="H780" s="1">
        <v>43544</v>
      </c>
      <c r="I780" s="2">
        <v>0.74444444444444446</v>
      </c>
      <c r="J780" t="s">
        <v>24</v>
      </c>
      <c r="K780">
        <v>6.3125</v>
      </c>
      <c r="L780">
        <v>6.1</v>
      </c>
    </row>
    <row r="781" spans="1:12" x14ac:dyDescent="0.25">
      <c r="A781" t="s">
        <v>810</v>
      </c>
      <c r="B781" t="s">
        <v>37</v>
      </c>
      <c r="C781" t="s">
        <v>38</v>
      </c>
      <c r="D781" t="s">
        <v>15</v>
      </c>
      <c r="E781" t="s">
        <v>26</v>
      </c>
      <c r="F781" t="s">
        <v>23</v>
      </c>
      <c r="G781">
        <v>9</v>
      </c>
      <c r="H781" s="1">
        <v>43496</v>
      </c>
      <c r="I781" s="2">
        <v>0.85555555555555562</v>
      </c>
      <c r="J781" t="s">
        <v>18</v>
      </c>
      <c r="K781">
        <v>39.541499999999999</v>
      </c>
      <c r="L781">
        <v>5.6</v>
      </c>
    </row>
    <row r="782" spans="1:12" x14ac:dyDescent="0.25">
      <c r="A782" t="s">
        <v>811</v>
      </c>
      <c r="B782" t="s">
        <v>20</v>
      </c>
      <c r="C782" t="s">
        <v>21</v>
      </c>
      <c r="D782" t="s">
        <v>22</v>
      </c>
      <c r="E782" t="s">
        <v>26</v>
      </c>
      <c r="F782" t="s">
        <v>17</v>
      </c>
      <c r="G782">
        <v>8</v>
      </c>
      <c r="H782" s="1">
        <v>43515</v>
      </c>
      <c r="I782" s="2">
        <v>0.80833333333333324</v>
      </c>
      <c r="J782" t="s">
        <v>24</v>
      </c>
      <c r="K782">
        <v>8.7200000000000006</v>
      </c>
      <c r="L782">
        <v>8.3000000000000007</v>
      </c>
    </row>
    <row r="783" spans="1:12" x14ac:dyDescent="0.25">
      <c r="A783" t="s">
        <v>812</v>
      </c>
      <c r="B783" t="s">
        <v>13</v>
      </c>
      <c r="C783" t="s">
        <v>14</v>
      </c>
      <c r="D783" t="s">
        <v>22</v>
      </c>
      <c r="E783" t="s">
        <v>16</v>
      </c>
      <c r="F783" t="s">
        <v>31</v>
      </c>
      <c r="G783">
        <v>4</v>
      </c>
      <c r="H783" s="1">
        <v>43507</v>
      </c>
      <c r="I783" s="2">
        <v>0.67083333333333339</v>
      </c>
      <c r="J783" t="s">
        <v>18</v>
      </c>
      <c r="K783">
        <v>18.952000000000002</v>
      </c>
      <c r="L783">
        <v>7.8</v>
      </c>
    </row>
    <row r="784" spans="1:12" x14ac:dyDescent="0.25">
      <c r="A784" t="s">
        <v>813</v>
      </c>
      <c r="B784" t="s">
        <v>13</v>
      </c>
      <c r="C784" t="s">
        <v>14</v>
      </c>
      <c r="D784" t="s">
        <v>15</v>
      </c>
      <c r="E784" t="s">
        <v>16</v>
      </c>
      <c r="F784" t="s">
        <v>41</v>
      </c>
      <c r="G784">
        <v>1</v>
      </c>
      <c r="H784" s="1">
        <v>43501</v>
      </c>
      <c r="I784" s="2">
        <v>0.59305555555555556</v>
      </c>
      <c r="J784" t="s">
        <v>28</v>
      </c>
      <c r="K784">
        <v>1.5309999999999999</v>
      </c>
      <c r="L784">
        <v>4.0999999999999996</v>
      </c>
    </row>
    <row r="785" spans="1:12" x14ac:dyDescent="0.25">
      <c r="A785" t="s">
        <v>814</v>
      </c>
      <c r="B785" t="s">
        <v>20</v>
      </c>
      <c r="C785" t="s">
        <v>21</v>
      </c>
      <c r="D785" t="s">
        <v>22</v>
      </c>
      <c r="E785" t="s">
        <v>16</v>
      </c>
      <c r="F785" t="s">
        <v>27</v>
      </c>
      <c r="G785">
        <v>8</v>
      </c>
      <c r="H785" s="1">
        <v>43527</v>
      </c>
      <c r="I785" s="2">
        <v>0.73333333333333339</v>
      </c>
      <c r="J785" t="s">
        <v>24</v>
      </c>
      <c r="K785">
        <v>17.603999999999999</v>
      </c>
      <c r="L785">
        <v>8.8000000000000007</v>
      </c>
    </row>
    <row r="786" spans="1:12" x14ac:dyDescent="0.25">
      <c r="A786" t="s">
        <v>815</v>
      </c>
      <c r="B786" t="s">
        <v>20</v>
      </c>
      <c r="C786" t="s">
        <v>21</v>
      </c>
      <c r="D786" t="s">
        <v>15</v>
      </c>
      <c r="E786" t="s">
        <v>16</v>
      </c>
      <c r="F786" t="s">
        <v>17</v>
      </c>
      <c r="G786">
        <v>5</v>
      </c>
      <c r="H786" s="1">
        <v>43520</v>
      </c>
      <c r="I786" s="2">
        <v>0.54722222222222217</v>
      </c>
      <c r="J786" t="s">
        <v>18</v>
      </c>
      <c r="K786">
        <v>2.54</v>
      </c>
      <c r="L786">
        <v>4.0999999999999996</v>
      </c>
    </row>
    <row r="787" spans="1:12" x14ac:dyDescent="0.25">
      <c r="A787" t="s">
        <v>816</v>
      </c>
      <c r="B787" t="s">
        <v>13</v>
      </c>
      <c r="C787" t="s">
        <v>14</v>
      </c>
      <c r="D787" t="s">
        <v>22</v>
      </c>
      <c r="E787" t="s">
        <v>26</v>
      </c>
      <c r="F787" t="s">
        <v>23</v>
      </c>
      <c r="G787">
        <v>7</v>
      </c>
      <c r="H787" s="1">
        <v>43500</v>
      </c>
      <c r="I787" s="2">
        <v>0.67291666666666661</v>
      </c>
      <c r="J787" t="s">
        <v>28</v>
      </c>
      <c r="K787">
        <v>26.103000000000002</v>
      </c>
      <c r="L787">
        <v>9</v>
      </c>
    </row>
    <row r="788" spans="1:12" x14ac:dyDescent="0.25">
      <c r="A788" t="s">
        <v>817</v>
      </c>
      <c r="B788" t="s">
        <v>20</v>
      </c>
      <c r="C788" t="s">
        <v>21</v>
      </c>
      <c r="D788" t="s">
        <v>22</v>
      </c>
      <c r="E788" t="s">
        <v>26</v>
      </c>
      <c r="F788" t="s">
        <v>23</v>
      </c>
      <c r="G788">
        <v>8</v>
      </c>
      <c r="H788" s="1">
        <v>43515</v>
      </c>
      <c r="I788" s="2">
        <v>0.48125000000000001</v>
      </c>
      <c r="J788" t="s">
        <v>18</v>
      </c>
      <c r="K788">
        <v>28.756</v>
      </c>
      <c r="L788">
        <v>5.5</v>
      </c>
    </row>
    <row r="789" spans="1:12" x14ac:dyDescent="0.25">
      <c r="A789" t="s">
        <v>818</v>
      </c>
      <c r="B789" t="s">
        <v>20</v>
      </c>
      <c r="C789" t="s">
        <v>21</v>
      </c>
      <c r="D789" t="s">
        <v>22</v>
      </c>
      <c r="E789" t="s">
        <v>16</v>
      </c>
      <c r="F789" t="s">
        <v>17</v>
      </c>
      <c r="G789">
        <v>5</v>
      </c>
      <c r="H789" s="1">
        <v>43488</v>
      </c>
      <c r="I789" s="2">
        <v>0.4291666666666667</v>
      </c>
      <c r="J789" t="s">
        <v>28</v>
      </c>
      <c r="K789">
        <v>2.7475000000000001</v>
      </c>
      <c r="L789">
        <v>9.3000000000000007</v>
      </c>
    </row>
    <row r="790" spans="1:12" x14ac:dyDescent="0.25">
      <c r="A790" t="s">
        <v>819</v>
      </c>
      <c r="B790" t="s">
        <v>20</v>
      </c>
      <c r="C790" t="s">
        <v>21</v>
      </c>
      <c r="D790" t="s">
        <v>15</v>
      </c>
      <c r="E790" t="s">
        <v>26</v>
      </c>
      <c r="F790" t="s">
        <v>17</v>
      </c>
      <c r="G790">
        <v>3</v>
      </c>
      <c r="H790" s="1">
        <v>43479</v>
      </c>
      <c r="I790" s="2">
        <v>0.4548611111111111</v>
      </c>
      <c r="J790" t="s">
        <v>28</v>
      </c>
      <c r="K790">
        <v>9.0704999999999991</v>
      </c>
      <c r="L790">
        <v>5.6</v>
      </c>
    </row>
    <row r="791" spans="1:12" x14ac:dyDescent="0.25">
      <c r="A791" t="s">
        <v>820</v>
      </c>
      <c r="B791" t="s">
        <v>13</v>
      </c>
      <c r="C791" t="s">
        <v>14</v>
      </c>
      <c r="D791" t="s">
        <v>22</v>
      </c>
      <c r="E791" t="s">
        <v>26</v>
      </c>
      <c r="F791" t="s">
        <v>31</v>
      </c>
      <c r="G791">
        <v>7</v>
      </c>
      <c r="H791" s="1">
        <v>43482</v>
      </c>
      <c r="I791" s="2">
        <v>0.63541666666666663</v>
      </c>
      <c r="J791" t="s">
        <v>18</v>
      </c>
      <c r="K791">
        <v>20.618500000000001</v>
      </c>
      <c r="L791">
        <v>9.6999999999999993</v>
      </c>
    </row>
    <row r="792" spans="1:12" x14ac:dyDescent="0.25">
      <c r="A792" t="s">
        <v>821</v>
      </c>
      <c r="B792" t="s">
        <v>13</v>
      </c>
      <c r="C792" t="s">
        <v>14</v>
      </c>
      <c r="D792" t="s">
        <v>22</v>
      </c>
      <c r="E792" t="s">
        <v>26</v>
      </c>
      <c r="F792" t="s">
        <v>41</v>
      </c>
      <c r="G792">
        <v>1</v>
      </c>
      <c r="H792" s="1">
        <v>43527</v>
      </c>
      <c r="I792" s="2">
        <v>0.83750000000000002</v>
      </c>
      <c r="J792" t="s">
        <v>28</v>
      </c>
      <c r="K792">
        <v>2.3205</v>
      </c>
      <c r="L792">
        <v>4</v>
      </c>
    </row>
    <row r="793" spans="1:12" x14ac:dyDescent="0.25">
      <c r="A793" t="s">
        <v>822</v>
      </c>
      <c r="B793" t="s">
        <v>20</v>
      </c>
      <c r="C793" t="s">
        <v>21</v>
      </c>
      <c r="D793" t="s">
        <v>15</v>
      </c>
      <c r="E793" t="s">
        <v>26</v>
      </c>
      <c r="F793" t="s">
        <v>17</v>
      </c>
      <c r="G793">
        <v>4</v>
      </c>
      <c r="H793" s="1">
        <v>43511</v>
      </c>
      <c r="I793" s="2">
        <v>0.84791666666666676</v>
      </c>
      <c r="J793" t="s">
        <v>28</v>
      </c>
      <c r="K793">
        <v>13.71</v>
      </c>
      <c r="L793">
        <v>9.1999999999999993</v>
      </c>
    </row>
    <row r="794" spans="1:12" x14ac:dyDescent="0.25">
      <c r="A794" t="s">
        <v>823</v>
      </c>
      <c r="B794" t="s">
        <v>37</v>
      </c>
      <c r="C794" t="s">
        <v>38</v>
      </c>
      <c r="D794" t="s">
        <v>22</v>
      </c>
      <c r="E794" t="s">
        <v>16</v>
      </c>
      <c r="F794" t="s">
        <v>27</v>
      </c>
      <c r="G794">
        <v>10</v>
      </c>
      <c r="H794" s="1">
        <v>43480</v>
      </c>
      <c r="I794" s="2">
        <v>0.57500000000000007</v>
      </c>
      <c r="J794" t="s">
        <v>28</v>
      </c>
      <c r="K794">
        <v>48.685000000000002</v>
      </c>
      <c r="L794">
        <v>4.9000000000000004</v>
      </c>
    </row>
    <row r="795" spans="1:12" x14ac:dyDescent="0.25">
      <c r="A795" t="s">
        <v>824</v>
      </c>
      <c r="B795" t="s">
        <v>13</v>
      </c>
      <c r="C795" t="s">
        <v>14</v>
      </c>
      <c r="D795" t="s">
        <v>15</v>
      </c>
      <c r="E795" t="s">
        <v>26</v>
      </c>
      <c r="F795" t="s">
        <v>23</v>
      </c>
      <c r="G795">
        <v>7</v>
      </c>
      <c r="H795" s="1">
        <v>43523</v>
      </c>
      <c r="I795" s="2">
        <v>0.53611111111111109</v>
      </c>
      <c r="J795" t="s">
        <v>28</v>
      </c>
      <c r="K795">
        <v>32.409999999999997</v>
      </c>
      <c r="L795">
        <v>9.3000000000000007</v>
      </c>
    </row>
    <row r="796" spans="1:12" x14ac:dyDescent="0.25">
      <c r="A796" t="s">
        <v>825</v>
      </c>
      <c r="B796" t="s">
        <v>13</v>
      </c>
      <c r="C796" t="s">
        <v>14</v>
      </c>
      <c r="D796" t="s">
        <v>22</v>
      </c>
      <c r="E796" t="s">
        <v>16</v>
      </c>
      <c r="F796" t="s">
        <v>23</v>
      </c>
      <c r="G796">
        <v>2</v>
      </c>
      <c r="H796" s="1">
        <v>43522</v>
      </c>
      <c r="I796" s="2">
        <v>0.51944444444444449</v>
      </c>
      <c r="J796" t="s">
        <v>28</v>
      </c>
      <c r="K796">
        <v>4.6609999999999996</v>
      </c>
      <c r="L796">
        <v>6.6</v>
      </c>
    </row>
    <row r="797" spans="1:12" x14ac:dyDescent="0.25">
      <c r="A797" t="s">
        <v>826</v>
      </c>
      <c r="B797" t="s">
        <v>37</v>
      </c>
      <c r="C797" t="s">
        <v>38</v>
      </c>
      <c r="D797" t="s">
        <v>22</v>
      </c>
      <c r="E797" t="s">
        <v>26</v>
      </c>
      <c r="F797" t="s">
        <v>41</v>
      </c>
      <c r="G797">
        <v>2</v>
      </c>
      <c r="H797" s="1">
        <v>43539</v>
      </c>
      <c r="I797" s="2">
        <v>0.68472222222222223</v>
      </c>
      <c r="J797" t="s">
        <v>18</v>
      </c>
      <c r="K797">
        <v>2.718</v>
      </c>
      <c r="L797">
        <v>4.3</v>
      </c>
    </row>
    <row r="798" spans="1:12" x14ac:dyDescent="0.25">
      <c r="A798" t="s">
        <v>827</v>
      </c>
      <c r="B798" t="s">
        <v>20</v>
      </c>
      <c r="C798" t="s">
        <v>21</v>
      </c>
      <c r="D798" t="s">
        <v>15</v>
      </c>
      <c r="E798" t="s">
        <v>16</v>
      </c>
      <c r="F798" t="s">
        <v>27</v>
      </c>
      <c r="G798">
        <v>1</v>
      </c>
      <c r="H798" s="1">
        <v>43489</v>
      </c>
      <c r="I798" s="2">
        <v>0.55833333333333335</v>
      </c>
      <c r="J798" t="s">
        <v>24</v>
      </c>
      <c r="K798">
        <v>3.0434999999999999</v>
      </c>
      <c r="L798">
        <v>5.5</v>
      </c>
    </row>
    <row r="799" spans="1:12" x14ac:dyDescent="0.25">
      <c r="A799" t="s">
        <v>828</v>
      </c>
      <c r="B799" t="s">
        <v>13</v>
      </c>
      <c r="C799" t="s">
        <v>14</v>
      </c>
      <c r="D799" t="s">
        <v>15</v>
      </c>
      <c r="E799" t="s">
        <v>16</v>
      </c>
      <c r="F799" t="s">
        <v>31</v>
      </c>
      <c r="G799">
        <v>10</v>
      </c>
      <c r="H799" s="1">
        <v>43518</v>
      </c>
      <c r="I799" s="2">
        <v>0.63541666666666663</v>
      </c>
      <c r="J799" t="s">
        <v>24</v>
      </c>
      <c r="K799">
        <v>12.244999999999999</v>
      </c>
      <c r="L799">
        <v>8.1</v>
      </c>
    </row>
    <row r="800" spans="1:12" x14ac:dyDescent="0.25">
      <c r="A800" t="s">
        <v>829</v>
      </c>
      <c r="B800" t="s">
        <v>37</v>
      </c>
      <c r="C800" t="s">
        <v>38</v>
      </c>
      <c r="D800" t="s">
        <v>22</v>
      </c>
      <c r="E800" t="s">
        <v>26</v>
      </c>
      <c r="F800" t="s">
        <v>17</v>
      </c>
      <c r="G800">
        <v>1</v>
      </c>
      <c r="H800" s="1">
        <v>43539</v>
      </c>
      <c r="I800" s="2">
        <v>0.4513888888888889</v>
      </c>
      <c r="J800" t="s">
        <v>28</v>
      </c>
      <c r="K800">
        <v>4.6390000000000002</v>
      </c>
      <c r="L800">
        <v>9.8000000000000007</v>
      </c>
    </row>
    <row r="801" spans="1:12" x14ac:dyDescent="0.25">
      <c r="A801" t="s">
        <v>830</v>
      </c>
      <c r="B801" t="s">
        <v>20</v>
      </c>
      <c r="C801" t="s">
        <v>21</v>
      </c>
      <c r="D801" t="s">
        <v>15</v>
      </c>
      <c r="E801" t="s">
        <v>26</v>
      </c>
      <c r="F801" t="s">
        <v>27</v>
      </c>
      <c r="G801">
        <v>5</v>
      </c>
      <c r="H801" s="1">
        <v>43507</v>
      </c>
      <c r="I801" s="2">
        <v>0.77638888888888891</v>
      </c>
      <c r="J801" t="s">
        <v>18</v>
      </c>
      <c r="K801">
        <v>21.672499999999999</v>
      </c>
      <c r="L801">
        <v>9.4</v>
      </c>
    </row>
    <row r="802" spans="1:12" x14ac:dyDescent="0.25">
      <c r="A802" t="s">
        <v>831</v>
      </c>
      <c r="B802" t="s">
        <v>37</v>
      </c>
      <c r="C802" t="s">
        <v>38</v>
      </c>
      <c r="D802" t="s">
        <v>22</v>
      </c>
      <c r="E802" t="s">
        <v>26</v>
      </c>
      <c r="F802" t="s">
        <v>31</v>
      </c>
      <c r="G802">
        <v>6</v>
      </c>
      <c r="H802" s="1">
        <v>43477</v>
      </c>
      <c r="I802" s="2">
        <v>0.69791666666666663</v>
      </c>
      <c r="J802" t="s">
        <v>18</v>
      </c>
      <c r="K802">
        <v>6.9029999999999996</v>
      </c>
      <c r="L802">
        <v>7.9</v>
      </c>
    </row>
    <row r="803" spans="1:12" x14ac:dyDescent="0.25">
      <c r="A803" t="s">
        <v>832</v>
      </c>
      <c r="B803" t="s">
        <v>20</v>
      </c>
      <c r="C803" t="s">
        <v>21</v>
      </c>
      <c r="D803" t="s">
        <v>15</v>
      </c>
      <c r="E803" t="s">
        <v>16</v>
      </c>
      <c r="F803" t="s">
        <v>23</v>
      </c>
      <c r="G803">
        <v>8</v>
      </c>
      <c r="H803" s="1">
        <v>43527</v>
      </c>
      <c r="I803" s="2">
        <v>0.8125</v>
      </c>
      <c r="J803" t="s">
        <v>18</v>
      </c>
      <c r="K803">
        <v>12.08</v>
      </c>
      <c r="L803">
        <v>5.0999999999999996</v>
      </c>
    </row>
    <row r="804" spans="1:12" x14ac:dyDescent="0.25">
      <c r="A804" t="s">
        <v>833</v>
      </c>
      <c r="B804" t="s">
        <v>20</v>
      </c>
      <c r="C804" t="s">
        <v>21</v>
      </c>
      <c r="D804" t="s">
        <v>15</v>
      </c>
      <c r="E804" t="s">
        <v>26</v>
      </c>
      <c r="F804" t="s">
        <v>41</v>
      </c>
      <c r="G804">
        <v>7</v>
      </c>
      <c r="H804" s="1">
        <v>43547</v>
      </c>
      <c r="I804" s="2">
        <v>0.55763888888888891</v>
      </c>
      <c r="J804" t="s">
        <v>18</v>
      </c>
      <c r="K804">
        <v>23.586500000000001</v>
      </c>
      <c r="L804">
        <v>6.9</v>
      </c>
    </row>
    <row r="805" spans="1:12" x14ac:dyDescent="0.25">
      <c r="A805" t="s">
        <v>834</v>
      </c>
      <c r="B805" t="s">
        <v>13</v>
      </c>
      <c r="C805" t="s">
        <v>14</v>
      </c>
      <c r="D805" t="s">
        <v>15</v>
      </c>
      <c r="E805" t="s">
        <v>16</v>
      </c>
      <c r="F805" t="s">
        <v>41</v>
      </c>
      <c r="G805">
        <v>9</v>
      </c>
      <c r="H805" s="1">
        <v>43528</v>
      </c>
      <c r="I805" s="2">
        <v>0.4770833333333333</v>
      </c>
      <c r="J805" t="s">
        <v>24</v>
      </c>
      <c r="K805">
        <v>22.032</v>
      </c>
      <c r="L805">
        <v>8</v>
      </c>
    </row>
    <row r="806" spans="1:12" x14ac:dyDescent="0.25">
      <c r="A806" t="s">
        <v>835</v>
      </c>
      <c r="B806" t="s">
        <v>37</v>
      </c>
      <c r="C806" t="s">
        <v>38</v>
      </c>
      <c r="D806" t="s">
        <v>15</v>
      </c>
      <c r="E806" t="s">
        <v>16</v>
      </c>
      <c r="F806" t="s">
        <v>23</v>
      </c>
      <c r="G806">
        <v>9</v>
      </c>
      <c r="H806" s="1">
        <v>43519</v>
      </c>
      <c r="I806" s="2">
        <v>0.46666666666666662</v>
      </c>
      <c r="J806" t="s">
        <v>24</v>
      </c>
      <c r="K806">
        <v>34.015500000000003</v>
      </c>
      <c r="L806">
        <v>8</v>
      </c>
    </row>
    <row r="807" spans="1:12" x14ac:dyDescent="0.25">
      <c r="A807" t="s">
        <v>836</v>
      </c>
      <c r="B807" t="s">
        <v>13</v>
      </c>
      <c r="C807" t="s">
        <v>14</v>
      </c>
      <c r="D807" t="s">
        <v>22</v>
      </c>
      <c r="E807" t="s">
        <v>16</v>
      </c>
      <c r="F807" t="s">
        <v>27</v>
      </c>
      <c r="G807">
        <v>4</v>
      </c>
      <c r="H807" s="1">
        <v>43541</v>
      </c>
      <c r="I807" s="2">
        <v>0.69166666666666676</v>
      </c>
      <c r="J807" t="s">
        <v>24</v>
      </c>
      <c r="K807">
        <v>15.494</v>
      </c>
      <c r="L807">
        <v>4.2</v>
      </c>
    </row>
    <row r="808" spans="1:12" x14ac:dyDescent="0.25">
      <c r="A808" t="s">
        <v>837</v>
      </c>
      <c r="B808" t="s">
        <v>13</v>
      </c>
      <c r="C808" t="s">
        <v>14</v>
      </c>
      <c r="D808" t="s">
        <v>22</v>
      </c>
      <c r="E808" t="s">
        <v>16</v>
      </c>
      <c r="F808" t="s">
        <v>31</v>
      </c>
      <c r="G808">
        <v>2</v>
      </c>
      <c r="H808" s="1">
        <v>43481</v>
      </c>
      <c r="I808" s="2">
        <v>0.77847222222222223</v>
      </c>
      <c r="J808" t="s">
        <v>28</v>
      </c>
      <c r="K808">
        <v>9.3179999999999996</v>
      </c>
      <c r="L808">
        <v>8.5</v>
      </c>
    </row>
    <row r="809" spans="1:12" x14ac:dyDescent="0.25">
      <c r="A809" t="s">
        <v>838</v>
      </c>
      <c r="B809" t="s">
        <v>13</v>
      </c>
      <c r="C809" t="s">
        <v>14</v>
      </c>
      <c r="D809" t="s">
        <v>22</v>
      </c>
      <c r="E809" t="s">
        <v>16</v>
      </c>
      <c r="F809" t="s">
        <v>23</v>
      </c>
      <c r="G809">
        <v>4</v>
      </c>
      <c r="H809" s="1">
        <v>43473</v>
      </c>
      <c r="I809" s="2">
        <v>0.71666666666666667</v>
      </c>
      <c r="J809" t="s">
        <v>24</v>
      </c>
      <c r="K809">
        <v>10.045999999999999</v>
      </c>
      <c r="L809">
        <v>9</v>
      </c>
    </row>
    <row r="810" spans="1:12" x14ac:dyDescent="0.25">
      <c r="A810" t="s">
        <v>839</v>
      </c>
      <c r="B810" t="s">
        <v>37</v>
      </c>
      <c r="C810" t="s">
        <v>38</v>
      </c>
      <c r="D810" t="s">
        <v>22</v>
      </c>
      <c r="E810" t="s">
        <v>16</v>
      </c>
      <c r="F810" t="s">
        <v>17</v>
      </c>
      <c r="G810">
        <v>1</v>
      </c>
      <c r="H810" s="1">
        <v>43479</v>
      </c>
      <c r="I810" s="2">
        <v>0.44305555555555554</v>
      </c>
      <c r="J810" t="s">
        <v>24</v>
      </c>
      <c r="K810">
        <v>0.88749999999999996</v>
      </c>
      <c r="L810">
        <v>8.6</v>
      </c>
    </row>
    <row r="811" spans="1:12" x14ac:dyDescent="0.25">
      <c r="A811" t="s">
        <v>840</v>
      </c>
      <c r="B811" t="s">
        <v>20</v>
      </c>
      <c r="C811" t="s">
        <v>21</v>
      </c>
      <c r="D811" t="s">
        <v>22</v>
      </c>
      <c r="E811" t="s">
        <v>16</v>
      </c>
      <c r="F811" t="s">
        <v>41</v>
      </c>
      <c r="G811">
        <v>10</v>
      </c>
      <c r="H811" s="1">
        <v>43496</v>
      </c>
      <c r="I811" s="2">
        <v>0.43958333333333338</v>
      </c>
      <c r="J811" t="s">
        <v>18</v>
      </c>
      <c r="K811">
        <v>31.09</v>
      </c>
      <c r="L811">
        <v>6</v>
      </c>
    </row>
    <row r="812" spans="1:12" x14ac:dyDescent="0.25">
      <c r="A812" t="s">
        <v>841</v>
      </c>
      <c r="B812" t="s">
        <v>37</v>
      </c>
      <c r="C812" t="s">
        <v>38</v>
      </c>
      <c r="D812" t="s">
        <v>22</v>
      </c>
      <c r="E812" t="s">
        <v>26</v>
      </c>
      <c r="F812" t="s">
        <v>17</v>
      </c>
      <c r="G812">
        <v>8</v>
      </c>
      <c r="H812" s="1">
        <v>43539</v>
      </c>
      <c r="I812" s="2">
        <v>0.60972222222222217</v>
      </c>
      <c r="J812" t="s">
        <v>18</v>
      </c>
      <c r="K812">
        <v>4.3</v>
      </c>
      <c r="L812">
        <v>6.2</v>
      </c>
    </row>
    <row r="813" spans="1:12" x14ac:dyDescent="0.25">
      <c r="A813" t="s">
        <v>842</v>
      </c>
      <c r="B813" t="s">
        <v>13</v>
      </c>
      <c r="C813" t="s">
        <v>14</v>
      </c>
      <c r="D813" t="s">
        <v>22</v>
      </c>
      <c r="E813" t="s">
        <v>16</v>
      </c>
      <c r="F813" t="s">
        <v>23</v>
      </c>
      <c r="G813">
        <v>10</v>
      </c>
      <c r="H813" s="1">
        <v>43520</v>
      </c>
      <c r="I813" s="2">
        <v>0.75416666666666676</v>
      </c>
      <c r="J813" t="s">
        <v>28</v>
      </c>
      <c r="K813">
        <v>20.13</v>
      </c>
      <c r="L813">
        <v>5</v>
      </c>
    </row>
    <row r="814" spans="1:12" x14ac:dyDescent="0.25">
      <c r="A814" t="s">
        <v>843</v>
      </c>
      <c r="B814" t="s">
        <v>20</v>
      </c>
      <c r="C814" t="s">
        <v>21</v>
      </c>
      <c r="D814" t="s">
        <v>15</v>
      </c>
      <c r="E814" t="s">
        <v>16</v>
      </c>
      <c r="F814" t="s">
        <v>31</v>
      </c>
      <c r="G814">
        <v>5</v>
      </c>
      <c r="H814" s="1">
        <v>43504</v>
      </c>
      <c r="I814" s="2">
        <v>0.53611111111111109</v>
      </c>
      <c r="J814" t="s">
        <v>28</v>
      </c>
      <c r="K814">
        <v>16.2425</v>
      </c>
      <c r="L814">
        <v>6.5</v>
      </c>
    </row>
    <row r="815" spans="1:12" x14ac:dyDescent="0.25">
      <c r="A815" t="s">
        <v>844</v>
      </c>
      <c r="B815" t="s">
        <v>13</v>
      </c>
      <c r="C815" t="s">
        <v>14</v>
      </c>
      <c r="D815" t="s">
        <v>22</v>
      </c>
      <c r="E815" t="s">
        <v>26</v>
      </c>
      <c r="F815" t="s">
        <v>23</v>
      </c>
      <c r="G815">
        <v>1</v>
      </c>
      <c r="H815" s="1">
        <v>43546</v>
      </c>
      <c r="I815" s="2">
        <v>0.58333333333333337</v>
      </c>
      <c r="J815" t="s">
        <v>24</v>
      </c>
      <c r="K815">
        <v>4.7575000000000003</v>
      </c>
      <c r="L815">
        <v>6</v>
      </c>
    </row>
    <row r="816" spans="1:12" x14ac:dyDescent="0.25">
      <c r="A816" t="s">
        <v>845</v>
      </c>
      <c r="B816" t="s">
        <v>13</v>
      </c>
      <c r="C816" t="s">
        <v>14</v>
      </c>
      <c r="D816" t="s">
        <v>15</v>
      </c>
      <c r="E816" t="s">
        <v>16</v>
      </c>
      <c r="F816" t="s">
        <v>23</v>
      </c>
      <c r="G816">
        <v>8</v>
      </c>
      <c r="H816" s="1">
        <v>43489</v>
      </c>
      <c r="I816" s="2">
        <v>0.45624999999999999</v>
      </c>
      <c r="J816" t="s">
        <v>24</v>
      </c>
      <c r="K816">
        <v>19.448</v>
      </c>
      <c r="L816">
        <v>5</v>
      </c>
    </row>
    <row r="817" spans="1:12" x14ac:dyDescent="0.25">
      <c r="A817" t="s">
        <v>846</v>
      </c>
      <c r="B817" t="s">
        <v>37</v>
      </c>
      <c r="C817" t="s">
        <v>38</v>
      </c>
      <c r="D817" t="s">
        <v>22</v>
      </c>
      <c r="E817" t="s">
        <v>16</v>
      </c>
      <c r="F817" t="s">
        <v>39</v>
      </c>
      <c r="G817">
        <v>8</v>
      </c>
      <c r="H817" s="1">
        <v>43538</v>
      </c>
      <c r="I817" s="2">
        <v>0.69791666666666663</v>
      </c>
      <c r="J817" t="s">
        <v>18</v>
      </c>
      <c r="K817">
        <v>21.283999999999999</v>
      </c>
      <c r="L817">
        <v>5</v>
      </c>
    </row>
    <row r="818" spans="1:12" x14ac:dyDescent="0.25">
      <c r="A818" t="s">
        <v>847</v>
      </c>
      <c r="B818" t="s">
        <v>20</v>
      </c>
      <c r="C818" t="s">
        <v>21</v>
      </c>
      <c r="D818" t="s">
        <v>22</v>
      </c>
      <c r="E818" t="s">
        <v>16</v>
      </c>
      <c r="F818" t="s">
        <v>41</v>
      </c>
      <c r="G818">
        <v>7</v>
      </c>
      <c r="H818" s="1">
        <v>43488</v>
      </c>
      <c r="I818" s="2">
        <v>0.46875</v>
      </c>
      <c r="J818" t="s">
        <v>24</v>
      </c>
      <c r="K818">
        <v>15.904</v>
      </c>
      <c r="L818">
        <v>9.1999999999999993</v>
      </c>
    </row>
    <row r="819" spans="1:12" x14ac:dyDescent="0.25">
      <c r="A819" t="s">
        <v>848</v>
      </c>
      <c r="B819" t="s">
        <v>13</v>
      </c>
      <c r="C819" t="s">
        <v>14</v>
      </c>
      <c r="D819" t="s">
        <v>22</v>
      </c>
      <c r="E819" t="s">
        <v>26</v>
      </c>
      <c r="F819" t="s">
        <v>39</v>
      </c>
      <c r="G819">
        <v>8</v>
      </c>
      <c r="H819" s="1">
        <v>43484</v>
      </c>
      <c r="I819" s="2">
        <v>0.8534722222222223</v>
      </c>
      <c r="J819" t="s">
        <v>18</v>
      </c>
      <c r="K819">
        <v>13.552</v>
      </c>
      <c r="L819">
        <v>9.6</v>
      </c>
    </row>
    <row r="820" spans="1:12" x14ac:dyDescent="0.25">
      <c r="A820" t="s">
        <v>849</v>
      </c>
      <c r="B820" t="s">
        <v>37</v>
      </c>
      <c r="C820" t="s">
        <v>38</v>
      </c>
      <c r="D820" t="s">
        <v>15</v>
      </c>
      <c r="E820" t="s">
        <v>26</v>
      </c>
      <c r="F820" t="s">
        <v>17</v>
      </c>
      <c r="G820">
        <v>4</v>
      </c>
      <c r="H820" s="1">
        <v>43492</v>
      </c>
      <c r="I820" s="2">
        <v>0.8354166666666667</v>
      </c>
      <c r="J820" t="s">
        <v>28</v>
      </c>
      <c r="K820">
        <v>19.231999999999999</v>
      </c>
      <c r="L820">
        <v>8.4</v>
      </c>
    </row>
    <row r="821" spans="1:12" x14ac:dyDescent="0.25">
      <c r="A821" t="s">
        <v>850</v>
      </c>
      <c r="B821" t="s">
        <v>37</v>
      </c>
      <c r="C821" t="s">
        <v>38</v>
      </c>
      <c r="D821" t="s">
        <v>15</v>
      </c>
      <c r="E821" t="s">
        <v>26</v>
      </c>
      <c r="F821" t="s">
        <v>39</v>
      </c>
      <c r="G821">
        <v>5</v>
      </c>
      <c r="H821" s="1">
        <v>43499</v>
      </c>
      <c r="I821" s="2">
        <v>0.60763888888888895</v>
      </c>
      <c r="J821" t="s">
        <v>28</v>
      </c>
      <c r="K821">
        <v>11.79</v>
      </c>
      <c r="L821">
        <v>6</v>
      </c>
    </row>
    <row r="822" spans="1:12" x14ac:dyDescent="0.25">
      <c r="A822" t="s">
        <v>851</v>
      </c>
      <c r="B822" t="s">
        <v>37</v>
      </c>
      <c r="C822" t="s">
        <v>38</v>
      </c>
      <c r="D822" t="s">
        <v>22</v>
      </c>
      <c r="E822" t="s">
        <v>26</v>
      </c>
      <c r="F822" t="s">
        <v>23</v>
      </c>
      <c r="G822">
        <v>4</v>
      </c>
      <c r="H822" s="1">
        <v>43549</v>
      </c>
      <c r="I822" s="2">
        <v>0.68888888888888899</v>
      </c>
      <c r="J822" t="s">
        <v>18</v>
      </c>
      <c r="K822">
        <v>10.577999999999999</v>
      </c>
      <c r="L822">
        <v>6.7</v>
      </c>
    </row>
    <row r="823" spans="1:12" x14ac:dyDescent="0.25">
      <c r="A823" t="s">
        <v>852</v>
      </c>
      <c r="B823" t="s">
        <v>13</v>
      </c>
      <c r="C823" t="s">
        <v>14</v>
      </c>
      <c r="D823" t="s">
        <v>15</v>
      </c>
      <c r="E823" t="s">
        <v>16</v>
      </c>
      <c r="F823" t="s">
        <v>27</v>
      </c>
      <c r="G823">
        <v>2</v>
      </c>
      <c r="H823" s="1">
        <v>43520</v>
      </c>
      <c r="I823" s="2">
        <v>0.4236111111111111</v>
      </c>
      <c r="J823" t="s">
        <v>28</v>
      </c>
      <c r="K823">
        <v>4.7679999999999998</v>
      </c>
      <c r="L823">
        <v>4.0999999999999996</v>
      </c>
    </row>
    <row r="824" spans="1:12" x14ac:dyDescent="0.25">
      <c r="A824" t="s">
        <v>853</v>
      </c>
      <c r="B824" t="s">
        <v>20</v>
      </c>
      <c r="C824" t="s">
        <v>21</v>
      </c>
      <c r="D824" t="s">
        <v>15</v>
      </c>
      <c r="E824" t="s">
        <v>26</v>
      </c>
      <c r="F824" t="s">
        <v>31</v>
      </c>
      <c r="G824">
        <v>1</v>
      </c>
      <c r="H824" s="1">
        <v>43503</v>
      </c>
      <c r="I824" s="2">
        <v>0.59375</v>
      </c>
      <c r="J824" t="s">
        <v>24</v>
      </c>
      <c r="K824">
        <v>0.50849999999999995</v>
      </c>
      <c r="L824">
        <v>5.9</v>
      </c>
    </row>
    <row r="825" spans="1:12" x14ac:dyDescent="0.25">
      <c r="A825" t="s">
        <v>854</v>
      </c>
      <c r="B825" t="s">
        <v>13</v>
      </c>
      <c r="C825" t="s">
        <v>14</v>
      </c>
      <c r="D825" t="s">
        <v>22</v>
      </c>
      <c r="E825" t="s">
        <v>16</v>
      </c>
      <c r="F825" t="s">
        <v>17</v>
      </c>
      <c r="G825">
        <v>3</v>
      </c>
      <c r="H825" s="1">
        <v>43528</v>
      </c>
      <c r="I825" s="2">
        <v>0.4201388888888889</v>
      </c>
      <c r="J825" t="s">
        <v>24</v>
      </c>
      <c r="K825">
        <v>10.3065</v>
      </c>
      <c r="L825">
        <v>8.6999999999999993</v>
      </c>
    </row>
    <row r="826" spans="1:12" x14ac:dyDescent="0.25">
      <c r="A826" t="s">
        <v>855</v>
      </c>
      <c r="B826" t="s">
        <v>37</v>
      </c>
      <c r="C826" t="s">
        <v>38</v>
      </c>
      <c r="D826" t="s">
        <v>15</v>
      </c>
      <c r="E826" t="s">
        <v>16</v>
      </c>
      <c r="F826" t="s">
        <v>31</v>
      </c>
      <c r="G826">
        <v>7</v>
      </c>
      <c r="H826" s="1">
        <v>43510</v>
      </c>
      <c r="I826" s="2">
        <v>0.48333333333333334</v>
      </c>
      <c r="J826" t="s">
        <v>28</v>
      </c>
      <c r="K826">
        <v>21.027999999999999</v>
      </c>
      <c r="L826">
        <v>4.5</v>
      </c>
    </row>
    <row r="827" spans="1:12" x14ac:dyDescent="0.25">
      <c r="A827" t="s">
        <v>856</v>
      </c>
      <c r="B827" t="s">
        <v>13</v>
      </c>
      <c r="C827" t="s">
        <v>14</v>
      </c>
      <c r="D827" t="s">
        <v>15</v>
      </c>
      <c r="E827" t="s">
        <v>16</v>
      </c>
      <c r="F827" t="s">
        <v>31</v>
      </c>
      <c r="G827">
        <v>4</v>
      </c>
      <c r="H827" s="1">
        <v>43494</v>
      </c>
      <c r="I827" s="2">
        <v>0.76041666666666663</v>
      </c>
      <c r="J827" t="s">
        <v>28</v>
      </c>
      <c r="K827">
        <v>4.4020000000000001</v>
      </c>
      <c r="L827">
        <v>6.6</v>
      </c>
    </row>
    <row r="828" spans="1:12" x14ac:dyDescent="0.25">
      <c r="A828" t="s">
        <v>857</v>
      </c>
      <c r="B828" t="s">
        <v>37</v>
      </c>
      <c r="C828" t="s">
        <v>38</v>
      </c>
      <c r="D828" t="s">
        <v>15</v>
      </c>
      <c r="E828" t="s">
        <v>16</v>
      </c>
      <c r="F828" t="s">
        <v>17</v>
      </c>
      <c r="G828">
        <v>9</v>
      </c>
      <c r="H828" s="1">
        <v>43493</v>
      </c>
      <c r="I828" s="2">
        <v>0.57847222222222217</v>
      </c>
      <c r="J828" t="s">
        <v>28</v>
      </c>
      <c r="K828">
        <v>32.4495</v>
      </c>
      <c r="L828">
        <v>7.7</v>
      </c>
    </row>
    <row r="829" spans="1:12" x14ac:dyDescent="0.25">
      <c r="A829" t="s">
        <v>858</v>
      </c>
      <c r="B829" t="s">
        <v>13</v>
      </c>
      <c r="C829" t="s">
        <v>14</v>
      </c>
      <c r="D829" t="s">
        <v>15</v>
      </c>
      <c r="E829" t="s">
        <v>26</v>
      </c>
      <c r="F829" t="s">
        <v>41</v>
      </c>
      <c r="G829">
        <v>3</v>
      </c>
      <c r="H829" s="1">
        <v>43550</v>
      </c>
      <c r="I829" s="2">
        <v>0.77569444444444446</v>
      </c>
      <c r="J829" t="s">
        <v>28</v>
      </c>
      <c r="K829">
        <v>6.1920000000000002</v>
      </c>
      <c r="L829">
        <v>8.5</v>
      </c>
    </row>
    <row r="830" spans="1:12" x14ac:dyDescent="0.25">
      <c r="A830" t="s">
        <v>859</v>
      </c>
      <c r="B830" t="s">
        <v>20</v>
      </c>
      <c r="C830" t="s">
        <v>21</v>
      </c>
      <c r="D830" t="s">
        <v>22</v>
      </c>
      <c r="E830" t="s">
        <v>26</v>
      </c>
      <c r="F830" t="s">
        <v>23</v>
      </c>
      <c r="G830">
        <v>10</v>
      </c>
      <c r="H830" s="1">
        <v>43548</v>
      </c>
      <c r="I830" s="2">
        <v>0.76874999999999993</v>
      </c>
      <c r="J830" t="s">
        <v>24</v>
      </c>
      <c r="K830">
        <v>32.475000000000001</v>
      </c>
      <c r="L830">
        <v>5.2</v>
      </c>
    </row>
    <row r="831" spans="1:12" x14ac:dyDescent="0.25">
      <c r="A831" t="s">
        <v>860</v>
      </c>
      <c r="B831" t="s">
        <v>13</v>
      </c>
      <c r="C831" t="s">
        <v>14</v>
      </c>
      <c r="D831" t="s">
        <v>15</v>
      </c>
      <c r="E831" t="s">
        <v>16</v>
      </c>
      <c r="F831" t="s">
        <v>23</v>
      </c>
      <c r="G831">
        <v>10</v>
      </c>
      <c r="H831" s="1">
        <v>43466</v>
      </c>
      <c r="I831" s="2">
        <v>0.61249999999999993</v>
      </c>
      <c r="J831" t="s">
        <v>28</v>
      </c>
      <c r="K831">
        <v>37.11</v>
      </c>
      <c r="L831">
        <v>4.3</v>
      </c>
    </row>
    <row r="832" spans="1:12" x14ac:dyDescent="0.25">
      <c r="A832" t="s">
        <v>861</v>
      </c>
      <c r="B832" t="s">
        <v>13</v>
      </c>
      <c r="C832" t="s">
        <v>14</v>
      </c>
      <c r="D832" t="s">
        <v>22</v>
      </c>
      <c r="E832" t="s">
        <v>26</v>
      </c>
      <c r="F832" t="s">
        <v>23</v>
      </c>
      <c r="G832">
        <v>8</v>
      </c>
      <c r="H832" s="1">
        <v>43489</v>
      </c>
      <c r="I832" s="2">
        <v>0.73819444444444438</v>
      </c>
      <c r="J832" t="s">
        <v>24</v>
      </c>
      <c r="K832">
        <v>4.2240000000000002</v>
      </c>
      <c r="L832">
        <v>7.6</v>
      </c>
    </row>
    <row r="833" spans="1:12" x14ac:dyDescent="0.25">
      <c r="A833" t="s">
        <v>862</v>
      </c>
      <c r="B833" t="s">
        <v>37</v>
      </c>
      <c r="C833" t="s">
        <v>38</v>
      </c>
      <c r="D833" t="s">
        <v>22</v>
      </c>
      <c r="E833" t="s">
        <v>26</v>
      </c>
      <c r="F833" t="s">
        <v>17</v>
      </c>
      <c r="G833">
        <v>4</v>
      </c>
      <c r="H833" s="1">
        <v>43521</v>
      </c>
      <c r="I833" s="2">
        <v>0.77569444444444446</v>
      </c>
      <c r="J833" t="s">
        <v>24</v>
      </c>
      <c r="K833">
        <v>12.513999999999999</v>
      </c>
      <c r="L833">
        <v>9.5</v>
      </c>
    </row>
    <row r="834" spans="1:12" x14ac:dyDescent="0.25">
      <c r="A834" t="s">
        <v>863</v>
      </c>
      <c r="B834" t="s">
        <v>37</v>
      </c>
      <c r="C834" t="s">
        <v>38</v>
      </c>
      <c r="D834" t="s">
        <v>15</v>
      </c>
      <c r="E834" t="s">
        <v>16</v>
      </c>
      <c r="F834" t="s">
        <v>31</v>
      </c>
      <c r="G834">
        <v>8</v>
      </c>
      <c r="H834" s="1">
        <v>43474</v>
      </c>
      <c r="I834" s="2">
        <v>0.69027777777777777</v>
      </c>
      <c r="J834" t="s">
        <v>24</v>
      </c>
      <c r="K834">
        <v>4.74</v>
      </c>
      <c r="L834">
        <v>4.0999999999999996</v>
      </c>
    </row>
    <row r="835" spans="1:12" x14ac:dyDescent="0.25">
      <c r="A835" t="s">
        <v>864</v>
      </c>
      <c r="B835" t="s">
        <v>13</v>
      </c>
      <c r="C835" t="s">
        <v>14</v>
      </c>
      <c r="D835" t="s">
        <v>15</v>
      </c>
      <c r="E835" t="s">
        <v>26</v>
      </c>
      <c r="F835" t="s">
        <v>17</v>
      </c>
      <c r="G835">
        <v>1</v>
      </c>
      <c r="H835" s="1">
        <v>43510</v>
      </c>
      <c r="I835" s="2">
        <v>0.61249999999999993</v>
      </c>
      <c r="J835" t="s">
        <v>18</v>
      </c>
      <c r="K835">
        <v>4.5650000000000004</v>
      </c>
      <c r="L835">
        <v>9.1999999999999993</v>
      </c>
    </row>
    <row r="836" spans="1:12" x14ac:dyDescent="0.25">
      <c r="A836" t="s">
        <v>865</v>
      </c>
      <c r="B836" t="s">
        <v>37</v>
      </c>
      <c r="C836" t="s">
        <v>38</v>
      </c>
      <c r="D836" t="s">
        <v>15</v>
      </c>
      <c r="E836" t="s">
        <v>16</v>
      </c>
      <c r="F836" t="s">
        <v>27</v>
      </c>
      <c r="G836">
        <v>7</v>
      </c>
      <c r="H836" s="1">
        <v>43536</v>
      </c>
      <c r="I836" s="2">
        <v>0.45902777777777781</v>
      </c>
      <c r="J836" t="s">
        <v>18</v>
      </c>
      <c r="K836">
        <v>14.2555</v>
      </c>
      <c r="L836">
        <v>5.4</v>
      </c>
    </row>
    <row r="837" spans="1:12" x14ac:dyDescent="0.25">
      <c r="A837" t="s">
        <v>866</v>
      </c>
      <c r="B837" t="s">
        <v>13</v>
      </c>
      <c r="C837" t="s">
        <v>14</v>
      </c>
      <c r="D837" t="s">
        <v>22</v>
      </c>
      <c r="E837" t="s">
        <v>26</v>
      </c>
      <c r="F837" t="s">
        <v>41</v>
      </c>
      <c r="G837">
        <v>1</v>
      </c>
      <c r="H837" s="1">
        <v>43550</v>
      </c>
      <c r="I837" s="2">
        <v>0.8222222222222223</v>
      </c>
      <c r="J837" t="s">
        <v>24</v>
      </c>
      <c r="K837">
        <v>2.6190000000000002</v>
      </c>
      <c r="L837">
        <v>5.8</v>
      </c>
    </row>
    <row r="838" spans="1:12" x14ac:dyDescent="0.25">
      <c r="A838" t="s">
        <v>867</v>
      </c>
      <c r="B838" t="s">
        <v>13</v>
      </c>
      <c r="C838" t="s">
        <v>14</v>
      </c>
      <c r="D838" t="s">
        <v>15</v>
      </c>
      <c r="E838" t="s">
        <v>26</v>
      </c>
      <c r="F838" t="s">
        <v>41</v>
      </c>
      <c r="G838">
        <v>5</v>
      </c>
      <c r="H838" s="1">
        <v>43474</v>
      </c>
      <c r="I838" s="2">
        <v>0.56527777777777777</v>
      </c>
      <c r="J838" t="s">
        <v>18</v>
      </c>
      <c r="K838">
        <v>9.6349999999999998</v>
      </c>
      <c r="L838">
        <v>5.6</v>
      </c>
    </row>
    <row r="839" spans="1:12" x14ac:dyDescent="0.25">
      <c r="A839" t="s">
        <v>868</v>
      </c>
      <c r="B839" t="s">
        <v>37</v>
      </c>
      <c r="C839" t="s">
        <v>38</v>
      </c>
      <c r="D839" t="s">
        <v>22</v>
      </c>
      <c r="E839" t="s">
        <v>26</v>
      </c>
      <c r="F839" t="s">
        <v>31</v>
      </c>
      <c r="G839">
        <v>6</v>
      </c>
      <c r="H839" s="1">
        <v>43467</v>
      </c>
      <c r="I839" s="2">
        <v>0.83888888888888891</v>
      </c>
      <c r="J839" t="s">
        <v>28</v>
      </c>
      <c r="K839">
        <v>13.388999999999999</v>
      </c>
      <c r="L839">
        <v>5.0999999999999996</v>
      </c>
    </row>
    <row r="840" spans="1:12" x14ac:dyDescent="0.25">
      <c r="A840" t="s">
        <v>869</v>
      </c>
      <c r="B840" t="s">
        <v>20</v>
      </c>
      <c r="C840" t="s">
        <v>21</v>
      </c>
      <c r="D840" t="s">
        <v>22</v>
      </c>
      <c r="E840" t="s">
        <v>26</v>
      </c>
      <c r="F840" t="s">
        <v>23</v>
      </c>
      <c r="G840">
        <v>10</v>
      </c>
      <c r="H840" s="1">
        <v>43480</v>
      </c>
      <c r="I840" s="2">
        <v>0.62569444444444444</v>
      </c>
      <c r="J840" t="s">
        <v>24</v>
      </c>
      <c r="K840">
        <v>27.934999999999999</v>
      </c>
      <c r="L840">
        <v>5.8</v>
      </c>
    </row>
    <row r="841" spans="1:12" x14ac:dyDescent="0.25">
      <c r="A841" t="s">
        <v>870</v>
      </c>
      <c r="B841" t="s">
        <v>20</v>
      </c>
      <c r="C841" t="s">
        <v>21</v>
      </c>
      <c r="D841" t="s">
        <v>15</v>
      </c>
      <c r="E841" t="s">
        <v>16</v>
      </c>
      <c r="F841" t="s">
        <v>31</v>
      </c>
      <c r="G841">
        <v>6</v>
      </c>
      <c r="H841" s="1">
        <v>43466</v>
      </c>
      <c r="I841" s="2">
        <v>0.4861111111111111</v>
      </c>
      <c r="J841" t="s">
        <v>18</v>
      </c>
      <c r="K841">
        <v>8.766</v>
      </c>
      <c r="L841">
        <v>5</v>
      </c>
    </row>
    <row r="842" spans="1:12" x14ac:dyDescent="0.25">
      <c r="A842" t="s">
        <v>871</v>
      </c>
      <c r="B842" t="s">
        <v>13</v>
      </c>
      <c r="C842" t="s">
        <v>14</v>
      </c>
      <c r="D842" t="s">
        <v>22</v>
      </c>
      <c r="E842" t="s">
        <v>26</v>
      </c>
      <c r="F842" t="s">
        <v>41</v>
      </c>
      <c r="G842">
        <v>3</v>
      </c>
      <c r="H842" s="1">
        <v>43511</v>
      </c>
      <c r="I842" s="2">
        <v>0.63958333333333328</v>
      </c>
      <c r="J842" t="s">
        <v>24</v>
      </c>
      <c r="K842">
        <v>7.7910000000000004</v>
      </c>
      <c r="L842">
        <v>7.9</v>
      </c>
    </row>
    <row r="843" spans="1:12" x14ac:dyDescent="0.25">
      <c r="A843" t="s">
        <v>872</v>
      </c>
      <c r="B843" t="s">
        <v>37</v>
      </c>
      <c r="C843" t="s">
        <v>38</v>
      </c>
      <c r="D843" t="s">
        <v>22</v>
      </c>
      <c r="E843" t="s">
        <v>26</v>
      </c>
      <c r="F843" t="s">
        <v>23</v>
      </c>
      <c r="G843">
        <v>1</v>
      </c>
      <c r="H843" s="1">
        <v>43524</v>
      </c>
      <c r="I843" s="2">
        <v>0.73472222222222217</v>
      </c>
      <c r="J843" t="s">
        <v>24</v>
      </c>
      <c r="K843">
        <v>3.0150000000000001</v>
      </c>
      <c r="L843">
        <v>6</v>
      </c>
    </row>
    <row r="844" spans="1:12" x14ac:dyDescent="0.25">
      <c r="A844" t="s">
        <v>873</v>
      </c>
      <c r="B844" t="s">
        <v>13</v>
      </c>
      <c r="C844" t="s">
        <v>14</v>
      </c>
      <c r="D844" t="s">
        <v>15</v>
      </c>
      <c r="E844" t="s">
        <v>16</v>
      </c>
      <c r="F844" t="s">
        <v>31</v>
      </c>
      <c r="G844">
        <v>2</v>
      </c>
      <c r="H844" s="1">
        <v>43526</v>
      </c>
      <c r="I844" s="2">
        <v>0.6777777777777777</v>
      </c>
      <c r="J844" t="s">
        <v>28</v>
      </c>
      <c r="K844">
        <v>3.9470000000000001</v>
      </c>
      <c r="L844">
        <v>5</v>
      </c>
    </row>
    <row r="845" spans="1:12" x14ac:dyDescent="0.25">
      <c r="A845" t="s">
        <v>874</v>
      </c>
      <c r="B845" t="s">
        <v>20</v>
      </c>
      <c r="C845" t="s">
        <v>21</v>
      </c>
      <c r="D845" t="s">
        <v>15</v>
      </c>
      <c r="E845" t="s">
        <v>16</v>
      </c>
      <c r="F845" t="s">
        <v>39</v>
      </c>
      <c r="G845">
        <v>2</v>
      </c>
      <c r="H845" s="1">
        <v>43509</v>
      </c>
      <c r="I845" s="2">
        <v>0.76041666666666663</v>
      </c>
      <c r="J845" t="s">
        <v>28</v>
      </c>
      <c r="K845">
        <v>1.4870000000000001</v>
      </c>
      <c r="L845">
        <v>8.9</v>
      </c>
    </row>
    <row r="846" spans="1:12" x14ac:dyDescent="0.25">
      <c r="A846" t="s">
        <v>875</v>
      </c>
      <c r="B846" t="s">
        <v>13</v>
      </c>
      <c r="C846" t="s">
        <v>14</v>
      </c>
      <c r="D846" t="s">
        <v>22</v>
      </c>
      <c r="E846" t="s">
        <v>26</v>
      </c>
      <c r="F846" t="s">
        <v>41</v>
      </c>
      <c r="G846">
        <v>1</v>
      </c>
      <c r="H846" s="1">
        <v>43491</v>
      </c>
      <c r="I846" s="2">
        <v>0.52986111111111112</v>
      </c>
      <c r="J846" t="s">
        <v>24</v>
      </c>
      <c r="K846">
        <v>1.0660000000000001</v>
      </c>
      <c r="L846">
        <v>5.9</v>
      </c>
    </row>
    <row r="847" spans="1:12" x14ac:dyDescent="0.25">
      <c r="A847" t="s">
        <v>876</v>
      </c>
      <c r="B847" t="s">
        <v>13</v>
      </c>
      <c r="C847" t="s">
        <v>14</v>
      </c>
      <c r="D847" t="s">
        <v>15</v>
      </c>
      <c r="E847" t="s">
        <v>26</v>
      </c>
      <c r="F847" t="s">
        <v>23</v>
      </c>
      <c r="G847">
        <v>3</v>
      </c>
      <c r="H847" s="1">
        <v>43495</v>
      </c>
      <c r="I847" s="2">
        <v>0.48055555555555557</v>
      </c>
      <c r="J847" t="s">
        <v>28</v>
      </c>
      <c r="K847">
        <v>14.067</v>
      </c>
      <c r="L847">
        <v>5.9</v>
      </c>
    </row>
    <row r="848" spans="1:12" x14ac:dyDescent="0.25">
      <c r="A848" t="s">
        <v>877</v>
      </c>
      <c r="B848" t="s">
        <v>13</v>
      </c>
      <c r="C848" t="s">
        <v>14</v>
      </c>
      <c r="D848" t="s">
        <v>15</v>
      </c>
      <c r="E848" t="s">
        <v>26</v>
      </c>
      <c r="F848" t="s">
        <v>23</v>
      </c>
      <c r="G848">
        <v>1</v>
      </c>
      <c r="H848" s="1">
        <v>43492</v>
      </c>
      <c r="I848" s="2">
        <v>0.75555555555555554</v>
      </c>
      <c r="J848" t="s">
        <v>18</v>
      </c>
      <c r="K848">
        <v>3.6629999999999998</v>
      </c>
      <c r="L848">
        <v>9.6999999999999993</v>
      </c>
    </row>
    <row r="849" spans="1:12" x14ac:dyDescent="0.25">
      <c r="A849" t="s">
        <v>878</v>
      </c>
      <c r="B849" t="s">
        <v>20</v>
      </c>
      <c r="C849" t="s">
        <v>21</v>
      </c>
      <c r="D849" t="s">
        <v>22</v>
      </c>
      <c r="E849" t="s">
        <v>16</v>
      </c>
      <c r="F849" t="s">
        <v>31</v>
      </c>
      <c r="G849">
        <v>1</v>
      </c>
      <c r="H849" s="1">
        <v>43495</v>
      </c>
      <c r="I849" s="2">
        <v>0.71388888888888891</v>
      </c>
      <c r="J849" t="s">
        <v>28</v>
      </c>
      <c r="K849">
        <v>1.119</v>
      </c>
      <c r="L849">
        <v>8.6</v>
      </c>
    </row>
    <row r="850" spans="1:12" x14ac:dyDescent="0.25">
      <c r="A850" t="s">
        <v>879</v>
      </c>
      <c r="B850" t="s">
        <v>20</v>
      </c>
      <c r="C850" t="s">
        <v>21</v>
      </c>
      <c r="D850" t="s">
        <v>15</v>
      </c>
      <c r="E850" t="s">
        <v>16</v>
      </c>
      <c r="F850" t="s">
        <v>39</v>
      </c>
      <c r="G850">
        <v>9</v>
      </c>
      <c r="H850" s="1">
        <v>43473</v>
      </c>
      <c r="I850" s="2">
        <v>0.81805555555555554</v>
      </c>
      <c r="J850" t="s">
        <v>24</v>
      </c>
      <c r="K850">
        <v>32.795999999999999</v>
      </c>
      <c r="L850">
        <v>4</v>
      </c>
    </row>
    <row r="851" spans="1:12" x14ac:dyDescent="0.25">
      <c r="A851" t="s">
        <v>880</v>
      </c>
      <c r="B851" t="s">
        <v>13</v>
      </c>
      <c r="C851" t="s">
        <v>14</v>
      </c>
      <c r="D851" t="s">
        <v>22</v>
      </c>
      <c r="E851" t="s">
        <v>16</v>
      </c>
      <c r="F851" t="s">
        <v>41</v>
      </c>
      <c r="G851">
        <v>6</v>
      </c>
      <c r="H851" s="1">
        <v>43484</v>
      </c>
      <c r="I851" s="2">
        <v>0.5493055555555556</v>
      </c>
      <c r="J851" t="s">
        <v>24</v>
      </c>
      <c r="K851">
        <v>29.73</v>
      </c>
      <c r="L851">
        <v>4.2</v>
      </c>
    </row>
    <row r="852" spans="1:12" x14ac:dyDescent="0.25">
      <c r="A852" t="s">
        <v>881</v>
      </c>
      <c r="B852" t="s">
        <v>13</v>
      </c>
      <c r="C852" t="s">
        <v>14</v>
      </c>
      <c r="D852" t="s">
        <v>22</v>
      </c>
      <c r="E852" t="s">
        <v>26</v>
      </c>
      <c r="F852" t="s">
        <v>41</v>
      </c>
      <c r="G852">
        <v>1</v>
      </c>
      <c r="H852" s="1">
        <v>43490</v>
      </c>
      <c r="I852" s="2">
        <v>0.46180555555555558</v>
      </c>
      <c r="J852" t="s">
        <v>24</v>
      </c>
      <c r="K852">
        <v>3.7050000000000001</v>
      </c>
      <c r="L852">
        <v>9.1999999999999993</v>
      </c>
    </row>
    <row r="853" spans="1:12" x14ac:dyDescent="0.25">
      <c r="A853" t="s">
        <v>882</v>
      </c>
      <c r="B853" t="s">
        <v>13</v>
      </c>
      <c r="C853" t="s">
        <v>14</v>
      </c>
      <c r="D853" t="s">
        <v>22</v>
      </c>
      <c r="E853" t="s">
        <v>16</v>
      </c>
      <c r="F853" t="s">
        <v>41</v>
      </c>
      <c r="G853">
        <v>2</v>
      </c>
      <c r="H853" s="1">
        <v>43515</v>
      </c>
      <c r="I853" s="2">
        <v>0.42499999999999999</v>
      </c>
      <c r="J853" t="s">
        <v>18</v>
      </c>
      <c r="K853">
        <v>9.8480000000000008</v>
      </c>
      <c r="L853">
        <v>9.1999999999999993</v>
      </c>
    </row>
    <row r="854" spans="1:12" x14ac:dyDescent="0.25">
      <c r="A854" t="s">
        <v>883</v>
      </c>
      <c r="B854" t="s">
        <v>20</v>
      </c>
      <c r="C854" t="s">
        <v>21</v>
      </c>
      <c r="D854" t="s">
        <v>22</v>
      </c>
      <c r="E854" t="s">
        <v>26</v>
      </c>
      <c r="F854" t="s">
        <v>17</v>
      </c>
      <c r="G854">
        <v>7</v>
      </c>
      <c r="H854" s="1">
        <v>43479</v>
      </c>
      <c r="I854" s="2">
        <v>0.65416666666666667</v>
      </c>
      <c r="J854" t="s">
        <v>18</v>
      </c>
      <c r="K854">
        <v>18.616499999999998</v>
      </c>
      <c r="L854">
        <v>5</v>
      </c>
    </row>
    <row r="855" spans="1:12" x14ac:dyDescent="0.25">
      <c r="A855" t="s">
        <v>884</v>
      </c>
      <c r="B855" t="s">
        <v>37</v>
      </c>
      <c r="C855" t="s">
        <v>38</v>
      </c>
      <c r="D855" t="s">
        <v>22</v>
      </c>
      <c r="E855" t="s">
        <v>16</v>
      </c>
      <c r="F855" t="s">
        <v>23</v>
      </c>
      <c r="G855">
        <v>10</v>
      </c>
      <c r="H855" s="1">
        <v>43521</v>
      </c>
      <c r="I855" s="2">
        <v>0.49861111111111112</v>
      </c>
      <c r="J855" t="s">
        <v>18</v>
      </c>
      <c r="K855">
        <v>26.395</v>
      </c>
      <c r="L855">
        <v>10</v>
      </c>
    </row>
    <row r="856" spans="1:12" x14ac:dyDescent="0.25">
      <c r="A856" t="s">
        <v>885</v>
      </c>
      <c r="B856" t="s">
        <v>13</v>
      </c>
      <c r="C856" t="s">
        <v>14</v>
      </c>
      <c r="D856" t="s">
        <v>15</v>
      </c>
      <c r="E856" t="s">
        <v>16</v>
      </c>
      <c r="F856" t="s">
        <v>17</v>
      </c>
      <c r="G856">
        <v>5</v>
      </c>
      <c r="H856" s="1">
        <v>43488</v>
      </c>
      <c r="I856" s="2">
        <v>0.59791666666666665</v>
      </c>
      <c r="J856" t="s">
        <v>18</v>
      </c>
      <c r="K856">
        <v>23.987500000000001</v>
      </c>
      <c r="L856">
        <v>8.8000000000000007</v>
      </c>
    </row>
    <row r="857" spans="1:12" x14ac:dyDescent="0.25">
      <c r="A857" t="s">
        <v>886</v>
      </c>
      <c r="B857" t="s">
        <v>37</v>
      </c>
      <c r="C857" t="s">
        <v>38</v>
      </c>
      <c r="D857" t="s">
        <v>22</v>
      </c>
      <c r="E857" t="s">
        <v>16</v>
      </c>
      <c r="F857" t="s">
        <v>41</v>
      </c>
      <c r="G857">
        <v>9</v>
      </c>
      <c r="H857" s="1">
        <v>43512</v>
      </c>
      <c r="I857" s="2">
        <v>0.45277777777777778</v>
      </c>
      <c r="J857" t="s">
        <v>24</v>
      </c>
      <c r="K857">
        <v>16.429500000000001</v>
      </c>
      <c r="L857">
        <v>4.2</v>
      </c>
    </row>
    <row r="858" spans="1:12" x14ac:dyDescent="0.25">
      <c r="A858" t="s">
        <v>887</v>
      </c>
      <c r="B858" t="s">
        <v>37</v>
      </c>
      <c r="C858" t="s">
        <v>38</v>
      </c>
      <c r="D858" t="s">
        <v>22</v>
      </c>
      <c r="E858" t="s">
        <v>26</v>
      </c>
      <c r="F858" t="s">
        <v>39</v>
      </c>
      <c r="G858">
        <v>8</v>
      </c>
      <c r="H858" s="1">
        <v>43466</v>
      </c>
      <c r="I858" s="2">
        <v>0.81319444444444444</v>
      </c>
      <c r="J858" t="s">
        <v>24</v>
      </c>
      <c r="K858">
        <v>8.4480000000000004</v>
      </c>
      <c r="L858">
        <v>6.3</v>
      </c>
    </row>
    <row r="859" spans="1:12" x14ac:dyDescent="0.25">
      <c r="A859" t="s">
        <v>888</v>
      </c>
      <c r="B859" t="s">
        <v>13</v>
      </c>
      <c r="C859" t="s">
        <v>14</v>
      </c>
      <c r="D859" t="s">
        <v>15</v>
      </c>
      <c r="E859" t="s">
        <v>16</v>
      </c>
      <c r="F859" t="s">
        <v>27</v>
      </c>
      <c r="G859">
        <v>4</v>
      </c>
      <c r="H859" s="1">
        <v>43531</v>
      </c>
      <c r="I859" s="2">
        <v>0.77430555555555547</v>
      </c>
      <c r="J859" t="s">
        <v>24</v>
      </c>
      <c r="K859">
        <v>5.6619999999999999</v>
      </c>
      <c r="L859">
        <v>8.1999999999999993</v>
      </c>
    </row>
    <row r="860" spans="1:12" x14ac:dyDescent="0.25">
      <c r="A860" t="s">
        <v>889</v>
      </c>
      <c r="B860" t="s">
        <v>37</v>
      </c>
      <c r="C860" t="s">
        <v>38</v>
      </c>
      <c r="D860" t="s">
        <v>22</v>
      </c>
      <c r="E860" t="s">
        <v>26</v>
      </c>
      <c r="F860" t="s">
        <v>17</v>
      </c>
      <c r="G860">
        <v>6</v>
      </c>
      <c r="H860" s="1">
        <v>43511</v>
      </c>
      <c r="I860" s="2">
        <v>0.57708333333333328</v>
      </c>
      <c r="J860" t="s">
        <v>24</v>
      </c>
      <c r="K860">
        <v>17.277000000000001</v>
      </c>
      <c r="L860">
        <v>5.0999999999999996</v>
      </c>
    </row>
    <row r="861" spans="1:12" x14ac:dyDescent="0.25">
      <c r="A861" t="s">
        <v>890</v>
      </c>
      <c r="B861" t="s">
        <v>13</v>
      </c>
      <c r="C861" t="s">
        <v>14</v>
      </c>
      <c r="D861" t="s">
        <v>15</v>
      </c>
      <c r="E861" t="s">
        <v>16</v>
      </c>
      <c r="F861" t="s">
        <v>39</v>
      </c>
      <c r="G861">
        <v>9</v>
      </c>
      <c r="H861" s="1">
        <v>43488</v>
      </c>
      <c r="I861" s="2">
        <v>0.52430555555555558</v>
      </c>
      <c r="J861" t="s">
        <v>24</v>
      </c>
      <c r="K861">
        <v>21.433499999999999</v>
      </c>
      <c r="L861">
        <v>5</v>
      </c>
    </row>
    <row r="862" spans="1:12" x14ac:dyDescent="0.25">
      <c r="A862" t="s">
        <v>891</v>
      </c>
      <c r="B862" t="s">
        <v>20</v>
      </c>
      <c r="C862" t="s">
        <v>21</v>
      </c>
      <c r="D862" t="s">
        <v>15</v>
      </c>
      <c r="E862" t="s">
        <v>16</v>
      </c>
      <c r="F862" t="s">
        <v>27</v>
      </c>
      <c r="G862">
        <v>1</v>
      </c>
      <c r="H862" s="1">
        <v>43516</v>
      </c>
      <c r="I862" s="2">
        <v>0.55833333333333335</v>
      </c>
      <c r="J862" t="s">
        <v>18</v>
      </c>
      <c r="K862">
        <v>4.3135000000000003</v>
      </c>
      <c r="L862">
        <v>7</v>
      </c>
    </row>
    <row r="863" spans="1:12" x14ac:dyDescent="0.25">
      <c r="A863" t="s">
        <v>892</v>
      </c>
      <c r="B863" t="s">
        <v>13</v>
      </c>
      <c r="C863" t="s">
        <v>14</v>
      </c>
      <c r="D863" t="s">
        <v>15</v>
      </c>
      <c r="E863" t="s">
        <v>26</v>
      </c>
      <c r="F863" t="s">
        <v>31</v>
      </c>
      <c r="G863">
        <v>2</v>
      </c>
      <c r="H863" s="1">
        <v>43473</v>
      </c>
      <c r="I863" s="2">
        <v>0.75416666666666676</v>
      </c>
      <c r="J863" t="s">
        <v>18</v>
      </c>
      <c r="K863">
        <v>1.276</v>
      </c>
      <c r="L863">
        <v>7.8</v>
      </c>
    </row>
    <row r="864" spans="1:12" x14ac:dyDescent="0.25">
      <c r="A864" t="s">
        <v>893</v>
      </c>
      <c r="B864" t="s">
        <v>37</v>
      </c>
      <c r="C864" t="s">
        <v>38</v>
      </c>
      <c r="D864" t="s">
        <v>22</v>
      </c>
      <c r="E864" t="s">
        <v>16</v>
      </c>
      <c r="F864" t="s">
        <v>27</v>
      </c>
      <c r="G864">
        <v>9</v>
      </c>
      <c r="H864" s="1">
        <v>43541</v>
      </c>
      <c r="I864" s="2">
        <v>0.49652777777777773</v>
      </c>
      <c r="J864" t="s">
        <v>28</v>
      </c>
      <c r="K864">
        <v>5.0759999999999996</v>
      </c>
      <c r="L864">
        <v>4.3</v>
      </c>
    </row>
    <row r="865" spans="1:12" x14ac:dyDescent="0.25">
      <c r="A865" t="s">
        <v>894</v>
      </c>
      <c r="B865" t="s">
        <v>37</v>
      </c>
      <c r="C865" t="s">
        <v>38</v>
      </c>
      <c r="D865" t="s">
        <v>22</v>
      </c>
      <c r="E865" t="s">
        <v>16</v>
      </c>
      <c r="F865" t="s">
        <v>27</v>
      </c>
      <c r="G865">
        <v>7</v>
      </c>
      <c r="H865" s="1">
        <v>43477</v>
      </c>
      <c r="I865" s="2">
        <v>0.48749999999999999</v>
      </c>
      <c r="J865" t="s">
        <v>24</v>
      </c>
      <c r="K865">
        <v>17.874500000000001</v>
      </c>
      <c r="L865">
        <v>7</v>
      </c>
    </row>
    <row r="866" spans="1:12" x14ac:dyDescent="0.25">
      <c r="A866" t="s">
        <v>895</v>
      </c>
      <c r="B866" t="s">
        <v>13</v>
      </c>
      <c r="C866" t="s">
        <v>14</v>
      </c>
      <c r="D866" t="s">
        <v>15</v>
      </c>
      <c r="E866" t="s">
        <v>16</v>
      </c>
      <c r="F866" t="s">
        <v>23</v>
      </c>
      <c r="G866">
        <v>3</v>
      </c>
      <c r="H866" s="1">
        <v>43473</v>
      </c>
      <c r="I866" s="2">
        <v>0.60416666666666663</v>
      </c>
      <c r="J866" t="s">
        <v>24</v>
      </c>
      <c r="K866">
        <v>11.938499999999999</v>
      </c>
      <c r="L866">
        <v>6.6</v>
      </c>
    </row>
    <row r="867" spans="1:12" x14ac:dyDescent="0.25">
      <c r="A867" t="s">
        <v>896</v>
      </c>
      <c r="B867" t="s">
        <v>20</v>
      </c>
      <c r="C867" t="s">
        <v>21</v>
      </c>
      <c r="D867" t="s">
        <v>15</v>
      </c>
      <c r="E867" t="s">
        <v>26</v>
      </c>
      <c r="F867" t="s">
        <v>17</v>
      </c>
      <c r="G867">
        <v>3</v>
      </c>
      <c r="H867" s="1">
        <v>43491</v>
      </c>
      <c r="I867" s="2">
        <v>0.63263888888888886</v>
      </c>
      <c r="J867" t="s">
        <v>18</v>
      </c>
      <c r="K867">
        <v>5.0715000000000003</v>
      </c>
      <c r="L867">
        <v>7.3</v>
      </c>
    </row>
    <row r="868" spans="1:12" x14ac:dyDescent="0.25">
      <c r="A868" t="s">
        <v>897</v>
      </c>
      <c r="B868" t="s">
        <v>37</v>
      </c>
      <c r="C868" t="s">
        <v>38</v>
      </c>
      <c r="D868" t="s">
        <v>15</v>
      </c>
      <c r="E868" t="s">
        <v>26</v>
      </c>
      <c r="F868" t="s">
        <v>31</v>
      </c>
      <c r="G868">
        <v>8</v>
      </c>
      <c r="H868" s="1">
        <v>43539</v>
      </c>
      <c r="I868" s="2">
        <v>0.6166666666666667</v>
      </c>
      <c r="J868" t="s">
        <v>28</v>
      </c>
      <c r="K868">
        <v>36.212000000000003</v>
      </c>
      <c r="L868">
        <v>6.5</v>
      </c>
    </row>
    <row r="869" spans="1:12" x14ac:dyDescent="0.25">
      <c r="A869" t="s">
        <v>898</v>
      </c>
      <c r="B869" t="s">
        <v>20</v>
      </c>
      <c r="C869" t="s">
        <v>21</v>
      </c>
      <c r="D869" t="s">
        <v>15</v>
      </c>
      <c r="E869" t="s">
        <v>16</v>
      </c>
      <c r="F869" t="s">
        <v>17</v>
      </c>
      <c r="G869">
        <v>2</v>
      </c>
      <c r="H869" s="1">
        <v>43482</v>
      </c>
      <c r="I869" s="2">
        <v>0.52500000000000002</v>
      </c>
      <c r="J869" t="s">
        <v>18</v>
      </c>
      <c r="K869">
        <v>6.282</v>
      </c>
      <c r="L869">
        <v>4.9000000000000004</v>
      </c>
    </row>
    <row r="870" spans="1:12" x14ac:dyDescent="0.25">
      <c r="A870" t="s">
        <v>899</v>
      </c>
      <c r="B870" t="s">
        <v>20</v>
      </c>
      <c r="C870" t="s">
        <v>21</v>
      </c>
      <c r="D870" t="s">
        <v>15</v>
      </c>
      <c r="E870" t="s">
        <v>26</v>
      </c>
      <c r="F870" t="s">
        <v>39</v>
      </c>
      <c r="G870">
        <v>3</v>
      </c>
      <c r="H870" s="1">
        <v>43473</v>
      </c>
      <c r="I870" s="2">
        <v>0.79791666666666661</v>
      </c>
      <c r="J870" t="s">
        <v>28</v>
      </c>
      <c r="K870">
        <v>3.6465000000000001</v>
      </c>
      <c r="L870">
        <v>4.3</v>
      </c>
    </row>
    <row r="871" spans="1:12" x14ac:dyDescent="0.25">
      <c r="A871" t="s">
        <v>900</v>
      </c>
      <c r="B871" t="s">
        <v>13</v>
      </c>
      <c r="C871" t="s">
        <v>14</v>
      </c>
      <c r="D871" t="s">
        <v>22</v>
      </c>
      <c r="E871" t="s">
        <v>26</v>
      </c>
      <c r="F871" t="s">
        <v>31</v>
      </c>
      <c r="G871">
        <v>4</v>
      </c>
      <c r="H871" s="1">
        <v>43471</v>
      </c>
      <c r="I871" s="2">
        <v>0.56597222222222221</v>
      </c>
      <c r="J871" t="s">
        <v>18</v>
      </c>
      <c r="K871">
        <v>12.917999999999999</v>
      </c>
      <c r="L871">
        <v>9.3000000000000007</v>
      </c>
    </row>
    <row r="872" spans="1:12" x14ac:dyDescent="0.25">
      <c r="A872" t="s">
        <v>901</v>
      </c>
      <c r="B872" t="s">
        <v>13</v>
      </c>
      <c r="C872" t="s">
        <v>14</v>
      </c>
      <c r="D872" t="s">
        <v>15</v>
      </c>
      <c r="E872" t="s">
        <v>26</v>
      </c>
      <c r="F872" t="s">
        <v>39</v>
      </c>
      <c r="G872">
        <v>7</v>
      </c>
      <c r="H872" s="1">
        <v>43512</v>
      </c>
      <c r="I872" s="2">
        <v>0.43958333333333338</v>
      </c>
      <c r="J872" t="s">
        <v>28</v>
      </c>
      <c r="K872">
        <v>8.6869999999999994</v>
      </c>
      <c r="L872">
        <v>7.1</v>
      </c>
    </row>
    <row r="873" spans="1:12" x14ac:dyDescent="0.25">
      <c r="A873" t="s">
        <v>902</v>
      </c>
      <c r="B873" t="s">
        <v>20</v>
      </c>
      <c r="C873" t="s">
        <v>21</v>
      </c>
      <c r="D873" t="s">
        <v>22</v>
      </c>
      <c r="E873" t="s">
        <v>26</v>
      </c>
      <c r="F873" t="s">
        <v>41</v>
      </c>
      <c r="G873">
        <v>1</v>
      </c>
      <c r="H873" s="1">
        <v>43537</v>
      </c>
      <c r="I873" s="2">
        <v>0.65625</v>
      </c>
      <c r="J873" t="s">
        <v>18</v>
      </c>
      <c r="K873">
        <v>2.8250000000000002</v>
      </c>
      <c r="L873">
        <v>9.6</v>
      </c>
    </row>
    <row r="874" spans="1:12" x14ac:dyDescent="0.25">
      <c r="A874" t="s">
        <v>903</v>
      </c>
      <c r="B874" t="s">
        <v>37</v>
      </c>
      <c r="C874" t="s">
        <v>38</v>
      </c>
      <c r="D874" t="s">
        <v>15</v>
      </c>
      <c r="E874" t="s">
        <v>16</v>
      </c>
      <c r="F874" t="s">
        <v>23</v>
      </c>
      <c r="G874">
        <v>10</v>
      </c>
      <c r="H874" s="1">
        <v>43493</v>
      </c>
      <c r="I874" s="2">
        <v>0.49374999999999997</v>
      </c>
      <c r="J874" t="s">
        <v>24</v>
      </c>
      <c r="K874">
        <v>10.715</v>
      </c>
      <c r="L874">
        <v>6.2</v>
      </c>
    </row>
    <row r="875" spans="1:12" x14ac:dyDescent="0.25">
      <c r="A875" t="s">
        <v>904</v>
      </c>
      <c r="B875" t="s">
        <v>13</v>
      </c>
      <c r="C875" t="s">
        <v>14</v>
      </c>
      <c r="D875" t="s">
        <v>15</v>
      </c>
      <c r="E875" t="s">
        <v>26</v>
      </c>
      <c r="F875" t="s">
        <v>31</v>
      </c>
      <c r="G875">
        <v>6</v>
      </c>
      <c r="H875" s="1">
        <v>43483</v>
      </c>
      <c r="I875" s="2">
        <v>0.72638888888888886</v>
      </c>
      <c r="J875" t="s">
        <v>24</v>
      </c>
      <c r="K875">
        <v>26.718</v>
      </c>
      <c r="L875">
        <v>9.9</v>
      </c>
    </row>
    <row r="876" spans="1:12" x14ac:dyDescent="0.25">
      <c r="A876" t="s">
        <v>905</v>
      </c>
      <c r="B876" t="s">
        <v>13</v>
      </c>
      <c r="C876" t="s">
        <v>14</v>
      </c>
      <c r="D876" t="s">
        <v>15</v>
      </c>
      <c r="E876" t="s">
        <v>26</v>
      </c>
      <c r="F876" t="s">
        <v>27</v>
      </c>
      <c r="G876">
        <v>4</v>
      </c>
      <c r="H876" s="1">
        <v>43543</v>
      </c>
      <c r="I876" s="2">
        <v>0.49444444444444446</v>
      </c>
      <c r="J876" t="s">
        <v>28</v>
      </c>
      <c r="K876">
        <v>4.6580000000000004</v>
      </c>
      <c r="L876">
        <v>5.9</v>
      </c>
    </row>
    <row r="877" spans="1:12" x14ac:dyDescent="0.25">
      <c r="A877" t="s">
        <v>906</v>
      </c>
      <c r="B877" t="s">
        <v>20</v>
      </c>
      <c r="C877" t="s">
        <v>21</v>
      </c>
      <c r="D877" t="s">
        <v>22</v>
      </c>
      <c r="E877" t="s">
        <v>26</v>
      </c>
      <c r="F877" t="s">
        <v>27</v>
      </c>
      <c r="G877">
        <v>8</v>
      </c>
      <c r="H877" s="1">
        <v>43539</v>
      </c>
      <c r="I877" s="2">
        <v>0.58611111111111114</v>
      </c>
      <c r="J877" t="s">
        <v>18</v>
      </c>
      <c r="K877">
        <v>26.103999999999999</v>
      </c>
      <c r="L877">
        <v>6.3</v>
      </c>
    </row>
    <row r="878" spans="1:12" x14ac:dyDescent="0.25">
      <c r="A878" t="s">
        <v>907</v>
      </c>
      <c r="B878" t="s">
        <v>20</v>
      </c>
      <c r="C878" t="s">
        <v>21</v>
      </c>
      <c r="D878" t="s">
        <v>15</v>
      </c>
      <c r="E878" t="s">
        <v>26</v>
      </c>
      <c r="F878" t="s">
        <v>41</v>
      </c>
      <c r="G878">
        <v>1</v>
      </c>
      <c r="H878" s="1">
        <v>43508</v>
      </c>
      <c r="I878" s="2">
        <v>0.74236111111111114</v>
      </c>
      <c r="J878" t="s">
        <v>24</v>
      </c>
      <c r="K878">
        <v>2.6175000000000002</v>
      </c>
      <c r="L878">
        <v>4</v>
      </c>
    </row>
    <row r="879" spans="1:12" x14ac:dyDescent="0.25">
      <c r="A879" t="s">
        <v>908</v>
      </c>
      <c r="B879" t="s">
        <v>37</v>
      </c>
      <c r="C879" t="s">
        <v>38</v>
      </c>
      <c r="D879" t="s">
        <v>15</v>
      </c>
      <c r="E879" t="s">
        <v>26</v>
      </c>
      <c r="F879" t="s">
        <v>23</v>
      </c>
      <c r="G879">
        <v>1</v>
      </c>
      <c r="H879" s="1">
        <v>43521</v>
      </c>
      <c r="I879" s="2">
        <v>0.84652777777777777</v>
      </c>
      <c r="J879" t="s">
        <v>24</v>
      </c>
      <c r="K879">
        <v>1.9875</v>
      </c>
      <c r="L879">
        <v>6.1</v>
      </c>
    </row>
    <row r="880" spans="1:12" x14ac:dyDescent="0.25">
      <c r="A880" t="s">
        <v>909</v>
      </c>
      <c r="B880" t="s">
        <v>13</v>
      </c>
      <c r="C880" t="s">
        <v>14</v>
      </c>
      <c r="D880" t="s">
        <v>22</v>
      </c>
      <c r="E880" t="s">
        <v>16</v>
      </c>
      <c r="F880" t="s">
        <v>23</v>
      </c>
      <c r="G880">
        <v>8</v>
      </c>
      <c r="H880" s="1">
        <v>43545</v>
      </c>
      <c r="I880" s="2">
        <v>0.67222222222222217</v>
      </c>
      <c r="J880" t="s">
        <v>28</v>
      </c>
      <c r="K880">
        <v>36.008000000000003</v>
      </c>
      <c r="L880">
        <v>4.5</v>
      </c>
    </row>
    <row r="881" spans="1:12" x14ac:dyDescent="0.25">
      <c r="A881" t="s">
        <v>910</v>
      </c>
      <c r="B881" t="s">
        <v>37</v>
      </c>
      <c r="C881" t="s">
        <v>38</v>
      </c>
      <c r="D881" t="s">
        <v>15</v>
      </c>
      <c r="E881" t="s">
        <v>16</v>
      </c>
      <c r="F881" t="s">
        <v>23</v>
      </c>
      <c r="G881">
        <v>8</v>
      </c>
      <c r="H881" s="1">
        <v>43484</v>
      </c>
      <c r="I881" s="2">
        <v>0.4284722222222222</v>
      </c>
      <c r="J881" t="s">
        <v>18</v>
      </c>
      <c r="K881">
        <v>4.84</v>
      </c>
      <c r="L881">
        <v>8.6</v>
      </c>
    </row>
    <row r="882" spans="1:12" x14ac:dyDescent="0.25">
      <c r="A882" t="s">
        <v>911</v>
      </c>
      <c r="B882" t="s">
        <v>37</v>
      </c>
      <c r="C882" t="s">
        <v>38</v>
      </c>
      <c r="D882" t="s">
        <v>15</v>
      </c>
      <c r="E882" t="s">
        <v>16</v>
      </c>
      <c r="F882" t="s">
        <v>39</v>
      </c>
      <c r="G882">
        <v>10</v>
      </c>
      <c r="H882" s="1">
        <v>43473</v>
      </c>
      <c r="I882" s="2">
        <v>0.60069444444444442</v>
      </c>
      <c r="J882" t="s">
        <v>18</v>
      </c>
      <c r="K882">
        <v>16.605</v>
      </c>
      <c r="L882">
        <v>6</v>
      </c>
    </row>
    <row r="883" spans="1:12" x14ac:dyDescent="0.25">
      <c r="A883" t="s">
        <v>912</v>
      </c>
      <c r="B883" t="s">
        <v>20</v>
      </c>
      <c r="C883" t="s">
        <v>21</v>
      </c>
      <c r="D883" t="s">
        <v>15</v>
      </c>
      <c r="E883" t="s">
        <v>16</v>
      </c>
      <c r="F883" t="s">
        <v>41</v>
      </c>
      <c r="G883">
        <v>8</v>
      </c>
      <c r="H883" s="1">
        <v>43554</v>
      </c>
      <c r="I883" s="2">
        <v>0.53541666666666665</v>
      </c>
      <c r="J883" t="s">
        <v>28</v>
      </c>
      <c r="K883">
        <v>4.0720000000000001</v>
      </c>
      <c r="L883">
        <v>9.5</v>
      </c>
    </row>
    <row r="884" spans="1:12" x14ac:dyDescent="0.25">
      <c r="A884" t="s">
        <v>913</v>
      </c>
      <c r="B884" t="s">
        <v>37</v>
      </c>
      <c r="C884" t="s">
        <v>38</v>
      </c>
      <c r="D884" t="s">
        <v>15</v>
      </c>
      <c r="E884" t="s">
        <v>26</v>
      </c>
      <c r="F884" t="s">
        <v>31</v>
      </c>
      <c r="G884">
        <v>10</v>
      </c>
      <c r="H884" s="1">
        <v>43516</v>
      </c>
      <c r="I884" s="2">
        <v>0.63750000000000007</v>
      </c>
      <c r="J884" t="s">
        <v>28</v>
      </c>
      <c r="K884">
        <v>15.994999999999999</v>
      </c>
      <c r="L884">
        <v>9.9</v>
      </c>
    </row>
    <row r="885" spans="1:12" x14ac:dyDescent="0.25">
      <c r="A885" t="s">
        <v>914</v>
      </c>
      <c r="B885" t="s">
        <v>13</v>
      </c>
      <c r="C885" t="s">
        <v>14</v>
      </c>
      <c r="D885" t="s">
        <v>15</v>
      </c>
      <c r="E885" t="s">
        <v>16</v>
      </c>
      <c r="F885" t="s">
        <v>27</v>
      </c>
      <c r="G885">
        <v>6</v>
      </c>
      <c r="H885" s="1">
        <v>43554</v>
      </c>
      <c r="I885" s="2">
        <v>0.53125</v>
      </c>
      <c r="J885" t="s">
        <v>18</v>
      </c>
      <c r="K885">
        <v>10.326000000000001</v>
      </c>
      <c r="L885">
        <v>7.5</v>
      </c>
    </row>
    <row r="886" spans="1:12" x14ac:dyDescent="0.25">
      <c r="A886" t="s">
        <v>915</v>
      </c>
      <c r="B886" t="s">
        <v>13</v>
      </c>
      <c r="C886" t="s">
        <v>14</v>
      </c>
      <c r="D886" t="s">
        <v>15</v>
      </c>
      <c r="E886" t="s">
        <v>16</v>
      </c>
      <c r="F886" t="s">
        <v>39</v>
      </c>
      <c r="G886">
        <v>2</v>
      </c>
      <c r="H886" s="1">
        <v>43543</v>
      </c>
      <c r="I886" s="2">
        <v>0.56736111111111109</v>
      </c>
      <c r="J886" t="s">
        <v>24</v>
      </c>
      <c r="K886">
        <v>8.3339999999999996</v>
      </c>
      <c r="L886">
        <v>7.6</v>
      </c>
    </row>
    <row r="887" spans="1:12" x14ac:dyDescent="0.25">
      <c r="A887" t="s">
        <v>916</v>
      </c>
      <c r="B887" t="s">
        <v>13</v>
      </c>
      <c r="C887" t="s">
        <v>14</v>
      </c>
      <c r="D887" t="s">
        <v>22</v>
      </c>
      <c r="E887" t="s">
        <v>26</v>
      </c>
      <c r="F887" t="s">
        <v>31</v>
      </c>
      <c r="G887">
        <v>7</v>
      </c>
      <c r="H887" s="1">
        <v>43478</v>
      </c>
      <c r="I887" s="2">
        <v>0.41875000000000001</v>
      </c>
      <c r="J887" t="s">
        <v>24</v>
      </c>
      <c r="K887">
        <v>15.952999999999999</v>
      </c>
      <c r="L887">
        <v>5</v>
      </c>
    </row>
    <row r="888" spans="1:12" x14ac:dyDescent="0.25">
      <c r="A888" t="s">
        <v>917</v>
      </c>
      <c r="B888" t="s">
        <v>13</v>
      </c>
      <c r="C888" t="s">
        <v>14</v>
      </c>
      <c r="D888" t="s">
        <v>15</v>
      </c>
      <c r="E888" t="s">
        <v>26</v>
      </c>
      <c r="F888" t="s">
        <v>39</v>
      </c>
      <c r="G888">
        <v>1</v>
      </c>
      <c r="H888" s="1">
        <v>43501</v>
      </c>
      <c r="I888" s="2">
        <v>0.8208333333333333</v>
      </c>
      <c r="J888" t="s">
        <v>18</v>
      </c>
      <c r="K888">
        <v>4.3949999999999996</v>
      </c>
      <c r="L888">
        <v>6.7</v>
      </c>
    </row>
    <row r="889" spans="1:12" x14ac:dyDescent="0.25">
      <c r="A889" t="s">
        <v>918</v>
      </c>
      <c r="B889" t="s">
        <v>13</v>
      </c>
      <c r="C889" t="s">
        <v>14</v>
      </c>
      <c r="D889" t="s">
        <v>15</v>
      </c>
      <c r="E889" t="s">
        <v>16</v>
      </c>
      <c r="F889" t="s">
        <v>23</v>
      </c>
      <c r="G889">
        <v>10</v>
      </c>
      <c r="H889" s="1">
        <v>43547</v>
      </c>
      <c r="I889" s="2">
        <v>0.55138888888888882</v>
      </c>
      <c r="J889" t="s">
        <v>18</v>
      </c>
      <c r="K889">
        <v>36.734999999999999</v>
      </c>
      <c r="L889">
        <v>9.5</v>
      </c>
    </row>
    <row r="890" spans="1:12" x14ac:dyDescent="0.25">
      <c r="A890" t="s">
        <v>919</v>
      </c>
      <c r="B890" t="s">
        <v>20</v>
      </c>
      <c r="C890" t="s">
        <v>21</v>
      </c>
      <c r="D890" t="s">
        <v>22</v>
      </c>
      <c r="E890" t="s">
        <v>16</v>
      </c>
      <c r="F890" t="s">
        <v>41</v>
      </c>
      <c r="G890">
        <v>8</v>
      </c>
      <c r="H890" s="1">
        <v>43537</v>
      </c>
      <c r="I890" s="2">
        <v>0.53263888888888888</v>
      </c>
      <c r="J890" t="s">
        <v>18</v>
      </c>
      <c r="K890">
        <v>4.8760000000000003</v>
      </c>
      <c r="L890">
        <v>6.8</v>
      </c>
    </row>
    <row r="891" spans="1:12" x14ac:dyDescent="0.25">
      <c r="A891" t="s">
        <v>920</v>
      </c>
      <c r="B891" t="s">
        <v>13</v>
      </c>
      <c r="C891" t="s">
        <v>14</v>
      </c>
      <c r="D891" t="s">
        <v>15</v>
      </c>
      <c r="E891" t="s">
        <v>26</v>
      </c>
      <c r="F891" t="s">
        <v>31</v>
      </c>
      <c r="G891">
        <v>10</v>
      </c>
      <c r="H891" s="1">
        <v>43541</v>
      </c>
      <c r="I891" s="2">
        <v>0.82847222222222217</v>
      </c>
      <c r="J891" t="s">
        <v>18</v>
      </c>
      <c r="K891">
        <v>38.46</v>
      </c>
      <c r="L891">
        <v>5.6</v>
      </c>
    </row>
    <row r="892" spans="1:12" x14ac:dyDescent="0.25">
      <c r="A892" t="s">
        <v>921</v>
      </c>
      <c r="B892" t="s">
        <v>20</v>
      </c>
      <c r="C892" t="s">
        <v>21</v>
      </c>
      <c r="D892" t="s">
        <v>22</v>
      </c>
      <c r="E892" t="s">
        <v>16</v>
      </c>
      <c r="F892" t="s">
        <v>17</v>
      </c>
      <c r="G892">
        <v>5</v>
      </c>
      <c r="H892" s="1">
        <v>43517</v>
      </c>
      <c r="I892" s="2">
        <v>0.43472222222222223</v>
      </c>
      <c r="J892" t="s">
        <v>24</v>
      </c>
      <c r="K892">
        <v>20.914999999999999</v>
      </c>
      <c r="L892">
        <v>7.2</v>
      </c>
    </row>
    <row r="893" spans="1:12" x14ac:dyDescent="0.25">
      <c r="A893" t="s">
        <v>922</v>
      </c>
      <c r="B893" t="s">
        <v>37</v>
      </c>
      <c r="C893" t="s">
        <v>38</v>
      </c>
      <c r="D893" t="s">
        <v>22</v>
      </c>
      <c r="E893" t="s">
        <v>16</v>
      </c>
      <c r="F893" t="s">
        <v>23</v>
      </c>
      <c r="G893">
        <v>8</v>
      </c>
      <c r="H893" s="1">
        <v>43503</v>
      </c>
      <c r="I893" s="2">
        <v>0.62916666666666665</v>
      </c>
      <c r="J893" t="s">
        <v>24</v>
      </c>
      <c r="K893">
        <v>23.164000000000001</v>
      </c>
      <c r="L893">
        <v>8.1</v>
      </c>
    </row>
    <row r="894" spans="1:12" x14ac:dyDescent="0.25">
      <c r="A894" t="s">
        <v>923</v>
      </c>
      <c r="B894" t="s">
        <v>20</v>
      </c>
      <c r="C894" t="s">
        <v>21</v>
      </c>
      <c r="D894" t="s">
        <v>15</v>
      </c>
      <c r="E894" t="s">
        <v>16</v>
      </c>
      <c r="F894" t="s">
        <v>41</v>
      </c>
      <c r="G894">
        <v>5</v>
      </c>
      <c r="H894" s="1">
        <v>43526</v>
      </c>
      <c r="I894" s="2">
        <v>0.69097222222222221</v>
      </c>
      <c r="J894" t="s">
        <v>28</v>
      </c>
      <c r="K894">
        <v>23.122499999999999</v>
      </c>
      <c r="L894">
        <v>8.6</v>
      </c>
    </row>
    <row r="895" spans="1:12" x14ac:dyDescent="0.25">
      <c r="A895" t="s">
        <v>924</v>
      </c>
      <c r="B895" t="s">
        <v>37</v>
      </c>
      <c r="C895" t="s">
        <v>38</v>
      </c>
      <c r="D895" t="s">
        <v>22</v>
      </c>
      <c r="E895" t="s">
        <v>26</v>
      </c>
      <c r="F895" t="s">
        <v>23</v>
      </c>
      <c r="G895">
        <v>5</v>
      </c>
      <c r="H895" s="1">
        <v>43530</v>
      </c>
      <c r="I895" s="2">
        <v>0.87291666666666667</v>
      </c>
      <c r="J895" t="s">
        <v>24</v>
      </c>
      <c r="K895">
        <v>7.0949999999999998</v>
      </c>
      <c r="L895">
        <v>9.4</v>
      </c>
    </row>
    <row r="896" spans="1:12" x14ac:dyDescent="0.25">
      <c r="A896" t="s">
        <v>925</v>
      </c>
      <c r="B896" t="s">
        <v>37</v>
      </c>
      <c r="C896" t="s">
        <v>38</v>
      </c>
      <c r="D896" t="s">
        <v>15</v>
      </c>
      <c r="E896" t="s">
        <v>26</v>
      </c>
      <c r="F896" t="s">
        <v>23</v>
      </c>
      <c r="G896">
        <v>6</v>
      </c>
      <c r="H896" s="1">
        <v>43502</v>
      </c>
      <c r="I896" s="2">
        <v>0.63611111111111118</v>
      </c>
      <c r="J896" t="s">
        <v>28</v>
      </c>
      <c r="K896">
        <v>15.135</v>
      </c>
      <c r="L896">
        <v>8.9</v>
      </c>
    </row>
    <row r="897" spans="1:12" x14ac:dyDescent="0.25">
      <c r="A897" t="s">
        <v>926</v>
      </c>
      <c r="B897" t="s">
        <v>37</v>
      </c>
      <c r="C897" t="s">
        <v>38</v>
      </c>
      <c r="D897" t="s">
        <v>22</v>
      </c>
      <c r="E897" t="s">
        <v>26</v>
      </c>
      <c r="F897" t="s">
        <v>17</v>
      </c>
      <c r="G897">
        <v>8</v>
      </c>
      <c r="H897" s="1">
        <v>43493</v>
      </c>
      <c r="I897" s="2">
        <v>0.74097222222222225</v>
      </c>
      <c r="J897" t="s">
        <v>28</v>
      </c>
      <c r="K897">
        <v>39.664000000000001</v>
      </c>
      <c r="L897">
        <v>4.2</v>
      </c>
    </row>
    <row r="898" spans="1:12" x14ac:dyDescent="0.25">
      <c r="A898" t="s">
        <v>927</v>
      </c>
      <c r="B898" t="s">
        <v>20</v>
      </c>
      <c r="C898" t="s">
        <v>21</v>
      </c>
      <c r="D898" t="s">
        <v>22</v>
      </c>
      <c r="E898" t="s">
        <v>26</v>
      </c>
      <c r="F898" t="s">
        <v>41</v>
      </c>
      <c r="G898">
        <v>7</v>
      </c>
      <c r="H898" s="1">
        <v>43483</v>
      </c>
      <c r="I898" s="2">
        <v>0.68263888888888891</v>
      </c>
      <c r="J898" t="s">
        <v>18</v>
      </c>
      <c r="K898">
        <v>21.259</v>
      </c>
      <c r="L898">
        <v>5</v>
      </c>
    </row>
    <row r="899" spans="1:12" x14ac:dyDescent="0.25">
      <c r="A899" t="s">
        <v>928</v>
      </c>
      <c r="B899" t="s">
        <v>20</v>
      </c>
      <c r="C899" t="s">
        <v>21</v>
      </c>
      <c r="D899" t="s">
        <v>15</v>
      </c>
      <c r="E899" t="s">
        <v>16</v>
      </c>
      <c r="F899" t="s">
        <v>39</v>
      </c>
      <c r="G899">
        <v>6</v>
      </c>
      <c r="H899" s="1">
        <v>43501</v>
      </c>
      <c r="I899" s="2">
        <v>0.4284722222222222</v>
      </c>
      <c r="J899" t="s">
        <v>24</v>
      </c>
      <c r="K899">
        <v>14.180999999999999</v>
      </c>
      <c r="L899">
        <v>8.8000000000000007</v>
      </c>
    </row>
    <row r="900" spans="1:12" x14ac:dyDescent="0.25">
      <c r="A900" t="s">
        <v>929</v>
      </c>
      <c r="B900" t="s">
        <v>20</v>
      </c>
      <c r="C900" t="s">
        <v>21</v>
      </c>
      <c r="D900" t="s">
        <v>15</v>
      </c>
      <c r="E900" t="s">
        <v>26</v>
      </c>
      <c r="F900" t="s">
        <v>17</v>
      </c>
      <c r="G900">
        <v>7</v>
      </c>
      <c r="H900" s="1">
        <v>43526</v>
      </c>
      <c r="I900" s="2">
        <v>0.57638888888888895</v>
      </c>
      <c r="J900" t="s">
        <v>24</v>
      </c>
      <c r="K900">
        <v>29.96</v>
      </c>
      <c r="L900">
        <v>5.3</v>
      </c>
    </row>
    <row r="901" spans="1:12" x14ac:dyDescent="0.25">
      <c r="A901" t="s">
        <v>930</v>
      </c>
      <c r="B901" t="s">
        <v>13</v>
      </c>
      <c r="C901" t="s">
        <v>14</v>
      </c>
      <c r="D901" t="s">
        <v>15</v>
      </c>
      <c r="E901" t="s">
        <v>26</v>
      </c>
      <c r="F901" t="s">
        <v>39</v>
      </c>
      <c r="G901">
        <v>9</v>
      </c>
      <c r="H901" s="1">
        <v>43505</v>
      </c>
      <c r="I901" s="2">
        <v>0.80347222222222225</v>
      </c>
      <c r="J901" t="s">
        <v>18</v>
      </c>
      <c r="K901">
        <v>15.768000000000001</v>
      </c>
      <c r="L901">
        <v>4.5999999999999996</v>
      </c>
    </row>
    <row r="902" spans="1:12" x14ac:dyDescent="0.25">
      <c r="A902" t="s">
        <v>931</v>
      </c>
      <c r="B902" t="s">
        <v>20</v>
      </c>
      <c r="C902" t="s">
        <v>21</v>
      </c>
      <c r="D902" t="s">
        <v>15</v>
      </c>
      <c r="E902" t="s">
        <v>16</v>
      </c>
      <c r="F902" t="s">
        <v>23</v>
      </c>
      <c r="G902">
        <v>9</v>
      </c>
      <c r="H902" s="1">
        <v>43479</v>
      </c>
      <c r="I902" s="2">
        <v>0.58333333333333337</v>
      </c>
      <c r="J902" t="s">
        <v>28</v>
      </c>
      <c r="K902">
        <v>20.178000000000001</v>
      </c>
      <c r="L902">
        <v>7.5</v>
      </c>
    </row>
    <row r="903" spans="1:12" x14ac:dyDescent="0.25">
      <c r="A903" t="s">
        <v>932</v>
      </c>
      <c r="B903" t="s">
        <v>37</v>
      </c>
      <c r="C903" t="s">
        <v>38</v>
      </c>
      <c r="D903" t="s">
        <v>22</v>
      </c>
      <c r="E903" t="s">
        <v>26</v>
      </c>
      <c r="F903" t="s">
        <v>27</v>
      </c>
      <c r="G903">
        <v>4</v>
      </c>
      <c r="H903" s="1">
        <v>43505</v>
      </c>
      <c r="I903" s="2">
        <v>0.50138888888888888</v>
      </c>
      <c r="J903" t="s">
        <v>18</v>
      </c>
      <c r="K903">
        <v>9.1940000000000008</v>
      </c>
      <c r="L903">
        <v>5.0999999999999996</v>
      </c>
    </row>
    <row r="904" spans="1:12" x14ac:dyDescent="0.25">
      <c r="A904" t="s">
        <v>933</v>
      </c>
      <c r="B904" t="s">
        <v>13</v>
      </c>
      <c r="C904" t="s">
        <v>14</v>
      </c>
      <c r="D904" t="s">
        <v>15</v>
      </c>
      <c r="E904" t="s">
        <v>16</v>
      </c>
      <c r="F904" t="s">
        <v>17</v>
      </c>
      <c r="G904">
        <v>5</v>
      </c>
      <c r="H904" s="1">
        <v>43550</v>
      </c>
      <c r="I904" s="2">
        <v>0.84791666666666676</v>
      </c>
      <c r="J904" t="s">
        <v>28</v>
      </c>
      <c r="K904">
        <v>6.9325000000000001</v>
      </c>
      <c r="L904">
        <v>4.2</v>
      </c>
    </row>
    <row r="905" spans="1:12" x14ac:dyDescent="0.25">
      <c r="A905" t="s">
        <v>934</v>
      </c>
      <c r="B905" t="s">
        <v>13</v>
      </c>
      <c r="C905" t="s">
        <v>14</v>
      </c>
      <c r="D905" t="s">
        <v>22</v>
      </c>
      <c r="E905" t="s">
        <v>26</v>
      </c>
      <c r="F905" t="s">
        <v>39</v>
      </c>
      <c r="G905">
        <v>7</v>
      </c>
      <c r="H905" s="1">
        <v>43493</v>
      </c>
      <c r="I905" s="2">
        <v>0.73263888888888884</v>
      </c>
      <c r="J905" t="s">
        <v>24</v>
      </c>
      <c r="K905">
        <v>4.0354999999999999</v>
      </c>
      <c r="L905">
        <v>8.1</v>
      </c>
    </row>
    <row r="906" spans="1:12" x14ac:dyDescent="0.25">
      <c r="A906" t="s">
        <v>935</v>
      </c>
      <c r="B906" t="s">
        <v>20</v>
      </c>
      <c r="C906" t="s">
        <v>21</v>
      </c>
      <c r="D906" t="s">
        <v>22</v>
      </c>
      <c r="E906" t="s">
        <v>16</v>
      </c>
      <c r="F906" t="s">
        <v>17</v>
      </c>
      <c r="G906">
        <v>2</v>
      </c>
      <c r="H906" s="1">
        <v>43510</v>
      </c>
      <c r="I906" s="2">
        <v>0.52916666666666667</v>
      </c>
      <c r="J906" t="s">
        <v>18</v>
      </c>
      <c r="K906">
        <v>5.8319999999999999</v>
      </c>
      <c r="L906">
        <v>6</v>
      </c>
    </row>
    <row r="907" spans="1:12" x14ac:dyDescent="0.25">
      <c r="A907" t="s">
        <v>936</v>
      </c>
      <c r="B907" t="s">
        <v>20</v>
      </c>
      <c r="C907" t="s">
        <v>21</v>
      </c>
      <c r="D907" t="s">
        <v>15</v>
      </c>
      <c r="E907" t="s">
        <v>16</v>
      </c>
      <c r="F907" t="s">
        <v>27</v>
      </c>
      <c r="G907">
        <v>4</v>
      </c>
      <c r="H907" s="1">
        <v>43548</v>
      </c>
      <c r="I907" s="2">
        <v>0.74722222222222223</v>
      </c>
      <c r="J907" t="s">
        <v>24</v>
      </c>
      <c r="K907">
        <v>15.676</v>
      </c>
      <c r="L907">
        <v>7.9</v>
      </c>
    </row>
    <row r="908" spans="1:12" x14ac:dyDescent="0.25">
      <c r="A908" t="s">
        <v>937</v>
      </c>
      <c r="B908" t="s">
        <v>20</v>
      </c>
      <c r="C908" t="s">
        <v>21</v>
      </c>
      <c r="D908" t="s">
        <v>22</v>
      </c>
      <c r="E908" t="s">
        <v>26</v>
      </c>
      <c r="F908" t="s">
        <v>17</v>
      </c>
      <c r="G908">
        <v>10</v>
      </c>
      <c r="H908" s="1">
        <v>43505</v>
      </c>
      <c r="I908" s="2">
        <v>0.79027777777777775</v>
      </c>
      <c r="J908" t="s">
        <v>28</v>
      </c>
      <c r="K908">
        <v>42.305</v>
      </c>
      <c r="L908">
        <v>8.8000000000000007</v>
      </c>
    </row>
    <row r="909" spans="1:12" x14ac:dyDescent="0.25">
      <c r="A909" t="s">
        <v>938</v>
      </c>
      <c r="B909" t="s">
        <v>37</v>
      </c>
      <c r="C909" t="s">
        <v>38</v>
      </c>
      <c r="D909" t="s">
        <v>22</v>
      </c>
      <c r="E909" t="s">
        <v>16</v>
      </c>
      <c r="F909" t="s">
        <v>17</v>
      </c>
      <c r="G909">
        <v>5</v>
      </c>
      <c r="H909" s="1">
        <v>43548</v>
      </c>
      <c r="I909" s="2">
        <v>0.58888888888888891</v>
      </c>
      <c r="J909" t="s">
        <v>28</v>
      </c>
      <c r="K909">
        <v>20.72</v>
      </c>
      <c r="L909">
        <v>6.6</v>
      </c>
    </row>
    <row r="910" spans="1:12" x14ac:dyDescent="0.25">
      <c r="A910" t="s">
        <v>939</v>
      </c>
      <c r="B910" t="s">
        <v>13</v>
      </c>
      <c r="C910" t="s">
        <v>14</v>
      </c>
      <c r="D910" t="s">
        <v>15</v>
      </c>
      <c r="E910" t="s">
        <v>16</v>
      </c>
      <c r="F910" t="s">
        <v>39</v>
      </c>
      <c r="G910">
        <v>2</v>
      </c>
      <c r="H910" s="1">
        <v>43551</v>
      </c>
      <c r="I910" s="2">
        <v>0.6875</v>
      </c>
      <c r="J910" t="s">
        <v>18</v>
      </c>
      <c r="K910">
        <v>7.9539999999999997</v>
      </c>
      <c r="L910">
        <v>6.2</v>
      </c>
    </row>
    <row r="911" spans="1:12" x14ac:dyDescent="0.25">
      <c r="A911" t="s">
        <v>940</v>
      </c>
      <c r="B911" t="s">
        <v>37</v>
      </c>
      <c r="C911" t="s">
        <v>38</v>
      </c>
      <c r="D911" t="s">
        <v>22</v>
      </c>
      <c r="E911" t="s">
        <v>16</v>
      </c>
      <c r="F911" t="s">
        <v>27</v>
      </c>
      <c r="G911">
        <v>10</v>
      </c>
      <c r="H911" s="1">
        <v>43492</v>
      </c>
      <c r="I911" s="2">
        <v>0.44722222222222219</v>
      </c>
      <c r="J911" t="s">
        <v>28</v>
      </c>
      <c r="K911">
        <v>24.504999999999999</v>
      </c>
      <c r="L911">
        <v>4.2</v>
      </c>
    </row>
    <row r="912" spans="1:12" x14ac:dyDescent="0.25">
      <c r="A912" t="s">
        <v>941</v>
      </c>
      <c r="B912" t="s">
        <v>37</v>
      </c>
      <c r="C912" t="s">
        <v>38</v>
      </c>
      <c r="D912" t="s">
        <v>15</v>
      </c>
      <c r="E912" t="s">
        <v>16</v>
      </c>
      <c r="F912" t="s">
        <v>39</v>
      </c>
      <c r="G912">
        <v>3</v>
      </c>
      <c r="H912" s="1">
        <v>43551</v>
      </c>
      <c r="I912" s="2">
        <v>0.8534722222222223</v>
      </c>
      <c r="J912" t="s">
        <v>28</v>
      </c>
      <c r="K912">
        <v>4.3724999999999996</v>
      </c>
      <c r="L912">
        <v>7.3</v>
      </c>
    </row>
    <row r="913" spans="1:12" x14ac:dyDescent="0.25">
      <c r="A913" t="s">
        <v>942</v>
      </c>
      <c r="B913" t="s">
        <v>20</v>
      </c>
      <c r="C913" t="s">
        <v>21</v>
      </c>
      <c r="D913" t="s">
        <v>22</v>
      </c>
      <c r="E913" t="s">
        <v>16</v>
      </c>
      <c r="F913" t="s">
        <v>23</v>
      </c>
      <c r="G913">
        <v>4</v>
      </c>
      <c r="H913" s="1">
        <v>43484</v>
      </c>
      <c r="I913" s="2">
        <v>0.48819444444444443</v>
      </c>
      <c r="J913" t="s">
        <v>18</v>
      </c>
      <c r="K913">
        <v>11.226000000000001</v>
      </c>
      <c r="L913">
        <v>8.6</v>
      </c>
    </row>
    <row r="914" spans="1:12" x14ac:dyDescent="0.25">
      <c r="A914" t="s">
        <v>943</v>
      </c>
      <c r="B914" t="s">
        <v>13</v>
      </c>
      <c r="C914" t="s">
        <v>14</v>
      </c>
      <c r="D914" t="s">
        <v>22</v>
      </c>
      <c r="E914" t="s">
        <v>16</v>
      </c>
      <c r="F914" t="s">
        <v>27</v>
      </c>
      <c r="G914">
        <v>8</v>
      </c>
      <c r="H914" s="1">
        <v>43503</v>
      </c>
      <c r="I914" s="2">
        <v>0.42291666666666666</v>
      </c>
      <c r="J914" t="s">
        <v>24</v>
      </c>
      <c r="K914">
        <v>37.247999999999998</v>
      </c>
      <c r="L914">
        <v>6.8</v>
      </c>
    </row>
    <row r="915" spans="1:12" x14ac:dyDescent="0.25">
      <c r="A915" t="s">
        <v>944</v>
      </c>
      <c r="B915" t="s">
        <v>13</v>
      </c>
      <c r="C915" t="s">
        <v>14</v>
      </c>
      <c r="D915" t="s">
        <v>15</v>
      </c>
      <c r="E915" t="s">
        <v>26</v>
      </c>
      <c r="F915" t="s">
        <v>41</v>
      </c>
      <c r="G915">
        <v>8</v>
      </c>
      <c r="H915" s="1">
        <v>43496</v>
      </c>
      <c r="I915" s="2">
        <v>0.41666666666666669</v>
      </c>
      <c r="J915" t="s">
        <v>18</v>
      </c>
      <c r="K915">
        <v>20.536000000000001</v>
      </c>
      <c r="L915">
        <v>7.6</v>
      </c>
    </row>
    <row r="916" spans="1:12" x14ac:dyDescent="0.25">
      <c r="A916" t="s">
        <v>945</v>
      </c>
      <c r="B916" t="s">
        <v>13</v>
      </c>
      <c r="C916" t="s">
        <v>14</v>
      </c>
      <c r="D916" t="s">
        <v>15</v>
      </c>
      <c r="E916" t="s">
        <v>16</v>
      </c>
      <c r="F916" t="s">
        <v>39</v>
      </c>
      <c r="G916">
        <v>3</v>
      </c>
      <c r="H916" s="1">
        <v>43521</v>
      </c>
      <c r="I916" s="2">
        <v>0.78125</v>
      </c>
      <c r="J916" t="s">
        <v>24</v>
      </c>
      <c r="K916">
        <v>14.94</v>
      </c>
      <c r="L916">
        <v>5.8</v>
      </c>
    </row>
    <row r="917" spans="1:12" x14ac:dyDescent="0.25">
      <c r="A917" t="s">
        <v>946</v>
      </c>
      <c r="B917" t="s">
        <v>20</v>
      </c>
      <c r="C917" t="s">
        <v>21</v>
      </c>
      <c r="D917" t="s">
        <v>22</v>
      </c>
      <c r="E917" t="s">
        <v>16</v>
      </c>
      <c r="F917" t="s">
        <v>23</v>
      </c>
      <c r="G917">
        <v>6</v>
      </c>
      <c r="H917" s="1">
        <v>43498</v>
      </c>
      <c r="I917" s="2">
        <v>0.52777777777777779</v>
      </c>
      <c r="J917" t="s">
        <v>24</v>
      </c>
      <c r="K917">
        <v>10.647</v>
      </c>
      <c r="L917">
        <v>4.0999999999999996</v>
      </c>
    </row>
    <row r="918" spans="1:12" x14ac:dyDescent="0.25">
      <c r="A918" t="s">
        <v>947</v>
      </c>
      <c r="B918" t="s">
        <v>20</v>
      </c>
      <c r="C918" t="s">
        <v>21</v>
      </c>
      <c r="D918" t="s">
        <v>15</v>
      </c>
      <c r="E918" t="s">
        <v>26</v>
      </c>
      <c r="F918" t="s">
        <v>31</v>
      </c>
      <c r="G918">
        <v>1</v>
      </c>
      <c r="H918" s="1">
        <v>43538</v>
      </c>
      <c r="I918" s="2">
        <v>0.65</v>
      </c>
      <c r="J918" t="s">
        <v>28</v>
      </c>
      <c r="K918">
        <v>2.1425000000000001</v>
      </c>
      <c r="L918">
        <v>9.3000000000000007</v>
      </c>
    </row>
    <row r="919" spans="1:12" x14ac:dyDescent="0.25">
      <c r="A919" t="s">
        <v>948</v>
      </c>
      <c r="B919" t="s">
        <v>13</v>
      </c>
      <c r="C919" t="s">
        <v>14</v>
      </c>
      <c r="D919" t="s">
        <v>22</v>
      </c>
      <c r="E919" t="s">
        <v>16</v>
      </c>
      <c r="F919" t="s">
        <v>41</v>
      </c>
      <c r="G919">
        <v>4</v>
      </c>
      <c r="H919" s="1">
        <v>43535</v>
      </c>
      <c r="I919" s="2">
        <v>0.50277777777777777</v>
      </c>
      <c r="J919" t="s">
        <v>24</v>
      </c>
      <c r="K919">
        <v>18.934000000000001</v>
      </c>
      <c r="L919">
        <v>6.8</v>
      </c>
    </row>
    <row r="920" spans="1:12" x14ac:dyDescent="0.25">
      <c r="A920" t="s">
        <v>949</v>
      </c>
      <c r="B920" t="s">
        <v>37</v>
      </c>
      <c r="C920" t="s">
        <v>38</v>
      </c>
      <c r="D920" t="s">
        <v>22</v>
      </c>
      <c r="E920" t="s">
        <v>26</v>
      </c>
      <c r="F920" t="s">
        <v>27</v>
      </c>
      <c r="G920">
        <v>3</v>
      </c>
      <c r="H920" s="1">
        <v>43518</v>
      </c>
      <c r="I920" s="2">
        <v>0.47638888888888892</v>
      </c>
      <c r="J920" t="s">
        <v>18</v>
      </c>
      <c r="K920">
        <v>10.345499999999999</v>
      </c>
      <c r="L920">
        <v>8.6999999999999993</v>
      </c>
    </row>
    <row r="921" spans="1:12" x14ac:dyDescent="0.25">
      <c r="A921" t="s">
        <v>950</v>
      </c>
      <c r="B921" t="s">
        <v>37</v>
      </c>
      <c r="C921" t="s">
        <v>38</v>
      </c>
      <c r="D921" t="s">
        <v>15</v>
      </c>
      <c r="E921" t="s">
        <v>16</v>
      </c>
      <c r="F921" t="s">
        <v>23</v>
      </c>
      <c r="G921">
        <v>3</v>
      </c>
      <c r="H921" s="1">
        <v>43526</v>
      </c>
      <c r="I921" s="2">
        <v>0.52500000000000002</v>
      </c>
      <c r="J921" t="s">
        <v>18</v>
      </c>
      <c r="K921">
        <v>3.9390000000000001</v>
      </c>
      <c r="L921">
        <v>6.3</v>
      </c>
    </row>
    <row r="922" spans="1:12" x14ac:dyDescent="0.25">
      <c r="A922" t="s">
        <v>951</v>
      </c>
      <c r="B922" t="s">
        <v>20</v>
      </c>
      <c r="C922" t="s">
        <v>21</v>
      </c>
      <c r="D922" t="s">
        <v>15</v>
      </c>
      <c r="E922" t="s">
        <v>16</v>
      </c>
      <c r="F922" t="s">
        <v>27</v>
      </c>
      <c r="G922">
        <v>9</v>
      </c>
      <c r="H922" s="1">
        <v>43534</v>
      </c>
      <c r="I922" s="2">
        <v>0.62916666666666665</v>
      </c>
      <c r="J922" t="s">
        <v>28</v>
      </c>
      <c r="K922">
        <v>16.105499999999999</v>
      </c>
      <c r="L922">
        <v>5.0999999999999996</v>
      </c>
    </row>
    <row r="923" spans="1:12" x14ac:dyDescent="0.25">
      <c r="A923" t="s">
        <v>952</v>
      </c>
      <c r="B923" t="s">
        <v>37</v>
      </c>
      <c r="C923" t="s">
        <v>38</v>
      </c>
      <c r="D923" t="s">
        <v>22</v>
      </c>
      <c r="E923" t="s">
        <v>16</v>
      </c>
      <c r="F923" t="s">
        <v>27</v>
      </c>
      <c r="G923">
        <v>6</v>
      </c>
      <c r="H923" s="1">
        <v>43504</v>
      </c>
      <c r="I923" s="2">
        <v>0.45694444444444443</v>
      </c>
      <c r="J923" t="s">
        <v>24</v>
      </c>
      <c r="K923">
        <v>4.9109999999999996</v>
      </c>
      <c r="L923">
        <v>7</v>
      </c>
    </row>
    <row r="924" spans="1:12" x14ac:dyDescent="0.25">
      <c r="A924" t="s">
        <v>953</v>
      </c>
      <c r="B924" t="s">
        <v>20</v>
      </c>
      <c r="C924" t="s">
        <v>21</v>
      </c>
      <c r="D924" t="s">
        <v>15</v>
      </c>
      <c r="E924" t="s">
        <v>16</v>
      </c>
      <c r="F924" t="s">
        <v>27</v>
      </c>
      <c r="G924">
        <v>2</v>
      </c>
      <c r="H924" s="1">
        <v>43518</v>
      </c>
      <c r="I924" s="2">
        <v>0.50694444444444442</v>
      </c>
      <c r="J924" t="s">
        <v>28</v>
      </c>
      <c r="K924">
        <v>1.2729999999999999</v>
      </c>
      <c r="L924">
        <v>5.2</v>
      </c>
    </row>
    <row r="925" spans="1:12" x14ac:dyDescent="0.25">
      <c r="A925" t="s">
        <v>954</v>
      </c>
      <c r="B925" t="s">
        <v>20</v>
      </c>
      <c r="C925" t="s">
        <v>21</v>
      </c>
      <c r="D925" t="s">
        <v>22</v>
      </c>
      <c r="E925" t="s">
        <v>16</v>
      </c>
      <c r="F925" t="s">
        <v>31</v>
      </c>
      <c r="G925">
        <v>7</v>
      </c>
      <c r="H925" s="1">
        <v>43475</v>
      </c>
      <c r="I925" s="2">
        <v>0.4381944444444445</v>
      </c>
      <c r="J925" t="s">
        <v>28</v>
      </c>
      <c r="K925">
        <v>29.099</v>
      </c>
      <c r="L925">
        <v>6.6</v>
      </c>
    </row>
    <row r="926" spans="1:12" x14ac:dyDescent="0.25">
      <c r="A926" t="s">
        <v>955</v>
      </c>
      <c r="B926" t="s">
        <v>20</v>
      </c>
      <c r="C926" t="s">
        <v>21</v>
      </c>
      <c r="D926" t="s">
        <v>15</v>
      </c>
      <c r="E926" t="s">
        <v>16</v>
      </c>
      <c r="F926" t="s">
        <v>31</v>
      </c>
      <c r="G926">
        <v>6</v>
      </c>
      <c r="H926" s="1">
        <v>43538</v>
      </c>
      <c r="I926" s="2">
        <v>0.5756944444444444</v>
      </c>
      <c r="J926" t="s">
        <v>18</v>
      </c>
      <c r="K926">
        <v>10.566000000000001</v>
      </c>
      <c r="L926">
        <v>6.5</v>
      </c>
    </row>
    <row r="927" spans="1:12" x14ac:dyDescent="0.25">
      <c r="A927" t="s">
        <v>956</v>
      </c>
      <c r="B927" t="s">
        <v>37</v>
      </c>
      <c r="C927" t="s">
        <v>38</v>
      </c>
      <c r="D927" t="s">
        <v>22</v>
      </c>
      <c r="E927" t="s">
        <v>16</v>
      </c>
      <c r="F927" t="s">
        <v>23</v>
      </c>
      <c r="G927">
        <v>4</v>
      </c>
      <c r="H927" s="1">
        <v>43475</v>
      </c>
      <c r="I927" s="2">
        <v>0.46527777777777773</v>
      </c>
      <c r="J927" t="s">
        <v>18</v>
      </c>
      <c r="K927">
        <v>2.7559999999999998</v>
      </c>
      <c r="L927">
        <v>9</v>
      </c>
    </row>
    <row r="928" spans="1:12" x14ac:dyDescent="0.25">
      <c r="A928" t="s">
        <v>957</v>
      </c>
      <c r="B928" t="s">
        <v>37</v>
      </c>
      <c r="C928" t="s">
        <v>38</v>
      </c>
      <c r="D928" t="s">
        <v>15</v>
      </c>
      <c r="E928" t="s">
        <v>26</v>
      </c>
      <c r="F928" t="s">
        <v>31</v>
      </c>
      <c r="G928">
        <v>1</v>
      </c>
      <c r="H928" s="1">
        <v>43511</v>
      </c>
      <c r="I928" s="2">
        <v>0.73472222222222217</v>
      </c>
      <c r="J928" t="s">
        <v>28</v>
      </c>
      <c r="K928">
        <v>4.4154999999999998</v>
      </c>
      <c r="L928">
        <v>5.2</v>
      </c>
    </row>
    <row r="929" spans="1:12" x14ac:dyDescent="0.25">
      <c r="A929" t="s">
        <v>958</v>
      </c>
      <c r="B929" t="s">
        <v>13</v>
      </c>
      <c r="C929" t="s">
        <v>14</v>
      </c>
      <c r="D929" t="s">
        <v>15</v>
      </c>
      <c r="E929" t="s">
        <v>16</v>
      </c>
      <c r="F929" t="s">
        <v>17</v>
      </c>
      <c r="G929">
        <v>9</v>
      </c>
      <c r="H929" s="1">
        <v>43478</v>
      </c>
      <c r="I929" s="2">
        <v>0.74583333333333324</v>
      </c>
      <c r="J929" t="s">
        <v>28</v>
      </c>
      <c r="K929">
        <v>17.829000000000001</v>
      </c>
      <c r="L929">
        <v>6.8</v>
      </c>
    </row>
    <row r="930" spans="1:12" x14ac:dyDescent="0.25">
      <c r="A930" t="s">
        <v>959</v>
      </c>
      <c r="B930" t="s">
        <v>37</v>
      </c>
      <c r="C930" t="s">
        <v>38</v>
      </c>
      <c r="D930" t="s">
        <v>22</v>
      </c>
      <c r="E930" t="s">
        <v>16</v>
      </c>
      <c r="F930" t="s">
        <v>23</v>
      </c>
      <c r="G930">
        <v>9</v>
      </c>
      <c r="H930" s="1">
        <v>43511</v>
      </c>
      <c r="I930" s="2">
        <v>0.86875000000000002</v>
      </c>
      <c r="J930" t="s">
        <v>28</v>
      </c>
      <c r="K930">
        <v>39.712499999999999</v>
      </c>
      <c r="L930">
        <v>7.6</v>
      </c>
    </row>
    <row r="931" spans="1:12" x14ac:dyDescent="0.25">
      <c r="A931" t="s">
        <v>960</v>
      </c>
      <c r="B931" t="s">
        <v>37</v>
      </c>
      <c r="C931" t="s">
        <v>38</v>
      </c>
      <c r="D931" t="s">
        <v>22</v>
      </c>
      <c r="E931" t="s">
        <v>26</v>
      </c>
      <c r="F931" t="s">
        <v>31</v>
      </c>
      <c r="G931">
        <v>2</v>
      </c>
      <c r="H931" s="1">
        <v>43526</v>
      </c>
      <c r="I931" s="2">
        <v>0.80972222222222223</v>
      </c>
      <c r="J931" t="s">
        <v>18</v>
      </c>
      <c r="K931">
        <v>2.5310000000000001</v>
      </c>
      <c r="L931">
        <v>7.2</v>
      </c>
    </row>
    <row r="932" spans="1:12" x14ac:dyDescent="0.25">
      <c r="A932" t="s">
        <v>961</v>
      </c>
      <c r="B932" t="s">
        <v>37</v>
      </c>
      <c r="C932" t="s">
        <v>38</v>
      </c>
      <c r="D932" t="s">
        <v>22</v>
      </c>
      <c r="E932" t="s">
        <v>26</v>
      </c>
      <c r="F932" t="s">
        <v>27</v>
      </c>
      <c r="G932">
        <v>6</v>
      </c>
      <c r="H932" s="1">
        <v>43548</v>
      </c>
      <c r="I932" s="2">
        <v>0.56458333333333333</v>
      </c>
      <c r="J932" t="s">
        <v>18</v>
      </c>
      <c r="K932">
        <v>29.975999999999999</v>
      </c>
      <c r="L932">
        <v>7.1</v>
      </c>
    </row>
    <row r="933" spans="1:12" x14ac:dyDescent="0.25">
      <c r="A933" t="s">
        <v>962</v>
      </c>
      <c r="B933" t="s">
        <v>20</v>
      </c>
      <c r="C933" t="s">
        <v>21</v>
      </c>
      <c r="D933" t="s">
        <v>15</v>
      </c>
      <c r="E933" t="s">
        <v>16</v>
      </c>
      <c r="F933" t="s">
        <v>41</v>
      </c>
      <c r="G933">
        <v>2</v>
      </c>
      <c r="H933" s="1">
        <v>43498</v>
      </c>
      <c r="I933" s="2">
        <v>0.58680555555555558</v>
      </c>
      <c r="J933" t="s">
        <v>28</v>
      </c>
      <c r="K933">
        <v>8.3350000000000009</v>
      </c>
      <c r="L933">
        <v>9.5</v>
      </c>
    </row>
    <row r="934" spans="1:12" x14ac:dyDescent="0.25">
      <c r="A934" t="s">
        <v>963</v>
      </c>
      <c r="B934" t="s">
        <v>13</v>
      </c>
      <c r="C934" t="s">
        <v>14</v>
      </c>
      <c r="D934" t="s">
        <v>22</v>
      </c>
      <c r="E934" t="s">
        <v>16</v>
      </c>
      <c r="F934" t="s">
        <v>39</v>
      </c>
      <c r="G934">
        <v>10</v>
      </c>
      <c r="H934" s="1">
        <v>43523</v>
      </c>
      <c r="I934" s="2">
        <v>0.4861111111111111</v>
      </c>
      <c r="J934" t="s">
        <v>18</v>
      </c>
      <c r="K934">
        <v>37.22</v>
      </c>
      <c r="L934">
        <v>5.0999999999999996</v>
      </c>
    </row>
    <row r="935" spans="1:12" x14ac:dyDescent="0.25">
      <c r="A935" t="s">
        <v>964</v>
      </c>
      <c r="B935" t="s">
        <v>20</v>
      </c>
      <c r="C935" t="s">
        <v>21</v>
      </c>
      <c r="D935" t="s">
        <v>22</v>
      </c>
      <c r="E935" t="s">
        <v>26</v>
      </c>
      <c r="F935" t="s">
        <v>17</v>
      </c>
      <c r="G935">
        <v>7</v>
      </c>
      <c r="H935" s="1">
        <v>43485</v>
      </c>
      <c r="I935" s="2">
        <v>0.51874999999999993</v>
      </c>
      <c r="J935" t="s">
        <v>18</v>
      </c>
      <c r="K935">
        <v>22.428000000000001</v>
      </c>
      <c r="L935">
        <v>7.6</v>
      </c>
    </row>
    <row r="936" spans="1:12" x14ac:dyDescent="0.25">
      <c r="A936" t="s">
        <v>965</v>
      </c>
      <c r="B936" t="s">
        <v>37</v>
      </c>
      <c r="C936" t="s">
        <v>38</v>
      </c>
      <c r="D936" t="s">
        <v>22</v>
      </c>
      <c r="E936" t="s">
        <v>16</v>
      </c>
      <c r="F936" t="s">
        <v>27</v>
      </c>
      <c r="G936">
        <v>6</v>
      </c>
      <c r="H936" s="1">
        <v>43468</v>
      </c>
      <c r="I936" s="2">
        <v>0.85</v>
      </c>
      <c r="J936" t="s">
        <v>18</v>
      </c>
      <c r="K936">
        <v>18.945</v>
      </c>
      <c r="L936">
        <v>9.8000000000000007</v>
      </c>
    </row>
    <row r="937" spans="1:12" x14ac:dyDescent="0.25">
      <c r="A937" t="s">
        <v>966</v>
      </c>
      <c r="B937" t="s">
        <v>20</v>
      </c>
      <c r="C937" t="s">
        <v>21</v>
      </c>
      <c r="D937" t="s">
        <v>15</v>
      </c>
      <c r="E937" t="s">
        <v>26</v>
      </c>
      <c r="F937" t="s">
        <v>27</v>
      </c>
      <c r="G937">
        <v>3</v>
      </c>
      <c r="H937" s="1">
        <v>43489</v>
      </c>
      <c r="I937" s="2">
        <v>0.87430555555555556</v>
      </c>
      <c r="J937" t="s">
        <v>18</v>
      </c>
      <c r="K937">
        <v>12.858000000000001</v>
      </c>
      <c r="L937">
        <v>5.0999999999999996</v>
      </c>
    </row>
    <row r="938" spans="1:12" x14ac:dyDescent="0.25">
      <c r="A938" t="s">
        <v>967</v>
      </c>
      <c r="B938" t="s">
        <v>20</v>
      </c>
      <c r="C938" t="s">
        <v>21</v>
      </c>
      <c r="D938" t="s">
        <v>22</v>
      </c>
      <c r="E938" t="s">
        <v>16</v>
      </c>
      <c r="F938" t="s">
        <v>17</v>
      </c>
      <c r="G938">
        <v>7</v>
      </c>
      <c r="H938" s="1">
        <v>43470</v>
      </c>
      <c r="I938" s="2">
        <v>0.82500000000000007</v>
      </c>
      <c r="J938" t="s">
        <v>18</v>
      </c>
      <c r="K938">
        <v>27.611499999999999</v>
      </c>
      <c r="L938">
        <v>7.5</v>
      </c>
    </row>
    <row r="939" spans="1:12" x14ac:dyDescent="0.25">
      <c r="A939" t="s">
        <v>968</v>
      </c>
      <c r="B939" t="s">
        <v>13</v>
      </c>
      <c r="C939" t="s">
        <v>14</v>
      </c>
      <c r="D939" t="s">
        <v>22</v>
      </c>
      <c r="E939" t="s">
        <v>16</v>
      </c>
      <c r="F939" t="s">
        <v>31</v>
      </c>
      <c r="G939">
        <v>5</v>
      </c>
      <c r="H939" s="1">
        <v>43554</v>
      </c>
      <c r="I939" s="2">
        <v>0.4291666666666667</v>
      </c>
      <c r="J939" t="s">
        <v>24</v>
      </c>
      <c r="K939">
        <v>22.37</v>
      </c>
      <c r="L939">
        <v>7.4</v>
      </c>
    </row>
    <row r="940" spans="1:12" x14ac:dyDescent="0.25">
      <c r="A940" t="s">
        <v>969</v>
      </c>
      <c r="B940" t="s">
        <v>13</v>
      </c>
      <c r="C940" t="s">
        <v>14</v>
      </c>
      <c r="D940" t="s">
        <v>15</v>
      </c>
      <c r="E940" t="s">
        <v>16</v>
      </c>
      <c r="F940" t="s">
        <v>17</v>
      </c>
      <c r="G940">
        <v>3</v>
      </c>
      <c r="H940" s="1">
        <v>43513</v>
      </c>
      <c r="I940" s="2">
        <v>0.68541666666666667</v>
      </c>
      <c r="J940" t="s">
        <v>24</v>
      </c>
      <c r="K940">
        <v>13.813499999999999</v>
      </c>
      <c r="L940">
        <v>4.2</v>
      </c>
    </row>
    <row r="941" spans="1:12" x14ac:dyDescent="0.25">
      <c r="A941" t="s">
        <v>970</v>
      </c>
      <c r="B941" t="s">
        <v>20</v>
      </c>
      <c r="C941" t="s">
        <v>21</v>
      </c>
      <c r="D941" t="s">
        <v>22</v>
      </c>
      <c r="E941" t="s">
        <v>16</v>
      </c>
      <c r="F941" t="s">
        <v>39</v>
      </c>
      <c r="G941">
        <v>6</v>
      </c>
      <c r="H941" s="1">
        <v>43545</v>
      </c>
      <c r="I941" s="2">
        <v>0.71111111111111114</v>
      </c>
      <c r="J941" t="s">
        <v>18</v>
      </c>
      <c r="K941">
        <v>17.187000000000001</v>
      </c>
      <c r="L941">
        <v>5.9</v>
      </c>
    </row>
    <row r="942" spans="1:12" x14ac:dyDescent="0.25">
      <c r="A942" t="s">
        <v>971</v>
      </c>
      <c r="B942" t="s">
        <v>13</v>
      </c>
      <c r="C942" t="s">
        <v>14</v>
      </c>
      <c r="D942" t="s">
        <v>22</v>
      </c>
      <c r="E942" t="s">
        <v>26</v>
      </c>
      <c r="F942" t="s">
        <v>39</v>
      </c>
      <c r="G942">
        <v>4</v>
      </c>
      <c r="H942" s="1">
        <v>43526</v>
      </c>
      <c r="I942" s="2">
        <v>0.7597222222222223</v>
      </c>
      <c r="J942" t="s">
        <v>18</v>
      </c>
      <c r="K942">
        <v>13.304</v>
      </c>
      <c r="L942">
        <v>6.9</v>
      </c>
    </row>
    <row r="943" spans="1:12" x14ac:dyDescent="0.25">
      <c r="A943" t="s">
        <v>972</v>
      </c>
      <c r="B943" t="s">
        <v>20</v>
      </c>
      <c r="C943" t="s">
        <v>21</v>
      </c>
      <c r="D943" t="s">
        <v>15</v>
      </c>
      <c r="E943" t="s">
        <v>26</v>
      </c>
      <c r="F943" t="s">
        <v>41</v>
      </c>
      <c r="G943">
        <v>9</v>
      </c>
      <c r="H943" s="1">
        <v>43551</v>
      </c>
      <c r="I943" s="2">
        <v>0.4465277777777778</v>
      </c>
      <c r="J943" t="s">
        <v>24</v>
      </c>
      <c r="K943">
        <v>44.918999999999997</v>
      </c>
      <c r="L943">
        <v>6.6</v>
      </c>
    </row>
    <row r="944" spans="1:12" x14ac:dyDescent="0.25">
      <c r="A944" t="s">
        <v>973</v>
      </c>
      <c r="B944" t="s">
        <v>13</v>
      </c>
      <c r="C944" t="s">
        <v>14</v>
      </c>
      <c r="D944" t="s">
        <v>22</v>
      </c>
      <c r="E944" t="s">
        <v>16</v>
      </c>
      <c r="F944" t="s">
        <v>27</v>
      </c>
      <c r="G944">
        <v>10</v>
      </c>
      <c r="H944" s="1">
        <v>43484</v>
      </c>
      <c r="I944" s="2">
        <v>0.8125</v>
      </c>
      <c r="J944" t="s">
        <v>18</v>
      </c>
      <c r="K944">
        <v>22.84</v>
      </c>
      <c r="L944">
        <v>5.7</v>
      </c>
    </row>
    <row r="945" spans="1:12" x14ac:dyDescent="0.25">
      <c r="A945" t="s">
        <v>974</v>
      </c>
      <c r="B945" t="s">
        <v>13</v>
      </c>
      <c r="C945" t="s">
        <v>14</v>
      </c>
      <c r="D945" t="s">
        <v>22</v>
      </c>
      <c r="E945" t="s">
        <v>26</v>
      </c>
      <c r="F945" t="s">
        <v>17</v>
      </c>
      <c r="G945">
        <v>5</v>
      </c>
      <c r="H945" s="1">
        <v>43515</v>
      </c>
      <c r="I945" s="2">
        <v>0.62013888888888891</v>
      </c>
      <c r="J945" t="s">
        <v>28</v>
      </c>
      <c r="K945">
        <v>12.6975</v>
      </c>
      <c r="L945">
        <v>5.3</v>
      </c>
    </row>
    <row r="946" spans="1:12" x14ac:dyDescent="0.25">
      <c r="A946" t="s">
        <v>975</v>
      </c>
      <c r="B946" t="s">
        <v>13</v>
      </c>
      <c r="C946" t="s">
        <v>14</v>
      </c>
      <c r="D946" t="s">
        <v>15</v>
      </c>
      <c r="E946" t="s">
        <v>26</v>
      </c>
      <c r="F946" t="s">
        <v>17</v>
      </c>
      <c r="G946">
        <v>7</v>
      </c>
      <c r="H946" s="1">
        <v>43552</v>
      </c>
      <c r="I946" s="2">
        <v>0.84305555555555556</v>
      </c>
      <c r="J946" t="s">
        <v>24</v>
      </c>
      <c r="K946">
        <v>3.528</v>
      </c>
      <c r="L946">
        <v>4.2</v>
      </c>
    </row>
    <row r="947" spans="1:12" x14ac:dyDescent="0.25">
      <c r="A947" t="s">
        <v>976</v>
      </c>
      <c r="B947" t="s">
        <v>13</v>
      </c>
      <c r="C947" t="s">
        <v>14</v>
      </c>
      <c r="D947" t="s">
        <v>22</v>
      </c>
      <c r="E947" t="s">
        <v>16</v>
      </c>
      <c r="F947" t="s">
        <v>23</v>
      </c>
      <c r="G947">
        <v>7</v>
      </c>
      <c r="H947" s="1">
        <v>43470</v>
      </c>
      <c r="I947" s="2">
        <v>0.49374999999999997</v>
      </c>
      <c r="J947" t="s">
        <v>28</v>
      </c>
      <c r="K947">
        <v>32.857999999999997</v>
      </c>
      <c r="L947">
        <v>7.3</v>
      </c>
    </row>
    <row r="948" spans="1:12" x14ac:dyDescent="0.25">
      <c r="A948" t="s">
        <v>977</v>
      </c>
      <c r="B948" t="s">
        <v>20</v>
      </c>
      <c r="C948" t="s">
        <v>21</v>
      </c>
      <c r="D948" t="s">
        <v>15</v>
      </c>
      <c r="E948" t="s">
        <v>26</v>
      </c>
      <c r="F948" t="s">
        <v>23</v>
      </c>
      <c r="G948">
        <v>2</v>
      </c>
      <c r="H948" s="1">
        <v>43550</v>
      </c>
      <c r="I948" s="2">
        <v>0.59236111111111112</v>
      </c>
      <c r="J948" t="s">
        <v>28</v>
      </c>
      <c r="K948">
        <v>8.4250000000000007</v>
      </c>
      <c r="L948">
        <v>5.3</v>
      </c>
    </row>
    <row r="949" spans="1:12" x14ac:dyDescent="0.25">
      <c r="A949" t="s">
        <v>978</v>
      </c>
      <c r="B949" t="s">
        <v>37</v>
      </c>
      <c r="C949" t="s">
        <v>38</v>
      </c>
      <c r="D949" t="s">
        <v>15</v>
      </c>
      <c r="E949" t="s">
        <v>26</v>
      </c>
      <c r="F949" t="s">
        <v>41</v>
      </c>
      <c r="G949">
        <v>1</v>
      </c>
      <c r="H949" s="1">
        <v>43499</v>
      </c>
      <c r="I949" s="2">
        <v>0.84236111111111101</v>
      </c>
      <c r="J949" t="s">
        <v>18</v>
      </c>
      <c r="K949">
        <v>2.6890000000000001</v>
      </c>
      <c r="L949">
        <v>4.7</v>
      </c>
    </row>
    <row r="950" spans="1:12" x14ac:dyDescent="0.25">
      <c r="A950" t="s">
        <v>979</v>
      </c>
      <c r="B950" t="s">
        <v>20</v>
      </c>
      <c r="C950" t="s">
        <v>21</v>
      </c>
      <c r="D950" t="s">
        <v>15</v>
      </c>
      <c r="E950" t="s">
        <v>26</v>
      </c>
      <c r="F950" t="s">
        <v>27</v>
      </c>
      <c r="G950">
        <v>5</v>
      </c>
      <c r="H950" s="1">
        <v>43502</v>
      </c>
      <c r="I950" s="2">
        <v>0.78055555555555556</v>
      </c>
      <c r="J950" t="s">
        <v>18</v>
      </c>
      <c r="K950">
        <v>8.9525000000000006</v>
      </c>
      <c r="L950">
        <v>7.9</v>
      </c>
    </row>
    <row r="951" spans="1:12" x14ac:dyDescent="0.25">
      <c r="A951" t="s">
        <v>980</v>
      </c>
      <c r="B951" t="s">
        <v>37</v>
      </c>
      <c r="C951" t="s">
        <v>38</v>
      </c>
      <c r="D951" t="s">
        <v>22</v>
      </c>
      <c r="E951" t="s">
        <v>16</v>
      </c>
      <c r="F951" t="s">
        <v>39</v>
      </c>
      <c r="G951">
        <v>8</v>
      </c>
      <c r="H951" s="1">
        <v>43520</v>
      </c>
      <c r="I951" s="2">
        <v>0.60138888888888886</v>
      </c>
      <c r="J951" t="s">
        <v>18</v>
      </c>
      <c r="K951">
        <v>10.571999999999999</v>
      </c>
      <c r="L951">
        <v>8.9</v>
      </c>
    </row>
    <row r="952" spans="1:12" x14ac:dyDescent="0.25">
      <c r="A952" t="s">
        <v>981</v>
      </c>
      <c r="B952" t="s">
        <v>37</v>
      </c>
      <c r="C952" t="s">
        <v>38</v>
      </c>
      <c r="D952" t="s">
        <v>15</v>
      </c>
      <c r="E952" t="s">
        <v>26</v>
      </c>
      <c r="F952" t="s">
        <v>17</v>
      </c>
      <c r="G952">
        <v>3</v>
      </c>
      <c r="H952" s="1">
        <v>43517</v>
      </c>
      <c r="I952" s="2">
        <v>0.52777777777777779</v>
      </c>
      <c r="J952" t="s">
        <v>18</v>
      </c>
      <c r="K952">
        <v>5.9865000000000004</v>
      </c>
      <c r="L952">
        <v>9.3000000000000007</v>
      </c>
    </row>
    <row r="953" spans="1:12" x14ac:dyDescent="0.25">
      <c r="A953" t="s">
        <v>982</v>
      </c>
      <c r="B953" t="s">
        <v>37</v>
      </c>
      <c r="C953" t="s">
        <v>38</v>
      </c>
      <c r="D953" t="s">
        <v>15</v>
      </c>
      <c r="E953" t="s">
        <v>16</v>
      </c>
      <c r="F953" t="s">
        <v>27</v>
      </c>
      <c r="G953">
        <v>3</v>
      </c>
      <c r="H953" s="1">
        <v>43474</v>
      </c>
      <c r="I953" s="2">
        <v>0.77986111111111101</v>
      </c>
      <c r="J953" t="s">
        <v>18</v>
      </c>
      <c r="K953">
        <v>3.2850000000000001</v>
      </c>
      <c r="L953">
        <v>4.7</v>
      </c>
    </row>
    <row r="954" spans="1:12" x14ac:dyDescent="0.25">
      <c r="A954" t="s">
        <v>983</v>
      </c>
      <c r="B954" t="s">
        <v>37</v>
      </c>
      <c r="C954" t="s">
        <v>38</v>
      </c>
      <c r="D954" t="s">
        <v>15</v>
      </c>
      <c r="E954" t="s">
        <v>16</v>
      </c>
      <c r="F954" t="s">
        <v>39</v>
      </c>
      <c r="G954">
        <v>4</v>
      </c>
      <c r="H954" s="1">
        <v>43521</v>
      </c>
      <c r="I954" s="2">
        <v>0.55694444444444446</v>
      </c>
      <c r="J954" t="s">
        <v>18</v>
      </c>
      <c r="K954">
        <v>12.57</v>
      </c>
      <c r="L954">
        <v>8.6999999999999993</v>
      </c>
    </row>
    <row r="955" spans="1:12" x14ac:dyDescent="0.25">
      <c r="A955" t="s">
        <v>984</v>
      </c>
      <c r="B955" t="s">
        <v>20</v>
      </c>
      <c r="C955" t="s">
        <v>21</v>
      </c>
      <c r="D955" t="s">
        <v>15</v>
      </c>
      <c r="E955" t="s">
        <v>16</v>
      </c>
      <c r="F955" t="s">
        <v>39</v>
      </c>
      <c r="G955">
        <v>4</v>
      </c>
      <c r="H955" s="1">
        <v>43478</v>
      </c>
      <c r="I955" s="2">
        <v>0.58194444444444449</v>
      </c>
      <c r="J955" t="s">
        <v>24</v>
      </c>
      <c r="K955">
        <v>4.2080000000000002</v>
      </c>
      <c r="L955">
        <v>7.6</v>
      </c>
    </row>
    <row r="956" spans="1:12" x14ac:dyDescent="0.25">
      <c r="A956" t="s">
        <v>985</v>
      </c>
      <c r="B956" t="s">
        <v>37</v>
      </c>
      <c r="C956" t="s">
        <v>38</v>
      </c>
      <c r="D956" t="s">
        <v>15</v>
      </c>
      <c r="E956" t="s">
        <v>26</v>
      </c>
      <c r="F956" t="s">
        <v>27</v>
      </c>
      <c r="G956">
        <v>6</v>
      </c>
      <c r="H956" s="1">
        <v>43505</v>
      </c>
      <c r="I956" s="2">
        <v>0.48958333333333331</v>
      </c>
      <c r="J956" t="s">
        <v>24</v>
      </c>
      <c r="K956">
        <v>19.773</v>
      </c>
      <c r="L956">
        <v>5.7</v>
      </c>
    </row>
    <row r="957" spans="1:12" x14ac:dyDescent="0.25">
      <c r="A957" t="s">
        <v>986</v>
      </c>
      <c r="B957" t="s">
        <v>13</v>
      </c>
      <c r="C957" t="s">
        <v>14</v>
      </c>
      <c r="D957" t="s">
        <v>22</v>
      </c>
      <c r="E957" t="s">
        <v>16</v>
      </c>
      <c r="F957" t="s">
        <v>41</v>
      </c>
      <c r="G957">
        <v>7</v>
      </c>
      <c r="H957" s="1">
        <v>43471</v>
      </c>
      <c r="I957" s="2">
        <v>0.49374999999999997</v>
      </c>
      <c r="J957" t="s">
        <v>24</v>
      </c>
      <c r="K957">
        <v>14.8995</v>
      </c>
      <c r="L957">
        <v>6.8</v>
      </c>
    </row>
    <row r="958" spans="1:12" x14ac:dyDescent="0.25">
      <c r="A958" t="s">
        <v>987</v>
      </c>
      <c r="B958" t="s">
        <v>20</v>
      </c>
      <c r="C958" t="s">
        <v>21</v>
      </c>
      <c r="D958" t="s">
        <v>15</v>
      </c>
      <c r="E958" t="s">
        <v>26</v>
      </c>
      <c r="F958" t="s">
        <v>39</v>
      </c>
      <c r="G958">
        <v>9</v>
      </c>
      <c r="H958" s="1">
        <v>43475</v>
      </c>
      <c r="I958" s="2">
        <v>0.71944444444444444</v>
      </c>
      <c r="J958" t="s">
        <v>24</v>
      </c>
      <c r="K958">
        <v>22.720500000000001</v>
      </c>
      <c r="L958">
        <v>5.4</v>
      </c>
    </row>
    <row r="959" spans="1:12" x14ac:dyDescent="0.25">
      <c r="A959" t="s">
        <v>988</v>
      </c>
      <c r="B959" t="s">
        <v>37</v>
      </c>
      <c r="C959" t="s">
        <v>38</v>
      </c>
      <c r="D959" t="s">
        <v>22</v>
      </c>
      <c r="E959" t="s">
        <v>26</v>
      </c>
      <c r="F959" t="s">
        <v>23</v>
      </c>
      <c r="G959">
        <v>6</v>
      </c>
      <c r="H959" s="1">
        <v>43503</v>
      </c>
      <c r="I959" s="2">
        <v>0.66319444444444442</v>
      </c>
      <c r="J959" t="s">
        <v>24</v>
      </c>
      <c r="K959">
        <v>13.805999999999999</v>
      </c>
      <c r="L959">
        <v>7.1</v>
      </c>
    </row>
    <row r="960" spans="1:12" x14ac:dyDescent="0.25">
      <c r="A960" t="s">
        <v>989</v>
      </c>
      <c r="B960" t="s">
        <v>20</v>
      </c>
      <c r="C960" t="s">
        <v>21</v>
      </c>
      <c r="D960" t="s">
        <v>22</v>
      </c>
      <c r="E960" t="s">
        <v>16</v>
      </c>
      <c r="F960" t="s">
        <v>27</v>
      </c>
      <c r="G960">
        <v>10</v>
      </c>
      <c r="H960" s="1">
        <v>43474</v>
      </c>
      <c r="I960" s="2">
        <v>0.50486111111111109</v>
      </c>
      <c r="J960" t="s">
        <v>24</v>
      </c>
      <c r="K960">
        <v>7.9</v>
      </c>
      <c r="L960">
        <v>7.8</v>
      </c>
    </row>
    <row r="961" spans="1:12" x14ac:dyDescent="0.25">
      <c r="A961" t="s">
        <v>990</v>
      </c>
      <c r="B961" t="s">
        <v>13</v>
      </c>
      <c r="C961" t="s">
        <v>14</v>
      </c>
      <c r="D961" t="s">
        <v>15</v>
      </c>
      <c r="E961" t="s">
        <v>16</v>
      </c>
      <c r="F961" t="s">
        <v>39</v>
      </c>
      <c r="G961">
        <v>9</v>
      </c>
      <c r="H961" s="1">
        <v>43515</v>
      </c>
      <c r="I961" s="2">
        <v>0.62986111111111109</v>
      </c>
      <c r="J961" t="s">
        <v>24</v>
      </c>
      <c r="K961">
        <v>44.396999999999998</v>
      </c>
      <c r="L961">
        <v>8.4</v>
      </c>
    </row>
    <row r="962" spans="1:12" x14ac:dyDescent="0.25">
      <c r="A962" t="s">
        <v>991</v>
      </c>
      <c r="B962" t="s">
        <v>20</v>
      </c>
      <c r="C962" t="s">
        <v>21</v>
      </c>
      <c r="D962" t="s">
        <v>15</v>
      </c>
      <c r="E962" t="s">
        <v>26</v>
      </c>
      <c r="F962" t="s">
        <v>41</v>
      </c>
      <c r="G962">
        <v>1</v>
      </c>
      <c r="H962" s="1">
        <v>43542</v>
      </c>
      <c r="I962" s="2">
        <v>0.64513888888888882</v>
      </c>
      <c r="J962" t="s">
        <v>24</v>
      </c>
      <c r="K962">
        <v>4.5990000000000002</v>
      </c>
      <c r="L962">
        <v>9.8000000000000007</v>
      </c>
    </row>
    <row r="963" spans="1:12" x14ac:dyDescent="0.25">
      <c r="A963" t="s">
        <v>992</v>
      </c>
      <c r="B963" t="s">
        <v>13</v>
      </c>
      <c r="C963" t="s">
        <v>14</v>
      </c>
      <c r="D963" t="s">
        <v>15</v>
      </c>
      <c r="E963" t="s">
        <v>26</v>
      </c>
      <c r="F963" t="s">
        <v>23</v>
      </c>
      <c r="G963">
        <v>2</v>
      </c>
      <c r="H963" s="1">
        <v>43501</v>
      </c>
      <c r="I963" s="2">
        <v>0.78125</v>
      </c>
      <c r="J963" t="s">
        <v>24</v>
      </c>
      <c r="K963">
        <v>2.089</v>
      </c>
      <c r="L963">
        <v>9.8000000000000007</v>
      </c>
    </row>
    <row r="964" spans="1:12" x14ac:dyDescent="0.25">
      <c r="A964" t="s">
        <v>993</v>
      </c>
      <c r="B964" t="s">
        <v>13</v>
      </c>
      <c r="C964" t="s">
        <v>14</v>
      </c>
      <c r="D964" t="s">
        <v>22</v>
      </c>
      <c r="E964" t="s">
        <v>16</v>
      </c>
      <c r="F964" t="s">
        <v>41</v>
      </c>
      <c r="G964">
        <v>1</v>
      </c>
      <c r="H964" s="1">
        <v>43543</v>
      </c>
      <c r="I964" s="2">
        <v>0.64097222222222217</v>
      </c>
      <c r="J964" t="s">
        <v>28</v>
      </c>
      <c r="K964">
        <v>0.77500000000000002</v>
      </c>
      <c r="L964">
        <v>7.4</v>
      </c>
    </row>
    <row r="965" spans="1:12" x14ac:dyDescent="0.25">
      <c r="A965" t="s">
        <v>994</v>
      </c>
      <c r="B965" t="s">
        <v>20</v>
      </c>
      <c r="C965" t="s">
        <v>21</v>
      </c>
      <c r="D965" t="s">
        <v>15</v>
      </c>
      <c r="E965" t="s">
        <v>26</v>
      </c>
      <c r="F965" t="s">
        <v>23</v>
      </c>
      <c r="G965">
        <v>3</v>
      </c>
      <c r="H965" s="1">
        <v>43554</v>
      </c>
      <c r="I965" s="2">
        <v>0.85902777777777783</v>
      </c>
      <c r="J965" t="s">
        <v>24</v>
      </c>
      <c r="K965">
        <v>14.523</v>
      </c>
      <c r="L965">
        <v>6.7</v>
      </c>
    </row>
    <row r="966" spans="1:12" x14ac:dyDescent="0.25">
      <c r="A966" t="s">
        <v>995</v>
      </c>
      <c r="B966" t="s">
        <v>37</v>
      </c>
      <c r="C966" t="s">
        <v>38</v>
      </c>
      <c r="D966" t="s">
        <v>22</v>
      </c>
      <c r="E966" t="s">
        <v>26</v>
      </c>
      <c r="F966" t="s">
        <v>39</v>
      </c>
      <c r="G966">
        <v>2</v>
      </c>
      <c r="H966" s="1">
        <v>43491</v>
      </c>
      <c r="I966" s="2">
        <v>0.6118055555555556</v>
      </c>
      <c r="J966" t="s">
        <v>28</v>
      </c>
      <c r="K966">
        <v>3.3330000000000002</v>
      </c>
      <c r="L966">
        <v>6.4</v>
      </c>
    </row>
    <row r="967" spans="1:12" x14ac:dyDescent="0.25">
      <c r="A967" t="s">
        <v>996</v>
      </c>
      <c r="B967" t="s">
        <v>37</v>
      </c>
      <c r="C967" t="s">
        <v>38</v>
      </c>
      <c r="D967" t="s">
        <v>22</v>
      </c>
      <c r="E967" t="s">
        <v>16</v>
      </c>
      <c r="F967" t="s">
        <v>23</v>
      </c>
      <c r="G967">
        <v>2</v>
      </c>
      <c r="H967" s="1">
        <v>43526</v>
      </c>
      <c r="I967" s="2">
        <v>0.76250000000000007</v>
      </c>
      <c r="J967" t="s">
        <v>28</v>
      </c>
      <c r="K967">
        <v>3.827</v>
      </c>
      <c r="L967">
        <v>5.8</v>
      </c>
    </row>
    <row r="968" spans="1:12" x14ac:dyDescent="0.25">
      <c r="A968" t="s">
        <v>997</v>
      </c>
      <c r="B968" t="s">
        <v>13</v>
      </c>
      <c r="C968" t="s">
        <v>14</v>
      </c>
      <c r="D968" t="s">
        <v>22</v>
      </c>
      <c r="E968" t="s">
        <v>16</v>
      </c>
      <c r="F968" t="s">
        <v>27</v>
      </c>
      <c r="G968">
        <v>9</v>
      </c>
      <c r="H968" s="1">
        <v>43528</v>
      </c>
      <c r="I968" s="2">
        <v>0.64374999999999993</v>
      </c>
      <c r="J968" t="s">
        <v>18</v>
      </c>
      <c r="K968">
        <v>14.984999999999999</v>
      </c>
      <c r="L968">
        <v>7.2</v>
      </c>
    </row>
    <row r="969" spans="1:12" x14ac:dyDescent="0.25">
      <c r="A969" t="s">
        <v>998</v>
      </c>
      <c r="B969" t="s">
        <v>13</v>
      </c>
      <c r="C969" t="s">
        <v>14</v>
      </c>
      <c r="D969" t="s">
        <v>15</v>
      </c>
      <c r="E969" t="s">
        <v>26</v>
      </c>
      <c r="F969" t="s">
        <v>27</v>
      </c>
      <c r="G969">
        <v>3</v>
      </c>
      <c r="H969" s="1">
        <v>43478</v>
      </c>
      <c r="I969" s="2">
        <v>0.53819444444444442</v>
      </c>
      <c r="J969" t="s">
        <v>28</v>
      </c>
      <c r="K969">
        <v>12.1515</v>
      </c>
      <c r="L969">
        <v>9.3000000000000007</v>
      </c>
    </row>
    <row r="970" spans="1:12" x14ac:dyDescent="0.25">
      <c r="A970" t="s">
        <v>999</v>
      </c>
      <c r="B970" t="s">
        <v>13</v>
      </c>
      <c r="C970" t="s">
        <v>14</v>
      </c>
      <c r="D970" t="s">
        <v>22</v>
      </c>
      <c r="E970" t="s">
        <v>16</v>
      </c>
      <c r="F970" t="s">
        <v>17</v>
      </c>
      <c r="G970">
        <v>3</v>
      </c>
      <c r="H970" s="1">
        <v>43549</v>
      </c>
      <c r="I970" s="2">
        <v>0.75138888888888899</v>
      </c>
      <c r="J970" t="s">
        <v>24</v>
      </c>
      <c r="K970">
        <v>2.37</v>
      </c>
      <c r="L970">
        <v>9.5</v>
      </c>
    </row>
    <row r="971" spans="1:12" x14ac:dyDescent="0.25">
      <c r="A971" t="s">
        <v>1000</v>
      </c>
      <c r="B971" t="s">
        <v>37</v>
      </c>
      <c r="C971" t="s">
        <v>38</v>
      </c>
      <c r="D971" t="s">
        <v>15</v>
      </c>
      <c r="E971" t="s">
        <v>16</v>
      </c>
      <c r="F971" t="s">
        <v>23</v>
      </c>
      <c r="G971">
        <v>5</v>
      </c>
      <c r="H971" s="1">
        <v>43535</v>
      </c>
      <c r="I971" s="2">
        <v>0.8222222222222223</v>
      </c>
      <c r="J971" t="s">
        <v>28</v>
      </c>
      <c r="K971">
        <v>8.6225000000000005</v>
      </c>
      <c r="L971">
        <v>9</v>
      </c>
    </row>
    <row r="972" spans="1:12" x14ac:dyDescent="0.25">
      <c r="A972" t="s">
        <v>1001</v>
      </c>
      <c r="B972" t="s">
        <v>37</v>
      </c>
      <c r="C972" t="s">
        <v>38</v>
      </c>
      <c r="D972" t="s">
        <v>15</v>
      </c>
      <c r="E972" t="s">
        <v>16</v>
      </c>
      <c r="F972" t="s">
        <v>39</v>
      </c>
      <c r="G972">
        <v>10</v>
      </c>
      <c r="H972" s="1">
        <v>43466</v>
      </c>
      <c r="I972" s="2">
        <v>0.48333333333333334</v>
      </c>
      <c r="J972" t="s">
        <v>28</v>
      </c>
      <c r="K972">
        <v>42.314999999999998</v>
      </c>
      <c r="L972">
        <v>9</v>
      </c>
    </row>
    <row r="973" spans="1:12" x14ac:dyDescent="0.25">
      <c r="A973" t="s">
        <v>1002</v>
      </c>
      <c r="B973" t="s">
        <v>37</v>
      </c>
      <c r="C973" t="s">
        <v>38</v>
      </c>
      <c r="D973" t="s">
        <v>15</v>
      </c>
      <c r="E973" t="s">
        <v>26</v>
      </c>
      <c r="F973" t="s">
        <v>27</v>
      </c>
      <c r="G973">
        <v>7</v>
      </c>
      <c r="H973" s="1">
        <v>43506</v>
      </c>
      <c r="I973" s="2">
        <v>0.57708333333333328</v>
      </c>
      <c r="J973" t="s">
        <v>18</v>
      </c>
      <c r="K973">
        <v>12.9185</v>
      </c>
      <c r="L973">
        <v>6.7</v>
      </c>
    </row>
    <row r="974" spans="1:12" x14ac:dyDescent="0.25">
      <c r="A974" t="s">
        <v>1003</v>
      </c>
      <c r="B974" t="s">
        <v>37</v>
      </c>
      <c r="C974" t="s">
        <v>38</v>
      </c>
      <c r="D974" t="s">
        <v>22</v>
      </c>
      <c r="E974" t="s">
        <v>26</v>
      </c>
      <c r="F974" t="s">
        <v>23</v>
      </c>
      <c r="G974">
        <v>7</v>
      </c>
      <c r="H974" s="1">
        <v>43491</v>
      </c>
      <c r="I974" s="2">
        <v>0.63680555555555551</v>
      </c>
      <c r="J974" t="s">
        <v>24</v>
      </c>
      <c r="K974">
        <v>30.478000000000002</v>
      </c>
      <c r="L974">
        <v>5.5</v>
      </c>
    </row>
    <row r="975" spans="1:12" x14ac:dyDescent="0.25">
      <c r="A975" t="s">
        <v>1004</v>
      </c>
      <c r="B975" t="s">
        <v>13</v>
      </c>
      <c r="C975" t="s">
        <v>14</v>
      </c>
      <c r="D975" t="s">
        <v>22</v>
      </c>
      <c r="E975" t="s">
        <v>26</v>
      </c>
      <c r="F975" t="s">
        <v>27</v>
      </c>
      <c r="G975">
        <v>3</v>
      </c>
      <c r="H975" s="1">
        <v>43507</v>
      </c>
      <c r="I975" s="2">
        <v>0.64513888888888882</v>
      </c>
      <c r="J975" t="s">
        <v>24</v>
      </c>
      <c r="K975">
        <v>12.012</v>
      </c>
      <c r="L975">
        <v>5.4</v>
      </c>
    </row>
    <row r="976" spans="1:12" x14ac:dyDescent="0.25">
      <c r="A976" t="s">
        <v>1005</v>
      </c>
      <c r="B976" t="s">
        <v>20</v>
      </c>
      <c r="C976" t="s">
        <v>21</v>
      </c>
      <c r="D976" t="s">
        <v>22</v>
      </c>
      <c r="E976" t="s">
        <v>26</v>
      </c>
      <c r="F976" t="s">
        <v>41</v>
      </c>
      <c r="G976">
        <v>2</v>
      </c>
      <c r="H976" s="1">
        <v>43503</v>
      </c>
      <c r="I976" s="2">
        <v>0.74930555555555556</v>
      </c>
      <c r="J976" t="s">
        <v>24</v>
      </c>
      <c r="K976">
        <v>8.6129999999999995</v>
      </c>
      <c r="L976">
        <v>8.1999999999999993</v>
      </c>
    </row>
    <row r="977" spans="1:12" x14ac:dyDescent="0.25">
      <c r="A977" t="s">
        <v>1006</v>
      </c>
      <c r="B977" t="s">
        <v>37</v>
      </c>
      <c r="C977" t="s">
        <v>38</v>
      </c>
      <c r="D977" t="s">
        <v>15</v>
      </c>
      <c r="E977" t="s">
        <v>26</v>
      </c>
      <c r="F977" t="s">
        <v>41</v>
      </c>
      <c r="G977">
        <v>2</v>
      </c>
      <c r="H977" s="1">
        <v>43530</v>
      </c>
      <c r="I977" s="2">
        <v>0.49652777777777773</v>
      </c>
      <c r="J977" t="s">
        <v>28</v>
      </c>
      <c r="K977">
        <v>4.992</v>
      </c>
      <c r="L977">
        <v>7</v>
      </c>
    </row>
    <row r="978" spans="1:12" x14ac:dyDescent="0.25">
      <c r="A978" t="s">
        <v>1007</v>
      </c>
      <c r="B978" t="s">
        <v>13</v>
      </c>
      <c r="C978" t="s">
        <v>14</v>
      </c>
      <c r="D978" t="s">
        <v>22</v>
      </c>
      <c r="E978" t="s">
        <v>16</v>
      </c>
      <c r="F978" t="s">
        <v>39</v>
      </c>
      <c r="G978">
        <v>4</v>
      </c>
      <c r="H978" s="1">
        <v>43528</v>
      </c>
      <c r="I978" s="2">
        <v>0.44375000000000003</v>
      </c>
      <c r="J978" t="s">
        <v>24</v>
      </c>
      <c r="K978">
        <v>14.932</v>
      </c>
      <c r="L978">
        <v>8.5</v>
      </c>
    </row>
    <row r="979" spans="1:12" x14ac:dyDescent="0.25">
      <c r="A979" t="s">
        <v>1008</v>
      </c>
      <c r="B979" t="s">
        <v>37</v>
      </c>
      <c r="C979" t="s">
        <v>38</v>
      </c>
      <c r="D979" t="s">
        <v>15</v>
      </c>
      <c r="E979" t="s">
        <v>26</v>
      </c>
      <c r="F979" t="s">
        <v>39</v>
      </c>
      <c r="G979">
        <v>6</v>
      </c>
      <c r="H979" s="1">
        <v>43522</v>
      </c>
      <c r="I979" s="2">
        <v>0.63194444444444442</v>
      </c>
      <c r="J979" t="s">
        <v>18</v>
      </c>
      <c r="K979">
        <v>7.98</v>
      </c>
      <c r="L979">
        <v>4.9000000000000004</v>
      </c>
    </row>
    <row r="980" spans="1:12" x14ac:dyDescent="0.25">
      <c r="A980" t="s">
        <v>1009</v>
      </c>
      <c r="B980" t="s">
        <v>37</v>
      </c>
      <c r="C980" t="s">
        <v>38</v>
      </c>
      <c r="D980" t="s">
        <v>22</v>
      </c>
      <c r="E980" t="s">
        <v>16</v>
      </c>
      <c r="F980" t="s">
        <v>23</v>
      </c>
      <c r="G980">
        <v>1</v>
      </c>
      <c r="H980" s="1">
        <v>43534</v>
      </c>
      <c r="I980" s="2">
        <v>0.75694444444444453</v>
      </c>
      <c r="J980" t="s">
        <v>28</v>
      </c>
      <c r="K980">
        <v>1.2725</v>
      </c>
      <c r="L980">
        <v>5.0999999999999996</v>
      </c>
    </row>
    <row r="981" spans="1:12" x14ac:dyDescent="0.25">
      <c r="A981" t="s">
        <v>1010</v>
      </c>
      <c r="B981" t="s">
        <v>37</v>
      </c>
      <c r="C981" t="s">
        <v>38</v>
      </c>
      <c r="D981" t="s">
        <v>22</v>
      </c>
      <c r="E981" t="s">
        <v>16</v>
      </c>
      <c r="F981" t="s">
        <v>39</v>
      </c>
      <c r="G981">
        <v>1</v>
      </c>
      <c r="H981" s="1">
        <v>43500</v>
      </c>
      <c r="I981" s="2">
        <v>0.86319444444444438</v>
      </c>
      <c r="J981" t="s">
        <v>28</v>
      </c>
      <c r="K981">
        <v>3.3885000000000001</v>
      </c>
      <c r="L981">
        <v>6.5</v>
      </c>
    </row>
    <row r="982" spans="1:12" x14ac:dyDescent="0.25">
      <c r="A982" t="s">
        <v>1011</v>
      </c>
      <c r="B982" t="s">
        <v>20</v>
      </c>
      <c r="C982" t="s">
        <v>21</v>
      </c>
      <c r="D982" t="s">
        <v>15</v>
      </c>
      <c r="E982" t="s">
        <v>26</v>
      </c>
      <c r="F982" t="s">
        <v>39</v>
      </c>
      <c r="G982">
        <v>4</v>
      </c>
      <c r="H982" s="1">
        <v>43484</v>
      </c>
      <c r="I982" s="2">
        <v>0.53194444444444444</v>
      </c>
      <c r="J982" t="s">
        <v>24</v>
      </c>
      <c r="K982">
        <v>11.917999999999999</v>
      </c>
      <c r="L982">
        <v>9.8000000000000007</v>
      </c>
    </row>
    <row r="983" spans="1:12" x14ac:dyDescent="0.25">
      <c r="A983" t="s">
        <v>1012</v>
      </c>
      <c r="B983" t="s">
        <v>13</v>
      </c>
      <c r="C983" t="s">
        <v>14</v>
      </c>
      <c r="D983" t="s">
        <v>22</v>
      </c>
      <c r="E983" t="s">
        <v>26</v>
      </c>
      <c r="F983" t="s">
        <v>17</v>
      </c>
      <c r="G983">
        <v>4</v>
      </c>
      <c r="H983" s="1">
        <v>43488</v>
      </c>
      <c r="I983" s="2">
        <v>0.73888888888888893</v>
      </c>
      <c r="J983" t="s">
        <v>24</v>
      </c>
      <c r="K983">
        <v>11.63</v>
      </c>
      <c r="L983">
        <v>8.4</v>
      </c>
    </row>
    <row r="984" spans="1:12" x14ac:dyDescent="0.25">
      <c r="A984" t="s">
        <v>1013</v>
      </c>
      <c r="B984" t="s">
        <v>13</v>
      </c>
      <c r="C984" t="s">
        <v>14</v>
      </c>
      <c r="D984" t="s">
        <v>15</v>
      </c>
      <c r="E984" t="s">
        <v>16</v>
      </c>
      <c r="F984" t="s">
        <v>31</v>
      </c>
      <c r="G984">
        <v>9</v>
      </c>
      <c r="H984" s="1">
        <v>43538</v>
      </c>
      <c r="I984" s="2">
        <v>0.59652777777777777</v>
      </c>
      <c r="J984" t="s">
        <v>18</v>
      </c>
      <c r="K984">
        <v>43.866</v>
      </c>
      <c r="L984">
        <v>7.4</v>
      </c>
    </row>
    <row r="985" spans="1:12" x14ac:dyDescent="0.25">
      <c r="A985" t="s">
        <v>1014</v>
      </c>
      <c r="B985" t="s">
        <v>20</v>
      </c>
      <c r="C985" t="s">
        <v>21</v>
      </c>
      <c r="D985" t="s">
        <v>22</v>
      </c>
      <c r="E985" t="s">
        <v>26</v>
      </c>
      <c r="F985" t="s">
        <v>17</v>
      </c>
      <c r="G985">
        <v>7</v>
      </c>
      <c r="H985" s="1">
        <v>43488</v>
      </c>
      <c r="I985" s="2">
        <v>0.43958333333333338</v>
      </c>
      <c r="J985" t="s">
        <v>24</v>
      </c>
      <c r="K985">
        <v>34.985999999999997</v>
      </c>
      <c r="L985">
        <v>6.1</v>
      </c>
    </row>
    <row r="986" spans="1:12" x14ac:dyDescent="0.25">
      <c r="A986" t="s">
        <v>1015</v>
      </c>
      <c r="B986" t="s">
        <v>20</v>
      </c>
      <c r="C986" t="s">
        <v>21</v>
      </c>
      <c r="D986" t="s">
        <v>22</v>
      </c>
      <c r="E986" t="s">
        <v>26</v>
      </c>
      <c r="F986" t="s">
        <v>23</v>
      </c>
      <c r="G986">
        <v>7</v>
      </c>
      <c r="H986" s="1">
        <v>43474</v>
      </c>
      <c r="I986" s="2">
        <v>0.4861111111111111</v>
      </c>
      <c r="J986" t="s">
        <v>24</v>
      </c>
      <c r="K986">
        <v>33.729500000000002</v>
      </c>
      <c r="L986">
        <v>6</v>
      </c>
    </row>
    <row r="987" spans="1:12" x14ac:dyDescent="0.25">
      <c r="A987" t="s">
        <v>1016</v>
      </c>
      <c r="B987" t="s">
        <v>37</v>
      </c>
      <c r="C987" t="s">
        <v>38</v>
      </c>
      <c r="D987" t="s">
        <v>22</v>
      </c>
      <c r="E987" t="s">
        <v>16</v>
      </c>
      <c r="F987" t="s">
        <v>41</v>
      </c>
      <c r="G987">
        <v>5</v>
      </c>
      <c r="H987" s="1">
        <v>43503</v>
      </c>
      <c r="I987" s="2">
        <v>0.8125</v>
      </c>
      <c r="J987" t="s">
        <v>18</v>
      </c>
      <c r="K987">
        <v>15.9275</v>
      </c>
      <c r="L987">
        <v>8.5</v>
      </c>
    </row>
    <row r="988" spans="1:12" x14ac:dyDescent="0.25">
      <c r="A988" t="s">
        <v>1017</v>
      </c>
      <c r="B988" t="s">
        <v>37</v>
      </c>
      <c r="C988" t="s">
        <v>38</v>
      </c>
      <c r="D988" t="s">
        <v>22</v>
      </c>
      <c r="E988" t="s">
        <v>16</v>
      </c>
      <c r="F988" t="s">
        <v>17</v>
      </c>
      <c r="G988">
        <v>2</v>
      </c>
      <c r="H988" s="1">
        <v>43514</v>
      </c>
      <c r="I988" s="2">
        <v>0.61249999999999993</v>
      </c>
      <c r="J988" t="s">
        <v>18</v>
      </c>
      <c r="K988">
        <v>1.476</v>
      </c>
      <c r="L988">
        <v>4.3</v>
      </c>
    </row>
    <row r="989" spans="1:12" x14ac:dyDescent="0.25">
      <c r="A989" t="s">
        <v>1018</v>
      </c>
      <c r="B989" t="s">
        <v>37</v>
      </c>
      <c r="C989" t="s">
        <v>38</v>
      </c>
      <c r="D989" t="s">
        <v>15</v>
      </c>
      <c r="E989" t="s">
        <v>26</v>
      </c>
      <c r="F989" t="s">
        <v>17</v>
      </c>
      <c r="G989">
        <v>8</v>
      </c>
      <c r="H989" s="1">
        <v>43468</v>
      </c>
      <c r="I989" s="2">
        <v>0.79722222222222217</v>
      </c>
      <c r="J989" t="s">
        <v>28</v>
      </c>
      <c r="K989">
        <v>24.8</v>
      </c>
      <c r="L989">
        <v>6.2</v>
      </c>
    </row>
    <row r="990" spans="1:12" x14ac:dyDescent="0.25">
      <c r="A990" t="s">
        <v>1019</v>
      </c>
      <c r="B990" t="s">
        <v>20</v>
      </c>
      <c r="C990" t="s">
        <v>21</v>
      </c>
      <c r="D990" t="s">
        <v>15</v>
      </c>
      <c r="E990" t="s">
        <v>26</v>
      </c>
      <c r="F990" t="s">
        <v>23</v>
      </c>
      <c r="G990">
        <v>10</v>
      </c>
      <c r="H990" s="1">
        <v>43553</v>
      </c>
      <c r="I990" s="2">
        <v>0.79999999999999993</v>
      </c>
      <c r="J990" t="s">
        <v>18</v>
      </c>
      <c r="K990">
        <v>41.17</v>
      </c>
      <c r="L990">
        <v>4.3</v>
      </c>
    </row>
    <row r="991" spans="1:12" x14ac:dyDescent="0.25">
      <c r="A991" t="s">
        <v>1020</v>
      </c>
      <c r="B991" t="s">
        <v>37</v>
      </c>
      <c r="C991" t="s">
        <v>38</v>
      </c>
      <c r="D991" t="s">
        <v>15</v>
      </c>
      <c r="E991" t="s">
        <v>26</v>
      </c>
      <c r="F991" t="s">
        <v>17</v>
      </c>
      <c r="G991">
        <v>8</v>
      </c>
      <c r="H991" s="1">
        <v>43493</v>
      </c>
      <c r="I991" s="2">
        <v>0.65694444444444444</v>
      </c>
      <c r="J991" t="s">
        <v>28</v>
      </c>
      <c r="K991">
        <v>30.148</v>
      </c>
      <c r="L991">
        <v>8.4</v>
      </c>
    </row>
    <row r="992" spans="1:12" x14ac:dyDescent="0.25">
      <c r="A992" t="s">
        <v>1021</v>
      </c>
      <c r="B992" t="s">
        <v>13</v>
      </c>
      <c r="C992" t="s">
        <v>14</v>
      </c>
      <c r="D992" t="s">
        <v>22</v>
      </c>
      <c r="E992" t="s">
        <v>16</v>
      </c>
      <c r="F992" t="s">
        <v>39</v>
      </c>
      <c r="G992">
        <v>5</v>
      </c>
      <c r="H992" s="1">
        <v>43546</v>
      </c>
      <c r="I992" s="2">
        <v>0.79583333333333339</v>
      </c>
      <c r="J992" t="s">
        <v>28</v>
      </c>
      <c r="K992">
        <v>14.14</v>
      </c>
      <c r="L992">
        <v>4.5</v>
      </c>
    </row>
    <row r="993" spans="1:12" x14ac:dyDescent="0.25">
      <c r="A993" t="s">
        <v>1022</v>
      </c>
      <c r="B993" t="s">
        <v>37</v>
      </c>
      <c r="C993" t="s">
        <v>38</v>
      </c>
      <c r="D993" t="s">
        <v>22</v>
      </c>
      <c r="E993" t="s">
        <v>16</v>
      </c>
      <c r="F993" t="s">
        <v>31</v>
      </c>
      <c r="G993">
        <v>10</v>
      </c>
      <c r="H993" s="1">
        <v>43489</v>
      </c>
      <c r="I993" s="2">
        <v>0.75694444444444453</v>
      </c>
      <c r="J993" t="s">
        <v>18</v>
      </c>
      <c r="K993">
        <v>38.299999999999997</v>
      </c>
      <c r="L993">
        <v>6</v>
      </c>
    </row>
    <row r="994" spans="1:12" x14ac:dyDescent="0.25">
      <c r="A994" t="s">
        <v>1023</v>
      </c>
      <c r="B994" t="s">
        <v>13</v>
      </c>
      <c r="C994" t="s">
        <v>14</v>
      </c>
      <c r="D994" t="s">
        <v>22</v>
      </c>
      <c r="E994" t="s">
        <v>26</v>
      </c>
      <c r="F994" t="s">
        <v>23</v>
      </c>
      <c r="G994">
        <v>2</v>
      </c>
      <c r="H994" s="1">
        <v>43534</v>
      </c>
      <c r="I994" s="2">
        <v>0.8652777777777777</v>
      </c>
      <c r="J994" t="s">
        <v>18</v>
      </c>
      <c r="K994">
        <v>5.8029999999999999</v>
      </c>
      <c r="L994">
        <v>8.8000000000000007</v>
      </c>
    </row>
    <row r="995" spans="1:12" x14ac:dyDescent="0.25">
      <c r="A995" t="s">
        <v>1024</v>
      </c>
      <c r="B995" t="s">
        <v>37</v>
      </c>
      <c r="C995" t="s">
        <v>38</v>
      </c>
      <c r="D995" t="s">
        <v>22</v>
      </c>
      <c r="E995" t="s">
        <v>26</v>
      </c>
      <c r="F995" t="s">
        <v>41</v>
      </c>
      <c r="G995">
        <v>10</v>
      </c>
      <c r="H995" s="1">
        <v>43518</v>
      </c>
      <c r="I995" s="2">
        <v>0.77430555555555547</v>
      </c>
      <c r="J995" t="s">
        <v>18</v>
      </c>
      <c r="K995">
        <v>8.7449999999999992</v>
      </c>
      <c r="L995">
        <v>6.6</v>
      </c>
    </row>
    <row r="996" spans="1:12" x14ac:dyDescent="0.25">
      <c r="A996" t="s">
        <v>1025</v>
      </c>
      <c r="B996" t="s">
        <v>20</v>
      </c>
      <c r="C996" t="s">
        <v>21</v>
      </c>
      <c r="D996" t="s">
        <v>15</v>
      </c>
      <c r="E996" t="s">
        <v>16</v>
      </c>
      <c r="F996" t="s">
        <v>23</v>
      </c>
      <c r="G996">
        <v>1</v>
      </c>
      <c r="H996" s="1">
        <v>43514</v>
      </c>
      <c r="I996" s="2">
        <v>0.4861111111111111</v>
      </c>
      <c r="J996" t="s">
        <v>18</v>
      </c>
      <c r="K996">
        <v>3.0474999999999999</v>
      </c>
      <c r="L996">
        <v>5.9</v>
      </c>
    </row>
    <row r="997" spans="1:12" x14ac:dyDescent="0.25">
      <c r="A997" t="s">
        <v>1026</v>
      </c>
      <c r="B997" t="s">
        <v>20</v>
      </c>
      <c r="C997" t="s">
        <v>21</v>
      </c>
      <c r="D997" t="s">
        <v>22</v>
      </c>
      <c r="E997" t="s">
        <v>26</v>
      </c>
      <c r="F997" t="s">
        <v>17</v>
      </c>
      <c r="G997">
        <v>1</v>
      </c>
      <c r="H997" s="1">
        <v>43494</v>
      </c>
      <c r="I997" s="2">
        <v>0.57361111111111118</v>
      </c>
      <c r="J997" t="s">
        <v>18</v>
      </c>
      <c r="K997">
        <v>2.0175000000000001</v>
      </c>
      <c r="L997">
        <v>6.2</v>
      </c>
    </row>
    <row r="998" spans="1:12" x14ac:dyDescent="0.25">
      <c r="A998" t="s">
        <v>1027</v>
      </c>
      <c r="B998" t="s">
        <v>37</v>
      </c>
      <c r="C998" t="s">
        <v>38</v>
      </c>
      <c r="D998" t="s">
        <v>22</v>
      </c>
      <c r="E998" t="s">
        <v>16</v>
      </c>
      <c r="F998" t="s">
        <v>27</v>
      </c>
      <c r="G998">
        <v>10</v>
      </c>
      <c r="H998" s="1">
        <v>43526</v>
      </c>
      <c r="I998" s="2">
        <v>0.71944444444444444</v>
      </c>
      <c r="J998" t="s">
        <v>18</v>
      </c>
      <c r="K998">
        <v>48.69</v>
      </c>
      <c r="L998">
        <v>4.4000000000000004</v>
      </c>
    </row>
    <row r="999" spans="1:12" x14ac:dyDescent="0.25">
      <c r="A999" t="s">
        <v>1028</v>
      </c>
      <c r="B999" t="s">
        <v>13</v>
      </c>
      <c r="C999" t="s">
        <v>14</v>
      </c>
      <c r="D999" t="s">
        <v>15</v>
      </c>
      <c r="E999" t="s">
        <v>26</v>
      </c>
      <c r="F999" t="s">
        <v>39</v>
      </c>
      <c r="G999">
        <v>1</v>
      </c>
      <c r="H999" s="1">
        <v>43505</v>
      </c>
      <c r="I999" s="2">
        <v>0.55694444444444446</v>
      </c>
      <c r="J999" t="s">
        <v>24</v>
      </c>
      <c r="K999">
        <v>1.5920000000000001</v>
      </c>
      <c r="L999">
        <v>7.7</v>
      </c>
    </row>
    <row r="1000" spans="1:12" x14ac:dyDescent="0.25">
      <c r="A1000" t="s">
        <v>1029</v>
      </c>
      <c r="B1000" t="s">
        <v>13</v>
      </c>
      <c r="C1000" t="s">
        <v>14</v>
      </c>
      <c r="D1000" t="s">
        <v>22</v>
      </c>
      <c r="E1000" t="s">
        <v>26</v>
      </c>
      <c r="F1000" t="s">
        <v>27</v>
      </c>
      <c r="G1000">
        <v>1</v>
      </c>
      <c r="H1000" s="1">
        <v>43518</v>
      </c>
      <c r="I1000" s="2">
        <v>0.6479166666666667</v>
      </c>
      <c r="J1000" t="s">
        <v>24</v>
      </c>
      <c r="K1000">
        <v>3.2909999999999999</v>
      </c>
      <c r="L1000">
        <v>4.0999999999999996</v>
      </c>
    </row>
    <row r="1001" spans="1:12" x14ac:dyDescent="0.25">
      <c r="A1001" t="s">
        <v>1030</v>
      </c>
      <c r="B1001" t="s">
        <v>13</v>
      </c>
      <c r="C1001" t="s">
        <v>14</v>
      </c>
      <c r="D1001" t="s">
        <v>15</v>
      </c>
      <c r="E1001" t="s">
        <v>16</v>
      </c>
      <c r="F1001" t="s">
        <v>41</v>
      </c>
      <c r="G1001">
        <v>7</v>
      </c>
      <c r="H1001" s="1">
        <v>43514</v>
      </c>
      <c r="I1001" s="2">
        <v>0.56111111111111112</v>
      </c>
      <c r="J1001" t="s">
        <v>24</v>
      </c>
      <c r="K1001">
        <v>30.919</v>
      </c>
      <c r="L1001">
        <v>6.6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zoomScaleNormal="100" workbookViewId="0">
      <selection activeCell="H2" sqref="H2"/>
    </sheetView>
  </sheetViews>
  <sheetFormatPr defaultRowHeight="15" x14ac:dyDescent="0.25"/>
  <cols>
    <col min="6" max="8" width="19.85546875" customWidth="1"/>
    <col min="9" max="10" width="15.28515625" customWidth="1"/>
    <col min="11" max="11" width="8" customWidth="1"/>
    <col min="12" max="12" width="20.7109375" customWidth="1"/>
    <col min="13" max="13" width="14.7109375" customWidth="1"/>
  </cols>
  <sheetData>
    <row r="1" spans="1:14" x14ac:dyDescent="0.25">
      <c r="A1" t="s">
        <v>0</v>
      </c>
      <c r="B1" t="s">
        <v>1</v>
      </c>
      <c r="C1" t="s">
        <v>2</v>
      </c>
      <c r="D1" t="s">
        <v>3</v>
      </c>
      <c r="E1" t="s">
        <v>4</v>
      </c>
      <c r="F1" t="s">
        <v>5</v>
      </c>
      <c r="G1" t="s">
        <v>1032</v>
      </c>
      <c r="H1" t="s">
        <v>1033</v>
      </c>
      <c r="I1" t="s">
        <v>7</v>
      </c>
      <c r="J1" t="s">
        <v>1031</v>
      </c>
      <c r="K1" t="s">
        <v>8</v>
      </c>
      <c r="L1" t="s">
        <v>9</v>
      </c>
      <c r="M1" t="s">
        <v>10</v>
      </c>
      <c r="N1" t="s">
        <v>11</v>
      </c>
    </row>
    <row r="2" spans="1:14" x14ac:dyDescent="0.25">
      <c r="A2" t="s">
        <v>12</v>
      </c>
      <c r="B2" t="s">
        <v>13</v>
      </c>
      <c r="C2" t="s">
        <v>14</v>
      </c>
      <c r="D2" t="s">
        <v>15</v>
      </c>
      <c r="E2" t="s">
        <v>16</v>
      </c>
      <c r="F2" t="s">
        <v>17</v>
      </c>
      <c r="G2" t="str">
        <f>TEXT(I2/7,"dddd")</f>
        <v>Sunday</v>
      </c>
      <c r="H2" t="str">
        <f>TEXT(I2,"mmm")</f>
        <v>Jan</v>
      </c>
      <c r="I2" s="1">
        <v>43470</v>
      </c>
      <c r="J2" s="1" t="str">
        <f>IF(AND(K2&gt;=TIME(9,0,0),K2&lt;TIME(12,0,0)),"Morning",IF(AND(K2&gt;=TIME(12,0,0),K2&lt;TIME(16,0,0)),"Afternoon","Evening"))</f>
        <v>Afternoon</v>
      </c>
      <c r="K2" s="2">
        <v>0.54722222222222217</v>
      </c>
      <c r="L2" t="s">
        <v>18</v>
      </c>
      <c r="M2">
        <v>26.141500000000001</v>
      </c>
      <c r="N2">
        <v>9.1</v>
      </c>
    </row>
    <row r="3" spans="1:14" x14ac:dyDescent="0.25">
      <c r="A3" t="s">
        <v>19</v>
      </c>
      <c r="B3" t="s">
        <v>20</v>
      </c>
      <c r="C3" t="s">
        <v>21</v>
      </c>
      <c r="D3" t="s">
        <v>22</v>
      </c>
      <c r="E3" t="s">
        <v>16</v>
      </c>
      <c r="F3" t="s">
        <v>23</v>
      </c>
      <c r="G3" t="str">
        <f t="shared" ref="G3:G66" si="0">TEXT(I3/7,"dddd")</f>
        <v>Monday</v>
      </c>
      <c r="H3" t="str">
        <f t="shared" ref="H3:H66" si="1">TEXT(I3,"mmm")</f>
        <v>Mar</v>
      </c>
      <c r="I3" s="1">
        <v>43532</v>
      </c>
      <c r="J3" s="1" t="str">
        <f t="shared" ref="J3:J66" si="2">IF(AND(K3&gt;=TIME(9,0,0),K3&lt;TIME(12,0,0)),"Morning",IF(AND(K3&gt;=TIME(12,0,0),K3&lt;TIME(16,0,0)),"Afternoon","Evening"))</f>
        <v>Morning</v>
      </c>
      <c r="K3" s="2">
        <v>0.4368055555555555</v>
      </c>
      <c r="L3" t="s">
        <v>24</v>
      </c>
      <c r="M3">
        <v>3.82</v>
      </c>
      <c r="N3">
        <v>9.6</v>
      </c>
    </row>
    <row r="4" spans="1:14" x14ac:dyDescent="0.25">
      <c r="A4" t="s">
        <v>25</v>
      </c>
      <c r="B4" t="s">
        <v>13</v>
      </c>
      <c r="C4" t="s">
        <v>14</v>
      </c>
      <c r="D4" t="s">
        <v>22</v>
      </c>
      <c r="E4" t="s">
        <v>26</v>
      </c>
      <c r="F4" t="s">
        <v>27</v>
      </c>
      <c r="G4" t="str">
        <f t="shared" si="0"/>
        <v>Monday</v>
      </c>
      <c r="H4" t="str">
        <f t="shared" si="1"/>
        <v>Mar</v>
      </c>
      <c r="I4" s="1">
        <v>43527</v>
      </c>
      <c r="J4" s="1" t="str">
        <f t="shared" si="2"/>
        <v>Afternoon</v>
      </c>
      <c r="K4" s="2">
        <v>0.55763888888888891</v>
      </c>
      <c r="L4" t="s">
        <v>28</v>
      </c>
      <c r="M4">
        <v>16.215499999999999</v>
      </c>
      <c r="N4">
        <v>7.4</v>
      </c>
    </row>
    <row r="5" spans="1:14" x14ac:dyDescent="0.25">
      <c r="A5" t="s">
        <v>29</v>
      </c>
      <c r="B5" t="s">
        <v>13</v>
      </c>
      <c r="C5" t="s">
        <v>14</v>
      </c>
      <c r="D5" t="s">
        <v>15</v>
      </c>
      <c r="E5" t="s">
        <v>26</v>
      </c>
      <c r="F5" t="s">
        <v>17</v>
      </c>
      <c r="G5" t="str">
        <f t="shared" si="0"/>
        <v>Wednesday</v>
      </c>
      <c r="H5" t="str">
        <f t="shared" si="1"/>
        <v>Jan</v>
      </c>
      <c r="I5" s="1">
        <v>43492</v>
      </c>
      <c r="J5" s="1" t="str">
        <f t="shared" si="2"/>
        <v>Evening</v>
      </c>
      <c r="K5" s="2">
        <v>0.85625000000000007</v>
      </c>
      <c r="L5" t="s">
        <v>18</v>
      </c>
      <c r="M5">
        <v>23.288</v>
      </c>
      <c r="N5">
        <v>8.4</v>
      </c>
    </row>
    <row r="6" spans="1:14" x14ac:dyDescent="0.25">
      <c r="A6" t="s">
        <v>30</v>
      </c>
      <c r="B6" t="s">
        <v>13</v>
      </c>
      <c r="C6" t="s">
        <v>14</v>
      </c>
      <c r="D6" t="s">
        <v>22</v>
      </c>
      <c r="E6" t="s">
        <v>26</v>
      </c>
      <c r="F6" t="s">
        <v>31</v>
      </c>
      <c r="G6" t="str">
        <f t="shared" si="0"/>
        <v>Thursday</v>
      </c>
      <c r="H6" t="str">
        <f t="shared" si="1"/>
        <v>Feb</v>
      </c>
      <c r="I6" s="1">
        <v>43504</v>
      </c>
      <c r="J6" s="1" t="str">
        <f t="shared" si="2"/>
        <v>Morning</v>
      </c>
      <c r="K6" s="2">
        <v>0.44236111111111115</v>
      </c>
      <c r="L6" t="s">
        <v>18</v>
      </c>
      <c r="M6">
        <v>30.208500000000001</v>
      </c>
      <c r="N6">
        <v>5.3</v>
      </c>
    </row>
    <row r="7" spans="1:14" x14ac:dyDescent="0.25">
      <c r="A7" t="s">
        <v>32</v>
      </c>
      <c r="B7" t="s">
        <v>20</v>
      </c>
      <c r="C7" t="s">
        <v>21</v>
      </c>
      <c r="D7" t="s">
        <v>22</v>
      </c>
      <c r="E7" t="s">
        <v>26</v>
      </c>
      <c r="F7" t="s">
        <v>23</v>
      </c>
      <c r="G7" t="str">
        <f t="shared" si="0"/>
        <v>Thursday</v>
      </c>
      <c r="H7" t="str">
        <f t="shared" si="1"/>
        <v>Mar</v>
      </c>
      <c r="I7" s="1">
        <v>43549</v>
      </c>
      <c r="J7" s="1" t="str">
        <f t="shared" si="2"/>
        <v>Evening</v>
      </c>
      <c r="K7" s="2">
        <v>0.77083333333333337</v>
      </c>
      <c r="L7" t="s">
        <v>18</v>
      </c>
      <c r="M7">
        <v>29.886500000000002</v>
      </c>
      <c r="N7">
        <v>4.0999999999999996</v>
      </c>
    </row>
    <row r="8" spans="1:14" x14ac:dyDescent="0.25">
      <c r="A8" t="s">
        <v>33</v>
      </c>
      <c r="B8" t="s">
        <v>13</v>
      </c>
      <c r="C8" t="s">
        <v>14</v>
      </c>
      <c r="D8" t="s">
        <v>15</v>
      </c>
      <c r="E8" t="s">
        <v>16</v>
      </c>
      <c r="F8" t="s">
        <v>23</v>
      </c>
      <c r="G8" t="str">
        <f t="shared" si="0"/>
        <v>Sunday</v>
      </c>
      <c r="H8" t="str">
        <f t="shared" si="1"/>
        <v>Feb</v>
      </c>
      <c r="I8" s="1">
        <v>43521</v>
      </c>
      <c r="J8" s="1" t="str">
        <f t="shared" si="2"/>
        <v>Afternoon</v>
      </c>
      <c r="K8" s="2">
        <v>0.60833333333333328</v>
      </c>
      <c r="L8" t="s">
        <v>18</v>
      </c>
      <c r="M8">
        <v>20.652000000000001</v>
      </c>
      <c r="N8">
        <v>5.8</v>
      </c>
    </row>
    <row r="9" spans="1:14" x14ac:dyDescent="0.25">
      <c r="A9" t="s">
        <v>34</v>
      </c>
      <c r="B9" t="s">
        <v>20</v>
      </c>
      <c r="C9" t="s">
        <v>21</v>
      </c>
      <c r="D9" t="s">
        <v>22</v>
      </c>
      <c r="E9" t="s">
        <v>16</v>
      </c>
      <c r="F9" t="s">
        <v>27</v>
      </c>
      <c r="G9" t="str">
        <f t="shared" si="0"/>
        <v>Sunday</v>
      </c>
      <c r="H9" t="str">
        <f t="shared" si="1"/>
        <v>Feb</v>
      </c>
      <c r="I9" s="1">
        <v>43520</v>
      </c>
      <c r="J9" s="1" t="str">
        <f t="shared" si="2"/>
        <v>Morning</v>
      </c>
      <c r="K9" s="2">
        <v>0.48472222222222222</v>
      </c>
      <c r="L9" t="s">
        <v>18</v>
      </c>
      <c r="M9">
        <v>36.78</v>
      </c>
      <c r="N9">
        <v>8</v>
      </c>
    </row>
    <row r="10" spans="1:14" x14ac:dyDescent="0.25">
      <c r="A10" t="s">
        <v>35</v>
      </c>
      <c r="B10" t="s">
        <v>13</v>
      </c>
      <c r="C10" t="s">
        <v>14</v>
      </c>
      <c r="D10" t="s">
        <v>15</v>
      </c>
      <c r="E10" t="s">
        <v>16</v>
      </c>
      <c r="F10" t="s">
        <v>17</v>
      </c>
      <c r="G10" t="str">
        <f t="shared" si="0"/>
        <v>Sunday</v>
      </c>
      <c r="H10" t="str">
        <f t="shared" si="1"/>
        <v>Jan</v>
      </c>
      <c r="I10" s="1">
        <v>43475</v>
      </c>
      <c r="J10" s="1" t="str">
        <f t="shared" si="2"/>
        <v>Evening</v>
      </c>
      <c r="K10" s="2">
        <v>0.71875</v>
      </c>
      <c r="L10" t="s">
        <v>28</v>
      </c>
      <c r="M10">
        <v>3.6259999999999999</v>
      </c>
      <c r="N10">
        <v>7.2</v>
      </c>
    </row>
    <row r="11" spans="1:14" x14ac:dyDescent="0.25">
      <c r="A11" t="s">
        <v>36</v>
      </c>
      <c r="B11" t="s">
        <v>37</v>
      </c>
      <c r="C11" t="s">
        <v>38</v>
      </c>
      <c r="D11" t="s">
        <v>15</v>
      </c>
      <c r="E11" t="s">
        <v>16</v>
      </c>
      <c r="F11" t="s">
        <v>39</v>
      </c>
      <c r="G11" t="str">
        <f t="shared" si="0"/>
        <v>Saturday</v>
      </c>
      <c r="H11" t="str">
        <f t="shared" si="1"/>
        <v>Feb</v>
      </c>
      <c r="I11" s="1">
        <v>43516</v>
      </c>
      <c r="J11" s="1" t="str">
        <f t="shared" si="2"/>
        <v>Afternoon</v>
      </c>
      <c r="K11" s="2">
        <v>0.56041666666666667</v>
      </c>
      <c r="L11" t="s">
        <v>28</v>
      </c>
      <c r="M11">
        <v>8.2260000000000009</v>
      </c>
      <c r="N11">
        <v>5.9</v>
      </c>
    </row>
    <row r="12" spans="1:14" x14ac:dyDescent="0.25">
      <c r="A12" t="s">
        <v>40</v>
      </c>
      <c r="B12" t="s">
        <v>37</v>
      </c>
      <c r="C12" t="s">
        <v>38</v>
      </c>
      <c r="D12" t="s">
        <v>15</v>
      </c>
      <c r="E12" t="s">
        <v>16</v>
      </c>
      <c r="F12" t="s">
        <v>41</v>
      </c>
      <c r="G12" t="str">
        <f t="shared" si="0"/>
        <v>Thursday</v>
      </c>
      <c r="H12" t="str">
        <f t="shared" si="1"/>
        <v>Feb</v>
      </c>
      <c r="I12" s="1">
        <v>43502</v>
      </c>
      <c r="J12" s="1" t="str">
        <f t="shared" si="2"/>
        <v>Evening</v>
      </c>
      <c r="K12" s="2">
        <v>0.75486111111111109</v>
      </c>
      <c r="L12" t="s">
        <v>18</v>
      </c>
      <c r="M12">
        <v>2.8959999999999999</v>
      </c>
      <c r="N12">
        <v>4.5</v>
      </c>
    </row>
    <row r="13" spans="1:14" x14ac:dyDescent="0.25">
      <c r="A13" t="s">
        <v>42</v>
      </c>
      <c r="B13" t="s">
        <v>37</v>
      </c>
      <c r="C13" t="s">
        <v>38</v>
      </c>
      <c r="D13" t="s">
        <v>15</v>
      </c>
      <c r="E13" t="s">
        <v>26</v>
      </c>
      <c r="F13" t="s">
        <v>23</v>
      </c>
      <c r="G13" t="str">
        <f t="shared" si="0"/>
        <v>Tuesday</v>
      </c>
      <c r="H13" t="str">
        <f t="shared" si="1"/>
        <v>Mar</v>
      </c>
      <c r="I13" s="1">
        <v>43533</v>
      </c>
      <c r="J13" s="1" t="str">
        <f t="shared" si="2"/>
        <v>Evening</v>
      </c>
      <c r="K13" s="2">
        <v>0.7104166666666667</v>
      </c>
      <c r="L13" t="s">
        <v>24</v>
      </c>
      <c r="M13">
        <v>5.1020000000000003</v>
      </c>
      <c r="N13">
        <v>6.8</v>
      </c>
    </row>
    <row r="14" spans="1:14" x14ac:dyDescent="0.25">
      <c r="A14" t="s">
        <v>43</v>
      </c>
      <c r="B14" t="s">
        <v>13</v>
      </c>
      <c r="C14" t="s">
        <v>14</v>
      </c>
      <c r="D14" t="s">
        <v>22</v>
      </c>
      <c r="E14" t="s">
        <v>16</v>
      </c>
      <c r="F14" t="s">
        <v>23</v>
      </c>
      <c r="G14" t="str">
        <f t="shared" si="0"/>
        <v>Friday</v>
      </c>
      <c r="H14" t="str">
        <f t="shared" si="1"/>
        <v>Feb</v>
      </c>
      <c r="I14" s="1">
        <v>43508</v>
      </c>
      <c r="J14" s="1" t="str">
        <f t="shared" si="2"/>
        <v>Morning</v>
      </c>
      <c r="K14" s="2">
        <v>0.43402777777777773</v>
      </c>
      <c r="L14" t="s">
        <v>18</v>
      </c>
      <c r="M14">
        <v>11.737500000000001</v>
      </c>
      <c r="N14">
        <v>7.1</v>
      </c>
    </row>
    <row r="15" spans="1:14" x14ac:dyDescent="0.25">
      <c r="A15" t="s">
        <v>44</v>
      </c>
      <c r="B15" t="s">
        <v>13</v>
      </c>
      <c r="C15" t="s">
        <v>14</v>
      </c>
      <c r="D15" t="s">
        <v>22</v>
      </c>
      <c r="E15" t="s">
        <v>26</v>
      </c>
      <c r="F15" t="s">
        <v>39</v>
      </c>
      <c r="G15" t="str">
        <f t="shared" si="0"/>
        <v>Thursday</v>
      </c>
      <c r="H15" t="str">
        <f t="shared" si="1"/>
        <v>Feb</v>
      </c>
      <c r="I15" s="1">
        <v>43503</v>
      </c>
      <c r="J15" s="1" t="str">
        <f t="shared" si="2"/>
        <v>Evening</v>
      </c>
      <c r="K15" s="2">
        <v>0.70000000000000007</v>
      </c>
      <c r="L15" t="s">
        <v>18</v>
      </c>
      <c r="M15">
        <v>21.594999999999999</v>
      </c>
      <c r="N15">
        <v>8.1999999999999993</v>
      </c>
    </row>
    <row r="16" spans="1:14" x14ac:dyDescent="0.25">
      <c r="A16" t="s">
        <v>45</v>
      </c>
      <c r="B16" t="s">
        <v>13</v>
      </c>
      <c r="C16" t="s">
        <v>14</v>
      </c>
      <c r="D16" t="s">
        <v>22</v>
      </c>
      <c r="E16" t="s">
        <v>16</v>
      </c>
      <c r="F16" t="s">
        <v>17</v>
      </c>
      <c r="G16" t="str">
        <f t="shared" si="0"/>
        <v>Thursday</v>
      </c>
      <c r="H16" t="str">
        <f t="shared" si="1"/>
        <v>Mar</v>
      </c>
      <c r="I16" s="1">
        <v>43553</v>
      </c>
      <c r="J16" s="1" t="str">
        <f t="shared" si="2"/>
        <v>Evening</v>
      </c>
      <c r="K16" s="2">
        <v>0.80625000000000002</v>
      </c>
      <c r="L16" t="s">
        <v>24</v>
      </c>
      <c r="M16">
        <v>35.69</v>
      </c>
      <c r="N16">
        <v>5.7</v>
      </c>
    </row>
    <row r="17" spans="1:14" x14ac:dyDescent="0.25">
      <c r="A17" t="s">
        <v>46</v>
      </c>
      <c r="B17" t="s">
        <v>37</v>
      </c>
      <c r="C17" t="s">
        <v>38</v>
      </c>
      <c r="D17" t="s">
        <v>15</v>
      </c>
      <c r="E17" t="s">
        <v>16</v>
      </c>
      <c r="F17" t="s">
        <v>31</v>
      </c>
      <c r="G17" t="str">
        <f t="shared" si="0"/>
        <v>Monday</v>
      </c>
      <c r="H17" t="str">
        <f t="shared" si="1"/>
        <v>Jan</v>
      </c>
      <c r="I17" s="1">
        <v>43480</v>
      </c>
      <c r="J17" s="1" t="str">
        <f t="shared" si="2"/>
        <v>Evening</v>
      </c>
      <c r="K17" s="2">
        <v>0.67986111111111114</v>
      </c>
      <c r="L17" t="s">
        <v>24</v>
      </c>
      <c r="M17">
        <v>28.116</v>
      </c>
      <c r="N17">
        <v>4.5</v>
      </c>
    </row>
    <row r="18" spans="1:14" x14ac:dyDescent="0.25">
      <c r="A18" t="s">
        <v>47</v>
      </c>
      <c r="B18" t="s">
        <v>13</v>
      </c>
      <c r="C18" t="s">
        <v>14</v>
      </c>
      <c r="D18" t="s">
        <v>15</v>
      </c>
      <c r="E18" t="s">
        <v>16</v>
      </c>
      <c r="F18" t="s">
        <v>17</v>
      </c>
      <c r="G18" t="str">
        <f t="shared" si="0"/>
        <v>Tuesday</v>
      </c>
      <c r="H18" t="str">
        <f t="shared" si="1"/>
        <v>Mar</v>
      </c>
      <c r="I18" s="1">
        <v>43535</v>
      </c>
      <c r="J18" s="1" t="str">
        <f t="shared" si="2"/>
        <v>Morning</v>
      </c>
      <c r="K18" s="2">
        <v>0.4604166666666667</v>
      </c>
      <c r="L18" t="s">
        <v>28</v>
      </c>
      <c r="M18">
        <v>24.125499999999999</v>
      </c>
      <c r="N18">
        <v>4.5999999999999996</v>
      </c>
    </row>
    <row r="19" spans="1:14" x14ac:dyDescent="0.25">
      <c r="A19" t="s">
        <v>48</v>
      </c>
      <c r="B19" t="s">
        <v>13</v>
      </c>
      <c r="C19" t="s">
        <v>14</v>
      </c>
      <c r="D19" t="s">
        <v>22</v>
      </c>
      <c r="E19" t="s">
        <v>26</v>
      </c>
      <c r="F19" t="s">
        <v>31</v>
      </c>
      <c r="G19" t="str">
        <f t="shared" si="0"/>
        <v>Saturday</v>
      </c>
      <c r="H19" t="str">
        <f t="shared" si="1"/>
        <v>Jan</v>
      </c>
      <c r="I19" s="1">
        <v>43466</v>
      </c>
      <c r="J19" s="1" t="str">
        <f t="shared" si="2"/>
        <v>Morning</v>
      </c>
      <c r="K19" s="2">
        <v>0.44375000000000003</v>
      </c>
      <c r="L19" t="s">
        <v>28</v>
      </c>
      <c r="M19">
        <v>21.783000000000001</v>
      </c>
      <c r="N19">
        <v>6.9</v>
      </c>
    </row>
    <row r="20" spans="1:14" x14ac:dyDescent="0.25">
      <c r="A20" t="s">
        <v>49</v>
      </c>
      <c r="B20" t="s">
        <v>13</v>
      </c>
      <c r="C20" t="s">
        <v>14</v>
      </c>
      <c r="D20" t="s">
        <v>22</v>
      </c>
      <c r="E20" t="s">
        <v>26</v>
      </c>
      <c r="F20" t="s">
        <v>39</v>
      </c>
      <c r="G20" t="str">
        <f t="shared" si="0"/>
        <v>Tuesday</v>
      </c>
      <c r="H20" t="str">
        <f t="shared" si="1"/>
        <v>Jan</v>
      </c>
      <c r="I20" s="1">
        <v>43486</v>
      </c>
      <c r="J20" s="1" t="str">
        <f t="shared" si="2"/>
        <v>Evening</v>
      </c>
      <c r="K20" s="2">
        <v>0.75</v>
      </c>
      <c r="L20" t="s">
        <v>28</v>
      </c>
      <c r="M20">
        <v>8.2004999999999999</v>
      </c>
      <c r="N20">
        <v>8.6</v>
      </c>
    </row>
    <row r="21" spans="1:14" x14ac:dyDescent="0.25">
      <c r="A21" t="s">
        <v>50</v>
      </c>
      <c r="B21" t="s">
        <v>37</v>
      </c>
      <c r="C21" t="s">
        <v>38</v>
      </c>
      <c r="D21" t="s">
        <v>22</v>
      </c>
      <c r="E21" t="s">
        <v>16</v>
      </c>
      <c r="F21" t="s">
        <v>27</v>
      </c>
      <c r="G21" t="str">
        <f t="shared" si="0"/>
        <v>Tuesday</v>
      </c>
      <c r="H21" t="str">
        <f t="shared" si="1"/>
        <v>Mar</v>
      </c>
      <c r="I21" s="1">
        <v>43535</v>
      </c>
      <c r="J21" s="1" t="str">
        <f t="shared" si="2"/>
        <v>Afternoon</v>
      </c>
      <c r="K21" s="2">
        <v>0.64583333333333337</v>
      </c>
      <c r="L21" t="s">
        <v>18</v>
      </c>
      <c r="M21">
        <v>4.03</v>
      </c>
      <c r="N21">
        <v>4.4000000000000004</v>
      </c>
    </row>
    <row r="22" spans="1:14" x14ac:dyDescent="0.25">
      <c r="A22" t="s">
        <v>51</v>
      </c>
      <c r="B22" t="s">
        <v>20</v>
      </c>
      <c r="C22" t="s">
        <v>21</v>
      </c>
      <c r="D22" t="s">
        <v>15</v>
      </c>
      <c r="E22" t="s">
        <v>26</v>
      </c>
      <c r="F22" t="s">
        <v>23</v>
      </c>
      <c r="G22" t="str">
        <f t="shared" si="0"/>
        <v>Sunday</v>
      </c>
      <c r="H22" t="str">
        <f t="shared" si="1"/>
        <v>Feb</v>
      </c>
      <c r="I22" s="1">
        <v>43521</v>
      </c>
      <c r="J22" s="1" t="str">
        <f t="shared" si="2"/>
        <v>Morning</v>
      </c>
      <c r="K22" s="2">
        <v>0.47500000000000003</v>
      </c>
      <c r="L22" t="s">
        <v>18</v>
      </c>
      <c r="M22">
        <v>21.51</v>
      </c>
      <c r="N22">
        <v>4.8</v>
      </c>
    </row>
    <row r="23" spans="1:14" x14ac:dyDescent="0.25">
      <c r="A23" t="s">
        <v>52</v>
      </c>
      <c r="B23" t="s">
        <v>37</v>
      </c>
      <c r="C23" t="s">
        <v>38</v>
      </c>
      <c r="D23" t="s">
        <v>22</v>
      </c>
      <c r="E23" t="s">
        <v>26</v>
      </c>
      <c r="F23" t="s">
        <v>17</v>
      </c>
      <c r="G23" t="str">
        <f t="shared" si="0"/>
        <v>Monday</v>
      </c>
      <c r="H23" t="str">
        <f t="shared" si="1"/>
        <v>Mar</v>
      </c>
      <c r="I23" s="1">
        <v>43529</v>
      </c>
      <c r="J23" s="1" t="str">
        <f t="shared" si="2"/>
        <v>Morning</v>
      </c>
      <c r="K23" s="2">
        <v>0.44444444444444442</v>
      </c>
      <c r="L23" t="s">
        <v>18</v>
      </c>
      <c r="M23">
        <v>13.196999999999999</v>
      </c>
      <c r="N23">
        <v>5.0999999999999996</v>
      </c>
    </row>
    <row r="24" spans="1:14" x14ac:dyDescent="0.25">
      <c r="A24" t="s">
        <v>53</v>
      </c>
      <c r="B24" t="s">
        <v>37</v>
      </c>
      <c r="C24" t="s">
        <v>38</v>
      </c>
      <c r="D24" t="s">
        <v>22</v>
      </c>
      <c r="E24" t="s">
        <v>26</v>
      </c>
      <c r="F24" t="s">
        <v>27</v>
      </c>
      <c r="G24" t="str">
        <f t="shared" si="0"/>
        <v>Tuesday</v>
      </c>
      <c r="H24" t="str">
        <f t="shared" si="1"/>
        <v>Mar</v>
      </c>
      <c r="I24" s="1">
        <v>43539</v>
      </c>
      <c r="J24" s="1" t="str">
        <f t="shared" si="2"/>
        <v>Afternoon</v>
      </c>
      <c r="K24" s="2">
        <v>0.51388888888888895</v>
      </c>
      <c r="L24" t="s">
        <v>28</v>
      </c>
      <c r="M24">
        <v>3.32</v>
      </c>
      <c r="N24">
        <v>4.4000000000000004</v>
      </c>
    </row>
    <row r="25" spans="1:14" x14ac:dyDescent="0.25">
      <c r="A25" t="s">
        <v>54</v>
      </c>
      <c r="B25" t="s">
        <v>13</v>
      </c>
      <c r="C25" t="s">
        <v>14</v>
      </c>
      <c r="D25" t="s">
        <v>22</v>
      </c>
      <c r="E25" t="s">
        <v>26</v>
      </c>
      <c r="F25" t="s">
        <v>23</v>
      </c>
      <c r="G25" t="str">
        <f t="shared" si="0"/>
        <v>Saturday</v>
      </c>
      <c r="H25" t="str">
        <f t="shared" si="1"/>
        <v>Feb</v>
      </c>
      <c r="I25" s="1">
        <v>43513</v>
      </c>
      <c r="J25" s="1" t="str">
        <f t="shared" si="2"/>
        <v>Morning</v>
      </c>
      <c r="K25" s="2">
        <v>0.46875</v>
      </c>
      <c r="L25" t="s">
        <v>18</v>
      </c>
      <c r="M25">
        <v>8.64</v>
      </c>
      <c r="N25">
        <v>9.9</v>
      </c>
    </row>
    <row r="26" spans="1:14" x14ac:dyDescent="0.25">
      <c r="A26" t="s">
        <v>55</v>
      </c>
      <c r="B26" t="s">
        <v>13</v>
      </c>
      <c r="C26" t="s">
        <v>14</v>
      </c>
      <c r="D26" t="s">
        <v>15</v>
      </c>
      <c r="E26" t="s">
        <v>26</v>
      </c>
      <c r="F26" t="s">
        <v>31</v>
      </c>
      <c r="G26" t="str">
        <f t="shared" si="0"/>
        <v>Monday</v>
      </c>
      <c r="H26" t="str">
        <f t="shared" si="1"/>
        <v>Mar</v>
      </c>
      <c r="I26" s="1">
        <v>43526</v>
      </c>
      <c r="J26" s="1" t="str">
        <f t="shared" si="2"/>
        <v>Evening</v>
      </c>
      <c r="K26" s="2">
        <v>0.73333333333333339</v>
      </c>
      <c r="L26" t="s">
        <v>18</v>
      </c>
      <c r="M26">
        <v>13.294499999999999</v>
      </c>
      <c r="N26">
        <v>6</v>
      </c>
    </row>
    <row r="27" spans="1:14" x14ac:dyDescent="0.25">
      <c r="A27" t="s">
        <v>56</v>
      </c>
      <c r="B27" t="s">
        <v>13</v>
      </c>
      <c r="C27" t="s">
        <v>14</v>
      </c>
      <c r="D27" t="s">
        <v>15</v>
      </c>
      <c r="E27" t="s">
        <v>16</v>
      </c>
      <c r="F27" t="s">
        <v>27</v>
      </c>
      <c r="G27" t="str">
        <f t="shared" si="0"/>
        <v>Wednesday</v>
      </c>
      <c r="H27" t="str">
        <f t="shared" si="1"/>
        <v>Mar</v>
      </c>
      <c r="I27" s="1">
        <v>43546</v>
      </c>
      <c r="J27" s="1" t="str">
        <f t="shared" si="2"/>
        <v>Evening</v>
      </c>
      <c r="K27" s="2">
        <v>0.80555555555555547</v>
      </c>
      <c r="L27" t="s">
        <v>28</v>
      </c>
      <c r="M27">
        <v>21.036000000000001</v>
      </c>
      <c r="N27">
        <v>8.5</v>
      </c>
    </row>
    <row r="28" spans="1:14" x14ac:dyDescent="0.25">
      <c r="A28" t="s">
        <v>57</v>
      </c>
      <c r="B28" t="s">
        <v>37</v>
      </c>
      <c r="C28" t="s">
        <v>38</v>
      </c>
      <c r="D28" t="s">
        <v>22</v>
      </c>
      <c r="E28" t="s">
        <v>26</v>
      </c>
      <c r="F28" t="s">
        <v>41</v>
      </c>
      <c r="G28" t="str">
        <f t="shared" si="0"/>
        <v>Thursday</v>
      </c>
      <c r="H28" t="str">
        <f t="shared" si="1"/>
        <v>Feb</v>
      </c>
      <c r="I28" s="1">
        <v>43504</v>
      </c>
      <c r="J28" s="1" t="str">
        <f t="shared" si="2"/>
        <v>Afternoon</v>
      </c>
      <c r="K28" s="2">
        <v>0.64652777777777781</v>
      </c>
      <c r="L28" t="s">
        <v>24</v>
      </c>
      <c r="M28">
        <v>1.6759999999999999</v>
      </c>
      <c r="N28">
        <v>6.7</v>
      </c>
    </row>
    <row r="29" spans="1:14" x14ac:dyDescent="0.25">
      <c r="A29" t="s">
        <v>58</v>
      </c>
      <c r="B29" t="s">
        <v>13</v>
      </c>
      <c r="C29" t="s">
        <v>14</v>
      </c>
      <c r="D29" t="s">
        <v>22</v>
      </c>
      <c r="E29" t="s">
        <v>16</v>
      </c>
      <c r="F29" t="s">
        <v>41</v>
      </c>
      <c r="G29" t="str">
        <f t="shared" si="0"/>
        <v>Tuesday</v>
      </c>
      <c r="H29" t="str">
        <f t="shared" si="1"/>
        <v>Mar</v>
      </c>
      <c r="I29" s="1">
        <v>43534</v>
      </c>
      <c r="J29" s="1" t="str">
        <f t="shared" si="2"/>
        <v>Afternoon</v>
      </c>
      <c r="K29" s="2">
        <v>0.51180555555555551</v>
      </c>
      <c r="L29" t="s">
        <v>28</v>
      </c>
      <c r="M29">
        <v>8.7669999999999995</v>
      </c>
      <c r="N29">
        <v>7.7</v>
      </c>
    </row>
    <row r="30" spans="1:14" x14ac:dyDescent="0.25">
      <c r="A30" t="s">
        <v>59</v>
      </c>
      <c r="B30" t="s">
        <v>37</v>
      </c>
      <c r="C30" t="s">
        <v>38</v>
      </c>
      <c r="D30" t="s">
        <v>22</v>
      </c>
      <c r="E30" t="s">
        <v>16</v>
      </c>
      <c r="F30" t="s">
        <v>39</v>
      </c>
      <c r="G30" t="str">
        <f t="shared" si="0"/>
        <v>Tuesday</v>
      </c>
      <c r="H30" t="str">
        <f t="shared" si="1"/>
        <v>Jan</v>
      </c>
      <c r="I30" s="1">
        <v>43490</v>
      </c>
      <c r="J30" s="1" t="str">
        <f t="shared" si="2"/>
        <v>Evening</v>
      </c>
      <c r="K30" s="2">
        <v>0.82500000000000007</v>
      </c>
      <c r="L30" t="s">
        <v>24</v>
      </c>
      <c r="M30">
        <v>22.09</v>
      </c>
      <c r="N30">
        <v>9.6</v>
      </c>
    </row>
    <row r="31" spans="1:14" x14ac:dyDescent="0.25">
      <c r="A31" t="s">
        <v>60</v>
      </c>
      <c r="B31" t="s">
        <v>13</v>
      </c>
      <c r="C31" t="s">
        <v>14</v>
      </c>
      <c r="D31" t="s">
        <v>22</v>
      </c>
      <c r="E31" t="s">
        <v>26</v>
      </c>
      <c r="F31" t="s">
        <v>17</v>
      </c>
      <c r="G31" t="str">
        <f t="shared" si="0"/>
        <v>Tuesday</v>
      </c>
      <c r="H31" t="str">
        <f t="shared" si="1"/>
        <v>Mar</v>
      </c>
      <c r="I31" s="1">
        <v>43539</v>
      </c>
      <c r="J31" s="1" t="str">
        <f t="shared" si="2"/>
        <v>Afternoon</v>
      </c>
      <c r="K31" s="2">
        <v>0.65</v>
      </c>
      <c r="L31" t="s">
        <v>24</v>
      </c>
      <c r="M31">
        <v>11.2005</v>
      </c>
      <c r="N31">
        <v>7.4</v>
      </c>
    </row>
    <row r="32" spans="1:14" x14ac:dyDescent="0.25">
      <c r="A32" t="s">
        <v>61</v>
      </c>
      <c r="B32" t="s">
        <v>37</v>
      </c>
      <c r="C32" t="s">
        <v>38</v>
      </c>
      <c r="D32" t="s">
        <v>22</v>
      </c>
      <c r="E32" t="s">
        <v>26</v>
      </c>
      <c r="F32" t="s">
        <v>41</v>
      </c>
      <c r="G32" t="str">
        <f t="shared" si="0"/>
        <v>Sunday</v>
      </c>
      <c r="H32" t="str">
        <f t="shared" si="1"/>
        <v>Feb</v>
      </c>
      <c r="I32" s="1">
        <v>43521</v>
      </c>
      <c r="J32" s="1" t="str">
        <f t="shared" si="2"/>
        <v>Evening</v>
      </c>
      <c r="K32" s="2">
        <v>0.81874999999999998</v>
      </c>
      <c r="L32" t="s">
        <v>28</v>
      </c>
      <c r="M32">
        <v>23.532499999999999</v>
      </c>
      <c r="N32">
        <v>4.8</v>
      </c>
    </row>
    <row r="33" spans="1:14" x14ac:dyDescent="0.25">
      <c r="A33" t="s">
        <v>62</v>
      </c>
      <c r="B33" t="s">
        <v>37</v>
      </c>
      <c r="C33" t="s">
        <v>38</v>
      </c>
      <c r="D33" t="s">
        <v>15</v>
      </c>
      <c r="E33" t="s">
        <v>26</v>
      </c>
      <c r="F33" t="s">
        <v>31</v>
      </c>
      <c r="G33" t="str">
        <f t="shared" si="0"/>
        <v>Wednesday</v>
      </c>
      <c r="H33" t="str">
        <f t="shared" si="1"/>
        <v>Jan</v>
      </c>
      <c r="I33" s="1">
        <v>43493</v>
      </c>
      <c r="J33" s="1" t="str">
        <f t="shared" si="2"/>
        <v>Afternoon</v>
      </c>
      <c r="K33" s="2">
        <v>0.52986111111111112</v>
      </c>
      <c r="L33" t="s">
        <v>24</v>
      </c>
      <c r="M33">
        <v>35.131500000000003</v>
      </c>
      <c r="N33">
        <v>4.5</v>
      </c>
    </row>
    <row r="34" spans="1:14" x14ac:dyDescent="0.25">
      <c r="A34" t="s">
        <v>63</v>
      </c>
      <c r="B34" t="s">
        <v>37</v>
      </c>
      <c r="C34" t="s">
        <v>38</v>
      </c>
      <c r="D34" t="s">
        <v>22</v>
      </c>
      <c r="E34" t="s">
        <v>26</v>
      </c>
      <c r="F34" t="s">
        <v>31</v>
      </c>
      <c r="G34" t="str">
        <f t="shared" si="0"/>
        <v>Sunday</v>
      </c>
      <c r="H34" t="str">
        <f t="shared" si="1"/>
        <v>Jan</v>
      </c>
      <c r="I34" s="1">
        <v>43475</v>
      </c>
      <c r="J34" s="1" t="str">
        <f t="shared" si="2"/>
        <v>Afternoon</v>
      </c>
      <c r="K34" s="2">
        <v>0.61736111111111114</v>
      </c>
      <c r="L34" t="s">
        <v>24</v>
      </c>
      <c r="M34">
        <v>33.512</v>
      </c>
      <c r="N34">
        <v>5.0999999999999996</v>
      </c>
    </row>
    <row r="35" spans="1:14" x14ac:dyDescent="0.25">
      <c r="A35" t="s">
        <v>64</v>
      </c>
      <c r="B35" t="s">
        <v>13</v>
      </c>
      <c r="C35" t="s">
        <v>14</v>
      </c>
      <c r="D35" t="s">
        <v>22</v>
      </c>
      <c r="E35" t="s">
        <v>26</v>
      </c>
      <c r="F35" t="s">
        <v>17</v>
      </c>
      <c r="G35" t="str">
        <f t="shared" si="0"/>
        <v>Tuesday</v>
      </c>
      <c r="H35" t="str">
        <f t="shared" si="1"/>
        <v>Mar</v>
      </c>
      <c r="I35" s="1">
        <v>43539</v>
      </c>
      <c r="J35" s="1" t="str">
        <f t="shared" si="2"/>
        <v>Morning</v>
      </c>
      <c r="K35" s="2">
        <v>0.42499999999999999</v>
      </c>
      <c r="L35" t="s">
        <v>28</v>
      </c>
      <c r="M35">
        <v>9.6579999999999995</v>
      </c>
      <c r="N35">
        <v>5.0999999999999996</v>
      </c>
    </row>
    <row r="36" spans="1:14" x14ac:dyDescent="0.25">
      <c r="A36" t="s">
        <v>65</v>
      </c>
      <c r="B36" t="s">
        <v>20</v>
      </c>
      <c r="C36" t="s">
        <v>21</v>
      </c>
      <c r="D36" t="s">
        <v>15</v>
      </c>
      <c r="E36" t="s">
        <v>16</v>
      </c>
      <c r="F36" t="s">
        <v>39</v>
      </c>
      <c r="G36" t="str">
        <f t="shared" si="0"/>
        <v>Thursday</v>
      </c>
      <c r="H36" t="str">
        <f t="shared" si="1"/>
        <v>Feb</v>
      </c>
      <c r="I36" s="1">
        <v>43502</v>
      </c>
      <c r="J36" s="1" t="str">
        <f t="shared" si="2"/>
        <v>Morning</v>
      </c>
      <c r="K36" s="2">
        <v>0.4458333333333333</v>
      </c>
      <c r="L36" t="s">
        <v>18</v>
      </c>
      <c r="M36">
        <v>19.884</v>
      </c>
      <c r="N36">
        <v>7.5</v>
      </c>
    </row>
    <row r="37" spans="1:14" x14ac:dyDescent="0.25">
      <c r="A37" t="s">
        <v>66</v>
      </c>
      <c r="B37" t="s">
        <v>20</v>
      </c>
      <c r="C37" t="s">
        <v>21</v>
      </c>
      <c r="D37" t="s">
        <v>15</v>
      </c>
      <c r="E37" t="s">
        <v>16</v>
      </c>
      <c r="F37" t="s">
        <v>31</v>
      </c>
      <c r="G37" t="str">
        <f t="shared" si="0"/>
        <v>Sunday</v>
      </c>
      <c r="H37" t="str">
        <f t="shared" si="1"/>
        <v>Jan</v>
      </c>
      <c r="I37" s="1">
        <v>43472</v>
      </c>
      <c r="J37" s="1" t="str">
        <f t="shared" si="2"/>
        <v>Afternoon</v>
      </c>
      <c r="K37" s="2">
        <v>0.51944444444444449</v>
      </c>
      <c r="L37" t="s">
        <v>18</v>
      </c>
      <c r="M37">
        <v>3.4060000000000001</v>
      </c>
      <c r="N37">
        <v>6.8</v>
      </c>
    </row>
    <row r="38" spans="1:14" x14ac:dyDescent="0.25">
      <c r="A38" t="s">
        <v>67</v>
      </c>
      <c r="B38" t="s">
        <v>13</v>
      </c>
      <c r="C38" t="s">
        <v>14</v>
      </c>
      <c r="D38" t="s">
        <v>15</v>
      </c>
      <c r="E38" t="s">
        <v>26</v>
      </c>
      <c r="F38" t="s">
        <v>31</v>
      </c>
      <c r="G38" t="str">
        <f t="shared" si="0"/>
        <v>Tuesday</v>
      </c>
      <c r="H38" t="str">
        <f t="shared" si="1"/>
        <v>Mar</v>
      </c>
      <c r="I38" s="1">
        <v>43534</v>
      </c>
      <c r="J38" s="1" t="str">
        <f t="shared" si="2"/>
        <v>Evening</v>
      </c>
      <c r="K38" s="2">
        <v>0.80208333333333337</v>
      </c>
      <c r="L38" t="s">
        <v>18</v>
      </c>
      <c r="M38">
        <v>15.654999999999999</v>
      </c>
      <c r="N38">
        <v>7</v>
      </c>
    </row>
    <row r="39" spans="1:14" x14ac:dyDescent="0.25">
      <c r="A39" t="s">
        <v>68</v>
      </c>
      <c r="B39" t="s">
        <v>13</v>
      </c>
      <c r="C39" t="s">
        <v>14</v>
      </c>
      <c r="D39" t="s">
        <v>22</v>
      </c>
      <c r="E39" t="s">
        <v>16</v>
      </c>
      <c r="F39" t="s">
        <v>23</v>
      </c>
      <c r="G39" t="str">
        <f t="shared" si="0"/>
        <v>Monday</v>
      </c>
      <c r="H39" t="str">
        <f t="shared" si="1"/>
        <v>Jan</v>
      </c>
      <c r="I39" s="1">
        <v>43480</v>
      </c>
      <c r="J39" s="1" t="str">
        <f t="shared" si="2"/>
        <v>Evening</v>
      </c>
      <c r="K39" s="2">
        <v>0.72013888888888899</v>
      </c>
      <c r="L39" t="s">
        <v>18</v>
      </c>
      <c r="M39">
        <v>27.396000000000001</v>
      </c>
      <c r="N39">
        <v>4.7</v>
      </c>
    </row>
    <row r="40" spans="1:14" x14ac:dyDescent="0.25">
      <c r="A40" t="s">
        <v>69</v>
      </c>
      <c r="B40" t="s">
        <v>20</v>
      </c>
      <c r="C40" t="s">
        <v>21</v>
      </c>
      <c r="D40" t="s">
        <v>22</v>
      </c>
      <c r="E40" t="s">
        <v>16</v>
      </c>
      <c r="F40" t="s">
        <v>17</v>
      </c>
      <c r="G40" t="str">
        <f t="shared" si="0"/>
        <v>Thursday</v>
      </c>
      <c r="H40" t="str">
        <f t="shared" si="1"/>
        <v>Mar</v>
      </c>
      <c r="I40" s="1">
        <v>43547</v>
      </c>
      <c r="J40" s="1" t="str">
        <f t="shared" si="2"/>
        <v>Afternoon</v>
      </c>
      <c r="K40" s="2">
        <v>0.55833333333333335</v>
      </c>
      <c r="L40" t="s">
        <v>18</v>
      </c>
      <c r="M40">
        <v>21.968</v>
      </c>
      <c r="N40">
        <v>7.6</v>
      </c>
    </row>
    <row r="41" spans="1:14" x14ac:dyDescent="0.25">
      <c r="A41" t="s">
        <v>70</v>
      </c>
      <c r="B41" t="s">
        <v>37</v>
      </c>
      <c r="C41" t="s">
        <v>38</v>
      </c>
      <c r="D41" t="s">
        <v>15</v>
      </c>
      <c r="E41" t="s">
        <v>26</v>
      </c>
      <c r="F41" t="s">
        <v>27</v>
      </c>
      <c r="G41" t="str">
        <f t="shared" si="0"/>
        <v>Monday</v>
      </c>
      <c r="H41" t="str">
        <f t="shared" si="1"/>
        <v>Mar</v>
      </c>
      <c r="I41" s="1">
        <v>43527</v>
      </c>
      <c r="J41" s="1" t="str">
        <f t="shared" si="2"/>
        <v>Afternoon</v>
      </c>
      <c r="K41" s="2">
        <v>0.54236111111111118</v>
      </c>
      <c r="L41" t="s">
        <v>24</v>
      </c>
      <c r="M41">
        <v>12.048</v>
      </c>
      <c r="N41">
        <v>7.7</v>
      </c>
    </row>
    <row r="42" spans="1:14" x14ac:dyDescent="0.25">
      <c r="A42" t="s">
        <v>71</v>
      </c>
      <c r="B42" t="s">
        <v>37</v>
      </c>
      <c r="C42" t="s">
        <v>38</v>
      </c>
      <c r="D42" t="s">
        <v>15</v>
      </c>
      <c r="E42" t="s">
        <v>16</v>
      </c>
      <c r="F42" t="s">
        <v>27</v>
      </c>
      <c r="G42" t="str">
        <f t="shared" si="0"/>
        <v>Monday</v>
      </c>
      <c r="H42" t="str">
        <f t="shared" si="1"/>
        <v>Jan</v>
      </c>
      <c r="I42" s="1">
        <v>43482</v>
      </c>
      <c r="J42" s="1" t="str">
        <f t="shared" si="2"/>
        <v>Evening</v>
      </c>
      <c r="K42" s="2">
        <v>0.78125</v>
      </c>
      <c r="L42" t="s">
        <v>18</v>
      </c>
      <c r="M42">
        <v>4.3360000000000003</v>
      </c>
      <c r="N42">
        <v>7.9</v>
      </c>
    </row>
    <row r="43" spans="1:14" x14ac:dyDescent="0.25">
      <c r="A43" t="s">
        <v>72</v>
      </c>
      <c r="B43" t="s">
        <v>20</v>
      </c>
      <c r="C43" t="s">
        <v>21</v>
      </c>
      <c r="D43" t="s">
        <v>15</v>
      </c>
      <c r="E43" t="s">
        <v>26</v>
      </c>
      <c r="F43" t="s">
        <v>27</v>
      </c>
      <c r="G43" t="str">
        <f t="shared" si="0"/>
        <v>Thursday</v>
      </c>
      <c r="H43" t="str">
        <f t="shared" si="1"/>
        <v>Feb</v>
      </c>
      <c r="I43" s="1">
        <v>43498</v>
      </c>
      <c r="J43" s="1" t="str">
        <f t="shared" si="2"/>
        <v>Morning</v>
      </c>
      <c r="K43" s="2">
        <v>0.42430555555555555</v>
      </c>
      <c r="L43" t="s">
        <v>24</v>
      </c>
      <c r="M43">
        <v>5.6109999999999998</v>
      </c>
      <c r="N43">
        <v>6.3</v>
      </c>
    </row>
    <row r="44" spans="1:14" x14ac:dyDescent="0.25">
      <c r="A44" t="s">
        <v>73</v>
      </c>
      <c r="B44" t="s">
        <v>37</v>
      </c>
      <c r="C44" t="s">
        <v>38</v>
      </c>
      <c r="D44" t="s">
        <v>15</v>
      </c>
      <c r="E44" t="s">
        <v>16</v>
      </c>
      <c r="F44" t="s">
        <v>31</v>
      </c>
      <c r="G44" t="str">
        <f t="shared" si="0"/>
        <v>Thursday</v>
      </c>
      <c r="H44" t="str">
        <f t="shared" si="1"/>
        <v>Feb</v>
      </c>
      <c r="I44" s="1">
        <v>43504</v>
      </c>
      <c r="J44" s="1" t="str">
        <f t="shared" si="2"/>
        <v>Afternoon</v>
      </c>
      <c r="K44" s="2">
        <v>0.54375000000000007</v>
      </c>
      <c r="L44" t="s">
        <v>24</v>
      </c>
      <c r="M44">
        <v>20.736000000000001</v>
      </c>
      <c r="N44">
        <v>5.6</v>
      </c>
    </row>
    <row r="45" spans="1:14" x14ac:dyDescent="0.25">
      <c r="A45" t="s">
        <v>74</v>
      </c>
      <c r="B45" t="s">
        <v>20</v>
      </c>
      <c r="C45" t="s">
        <v>21</v>
      </c>
      <c r="D45" t="s">
        <v>15</v>
      </c>
      <c r="E45" t="s">
        <v>16</v>
      </c>
      <c r="F45" t="s">
        <v>39</v>
      </c>
      <c r="G45" t="str">
        <f t="shared" si="0"/>
        <v>Monday</v>
      </c>
      <c r="H45" t="str">
        <f t="shared" si="1"/>
        <v>Mar</v>
      </c>
      <c r="I45" s="1">
        <v>43528</v>
      </c>
      <c r="J45" s="1" t="str">
        <f t="shared" si="2"/>
        <v>Evening</v>
      </c>
      <c r="K45" s="2">
        <v>0.86041666666666661</v>
      </c>
      <c r="L45" t="s">
        <v>24</v>
      </c>
      <c r="M45">
        <v>39.479999999999997</v>
      </c>
      <c r="N45">
        <v>7.6</v>
      </c>
    </row>
    <row r="46" spans="1:14" x14ac:dyDescent="0.25">
      <c r="A46" t="s">
        <v>75</v>
      </c>
      <c r="B46" t="s">
        <v>20</v>
      </c>
      <c r="C46" t="s">
        <v>21</v>
      </c>
      <c r="D46" t="s">
        <v>15</v>
      </c>
      <c r="E46" t="s">
        <v>26</v>
      </c>
      <c r="F46" t="s">
        <v>17</v>
      </c>
      <c r="G46" t="str">
        <f t="shared" si="0"/>
        <v>Wednesday</v>
      </c>
      <c r="H46" t="str">
        <f t="shared" si="1"/>
        <v>Mar</v>
      </c>
      <c r="I46" s="1">
        <v>43540</v>
      </c>
      <c r="J46" s="1" t="str">
        <f t="shared" si="2"/>
        <v>Evening</v>
      </c>
      <c r="K46" s="2">
        <v>0.82430555555555562</v>
      </c>
      <c r="L46" t="s">
        <v>24</v>
      </c>
      <c r="M46">
        <v>1.5369999999999999</v>
      </c>
      <c r="N46">
        <v>7.2</v>
      </c>
    </row>
    <row r="47" spans="1:14" x14ac:dyDescent="0.25">
      <c r="A47" t="s">
        <v>76</v>
      </c>
      <c r="B47" t="s">
        <v>37</v>
      </c>
      <c r="C47" t="s">
        <v>38</v>
      </c>
      <c r="D47" t="s">
        <v>15</v>
      </c>
      <c r="E47" t="s">
        <v>16</v>
      </c>
      <c r="F47" t="s">
        <v>23</v>
      </c>
      <c r="G47" t="str">
        <f t="shared" si="0"/>
        <v>Tuesday</v>
      </c>
      <c r="H47" t="str">
        <f t="shared" si="1"/>
        <v>Mar</v>
      </c>
      <c r="I47" s="1">
        <v>43533</v>
      </c>
      <c r="J47" s="1" t="str">
        <f t="shared" si="2"/>
        <v>Evening</v>
      </c>
      <c r="K47" s="2">
        <v>0.75</v>
      </c>
      <c r="L47" t="s">
        <v>24</v>
      </c>
      <c r="M47">
        <v>18.792000000000002</v>
      </c>
      <c r="N47">
        <v>9.5</v>
      </c>
    </row>
    <row r="48" spans="1:14" x14ac:dyDescent="0.25">
      <c r="A48" t="s">
        <v>77</v>
      </c>
      <c r="B48" t="s">
        <v>37</v>
      </c>
      <c r="C48" t="s">
        <v>38</v>
      </c>
      <c r="D48" t="s">
        <v>15</v>
      </c>
      <c r="E48" t="s">
        <v>26</v>
      </c>
      <c r="F48" t="s">
        <v>17</v>
      </c>
      <c r="G48" t="str">
        <f t="shared" si="0"/>
        <v>Sunday</v>
      </c>
      <c r="H48" t="str">
        <f t="shared" si="1"/>
        <v>Feb</v>
      </c>
      <c r="I48" s="1">
        <v>43523</v>
      </c>
      <c r="J48" s="1" t="str">
        <f t="shared" si="2"/>
        <v>Evening</v>
      </c>
      <c r="K48" s="2">
        <v>0.72499999999999998</v>
      </c>
      <c r="L48" t="s">
        <v>28</v>
      </c>
      <c r="M48">
        <v>25.5105</v>
      </c>
      <c r="N48">
        <v>8.4</v>
      </c>
    </row>
    <row r="49" spans="1:14" x14ac:dyDescent="0.25">
      <c r="A49" t="s">
        <v>78</v>
      </c>
      <c r="B49" t="s">
        <v>37</v>
      </c>
      <c r="C49" t="s">
        <v>38</v>
      </c>
      <c r="D49" t="s">
        <v>15</v>
      </c>
      <c r="E49" t="s">
        <v>16</v>
      </c>
      <c r="F49" t="s">
        <v>39</v>
      </c>
      <c r="G49" t="str">
        <f t="shared" si="0"/>
        <v>Thursday</v>
      </c>
      <c r="H49" t="str">
        <f t="shared" si="1"/>
        <v>Feb</v>
      </c>
      <c r="I49" s="1">
        <v>43502</v>
      </c>
      <c r="J49" s="1" t="str">
        <f t="shared" si="2"/>
        <v>Afternoon</v>
      </c>
      <c r="K49" s="2">
        <v>0.65763888888888888</v>
      </c>
      <c r="L49" t="s">
        <v>18</v>
      </c>
      <c r="M49">
        <v>9.0045000000000002</v>
      </c>
      <c r="N49">
        <v>4.0999999999999996</v>
      </c>
    </row>
    <row r="50" spans="1:14" x14ac:dyDescent="0.25">
      <c r="A50" t="s">
        <v>79</v>
      </c>
      <c r="B50" t="s">
        <v>37</v>
      </c>
      <c r="C50" t="s">
        <v>38</v>
      </c>
      <c r="D50" t="s">
        <v>15</v>
      </c>
      <c r="E50" t="s">
        <v>26</v>
      </c>
      <c r="F50" t="s">
        <v>23</v>
      </c>
      <c r="G50" t="str">
        <f t="shared" si="0"/>
        <v>Friday</v>
      </c>
      <c r="H50" t="str">
        <f t="shared" si="1"/>
        <v>Feb</v>
      </c>
      <c r="I50" s="1">
        <v>43506</v>
      </c>
      <c r="J50" s="1" t="str">
        <f t="shared" si="2"/>
        <v>Afternoon</v>
      </c>
      <c r="K50" s="2">
        <v>0.53125</v>
      </c>
      <c r="L50" t="s">
        <v>28</v>
      </c>
      <c r="M50">
        <v>5.6790000000000003</v>
      </c>
      <c r="N50">
        <v>8.1</v>
      </c>
    </row>
    <row r="51" spans="1:14" x14ac:dyDescent="0.25">
      <c r="A51" t="s">
        <v>80</v>
      </c>
      <c r="B51" t="s">
        <v>20</v>
      </c>
      <c r="C51" t="s">
        <v>21</v>
      </c>
      <c r="D51" t="s">
        <v>15</v>
      </c>
      <c r="E51" t="s">
        <v>16</v>
      </c>
      <c r="F51" t="s">
        <v>41</v>
      </c>
      <c r="G51" t="str">
        <f t="shared" si="0"/>
        <v>Wednesday</v>
      </c>
      <c r="H51" t="str">
        <f t="shared" si="1"/>
        <v>Mar</v>
      </c>
      <c r="I51" s="1">
        <v>43543</v>
      </c>
      <c r="J51" s="1" t="str">
        <f t="shared" si="2"/>
        <v>Evening</v>
      </c>
      <c r="K51" s="2">
        <v>0.71388888888888891</v>
      </c>
      <c r="L51" t="s">
        <v>18</v>
      </c>
      <c r="M51">
        <v>41.314999999999998</v>
      </c>
      <c r="N51">
        <v>7.9</v>
      </c>
    </row>
    <row r="52" spans="1:14" x14ac:dyDescent="0.25">
      <c r="A52" t="s">
        <v>81</v>
      </c>
      <c r="B52" t="s">
        <v>20</v>
      </c>
      <c r="C52" t="s">
        <v>21</v>
      </c>
      <c r="D52" t="s">
        <v>15</v>
      </c>
      <c r="E52" t="s">
        <v>26</v>
      </c>
      <c r="F52" t="s">
        <v>39</v>
      </c>
      <c r="G52" t="str">
        <f t="shared" si="0"/>
        <v>Thursday</v>
      </c>
      <c r="H52" t="str">
        <f t="shared" si="1"/>
        <v>Feb</v>
      </c>
      <c r="I52" s="1">
        <v>43499</v>
      </c>
      <c r="J52" s="1" t="str">
        <f t="shared" si="2"/>
        <v>Morning</v>
      </c>
      <c r="K52" s="2">
        <v>0.42986111111111108</v>
      </c>
      <c r="L52" t="s">
        <v>24</v>
      </c>
      <c r="M52">
        <v>31.99</v>
      </c>
      <c r="N52">
        <v>9.5</v>
      </c>
    </row>
    <row r="53" spans="1:14" x14ac:dyDescent="0.25">
      <c r="A53" t="s">
        <v>82</v>
      </c>
      <c r="B53" t="s">
        <v>13</v>
      </c>
      <c r="C53" t="s">
        <v>14</v>
      </c>
      <c r="D53" t="s">
        <v>15</v>
      </c>
      <c r="E53" t="s">
        <v>16</v>
      </c>
      <c r="F53" t="s">
        <v>39</v>
      </c>
      <c r="G53" t="str">
        <f t="shared" si="0"/>
        <v>Friday</v>
      </c>
      <c r="H53" t="str">
        <f t="shared" si="1"/>
        <v>Feb</v>
      </c>
      <c r="I53" s="1">
        <v>43506</v>
      </c>
      <c r="J53" s="1" t="str">
        <f t="shared" si="2"/>
        <v>Afternoon</v>
      </c>
      <c r="K53" s="2">
        <v>0.63194444444444442</v>
      </c>
      <c r="L53" t="s">
        <v>24</v>
      </c>
      <c r="M53">
        <v>11.147500000000001</v>
      </c>
      <c r="N53">
        <v>8.5</v>
      </c>
    </row>
    <row r="54" spans="1:14" x14ac:dyDescent="0.25">
      <c r="A54" t="s">
        <v>83</v>
      </c>
      <c r="B54" t="s">
        <v>37</v>
      </c>
      <c r="C54" t="s">
        <v>38</v>
      </c>
      <c r="D54" t="s">
        <v>15</v>
      </c>
      <c r="E54" t="s">
        <v>16</v>
      </c>
      <c r="F54" t="s">
        <v>41</v>
      </c>
      <c r="G54" t="str">
        <f t="shared" si="0"/>
        <v>Wednesday</v>
      </c>
      <c r="H54" t="str">
        <f t="shared" si="1"/>
        <v>Mar</v>
      </c>
      <c r="I54" s="1">
        <v>43546</v>
      </c>
      <c r="J54" s="1" t="str">
        <f t="shared" si="2"/>
        <v>Afternoon</v>
      </c>
      <c r="K54" s="2">
        <v>0.61249999999999993</v>
      </c>
      <c r="L54" t="s">
        <v>18</v>
      </c>
      <c r="M54">
        <v>3.5739999999999998</v>
      </c>
      <c r="N54">
        <v>6.5</v>
      </c>
    </row>
    <row r="55" spans="1:14" x14ac:dyDescent="0.25">
      <c r="A55" t="s">
        <v>84</v>
      </c>
      <c r="B55" t="s">
        <v>20</v>
      </c>
      <c r="C55" t="s">
        <v>21</v>
      </c>
      <c r="D55" t="s">
        <v>15</v>
      </c>
      <c r="E55" t="s">
        <v>26</v>
      </c>
      <c r="F55" t="s">
        <v>41</v>
      </c>
      <c r="G55" t="str">
        <f t="shared" si="0"/>
        <v>Tuesday</v>
      </c>
      <c r="H55" t="str">
        <f t="shared" si="1"/>
        <v>Jan</v>
      </c>
      <c r="I55" s="1">
        <v>43490</v>
      </c>
      <c r="J55" s="1" t="str">
        <f t="shared" si="2"/>
        <v>Afternoon</v>
      </c>
      <c r="K55" s="2">
        <v>0.65694444444444444</v>
      </c>
      <c r="L55" t="s">
        <v>28</v>
      </c>
      <c r="M55">
        <v>0.77149999999999996</v>
      </c>
      <c r="N55">
        <v>6.1</v>
      </c>
    </row>
    <row r="56" spans="1:14" x14ac:dyDescent="0.25">
      <c r="A56" t="s">
        <v>85</v>
      </c>
      <c r="B56" t="s">
        <v>37</v>
      </c>
      <c r="C56" t="s">
        <v>38</v>
      </c>
      <c r="D56" t="s">
        <v>22</v>
      </c>
      <c r="E56" t="s">
        <v>26</v>
      </c>
      <c r="F56" t="s">
        <v>27</v>
      </c>
      <c r="G56" t="str">
        <f t="shared" si="0"/>
        <v>Monday</v>
      </c>
      <c r="H56" t="str">
        <f t="shared" si="1"/>
        <v>Mar</v>
      </c>
      <c r="I56" s="1">
        <v>43531</v>
      </c>
      <c r="J56" s="1" t="str">
        <f t="shared" si="2"/>
        <v>Morning</v>
      </c>
      <c r="K56" s="2">
        <v>0.49236111111111108</v>
      </c>
      <c r="L56" t="s">
        <v>18</v>
      </c>
      <c r="M56">
        <v>1.6160000000000001</v>
      </c>
      <c r="N56">
        <v>6.5</v>
      </c>
    </row>
    <row r="57" spans="1:14" x14ac:dyDescent="0.25">
      <c r="A57" t="s">
        <v>86</v>
      </c>
      <c r="B57" t="s">
        <v>20</v>
      </c>
      <c r="C57" t="s">
        <v>21</v>
      </c>
      <c r="D57" t="s">
        <v>22</v>
      </c>
      <c r="E57" t="s">
        <v>16</v>
      </c>
      <c r="F57" t="s">
        <v>23</v>
      </c>
      <c r="G57" t="str">
        <f t="shared" si="0"/>
        <v>Sunday</v>
      </c>
      <c r="H57" t="str">
        <f t="shared" si="1"/>
        <v>Feb</v>
      </c>
      <c r="I57" s="1">
        <v>43524</v>
      </c>
      <c r="J57" s="1" t="str">
        <f t="shared" si="2"/>
        <v>Evening</v>
      </c>
      <c r="K57" s="2">
        <v>0.79236111111111107</v>
      </c>
      <c r="L57" t="s">
        <v>24</v>
      </c>
      <c r="M57">
        <v>34.392000000000003</v>
      </c>
      <c r="N57">
        <v>8.1999999999999993</v>
      </c>
    </row>
    <row r="58" spans="1:14" x14ac:dyDescent="0.25">
      <c r="A58" t="s">
        <v>87</v>
      </c>
      <c r="B58" t="s">
        <v>13</v>
      </c>
      <c r="C58" t="s">
        <v>14</v>
      </c>
      <c r="D58" t="s">
        <v>15</v>
      </c>
      <c r="E58" t="s">
        <v>26</v>
      </c>
      <c r="F58" t="s">
        <v>27</v>
      </c>
      <c r="G58" t="str">
        <f t="shared" si="0"/>
        <v>Thursday</v>
      </c>
      <c r="H58" t="str">
        <f t="shared" si="1"/>
        <v>Mar</v>
      </c>
      <c r="I58" s="1">
        <v>43551</v>
      </c>
      <c r="J58" s="1" t="str">
        <f t="shared" si="2"/>
        <v>Morning</v>
      </c>
      <c r="K58" s="2">
        <v>0.47638888888888892</v>
      </c>
      <c r="L58" t="s">
        <v>24</v>
      </c>
      <c r="M58">
        <v>4.4340000000000002</v>
      </c>
      <c r="N58">
        <v>5.8</v>
      </c>
    </row>
    <row r="59" spans="1:14" x14ac:dyDescent="0.25">
      <c r="A59" t="s">
        <v>88</v>
      </c>
      <c r="B59" t="s">
        <v>13</v>
      </c>
      <c r="C59" t="s">
        <v>14</v>
      </c>
      <c r="D59" t="s">
        <v>22</v>
      </c>
      <c r="E59" t="s">
        <v>26</v>
      </c>
      <c r="F59" t="s">
        <v>17</v>
      </c>
      <c r="G59" t="str">
        <f t="shared" si="0"/>
        <v>Thursday</v>
      </c>
      <c r="H59" t="str">
        <f t="shared" si="1"/>
        <v>Feb</v>
      </c>
      <c r="I59" s="1">
        <v>43503</v>
      </c>
      <c r="J59" s="1" t="str">
        <f t="shared" si="2"/>
        <v>Morning</v>
      </c>
      <c r="K59" s="2">
        <v>0.4777777777777778</v>
      </c>
      <c r="L59" t="s">
        <v>18</v>
      </c>
      <c r="M59">
        <v>35.840000000000003</v>
      </c>
      <c r="N59">
        <v>6.6</v>
      </c>
    </row>
    <row r="60" spans="1:14" x14ac:dyDescent="0.25">
      <c r="A60" t="s">
        <v>89</v>
      </c>
      <c r="B60" t="s">
        <v>13</v>
      </c>
      <c r="C60" t="s">
        <v>14</v>
      </c>
      <c r="D60" t="s">
        <v>15</v>
      </c>
      <c r="E60" t="s">
        <v>16</v>
      </c>
      <c r="F60" t="s">
        <v>27</v>
      </c>
      <c r="G60" t="str">
        <f t="shared" si="0"/>
        <v>Tuesday</v>
      </c>
      <c r="H60" t="str">
        <f t="shared" si="1"/>
        <v>Jan</v>
      </c>
      <c r="I60" s="1">
        <v>43485</v>
      </c>
      <c r="J60" s="1" t="str">
        <f t="shared" si="2"/>
        <v>Afternoon</v>
      </c>
      <c r="K60" s="2">
        <v>0.66319444444444442</v>
      </c>
      <c r="L60" t="s">
        <v>24</v>
      </c>
      <c r="M60">
        <v>36.174999999999997</v>
      </c>
      <c r="N60">
        <v>5.4</v>
      </c>
    </row>
    <row r="61" spans="1:14" x14ac:dyDescent="0.25">
      <c r="A61" t="s">
        <v>90</v>
      </c>
      <c r="B61" t="s">
        <v>20</v>
      </c>
      <c r="C61" t="s">
        <v>21</v>
      </c>
      <c r="D61" t="s">
        <v>22</v>
      </c>
      <c r="E61" t="s">
        <v>26</v>
      </c>
      <c r="F61" t="s">
        <v>23</v>
      </c>
      <c r="G61" t="str">
        <f t="shared" si="0"/>
        <v>Tuesday</v>
      </c>
      <c r="H61" t="str">
        <f t="shared" si="1"/>
        <v>Mar</v>
      </c>
      <c r="I61" s="1">
        <v>43536</v>
      </c>
      <c r="J61" s="1" t="str">
        <f t="shared" si="2"/>
        <v>Evening</v>
      </c>
      <c r="K61" s="2">
        <v>0.85833333333333339</v>
      </c>
      <c r="L61" t="s">
        <v>24</v>
      </c>
      <c r="M61">
        <v>9.1829999999999998</v>
      </c>
      <c r="N61">
        <v>9.3000000000000007</v>
      </c>
    </row>
    <row r="62" spans="1:14" x14ac:dyDescent="0.25">
      <c r="A62" t="s">
        <v>91</v>
      </c>
      <c r="B62" t="s">
        <v>20</v>
      </c>
      <c r="C62" t="s">
        <v>21</v>
      </c>
      <c r="D62" t="s">
        <v>15</v>
      </c>
      <c r="E62" t="s">
        <v>16</v>
      </c>
      <c r="F62" t="s">
        <v>31</v>
      </c>
      <c r="G62" t="str">
        <f t="shared" si="0"/>
        <v>Friday</v>
      </c>
      <c r="H62" t="str">
        <f t="shared" si="1"/>
        <v>Feb</v>
      </c>
      <c r="I62" s="1">
        <v>43511</v>
      </c>
      <c r="J62" s="1" t="str">
        <f t="shared" si="2"/>
        <v>Evening</v>
      </c>
      <c r="K62" s="2">
        <v>0.74097222222222225</v>
      </c>
      <c r="L62" t="s">
        <v>28</v>
      </c>
      <c r="M62">
        <v>3.7109999999999999</v>
      </c>
      <c r="N62">
        <v>10</v>
      </c>
    </row>
    <row r="63" spans="1:14" x14ac:dyDescent="0.25">
      <c r="A63" t="s">
        <v>92</v>
      </c>
      <c r="B63" t="s">
        <v>20</v>
      </c>
      <c r="C63" t="s">
        <v>21</v>
      </c>
      <c r="D63" t="s">
        <v>22</v>
      </c>
      <c r="E63" t="s">
        <v>26</v>
      </c>
      <c r="F63" t="s">
        <v>27</v>
      </c>
      <c r="G63" t="str">
        <f t="shared" si="0"/>
        <v>Sunday</v>
      </c>
      <c r="H63" t="str">
        <f t="shared" si="1"/>
        <v>Feb</v>
      </c>
      <c r="I63" s="1">
        <v>43520</v>
      </c>
      <c r="J63" s="1" t="str">
        <f t="shared" si="2"/>
        <v>Morning</v>
      </c>
      <c r="K63" s="2">
        <v>0.4548611111111111</v>
      </c>
      <c r="L63" t="s">
        <v>18</v>
      </c>
      <c r="M63">
        <v>16.719000000000001</v>
      </c>
      <c r="N63">
        <v>7</v>
      </c>
    </row>
    <row r="64" spans="1:14" x14ac:dyDescent="0.25">
      <c r="A64" t="s">
        <v>93</v>
      </c>
      <c r="B64" t="s">
        <v>37</v>
      </c>
      <c r="C64" t="s">
        <v>38</v>
      </c>
      <c r="D64" t="s">
        <v>15</v>
      </c>
      <c r="E64" t="s">
        <v>16</v>
      </c>
      <c r="F64" t="s">
        <v>31</v>
      </c>
      <c r="G64" t="str">
        <f t="shared" si="0"/>
        <v>Thursday</v>
      </c>
      <c r="H64" t="str">
        <f t="shared" si="1"/>
        <v>Feb</v>
      </c>
      <c r="I64" s="1">
        <v>43499</v>
      </c>
      <c r="J64" s="1" t="str">
        <f t="shared" si="2"/>
        <v>Afternoon</v>
      </c>
      <c r="K64" s="2">
        <v>0.56944444444444442</v>
      </c>
      <c r="L64" t="s">
        <v>18</v>
      </c>
      <c r="M64">
        <v>24.781500000000001</v>
      </c>
      <c r="N64">
        <v>10</v>
      </c>
    </row>
    <row r="65" spans="1:14" x14ac:dyDescent="0.25">
      <c r="A65" t="s">
        <v>94</v>
      </c>
      <c r="B65" t="s">
        <v>13</v>
      </c>
      <c r="C65" t="s">
        <v>14</v>
      </c>
      <c r="D65" t="s">
        <v>15</v>
      </c>
      <c r="E65" t="s">
        <v>26</v>
      </c>
      <c r="F65" t="s">
        <v>31</v>
      </c>
      <c r="G65" t="str">
        <f t="shared" si="0"/>
        <v>Monday</v>
      </c>
      <c r="H65" t="str">
        <f t="shared" si="1"/>
        <v>Mar</v>
      </c>
      <c r="I65" s="1">
        <v>43530</v>
      </c>
      <c r="J65" s="1" t="str">
        <f t="shared" si="2"/>
        <v>Afternoon</v>
      </c>
      <c r="K65" s="2">
        <v>0.51874999999999993</v>
      </c>
      <c r="L65" t="s">
        <v>28</v>
      </c>
      <c r="M65">
        <v>7.9050000000000002</v>
      </c>
      <c r="N65">
        <v>8.6</v>
      </c>
    </row>
    <row r="66" spans="1:14" x14ac:dyDescent="0.25">
      <c r="A66" t="s">
        <v>95</v>
      </c>
      <c r="B66" t="s">
        <v>37</v>
      </c>
      <c r="C66" t="s">
        <v>38</v>
      </c>
      <c r="D66" t="s">
        <v>15</v>
      </c>
      <c r="E66" t="s">
        <v>26</v>
      </c>
      <c r="F66" t="s">
        <v>17</v>
      </c>
      <c r="G66" t="str">
        <f t="shared" si="0"/>
        <v>Friday</v>
      </c>
      <c r="H66" t="str">
        <f t="shared" si="1"/>
        <v>Feb</v>
      </c>
      <c r="I66" s="1">
        <v>43510</v>
      </c>
      <c r="J66" s="1" t="str">
        <f t="shared" si="2"/>
        <v>Afternoon</v>
      </c>
      <c r="K66" s="2">
        <v>0.60763888888888895</v>
      </c>
      <c r="L66" t="s">
        <v>24</v>
      </c>
      <c r="M66">
        <v>15.148</v>
      </c>
      <c r="N66">
        <v>7.6</v>
      </c>
    </row>
    <row r="67" spans="1:14" x14ac:dyDescent="0.25">
      <c r="A67" t="s">
        <v>96</v>
      </c>
      <c r="B67" t="s">
        <v>13</v>
      </c>
      <c r="C67" t="s">
        <v>14</v>
      </c>
      <c r="D67" t="s">
        <v>15</v>
      </c>
      <c r="E67" t="s">
        <v>26</v>
      </c>
      <c r="F67" t="s">
        <v>17</v>
      </c>
      <c r="G67" t="str">
        <f t="shared" ref="G67:G130" si="3">TEXT(I67/7,"dddd")</f>
        <v>Tuesday</v>
      </c>
      <c r="H67" t="str">
        <f t="shared" ref="H67:H130" si="4">TEXT(I67,"mmm")</f>
        <v>Mar</v>
      </c>
      <c r="I67" s="1">
        <v>43537</v>
      </c>
      <c r="J67" s="1" t="str">
        <f t="shared" ref="J67:J130" si="5">IF(AND(K67&gt;=TIME(9,0,0),K67&lt;TIME(12,0,0)),"Morning",IF(AND(K67&gt;=TIME(12,0,0),K67&lt;TIME(16,0,0)),"Afternoon","Evening"))</f>
        <v>Evening</v>
      </c>
      <c r="K67" s="2">
        <v>0.69444444444444453</v>
      </c>
      <c r="L67" t="s">
        <v>24</v>
      </c>
      <c r="M67">
        <v>7.9349999999999996</v>
      </c>
      <c r="N67">
        <v>5.8</v>
      </c>
    </row>
    <row r="68" spans="1:14" x14ac:dyDescent="0.25">
      <c r="A68" t="s">
        <v>97</v>
      </c>
      <c r="B68" t="s">
        <v>20</v>
      </c>
      <c r="C68" t="s">
        <v>21</v>
      </c>
      <c r="D68" t="s">
        <v>22</v>
      </c>
      <c r="E68" t="s">
        <v>16</v>
      </c>
      <c r="F68" t="s">
        <v>17</v>
      </c>
      <c r="G68" t="str">
        <f t="shared" si="3"/>
        <v>Friday</v>
      </c>
      <c r="H68" t="str">
        <f t="shared" si="4"/>
        <v>Feb</v>
      </c>
      <c r="I68" s="1">
        <v>43506</v>
      </c>
      <c r="J68" s="1" t="str">
        <f t="shared" si="5"/>
        <v>Afternoon</v>
      </c>
      <c r="K68" s="2">
        <v>0.65486111111111112</v>
      </c>
      <c r="L68" t="s">
        <v>18</v>
      </c>
      <c r="M68">
        <v>3.347</v>
      </c>
      <c r="N68">
        <v>6.7</v>
      </c>
    </row>
    <row r="69" spans="1:14" x14ac:dyDescent="0.25">
      <c r="A69" t="s">
        <v>98</v>
      </c>
      <c r="B69" t="s">
        <v>37</v>
      </c>
      <c r="C69" t="s">
        <v>38</v>
      </c>
      <c r="D69" t="s">
        <v>15</v>
      </c>
      <c r="E69" t="s">
        <v>16</v>
      </c>
      <c r="F69" t="s">
        <v>41</v>
      </c>
      <c r="G69" t="str">
        <f t="shared" si="3"/>
        <v>Sunday</v>
      </c>
      <c r="H69" t="str">
        <f t="shared" si="4"/>
        <v>Jan</v>
      </c>
      <c r="I69" s="1">
        <v>43472</v>
      </c>
      <c r="J69" s="1" t="str">
        <f t="shared" si="5"/>
        <v>Afternoon</v>
      </c>
      <c r="K69" s="2">
        <v>0.62569444444444444</v>
      </c>
      <c r="L69" t="s">
        <v>18</v>
      </c>
      <c r="M69">
        <v>29.283000000000001</v>
      </c>
      <c r="N69">
        <v>9.9</v>
      </c>
    </row>
    <row r="70" spans="1:14" x14ac:dyDescent="0.25">
      <c r="A70" t="s">
        <v>99</v>
      </c>
      <c r="B70" t="s">
        <v>13</v>
      </c>
      <c r="C70" t="s">
        <v>14</v>
      </c>
      <c r="D70" t="s">
        <v>22</v>
      </c>
      <c r="E70" t="s">
        <v>26</v>
      </c>
      <c r="F70" t="s">
        <v>31</v>
      </c>
      <c r="G70" t="str">
        <f t="shared" si="3"/>
        <v>Tuesday</v>
      </c>
      <c r="H70" t="str">
        <f t="shared" si="4"/>
        <v>Jan</v>
      </c>
      <c r="I70" s="1">
        <v>43489</v>
      </c>
      <c r="J70" s="1" t="str">
        <f t="shared" si="5"/>
        <v>Morning</v>
      </c>
      <c r="K70" s="2">
        <v>0.41944444444444445</v>
      </c>
      <c r="L70" t="s">
        <v>24</v>
      </c>
      <c r="M70">
        <v>39.384999999999998</v>
      </c>
      <c r="N70">
        <v>6.4</v>
      </c>
    </row>
    <row r="71" spans="1:14" x14ac:dyDescent="0.25">
      <c r="A71" t="s">
        <v>100</v>
      </c>
      <c r="B71" t="s">
        <v>13</v>
      </c>
      <c r="C71" t="s">
        <v>14</v>
      </c>
      <c r="D71" t="s">
        <v>15</v>
      </c>
      <c r="E71" t="s">
        <v>16</v>
      </c>
      <c r="F71" t="s">
        <v>17</v>
      </c>
      <c r="G71" t="str">
        <f t="shared" si="3"/>
        <v>Thursday</v>
      </c>
      <c r="H71" t="str">
        <f t="shared" si="4"/>
        <v>Feb</v>
      </c>
      <c r="I71" s="1">
        <v>43498</v>
      </c>
      <c r="J71" s="1" t="str">
        <f t="shared" si="5"/>
        <v>Evening</v>
      </c>
      <c r="K71" s="2">
        <v>0.78472222222222221</v>
      </c>
      <c r="L71" t="s">
        <v>24</v>
      </c>
      <c r="M71">
        <v>0.91649999999999998</v>
      </c>
      <c r="N71">
        <v>4.3</v>
      </c>
    </row>
    <row r="72" spans="1:14" x14ac:dyDescent="0.25">
      <c r="A72" t="s">
        <v>101</v>
      </c>
      <c r="B72" t="s">
        <v>20</v>
      </c>
      <c r="C72" t="s">
        <v>21</v>
      </c>
      <c r="D72" t="s">
        <v>22</v>
      </c>
      <c r="E72" t="s">
        <v>26</v>
      </c>
      <c r="F72" t="s">
        <v>39</v>
      </c>
      <c r="G72" t="str">
        <f t="shared" si="3"/>
        <v>Sunday</v>
      </c>
      <c r="H72" t="str">
        <f t="shared" si="4"/>
        <v>Jan</v>
      </c>
      <c r="I72" s="1">
        <v>43471</v>
      </c>
      <c r="J72" s="1" t="str">
        <f t="shared" si="5"/>
        <v>Afternoon</v>
      </c>
      <c r="K72" s="2">
        <v>0.53194444444444444</v>
      </c>
      <c r="L72" t="s">
        <v>28</v>
      </c>
      <c r="M72">
        <v>44.74</v>
      </c>
      <c r="N72">
        <v>9.6</v>
      </c>
    </row>
    <row r="73" spans="1:14" x14ac:dyDescent="0.25">
      <c r="A73" t="s">
        <v>102</v>
      </c>
      <c r="B73" t="s">
        <v>20</v>
      </c>
      <c r="C73" t="s">
        <v>21</v>
      </c>
      <c r="D73" t="s">
        <v>22</v>
      </c>
      <c r="E73" t="s">
        <v>26</v>
      </c>
      <c r="F73" t="s">
        <v>41</v>
      </c>
      <c r="G73" t="str">
        <f t="shared" si="3"/>
        <v>Friday</v>
      </c>
      <c r="H73" t="str">
        <f t="shared" si="4"/>
        <v>Feb</v>
      </c>
      <c r="I73" s="1">
        <v>43507</v>
      </c>
      <c r="J73" s="1" t="str">
        <f t="shared" si="5"/>
        <v>Evening</v>
      </c>
      <c r="K73" s="2">
        <v>0.67986111111111114</v>
      </c>
      <c r="L73" t="s">
        <v>24</v>
      </c>
      <c r="M73">
        <v>31.06</v>
      </c>
      <c r="N73">
        <v>5.9</v>
      </c>
    </row>
    <row r="74" spans="1:14" x14ac:dyDescent="0.25">
      <c r="A74" t="s">
        <v>103</v>
      </c>
      <c r="B74" t="s">
        <v>37</v>
      </c>
      <c r="C74" t="s">
        <v>38</v>
      </c>
      <c r="D74" t="s">
        <v>15</v>
      </c>
      <c r="E74" t="s">
        <v>16</v>
      </c>
      <c r="F74" t="s">
        <v>39</v>
      </c>
      <c r="G74" t="str">
        <f t="shared" si="3"/>
        <v>Monday</v>
      </c>
      <c r="H74" t="str">
        <f t="shared" si="4"/>
        <v>Mar</v>
      </c>
      <c r="I74" s="1">
        <v>43529</v>
      </c>
      <c r="J74" s="1" t="str">
        <f t="shared" si="5"/>
        <v>Evening</v>
      </c>
      <c r="K74" s="2">
        <v>0.76180555555555562</v>
      </c>
      <c r="L74" t="s">
        <v>18</v>
      </c>
      <c r="M74">
        <v>7.2779999999999996</v>
      </c>
      <c r="N74">
        <v>4</v>
      </c>
    </row>
    <row r="75" spans="1:14" x14ac:dyDescent="0.25">
      <c r="A75" t="s">
        <v>104</v>
      </c>
      <c r="B75" t="s">
        <v>20</v>
      </c>
      <c r="C75" t="s">
        <v>21</v>
      </c>
      <c r="D75" t="s">
        <v>22</v>
      </c>
      <c r="E75" t="s">
        <v>16</v>
      </c>
      <c r="F75" t="s">
        <v>23</v>
      </c>
      <c r="G75" t="str">
        <f t="shared" si="3"/>
        <v>Tuesday</v>
      </c>
      <c r="H75" t="str">
        <f t="shared" si="4"/>
        <v>Mar</v>
      </c>
      <c r="I75" s="1">
        <v>43533</v>
      </c>
      <c r="J75" s="1" t="str">
        <f t="shared" si="5"/>
        <v>Evening</v>
      </c>
      <c r="K75" s="2">
        <v>0.76458333333333339</v>
      </c>
      <c r="L75" t="s">
        <v>24</v>
      </c>
      <c r="M75">
        <v>22.773</v>
      </c>
      <c r="N75">
        <v>8.6999999999999993</v>
      </c>
    </row>
    <row r="76" spans="1:14" x14ac:dyDescent="0.25">
      <c r="A76" t="s">
        <v>105</v>
      </c>
      <c r="B76" t="s">
        <v>13</v>
      </c>
      <c r="C76" t="s">
        <v>14</v>
      </c>
      <c r="D76" t="s">
        <v>22</v>
      </c>
      <c r="E76" t="s">
        <v>26</v>
      </c>
      <c r="F76" t="s">
        <v>27</v>
      </c>
      <c r="G76" t="str">
        <f t="shared" si="3"/>
        <v>Tuesday</v>
      </c>
      <c r="H76" t="str">
        <f t="shared" si="4"/>
        <v>Jan</v>
      </c>
      <c r="I76" s="1">
        <v>43487</v>
      </c>
      <c r="J76" s="1" t="str">
        <f t="shared" si="5"/>
        <v>Morning</v>
      </c>
      <c r="K76" s="2">
        <v>0.4548611111111111</v>
      </c>
      <c r="L76" t="s">
        <v>18</v>
      </c>
      <c r="M76">
        <v>33.601500000000001</v>
      </c>
      <c r="N76">
        <v>9.4</v>
      </c>
    </row>
    <row r="77" spans="1:14" x14ac:dyDescent="0.25">
      <c r="A77" t="s">
        <v>106</v>
      </c>
      <c r="B77" t="s">
        <v>20</v>
      </c>
      <c r="C77" t="s">
        <v>21</v>
      </c>
      <c r="D77" t="s">
        <v>22</v>
      </c>
      <c r="E77" t="s">
        <v>16</v>
      </c>
      <c r="F77" t="s">
        <v>23</v>
      </c>
      <c r="G77" t="str">
        <f t="shared" si="3"/>
        <v>Monday</v>
      </c>
      <c r="H77" t="str">
        <f t="shared" si="4"/>
        <v>Jan</v>
      </c>
      <c r="I77" s="1">
        <v>43478</v>
      </c>
      <c r="J77" s="1" t="str">
        <f t="shared" si="5"/>
        <v>Evening</v>
      </c>
      <c r="K77" s="2">
        <v>0.71111111111111114</v>
      </c>
      <c r="L77" t="s">
        <v>28</v>
      </c>
      <c r="M77">
        <v>20.824999999999999</v>
      </c>
      <c r="N77">
        <v>5.4</v>
      </c>
    </row>
    <row r="78" spans="1:14" x14ac:dyDescent="0.25">
      <c r="A78" t="s">
        <v>107</v>
      </c>
      <c r="B78" t="s">
        <v>20</v>
      </c>
      <c r="C78" t="s">
        <v>21</v>
      </c>
      <c r="D78" t="s">
        <v>15</v>
      </c>
      <c r="E78" t="s">
        <v>26</v>
      </c>
      <c r="F78" t="s">
        <v>41</v>
      </c>
      <c r="G78" t="str">
        <f t="shared" si="3"/>
        <v>Sunday</v>
      </c>
      <c r="H78" t="str">
        <f t="shared" si="4"/>
        <v>Jan</v>
      </c>
      <c r="I78" s="1">
        <v>43474</v>
      </c>
      <c r="J78" s="1" t="str">
        <f t="shared" si="5"/>
        <v>Afternoon</v>
      </c>
      <c r="K78" s="2">
        <v>0.59722222222222221</v>
      </c>
      <c r="L78" t="s">
        <v>28</v>
      </c>
      <c r="M78">
        <v>22.068000000000001</v>
      </c>
      <c r="N78">
        <v>8.6</v>
      </c>
    </row>
    <row r="79" spans="1:14" x14ac:dyDescent="0.25">
      <c r="A79" t="s">
        <v>108</v>
      </c>
      <c r="B79" t="s">
        <v>13</v>
      </c>
      <c r="C79" t="s">
        <v>14</v>
      </c>
      <c r="D79" t="s">
        <v>15</v>
      </c>
      <c r="E79" t="s">
        <v>16</v>
      </c>
      <c r="F79" t="s">
        <v>41</v>
      </c>
      <c r="G79" t="str">
        <f t="shared" si="3"/>
        <v>Monday</v>
      </c>
      <c r="H79" t="str">
        <f t="shared" si="4"/>
        <v>Jan</v>
      </c>
      <c r="I79" s="1">
        <v>43477</v>
      </c>
      <c r="J79" s="1" t="str">
        <f t="shared" si="5"/>
        <v>Afternoon</v>
      </c>
      <c r="K79" s="2">
        <v>0.65833333333333333</v>
      </c>
      <c r="L79" t="s">
        <v>28</v>
      </c>
      <c r="M79">
        <v>9.0045000000000002</v>
      </c>
      <c r="N79">
        <v>5.7</v>
      </c>
    </row>
    <row r="80" spans="1:14" x14ac:dyDescent="0.25">
      <c r="A80" t="s">
        <v>109</v>
      </c>
      <c r="B80" t="s">
        <v>20</v>
      </c>
      <c r="C80" t="s">
        <v>21</v>
      </c>
      <c r="D80" t="s">
        <v>15</v>
      </c>
      <c r="E80" t="s">
        <v>16</v>
      </c>
      <c r="F80" t="s">
        <v>39</v>
      </c>
      <c r="G80" t="str">
        <f t="shared" si="3"/>
        <v>Monday</v>
      </c>
      <c r="H80" t="str">
        <f t="shared" si="4"/>
        <v>Mar</v>
      </c>
      <c r="I80" s="1">
        <v>43529</v>
      </c>
      <c r="J80" s="1" t="str">
        <f t="shared" si="5"/>
        <v>Evening</v>
      </c>
      <c r="K80" s="2">
        <v>0.68333333333333324</v>
      </c>
      <c r="L80" t="s">
        <v>18</v>
      </c>
      <c r="M80">
        <v>39.155000000000001</v>
      </c>
      <c r="N80">
        <v>6.6</v>
      </c>
    </row>
    <row r="81" spans="1:14" x14ac:dyDescent="0.25">
      <c r="A81" t="s">
        <v>110</v>
      </c>
      <c r="B81" t="s">
        <v>20</v>
      </c>
      <c r="C81" t="s">
        <v>21</v>
      </c>
      <c r="D81" t="s">
        <v>22</v>
      </c>
      <c r="E81" t="s">
        <v>16</v>
      </c>
      <c r="F81" t="s">
        <v>17</v>
      </c>
      <c r="G81" t="str">
        <f t="shared" si="3"/>
        <v>Tuesday</v>
      </c>
      <c r="H81" t="str">
        <f t="shared" si="4"/>
        <v>Jan</v>
      </c>
      <c r="I81" s="1">
        <v>43487</v>
      </c>
      <c r="J81" s="1" t="str">
        <f t="shared" si="5"/>
        <v>Evening</v>
      </c>
      <c r="K81" s="2">
        <v>0.78888888888888886</v>
      </c>
      <c r="L81" t="s">
        <v>24</v>
      </c>
      <c r="M81">
        <v>5.0949999999999998</v>
      </c>
      <c r="N81">
        <v>6</v>
      </c>
    </row>
    <row r="82" spans="1:14" x14ac:dyDescent="0.25">
      <c r="A82" t="s">
        <v>111</v>
      </c>
      <c r="B82" t="s">
        <v>20</v>
      </c>
      <c r="C82" t="s">
        <v>21</v>
      </c>
      <c r="D82" t="s">
        <v>22</v>
      </c>
      <c r="E82" t="s">
        <v>16</v>
      </c>
      <c r="F82" t="s">
        <v>17</v>
      </c>
      <c r="G82" t="str">
        <f t="shared" si="3"/>
        <v>Tuesday</v>
      </c>
      <c r="H82" t="str">
        <f t="shared" si="4"/>
        <v>Jan</v>
      </c>
      <c r="I82" s="1">
        <v>43486</v>
      </c>
      <c r="J82" s="1" t="str">
        <f t="shared" si="5"/>
        <v>Afternoon</v>
      </c>
      <c r="K82" s="2">
        <v>0.61249999999999993</v>
      </c>
      <c r="L82" t="s">
        <v>28</v>
      </c>
      <c r="M82">
        <v>29.757000000000001</v>
      </c>
      <c r="N82">
        <v>5.5</v>
      </c>
    </row>
    <row r="83" spans="1:14" x14ac:dyDescent="0.25">
      <c r="A83" t="s">
        <v>112</v>
      </c>
      <c r="B83" t="s">
        <v>37</v>
      </c>
      <c r="C83" t="s">
        <v>38</v>
      </c>
      <c r="D83" t="s">
        <v>22</v>
      </c>
      <c r="E83" t="s">
        <v>16</v>
      </c>
      <c r="F83" t="s">
        <v>39</v>
      </c>
      <c r="G83" t="str">
        <f t="shared" si="3"/>
        <v>Wednesday</v>
      </c>
      <c r="H83" t="str">
        <f t="shared" si="4"/>
        <v>Jan</v>
      </c>
      <c r="I83" s="1">
        <v>43491</v>
      </c>
      <c r="J83" s="1" t="str">
        <f t="shared" si="5"/>
        <v>Evening</v>
      </c>
      <c r="K83" s="2">
        <v>0.8305555555555556</v>
      </c>
      <c r="L83" t="s">
        <v>18</v>
      </c>
      <c r="M83">
        <v>14.502000000000001</v>
      </c>
      <c r="N83">
        <v>6.4</v>
      </c>
    </row>
    <row r="84" spans="1:14" x14ac:dyDescent="0.25">
      <c r="A84" t="s">
        <v>113</v>
      </c>
      <c r="B84" t="s">
        <v>20</v>
      </c>
      <c r="C84" t="s">
        <v>21</v>
      </c>
      <c r="D84" t="s">
        <v>22</v>
      </c>
      <c r="E84" t="s">
        <v>26</v>
      </c>
      <c r="F84" t="s">
        <v>39</v>
      </c>
      <c r="G84" t="str">
        <f t="shared" si="3"/>
        <v>Tuesday</v>
      </c>
      <c r="H84" t="str">
        <f t="shared" si="4"/>
        <v>Jan</v>
      </c>
      <c r="I84" s="1">
        <v>43488</v>
      </c>
      <c r="J84" s="1" t="str">
        <f t="shared" si="5"/>
        <v>Evening</v>
      </c>
      <c r="K84" s="2">
        <v>0.77569444444444446</v>
      </c>
      <c r="L84" t="s">
        <v>18</v>
      </c>
      <c r="M84">
        <v>7.7</v>
      </c>
      <c r="N84">
        <v>6.6</v>
      </c>
    </row>
    <row r="85" spans="1:14" x14ac:dyDescent="0.25">
      <c r="A85" t="s">
        <v>114</v>
      </c>
      <c r="B85" t="s">
        <v>20</v>
      </c>
      <c r="C85" t="s">
        <v>21</v>
      </c>
      <c r="D85" t="s">
        <v>15</v>
      </c>
      <c r="E85" t="s">
        <v>16</v>
      </c>
      <c r="F85" t="s">
        <v>39</v>
      </c>
      <c r="G85" t="str">
        <f t="shared" si="3"/>
        <v>Sunday</v>
      </c>
      <c r="H85" t="str">
        <f t="shared" si="4"/>
        <v>Feb</v>
      </c>
      <c r="I85" s="1">
        <v>43519</v>
      </c>
      <c r="J85" s="1" t="str">
        <f t="shared" si="5"/>
        <v>Evening</v>
      </c>
      <c r="K85" s="2">
        <v>0.78125</v>
      </c>
      <c r="L85" t="s">
        <v>28</v>
      </c>
      <c r="M85">
        <v>16.071999999999999</v>
      </c>
      <c r="N85">
        <v>8.3000000000000007</v>
      </c>
    </row>
    <row r="86" spans="1:14" x14ac:dyDescent="0.25">
      <c r="A86" t="s">
        <v>115</v>
      </c>
      <c r="B86" t="s">
        <v>20</v>
      </c>
      <c r="C86" t="s">
        <v>21</v>
      </c>
      <c r="D86" t="s">
        <v>15</v>
      </c>
      <c r="E86" t="s">
        <v>26</v>
      </c>
      <c r="F86" t="s">
        <v>31</v>
      </c>
      <c r="G86" t="str">
        <f t="shared" si="3"/>
        <v>Tuesday</v>
      </c>
      <c r="H86" t="str">
        <f t="shared" si="4"/>
        <v>Mar</v>
      </c>
      <c r="I86" s="1">
        <v>43533</v>
      </c>
      <c r="J86" s="1" t="str">
        <f t="shared" si="5"/>
        <v>Morning</v>
      </c>
      <c r="K86" s="2">
        <v>0.4284722222222222</v>
      </c>
      <c r="L86" t="s">
        <v>24</v>
      </c>
      <c r="M86">
        <v>12.227499999999999</v>
      </c>
      <c r="N86">
        <v>6.6</v>
      </c>
    </row>
    <row r="87" spans="1:14" x14ac:dyDescent="0.25">
      <c r="A87" t="s">
        <v>116</v>
      </c>
      <c r="B87" t="s">
        <v>20</v>
      </c>
      <c r="C87" t="s">
        <v>21</v>
      </c>
      <c r="D87" t="s">
        <v>22</v>
      </c>
      <c r="E87" t="s">
        <v>16</v>
      </c>
      <c r="F87" t="s">
        <v>31</v>
      </c>
      <c r="G87" t="str">
        <f t="shared" si="3"/>
        <v>Monday</v>
      </c>
      <c r="H87" t="str">
        <f t="shared" si="4"/>
        <v>Mar</v>
      </c>
      <c r="I87" s="1">
        <v>43529</v>
      </c>
      <c r="J87" s="1" t="str">
        <f t="shared" si="5"/>
        <v>Afternoon</v>
      </c>
      <c r="K87" s="2">
        <v>0.60486111111111118</v>
      </c>
      <c r="L87" t="s">
        <v>18</v>
      </c>
      <c r="M87">
        <v>29.071000000000002</v>
      </c>
      <c r="N87">
        <v>4</v>
      </c>
    </row>
    <row r="88" spans="1:14" x14ac:dyDescent="0.25">
      <c r="A88" t="s">
        <v>117</v>
      </c>
      <c r="B88" t="s">
        <v>20</v>
      </c>
      <c r="C88" t="s">
        <v>21</v>
      </c>
      <c r="D88" t="s">
        <v>22</v>
      </c>
      <c r="E88" t="s">
        <v>26</v>
      </c>
      <c r="F88" t="s">
        <v>41</v>
      </c>
      <c r="G88" t="str">
        <f t="shared" si="3"/>
        <v>Thursday</v>
      </c>
      <c r="H88" t="str">
        <f t="shared" si="4"/>
        <v>Mar</v>
      </c>
      <c r="I88" s="1">
        <v>43549</v>
      </c>
      <c r="J88" s="1" t="str">
        <f t="shared" si="5"/>
        <v>Morning</v>
      </c>
      <c r="K88" s="2">
        <v>0.43263888888888885</v>
      </c>
      <c r="L88" t="s">
        <v>24</v>
      </c>
      <c r="M88">
        <v>19.13</v>
      </c>
      <c r="N88">
        <v>9.9</v>
      </c>
    </row>
    <row r="89" spans="1:14" x14ac:dyDescent="0.25">
      <c r="A89" t="s">
        <v>118</v>
      </c>
      <c r="B89" t="s">
        <v>13</v>
      </c>
      <c r="C89" t="s">
        <v>14</v>
      </c>
      <c r="D89" t="s">
        <v>15</v>
      </c>
      <c r="E89" t="s">
        <v>26</v>
      </c>
      <c r="F89" t="s">
        <v>39</v>
      </c>
      <c r="G89" t="str">
        <f t="shared" si="3"/>
        <v>Thursday</v>
      </c>
      <c r="H89" t="str">
        <f t="shared" si="4"/>
        <v>Mar</v>
      </c>
      <c r="I89" s="1">
        <v>43551</v>
      </c>
      <c r="J89" s="1" t="str">
        <f t="shared" si="5"/>
        <v>Evening</v>
      </c>
      <c r="K89" s="2">
        <v>0.85763888888888884</v>
      </c>
      <c r="L89" t="s">
        <v>28</v>
      </c>
      <c r="M89">
        <v>17.283000000000001</v>
      </c>
      <c r="N89">
        <v>7.3</v>
      </c>
    </row>
    <row r="90" spans="1:14" x14ac:dyDescent="0.25">
      <c r="A90" t="s">
        <v>119</v>
      </c>
      <c r="B90" t="s">
        <v>13</v>
      </c>
      <c r="C90" t="s">
        <v>14</v>
      </c>
      <c r="D90" t="s">
        <v>22</v>
      </c>
      <c r="E90" t="s">
        <v>26</v>
      </c>
      <c r="F90" t="s">
        <v>31</v>
      </c>
      <c r="G90" t="str">
        <f t="shared" si="3"/>
        <v>Saturday</v>
      </c>
      <c r="H90" t="str">
        <f t="shared" si="4"/>
        <v>Jan</v>
      </c>
      <c r="I90" s="1">
        <v>43467</v>
      </c>
      <c r="J90" s="1" t="str">
        <f t="shared" si="5"/>
        <v>Evening</v>
      </c>
      <c r="K90" s="2">
        <v>0.70624999999999993</v>
      </c>
      <c r="L90" t="s">
        <v>24</v>
      </c>
      <c r="M90">
        <v>2.1234999999999999</v>
      </c>
      <c r="N90">
        <v>5.7</v>
      </c>
    </row>
    <row r="91" spans="1:14" x14ac:dyDescent="0.25">
      <c r="A91" t="s">
        <v>120</v>
      </c>
      <c r="B91" t="s">
        <v>37</v>
      </c>
      <c r="C91" t="s">
        <v>38</v>
      </c>
      <c r="D91" t="s">
        <v>22</v>
      </c>
      <c r="E91" t="s">
        <v>16</v>
      </c>
      <c r="F91" t="s">
        <v>17</v>
      </c>
      <c r="G91" t="str">
        <f t="shared" si="3"/>
        <v>Sunday</v>
      </c>
      <c r="H91" t="str">
        <f t="shared" si="4"/>
        <v>Feb</v>
      </c>
      <c r="I91" s="1">
        <v>43523</v>
      </c>
      <c r="J91" s="1" t="str">
        <f t="shared" si="5"/>
        <v>Evening</v>
      </c>
      <c r="K91" s="2">
        <v>0.74652777777777779</v>
      </c>
      <c r="L91" t="s">
        <v>24</v>
      </c>
      <c r="M91">
        <v>23.097000000000001</v>
      </c>
      <c r="N91">
        <v>6.1</v>
      </c>
    </row>
    <row r="92" spans="1:14" x14ac:dyDescent="0.25">
      <c r="A92" t="s">
        <v>121</v>
      </c>
      <c r="B92" t="s">
        <v>20</v>
      </c>
      <c r="C92" t="s">
        <v>21</v>
      </c>
      <c r="D92" t="s">
        <v>15</v>
      </c>
      <c r="E92" t="s">
        <v>16</v>
      </c>
      <c r="F92" t="s">
        <v>27</v>
      </c>
      <c r="G92" t="str">
        <f t="shared" si="3"/>
        <v>Tuesday</v>
      </c>
      <c r="H92" t="str">
        <f t="shared" si="4"/>
        <v>Jan</v>
      </c>
      <c r="I92" s="1">
        <v>43488</v>
      </c>
      <c r="J92" s="1" t="str">
        <f t="shared" si="5"/>
        <v>Morning</v>
      </c>
      <c r="K92" s="2">
        <v>0.43402777777777773</v>
      </c>
      <c r="L92" t="s">
        <v>24</v>
      </c>
      <c r="M92">
        <v>9.4760000000000009</v>
      </c>
      <c r="N92">
        <v>7.1</v>
      </c>
    </row>
    <row r="93" spans="1:14" x14ac:dyDescent="0.25">
      <c r="A93" t="s">
        <v>122</v>
      </c>
      <c r="B93" t="s">
        <v>20</v>
      </c>
      <c r="C93" t="s">
        <v>21</v>
      </c>
      <c r="D93" t="s">
        <v>22</v>
      </c>
      <c r="E93" t="s">
        <v>16</v>
      </c>
      <c r="F93" t="s">
        <v>31</v>
      </c>
      <c r="G93" t="str">
        <f t="shared" si="3"/>
        <v>Wednesday</v>
      </c>
      <c r="H93" t="str">
        <f t="shared" si="4"/>
        <v>Jan</v>
      </c>
      <c r="I93" s="1">
        <v>43491</v>
      </c>
      <c r="J93" s="1" t="str">
        <f t="shared" si="5"/>
        <v>Evening</v>
      </c>
      <c r="K93" s="2">
        <v>0.82916666666666661</v>
      </c>
      <c r="L93" t="s">
        <v>18</v>
      </c>
      <c r="M93">
        <v>22.43</v>
      </c>
      <c r="N93">
        <v>8.1999999999999993</v>
      </c>
    </row>
    <row r="94" spans="1:14" x14ac:dyDescent="0.25">
      <c r="A94" t="s">
        <v>123</v>
      </c>
      <c r="B94" t="s">
        <v>13</v>
      </c>
      <c r="C94" t="s">
        <v>14</v>
      </c>
      <c r="D94" t="s">
        <v>15</v>
      </c>
      <c r="E94" t="s">
        <v>16</v>
      </c>
      <c r="F94" t="s">
        <v>31</v>
      </c>
      <c r="G94" t="str">
        <f t="shared" si="3"/>
        <v>Sunday</v>
      </c>
      <c r="H94" t="str">
        <f t="shared" si="4"/>
        <v>Jan</v>
      </c>
      <c r="I94" s="1">
        <v>43475</v>
      </c>
      <c r="J94" s="1" t="str">
        <f t="shared" si="5"/>
        <v>Evening</v>
      </c>
      <c r="K94" s="2">
        <v>0.6958333333333333</v>
      </c>
      <c r="L94" t="s">
        <v>18</v>
      </c>
      <c r="M94">
        <v>7.6929999999999996</v>
      </c>
      <c r="N94">
        <v>5.0999999999999996</v>
      </c>
    </row>
    <row r="95" spans="1:14" x14ac:dyDescent="0.25">
      <c r="A95" t="s">
        <v>124</v>
      </c>
      <c r="B95" t="s">
        <v>37</v>
      </c>
      <c r="C95" t="s">
        <v>38</v>
      </c>
      <c r="D95" t="s">
        <v>15</v>
      </c>
      <c r="E95" t="s">
        <v>26</v>
      </c>
      <c r="F95" t="s">
        <v>17</v>
      </c>
      <c r="G95" t="str">
        <f t="shared" si="3"/>
        <v>Tuesday</v>
      </c>
      <c r="H95" t="str">
        <f t="shared" si="4"/>
        <v>Mar</v>
      </c>
      <c r="I95" s="1">
        <v>43536</v>
      </c>
      <c r="J95" s="1" t="str">
        <f t="shared" si="5"/>
        <v>Afternoon</v>
      </c>
      <c r="K95" s="2">
        <v>0.50624999999999998</v>
      </c>
      <c r="L95" t="s">
        <v>28</v>
      </c>
      <c r="M95">
        <v>28.962</v>
      </c>
      <c r="N95">
        <v>8.6</v>
      </c>
    </row>
    <row r="96" spans="1:14" x14ac:dyDescent="0.25">
      <c r="A96" t="s">
        <v>125</v>
      </c>
      <c r="B96" t="s">
        <v>20</v>
      </c>
      <c r="C96" t="s">
        <v>21</v>
      </c>
      <c r="D96" t="s">
        <v>22</v>
      </c>
      <c r="E96" t="s">
        <v>26</v>
      </c>
      <c r="F96" t="s">
        <v>17</v>
      </c>
      <c r="G96" t="str">
        <f t="shared" si="3"/>
        <v>Thursday</v>
      </c>
      <c r="H96" t="str">
        <f t="shared" si="4"/>
        <v>Feb</v>
      </c>
      <c r="I96" s="1">
        <v>43502</v>
      </c>
      <c r="J96" s="1" t="str">
        <f t="shared" si="5"/>
        <v>Evening</v>
      </c>
      <c r="K96" s="2">
        <v>0.83680555555555547</v>
      </c>
      <c r="L96" t="s">
        <v>28</v>
      </c>
      <c r="M96">
        <v>4.4874999999999998</v>
      </c>
      <c r="N96">
        <v>6.6</v>
      </c>
    </row>
    <row r="97" spans="1:14" x14ac:dyDescent="0.25">
      <c r="A97" t="s">
        <v>126</v>
      </c>
      <c r="B97" t="s">
        <v>13</v>
      </c>
      <c r="C97" t="s">
        <v>14</v>
      </c>
      <c r="D97" t="s">
        <v>22</v>
      </c>
      <c r="E97" t="s">
        <v>26</v>
      </c>
      <c r="F97" t="s">
        <v>23</v>
      </c>
      <c r="G97" t="str">
        <f t="shared" si="3"/>
        <v>Monday</v>
      </c>
      <c r="H97" t="str">
        <f t="shared" si="4"/>
        <v>Mar</v>
      </c>
      <c r="I97" s="1">
        <v>43532</v>
      </c>
      <c r="J97" s="1" t="str">
        <f t="shared" si="5"/>
        <v>Evening</v>
      </c>
      <c r="K97" s="2">
        <v>0.85972222222222217</v>
      </c>
      <c r="L97" t="s">
        <v>18</v>
      </c>
      <c r="M97">
        <v>4.8579999999999997</v>
      </c>
      <c r="N97">
        <v>7.2</v>
      </c>
    </row>
    <row r="98" spans="1:14" x14ac:dyDescent="0.25">
      <c r="A98" t="s">
        <v>127</v>
      </c>
      <c r="B98" t="s">
        <v>37</v>
      </c>
      <c r="C98" t="s">
        <v>38</v>
      </c>
      <c r="D98" t="s">
        <v>22</v>
      </c>
      <c r="E98" t="s">
        <v>26</v>
      </c>
      <c r="F98" t="s">
        <v>17</v>
      </c>
      <c r="G98" t="str">
        <f t="shared" si="3"/>
        <v>Thursday</v>
      </c>
      <c r="H98" t="str">
        <f t="shared" si="4"/>
        <v>Mar</v>
      </c>
      <c r="I98" s="1">
        <v>43553</v>
      </c>
      <c r="J98" s="1" t="str">
        <f t="shared" si="5"/>
        <v>Morning</v>
      </c>
      <c r="K98" s="2">
        <v>0.43402777777777773</v>
      </c>
      <c r="L98" t="s">
        <v>18</v>
      </c>
      <c r="M98">
        <v>43.935000000000002</v>
      </c>
      <c r="N98">
        <v>5.0999999999999996</v>
      </c>
    </row>
    <row r="99" spans="1:14" x14ac:dyDescent="0.25">
      <c r="A99" t="s">
        <v>128</v>
      </c>
      <c r="B99" t="s">
        <v>20</v>
      </c>
      <c r="C99" t="s">
        <v>21</v>
      </c>
      <c r="D99" t="s">
        <v>22</v>
      </c>
      <c r="E99" t="s">
        <v>16</v>
      </c>
      <c r="F99" t="s">
        <v>23</v>
      </c>
      <c r="G99" t="str">
        <f t="shared" si="3"/>
        <v>Friday</v>
      </c>
      <c r="H99" t="str">
        <f t="shared" si="4"/>
        <v>Feb</v>
      </c>
      <c r="I99" s="1">
        <v>43505</v>
      </c>
      <c r="J99" s="1" t="str">
        <f t="shared" si="5"/>
        <v>Afternoon</v>
      </c>
      <c r="K99" s="2">
        <v>0.5493055555555556</v>
      </c>
      <c r="L99" t="s">
        <v>24</v>
      </c>
      <c r="M99">
        <v>3.7349999999999999</v>
      </c>
      <c r="N99">
        <v>4.0999999999999996</v>
      </c>
    </row>
    <row r="100" spans="1:14" x14ac:dyDescent="0.25">
      <c r="A100" t="s">
        <v>129</v>
      </c>
      <c r="B100" t="s">
        <v>13</v>
      </c>
      <c r="C100" t="s">
        <v>14</v>
      </c>
      <c r="D100" t="s">
        <v>22</v>
      </c>
      <c r="E100" t="s">
        <v>26</v>
      </c>
      <c r="F100" t="s">
        <v>39</v>
      </c>
      <c r="G100" t="str">
        <f t="shared" si="3"/>
        <v>Thursday</v>
      </c>
      <c r="H100" t="str">
        <f t="shared" si="4"/>
        <v>Mar</v>
      </c>
      <c r="I100" s="1">
        <v>43547</v>
      </c>
      <c r="J100" s="1" t="str">
        <f t="shared" si="5"/>
        <v>Morning</v>
      </c>
      <c r="K100" s="2">
        <v>0.42777777777777781</v>
      </c>
      <c r="L100" t="s">
        <v>18</v>
      </c>
      <c r="M100">
        <v>7.9124999999999996</v>
      </c>
      <c r="N100">
        <v>9.3000000000000007</v>
      </c>
    </row>
    <row r="101" spans="1:14" x14ac:dyDescent="0.25">
      <c r="A101" t="s">
        <v>130</v>
      </c>
      <c r="B101" t="s">
        <v>37</v>
      </c>
      <c r="C101" t="s">
        <v>38</v>
      </c>
      <c r="D101" t="s">
        <v>22</v>
      </c>
      <c r="E101" t="s">
        <v>26</v>
      </c>
      <c r="F101" t="s">
        <v>27</v>
      </c>
      <c r="G101" t="str">
        <f t="shared" si="3"/>
        <v>Monday</v>
      </c>
      <c r="H101" t="str">
        <f t="shared" si="4"/>
        <v>Mar</v>
      </c>
      <c r="I101" s="1">
        <v>43529</v>
      </c>
      <c r="J101" s="1" t="str">
        <f t="shared" si="5"/>
        <v>Evening</v>
      </c>
      <c r="K101" s="2">
        <v>0.7597222222222223</v>
      </c>
      <c r="L101" t="s">
        <v>24</v>
      </c>
      <c r="M101">
        <v>24.81</v>
      </c>
      <c r="N101">
        <v>7.4</v>
      </c>
    </row>
    <row r="102" spans="1:14" x14ac:dyDescent="0.25">
      <c r="A102" t="s">
        <v>131</v>
      </c>
      <c r="B102" t="s">
        <v>20</v>
      </c>
      <c r="C102" t="s">
        <v>21</v>
      </c>
      <c r="D102" t="s">
        <v>15</v>
      </c>
      <c r="E102" t="s">
        <v>26</v>
      </c>
      <c r="F102" t="s">
        <v>41</v>
      </c>
      <c r="G102" t="str">
        <f t="shared" si="3"/>
        <v>Thursday</v>
      </c>
      <c r="H102" t="str">
        <f t="shared" si="4"/>
        <v>Mar</v>
      </c>
      <c r="I102" s="1">
        <v>43550</v>
      </c>
      <c r="J102" s="1" t="str">
        <f t="shared" si="5"/>
        <v>Evening</v>
      </c>
      <c r="K102" s="2">
        <v>0.80555555555555547</v>
      </c>
      <c r="L102" t="s">
        <v>24</v>
      </c>
      <c r="M102">
        <v>2.4355000000000002</v>
      </c>
      <c r="N102">
        <v>4.0999999999999996</v>
      </c>
    </row>
    <row r="103" spans="1:14" x14ac:dyDescent="0.25">
      <c r="A103" t="s">
        <v>132</v>
      </c>
      <c r="B103" t="s">
        <v>20</v>
      </c>
      <c r="C103" t="s">
        <v>21</v>
      </c>
      <c r="D103" t="s">
        <v>22</v>
      </c>
      <c r="E103" t="s">
        <v>26</v>
      </c>
      <c r="F103" t="s">
        <v>41</v>
      </c>
      <c r="G103" t="str">
        <f t="shared" si="3"/>
        <v>Sunday</v>
      </c>
      <c r="H103" t="str">
        <f t="shared" si="4"/>
        <v>Mar</v>
      </c>
      <c r="I103" s="1">
        <v>43525</v>
      </c>
      <c r="J103" s="1" t="str">
        <f t="shared" si="5"/>
        <v>Afternoon</v>
      </c>
      <c r="K103" s="2">
        <v>0.55694444444444446</v>
      </c>
      <c r="L103" t="s">
        <v>24</v>
      </c>
      <c r="M103">
        <v>35.347499999999997</v>
      </c>
      <c r="N103">
        <v>7.2</v>
      </c>
    </row>
    <row r="104" spans="1:14" x14ac:dyDescent="0.25">
      <c r="A104" t="s">
        <v>133</v>
      </c>
      <c r="B104" t="s">
        <v>20</v>
      </c>
      <c r="C104" t="s">
        <v>21</v>
      </c>
      <c r="D104" t="s">
        <v>22</v>
      </c>
      <c r="E104" t="s">
        <v>16</v>
      </c>
      <c r="F104" t="s">
        <v>23</v>
      </c>
      <c r="G104" t="str">
        <f t="shared" si="3"/>
        <v>Wednesday</v>
      </c>
      <c r="H104" t="str">
        <f t="shared" si="4"/>
        <v>Feb</v>
      </c>
      <c r="I104" s="1">
        <v>43497</v>
      </c>
      <c r="J104" s="1" t="str">
        <f t="shared" si="5"/>
        <v>Morning</v>
      </c>
      <c r="K104" s="2">
        <v>0.4770833333333333</v>
      </c>
      <c r="L104" t="s">
        <v>24</v>
      </c>
      <c r="M104">
        <v>10.381500000000001</v>
      </c>
      <c r="N104">
        <v>4.9000000000000004</v>
      </c>
    </row>
    <row r="105" spans="1:14" x14ac:dyDescent="0.25">
      <c r="A105" t="s">
        <v>134</v>
      </c>
      <c r="B105" t="s">
        <v>13</v>
      </c>
      <c r="C105" t="s">
        <v>14</v>
      </c>
      <c r="D105" t="s">
        <v>22</v>
      </c>
      <c r="E105" t="s">
        <v>26</v>
      </c>
      <c r="F105" t="s">
        <v>39</v>
      </c>
      <c r="G105" t="str">
        <f t="shared" si="3"/>
        <v>Thursday</v>
      </c>
      <c r="H105" t="str">
        <f t="shared" si="4"/>
        <v>Mar</v>
      </c>
      <c r="I105" s="1">
        <v>43552</v>
      </c>
      <c r="J105" s="1" t="str">
        <f t="shared" si="5"/>
        <v>Evening</v>
      </c>
      <c r="K105" s="2">
        <v>0.6972222222222223</v>
      </c>
      <c r="L105" t="s">
        <v>24</v>
      </c>
      <c r="M105">
        <v>17.478000000000002</v>
      </c>
      <c r="N105">
        <v>9.9</v>
      </c>
    </row>
    <row r="106" spans="1:14" x14ac:dyDescent="0.25">
      <c r="A106" t="s">
        <v>135</v>
      </c>
      <c r="B106" t="s">
        <v>37</v>
      </c>
      <c r="C106" t="s">
        <v>38</v>
      </c>
      <c r="D106" t="s">
        <v>22</v>
      </c>
      <c r="E106" t="s">
        <v>26</v>
      </c>
      <c r="F106" t="s">
        <v>17</v>
      </c>
      <c r="G106" t="str">
        <f t="shared" si="3"/>
        <v>Wednesday</v>
      </c>
      <c r="H106" t="str">
        <f t="shared" si="4"/>
        <v>Mar</v>
      </c>
      <c r="I106" s="1">
        <v>43543</v>
      </c>
      <c r="J106" s="1" t="str">
        <f t="shared" si="5"/>
        <v>Evening</v>
      </c>
      <c r="K106" s="2">
        <v>0.7631944444444444</v>
      </c>
      <c r="L106" t="s">
        <v>24</v>
      </c>
      <c r="M106">
        <v>10.6225</v>
      </c>
      <c r="N106">
        <v>8</v>
      </c>
    </row>
    <row r="107" spans="1:14" x14ac:dyDescent="0.25">
      <c r="A107" t="s">
        <v>136</v>
      </c>
      <c r="B107" t="s">
        <v>13</v>
      </c>
      <c r="C107" t="s">
        <v>14</v>
      </c>
      <c r="D107" t="s">
        <v>15</v>
      </c>
      <c r="E107" t="s">
        <v>26</v>
      </c>
      <c r="F107" t="s">
        <v>23</v>
      </c>
      <c r="G107" t="str">
        <f t="shared" si="3"/>
        <v>Monday</v>
      </c>
      <c r="H107" t="str">
        <f t="shared" si="4"/>
        <v>Jan</v>
      </c>
      <c r="I107" s="1">
        <v>43477</v>
      </c>
      <c r="J107" s="1" t="str">
        <f t="shared" si="5"/>
        <v>Afternoon</v>
      </c>
      <c r="K107" s="2">
        <v>0.61805555555555558</v>
      </c>
      <c r="L107" t="s">
        <v>18</v>
      </c>
      <c r="M107">
        <v>44.335000000000001</v>
      </c>
      <c r="N107">
        <v>7.3</v>
      </c>
    </row>
    <row r="108" spans="1:14" x14ac:dyDescent="0.25">
      <c r="A108" t="s">
        <v>137</v>
      </c>
      <c r="B108" t="s">
        <v>20</v>
      </c>
      <c r="C108" t="s">
        <v>21</v>
      </c>
      <c r="D108" t="s">
        <v>22</v>
      </c>
      <c r="E108" t="s">
        <v>26</v>
      </c>
      <c r="F108" t="s">
        <v>41</v>
      </c>
      <c r="G108" t="str">
        <f t="shared" si="3"/>
        <v>Sunday</v>
      </c>
      <c r="H108" t="str">
        <f t="shared" si="4"/>
        <v>Jan</v>
      </c>
      <c r="I108" s="1">
        <v>43470</v>
      </c>
      <c r="J108" s="1" t="str">
        <f t="shared" si="5"/>
        <v>Evening</v>
      </c>
      <c r="K108" s="2">
        <v>0.87083333333333324</v>
      </c>
      <c r="L108" t="s">
        <v>28</v>
      </c>
      <c r="M108">
        <v>8.2140000000000004</v>
      </c>
      <c r="N108">
        <v>7.9</v>
      </c>
    </row>
    <row r="109" spans="1:14" x14ac:dyDescent="0.25">
      <c r="A109" t="s">
        <v>138</v>
      </c>
      <c r="B109" t="s">
        <v>13</v>
      </c>
      <c r="C109" t="s">
        <v>14</v>
      </c>
      <c r="D109" t="s">
        <v>22</v>
      </c>
      <c r="E109" t="s">
        <v>26</v>
      </c>
      <c r="F109" t="s">
        <v>31</v>
      </c>
      <c r="G109" t="str">
        <f t="shared" si="3"/>
        <v>Wednesday</v>
      </c>
      <c r="H109" t="str">
        <f t="shared" si="4"/>
        <v>Mar</v>
      </c>
      <c r="I109" s="1">
        <v>43546</v>
      </c>
      <c r="J109" s="1" t="str">
        <f t="shared" si="5"/>
        <v>Evening</v>
      </c>
      <c r="K109" s="2">
        <v>0.84652777777777777</v>
      </c>
      <c r="L109" t="s">
        <v>24</v>
      </c>
      <c r="M109">
        <v>18.638999999999999</v>
      </c>
      <c r="N109">
        <v>7.4</v>
      </c>
    </row>
    <row r="110" spans="1:14" x14ac:dyDescent="0.25">
      <c r="A110" t="s">
        <v>139</v>
      </c>
      <c r="B110" t="s">
        <v>20</v>
      </c>
      <c r="C110" t="s">
        <v>21</v>
      </c>
      <c r="D110" t="s">
        <v>22</v>
      </c>
      <c r="E110" t="s">
        <v>16</v>
      </c>
      <c r="F110" t="s">
        <v>39</v>
      </c>
      <c r="G110" t="str">
        <f t="shared" si="3"/>
        <v>Thursday</v>
      </c>
      <c r="H110" t="str">
        <f t="shared" si="4"/>
        <v>Mar</v>
      </c>
      <c r="I110" s="1">
        <v>43548</v>
      </c>
      <c r="J110" s="1" t="str">
        <f t="shared" si="5"/>
        <v>Morning</v>
      </c>
      <c r="K110" s="2">
        <v>0.4465277777777778</v>
      </c>
      <c r="L110" t="s">
        <v>24</v>
      </c>
      <c r="M110">
        <v>15.291</v>
      </c>
      <c r="N110">
        <v>4.2</v>
      </c>
    </row>
    <row r="111" spans="1:14" x14ac:dyDescent="0.25">
      <c r="A111" t="s">
        <v>140</v>
      </c>
      <c r="B111" t="s">
        <v>20</v>
      </c>
      <c r="C111" t="s">
        <v>21</v>
      </c>
      <c r="D111" t="s">
        <v>15</v>
      </c>
      <c r="E111" t="s">
        <v>26</v>
      </c>
      <c r="F111" t="s">
        <v>23</v>
      </c>
      <c r="G111" t="str">
        <f t="shared" si="3"/>
        <v>Monday</v>
      </c>
      <c r="H111" t="str">
        <f t="shared" si="4"/>
        <v>Mar</v>
      </c>
      <c r="I111" s="1">
        <v>43527</v>
      </c>
      <c r="J111" s="1" t="str">
        <f t="shared" si="5"/>
        <v>Afternoon</v>
      </c>
      <c r="K111" s="2">
        <v>0.60416666666666663</v>
      </c>
      <c r="L111" t="s">
        <v>24</v>
      </c>
      <c r="M111">
        <v>40.984999999999999</v>
      </c>
      <c r="N111">
        <v>9.1999999999999993</v>
      </c>
    </row>
    <row r="112" spans="1:14" x14ac:dyDescent="0.25">
      <c r="A112" t="s">
        <v>141</v>
      </c>
      <c r="B112" t="s">
        <v>37</v>
      </c>
      <c r="C112" t="s">
        <v>38</v>
      </c>
      <c r="D112" t="s">
        <v>15</v>
      </c>
      <c r="E112" t="s">
        <v>16</v>
      </c>
      <c r="F112" t="s">
        <v>31</v>
      </c>
      <c r="G112" t="str">
        <f t="shared" si="3"/>
        <v>Thursday</v>
      </c>
      <c r="H112" t="str">
        <f t="shared" si="4"/>
        <v>Feb</v>
      </c>
      <c r="I112" s="1">
        <v>43501</v>
      </c>
      <c r="J112" s="1" t="str">
        <f t="shared" si="5"/>
        <v>Morning</v>
      </c>
      <c r="K112" s="2">
        <v>0.48055555555555557</v>
      </c>
      <c r="L112" t="s">
        <v>18</v>
      </c>
      <c r="M112">
        <v>1.649</v>
      </c>
      <c r="N112">
        <v>4.5999999999999996</v>
      </c>
    </row>
    <row r="113" spans="1:14" x14ac:dyDescent="0.25">
      <c r="A113" t="s">
        <v>142</v>
      </c>
      <c r="B113" t="s">
        <v>20</v>
      </c>
      <c r="C113" t="s">
        <v>21</v>
      </c>
      <c r="D113" t="s">
        <v>15</v>
      </c>
      <c r="E113" t="s">
        <v>16</v>
      </c>
      <c r="F113" t="s">
        <v>17</v>
      </c>
      <c r="G113" t="str">
        <f t="shared" si="3"/>
        <v>Thursday</v>
      </c>
      <c r="H113" t="str">
        <f t="shared" si="4"/>
        <v>Feb</v>
      </c>
      <c r="I113" s="1">
        <v>43501</v>
      </c>
      <c r="J113" s="1" t="str">
        <f t="shared" si="5"/>
        <v>Morning</v>
      </c>
      <c r="K113" s="2">
        <v>0.44513888888888892</v>
      </c>
      <c r="L113" t="s">
        <v>28</v>
      </c>
      <c r="M113">
        <v>14.7315</v>
      </c>
      <c r="N113">
        <v>7.8</v>
      </c>
    </row>
    <row r="114" spans="1:14" x14ac:dyDescent="0.25">
      <c r="A114" t="s">
        <v>143</v>
      </c>
      <c r="B114" t="s">
        <v>37</v>
      </c>
      <c r="C114" t="s">
        <v>38</v>
      </c>
      <c r="D114" t="s">
        <v>22</v>
      </c>
      <c r="E114" t="s">
        <v>16</v>
      </c>
      <c r="F114" t="s">
        <v>41</v>
      </c>
      <c r="G114" t="str">
        <f t="shared" si="3"/>
        <v>Friday</v>
      </c>
      <c r="H114" t="str">
        <f t="shared" si="4"/>
        <v>Feb</v>
      </c>
      <c r="I114" s="1">
        <v>43511</v>
      </c>
      <c r="J114" s="1" t="str">
        <f t="shared" si="5"/>
        <v>Afternoon</v>
      </c>
      <c r="K114" s="2">
        <v>0.53055555555555556</v>
      </c>
      <c r="L114" t="s">
        <v>24</v>
      </c>
      <c r="M114">
        <v>25.494</v>
      </c>
      <c r="N114">
        <v>8.4</v>
      </c>
    </row>
    <row r="115" spans="1:14" x14ac:dyDescent="0.25">
      <c r="A115" t="s">
        <v>144</v>
      </c>
      <c r="B115" t="s">
        <v>13</v>
      </c>
      <c r="C115" t="s">
        <v>14</v>
      </c>
      <c r="D115" t="s">
        <v>15</v>
      </c>
      <c r="E115" t="s">
        <v>26</v>
      </c>
      <c r="F115" t="s">
        <v>27</v>
      </c>
      <c r="G115" t="str">
        <f t="shared" si="3"/>
        <v>Tuesday</v>
      </c>
      <c r="H115" t="str">
        <f t="shared" si="4"/>
        <v>Jan</v>
      </c>
      <c r="I115" s="1">
        <v>43484</v>
      </c>
      <c r="J115" s="1" t="str">
        <f t="shared" si="5"/>
        <v>Evening</v>
      </c>
      <c r="K115" s="2">
        <v>0.83819444444444446</v>
      </c>
      <c r="L115" t="s">
        <v>18</v>
      </c>
      <c r="M115">
        <v>26.131499999999999</v>
      </c>
      <c r="N115">
        <v>4.3</v>
      </c>
    </row>
    <row r="116" spans="1:14" x14ac:dyDescent="0.25">
      <c r="A116" t="s">
        <v>145</v>
      </c>
      <c r="B116" t="s">
        <v>20</v>
      </c>
      <c r="C116" t="s">
        <v>21</v>
      </c>
      <c r="D116" t="s">
        <v>15</v>
      </c>
      <c r="E116" t="s">
        <v>16</v>
      </c>
      <c r="F116" t="s">
        <v>27</v>
      </c>
      <c r="G116" t="str">
        <f t="shared" si="3"/>
        <v>Wednesday</v>
      </c>
      <c r="H116" t="str">
        <f t="shared" si="4"/>
        <v>Feb</v>
      </c>
      <c r="I116" s="1">
        <v>43497</v>
      </c>
      <c r="J116" s="1" t="str">
        <f t="shared" si="5"/>
        <v>Evening</v>
      </c>
      <c r="K116" s="2">
        <v>0.85486111111111107</v>
      </c>
      <c r="L116" t="s">
        <v>28</v>
      </c>
      <c r="M116">
        <v>36.355499999999999</v>
      </c>
      <c r="N116">
        <v>9.5</v>
      </c>
    </row>
    <row r="117" spans="1:14" x14ac:dyDescent="0.25">
      <c r="A117" t="s">
        <v>146</v>
      </c>
      <c r="B117" t="s">
        <v>20</v>
      </c>
      <c r="C117" t="s">
        <v>21</v>
      </c>
      <c r="D117" t="s">
        <v>22</v>
      </c>
      <c r="E117" t="s">
        <v>16</v>
      </c>
      <c r="F117" t="s">
        <v>41</v>
      </c>
      <c r="G117" t="str">
        <f t="shared" si="3"/>
        <v>Monday</v>
      </c>
      <c r="H117" t="str">
        <f t="shared" si="4"/>
        <v>Mar</v>
      </c>
      <c r="I117" s="1">
        <v>43526</v>
      </c>
      <c r="J117" s="1" t="str">
        <f t="shared" si="5"/>
        <v>Afternoon</v>
      </c>
      <c r="K117" s="2">
        <v>0.54236111111111118</v>
      </c>
      <c r="L117" t="s">
        <v>28</v>
      </c>
      <c r="M117">
        <v>4.0529999999999999</v>
      </c>
      <c r="N117">
        <v>7.1</v>
      </c>
    </row>
    <row r="118" spans="1:14" x14ac:dyDescent="0.25">
      <c r="A118" t="s">
        <v>147</v>
      </c>
      <c r="B118" t="s">
        <v>37</v>
      </c>
      <c r="C118" t="s">
        <v>38</v>
      </c>
      <c r="D118" t="s">
        <v>15</v>
      </c>
      <c r="E118" t="s">
        <v>26</v>
      </c>
      <c r="F118" t="s">
        <v>41</v>
      </c>
      <c r="G118" t="str">
        <f t="shared" si="3"/>
        <v>Monday</v>
      </c>
      <c r="H118" t="str">
        <f t="shared" si="4"/>
        <v>Mar</v>
      </c>
      <c r="I118" s="1">
        <v>43529</v>
      </c>
      <c r="J118" s="1" t="str">
        <f t="shared" si="5"/>
        <v>Afternoon</v>
      </c>
      <c r="K118" s="2">
        <v>0.52013888888888882</v>
      </c>
      <c r="L118" t="s">
        <v>18</v>
      </c>
      <c r="M118">
        <v>5.4850000000000003</v>
      </c>
      <c r="N118">
        <v>5.3</v>
      </c>
    </row>
    <row r="119" spans="1:14" x14ac:dyDescent="0.25">
      <c r="A119" t="s">
        <v>148</v>
      </c>
      <c r="B119" t="s">
        <v>37</v>
      </c>
      <c r="C119" t="s">
        <v>38</v>
      </c>
      <c r="D119" t="s">
        <v>15</v>
      </c>
      <c r="E119" t="s">
        <v>26</v>
      </c>
      <c r="F119" t="s">
        <v>41</v>
      </c>
      <c r="G119" t="str">
        <f t="shared" si="3"/>
        <v>Monday</v>
      </c>
      <c r="H119" t="str">
        <f t="shared" si="4"/>
        <v>Jan</v>
      </c>
      <c r="I119" s="1">
        <v>43481</v>
      </c>
      <c r="J119" s="1" t="str">
        <f t="shared" si="5"/>
        <v>Afternoon</v>
      </c>
      <c r="K119" s="2">
        <v>0.6430555555555556</v>
      </c>
      <c r="L119" t="s">
        <v>18</v>
      </c>
      <c r="M119">
        <v>2.5680000000000001</v>
      </c>
      <c r="N119">
        <v>5.2</v>
      </c>
    </row>
    <row r="120" spans="1:14" x14ac:dyDescent="0.25">
      <c r="A120" t="s">
        <v>149</v>
      </c>
      <c r="B120" t="s">
        <v>13</v>
      </c>
      <c r="C120" t="s">
        <v>14</v>
      </c>
      <c r="D120" t="s">
        <v>22</v>
      </c>
      <c r="E120" t="s">
        <v>16</v>
      </c>
      <c r="F120" t="s">
        <v>39</v>
      </c>
      <c r="G120" t="str">
        <f t="shared" si="3"/>
        <v>Thursday</v>
      </c>
      <c r="H120" t="str">
        <f t="shared" si="4"/>
        <v>Feb</v>
      </c>
      <c r="I120" s="1">
        <v>43498</v>
      </c>
      <c r="J120" s="1" t="str">
        <f t="shared" si="5"/>
        <v>Evening</v>
      </c>
      <c r="K120" s="2">
        <v>0.8666666666666667</v>
      </c>
      <c r="L120" t="s">
        <v>18</v>
      </c>
      <c r="M120">
        <v>5.48</v>
      </c>
      <c r="N120">
        <v>6</v>
      </c>
    </row>
    <row r="121" spans="1:14" x14ac:dyDescent="0.25">
      <c r="A121" t="s">
        <v>150</v>
      </c>
      <c r="B121" t="s">
        <v>37</v>
      </c>
      <c r="C121" t="s">
        <v>38</v>
      </c>
      <c r="D121" t="s">
        <v>22</v>
      </c>
      <c r="E121" t="s">
        <v>26</v>
      </c>
      <c r="F121" t="s">
        <v>27</v>
      </c>
      <c r="G121" t="str">
        <f t="shared" si="3"/>
        <v>Tuesday</v>
      </c>
      <c r="H121" t="str">
        <f t="shared" si="4"/>
        <v>Jan</v>
      </c>
      <c r="I121" s="1">
        <v>43485</v>
      </c>
      <c r="J121" s="1" t="str">
        <f t="shared" si="5"/>
        <v>Evening</v>
      </c>
      <c r="K121" s="2">
        <v>0.85972222222222217</v>
      </c>
      <c r="L121" t="s">
        <v>18</v>
      </c>
      <c r="M121">
        <v>5.3440000000000003</v>
      </c>
      <c r="N121">
        <v>4.0999999999999996</v>
      </c>
    </row>
    <row r="122" spans="1:14" x14ac:dyDescent="0.25">
      <c r="A122" t="s">
        <v>151</v>
      </c>
      <c r="B122" t="s">
        <v>13</v>
      </c>
      <c r="C122" t="s">
        <v>14</v>
      </c>
      <c r="D122" t="s">
        <v>22</v>
      </c>
      <c r="E122" t="s">
        <v>16</v>
      </c>
      <c r="F122" t="s">
        <v>23</v>
      </c>
      <c r="G122" t="str">
        <f t="shared" si="3"/>
        <v>Friday</v>
      </c>
      <c r="H122" t="str">
        <f t="shared" si="4"/>
        <v>Feb</v>
      </c>
      <c r="I122" s="1">
        <v>43510</v>
      </c>
      <c r="J122" s="1" t="str">
        <f t="shared" si="5"/>
        <v>Evening</v>
      </c>
      <c r="K122" s="2">
        <v>0.7104166666666667</v>
      </c>
      <c r="L122" t="s">
        <v>28</v>
      </c>
      <c r="M122">
        <v>39.823999999999998</v>
      </c>
      <c r="N122">
        <v>5.2</v>
      </c>
    </row>
    <row r="123" spans="1:14" x14ac:dyDescent="0.25">
      <c r="A123" t="s">
        <v>152</v>
      </c>
      <c r="B123" t="s">
        <v>20</v>
      </c>
      <c r="C123" t="s">
        <v>21</v>
      </c>
      <c r="D123" t="s">
        <v>15</v>
      </c>
      <c r="E123" t="s">
        <v>26</v>
      </c>
      <c r="F123" t="s">
        <v>31</v>
      </c>
      <c r="G123" t="str">
        <f t="shared" si="3"/>
        <v>Monday</v>
      </c>
      <c r="H123" t="str">
        <f t="shared" si="4"/>
        <v>Jan</v>
      </c>
      <c r="I123" s="1">
        <v>43477</v>
      </c>
      <c r="J123" s="1" t="str">
        <f t="shared" si="5"/>
        <v>Afternoon</v>
      </c>
      <c r="K123" s="2">
        <v>0.50138888888888888</v>
      </c>
      <c r="L123" t="s">
        <v>28</v>
      </c>
      <c r="M123">
        <v>19.992000000000001</v>
      </c>
      <c r="N123">
        <v>6.5</v>
      </c>
    </row>
    <row r="124" spans="1:14" x14ac:dyDescent="0.25">
      <c r="A124" t="s">
        <v>153</v>
      </c>
      <c r="B124" t="s">
        <v>37</v>
      </c>
      <c r="C124" t="s">
        <v>38</v>
      </c>
      <c r="D124" t="s">
        <v>15</v>
      </c>
      <c r="E124" t="s">
        <v>26</v>
      </c>
      <c r="F124" t="s">
        <v>31</v>
      </c>
      <c r="G124" t="str">
        <f t="shared" si="3"/>
        <v>Tuesday</v>
      </c>
      <c r="H124" t="str">
        <f t="shared" si="4"/>
        <v>Mar</v>
      </c>
      <c r="I124" s="1">
        <v>43533</v>
      </c>
      <c r="J124" s="1" t="str">
        <f t="shared" si="5"/>
        <v>Evening</v>
      </c>
      <c r="K124" s="2">
        <v>0.72638888888888886</v>
      </c>
      <c r="L124" t="s">
        <v>28</v>
      </c>
      <c r="M124">
        <v>44.981999999999999</v>
      </c>
      <c r="N124">
        <v>4.2</v>
      </c>
    </row>
    <row r="125" spans="1:14" x14ac:dyDescent="0.25">
      <c r="A125" t="s">
        <v>154</v>
      </c>
      <c r="B125" t="s">
        <v>20</v>
      </c>
      <c r="C125" t="s">
        <v>21</v>
      </c>
      <c r="D125" t="s">
        <v>15</v>
      </c>
      <c r="E125" t="s">
        <v>26</v>
      </c>
      <c r="F125" t="s">
        <v>27</v>
      </c>
      <c r="G125" t="str">
        <f t="shared" si="3"/>
        <v>Tuesday</v>
      </c>
      <c r="H125" t="str">
        <f t="shared" si="4"/>
        <v>Mar</v>
      </c>
      <c r="I125" s="1">
        <v>43537</v>
      </c>
      <c r="J125" s="1" t="str">
        <f t="shared" si="5"/>
        <v>Evening</v>
      </c>
      <c r="K125" s="2">
        <v>0.82777777777777783</v>
      </c>
      <c r="L125" t="s">
        <v>28</v>
      </c>
      <c r="M125">
        <v>25.564</v>
      </c>
      <c r="N125">
        <v>4.5999999999999996</v>
      </c>
    </row>
    <row r="126" spans="1:14" x14ac:dyDescent="0.25">
      <c r="A126" t="s">
        <v>155</v>
      </c>
      <c r="B126" t="s">
        <v>37</v>
      </c>
      <c r="C126" t="s">
        <v>38</v>
      </c>
      <c r="D126" t="s">
        <v>15</v>
      </c>
      <c r="E126" t="s">
        <v>16</v>
      </c>
      <c r="F126" t="s">
        <v>41</v>
      </c>
      <c r="G126" t="str">
        <f t="shared" si="3"/>
        <v>Tuesday</v>
      </c>
      <c r="H126" t="str">
        <f t="shared" si="4"/>
        <v>Mar</v>
      </c>
      <c r="I126" s="1">
        <v>43533</v>
      </c>
      <c r="J126" s="1" t="str">
        <f t="shared" si="5"/>
        <v>Afternoon</v>
      </c>
      <c r="K126" s="2">
        <v>0.62291666666666667</v>
      </c>
      <c r="L126" t="s">
        <v>18</v>
      </c>
      <c r="M126">
        <v>22.588000000000001</v>
      </c>
      <c r="N126">
        <v>7.3</v>
      </c>
    </row>
    <row r="127" spans="1:14" x14ac:dyDescent="0.25">
      <c r="A127" t="s">
        <v>156</v>
      </c>
      <c r="B127" t="s">
        <v>13</v>
      </c>
      <c r="C127" t="s">
        <v>14</v>
      </c>
      <c r="D127" t="s">
        <v>22</v>
      </c>
      <c r="E127" t="s">
        <v>16</v>
      </c>
      <c r="F127" t="s">
        <v>27</v>
      </c>
      <c r="G127" t="str">
        <f t="shared" si="3"/>
        <v>Tuesday</v>
      </c>
      <c r="H127" t="str">
        <f t="shared" si="4"/>
        <v>Mar</v>
      </c>
      <c r="I127" s="1">
        <v>43534</v>
      </c>
      <c r="J127" s="1" t="str">
        <f t="shared" si="5"/>
        <v>Evening</v>
      </c>
      <c r="K127" s="2">
        <v>0.78055555555555556</v>
      </c>
      <c r="L127" t="s">
        <v>28</v>
      </c>
      <c r="M127">
        <v>32.791499999999999</v>
      </c>
      <c r="N127">
        <v>4.5</v>
      </c>
    </row>
    <row r="128" spans="1:14" x14ac:dyDescent="0.25">
      <c r="A128" t="s">
        <v>157</v>
      </c>
      <c r="B128" t="s">
        <v>13</v>
      </c>
      <c r="C128" t="s">
        <v>14</v>
      </c>
      <c r="D128" t="s">
        <v>22</v>
      </c>
      <c r="E128" t="s">
        <v>16</v>
      </c>
      <c r="F128" t="s">
        <v>31</v>
      </c>
      <c r="G128" t="str">
        <f t="shared" si="3"/>
        <v>Wednesday</v>
      </c>
      <c r="H128" t="str">
        <f t="shared" si="4"/>
        <v>Jan</v>
      </c>
      <c r="I128" s="1">
        <v>43492</v>
      </c>
      <c r="J128" s="1" t="str">
        <f t="shared" si="5"/>
        <v>Afternoon</v>
      </c>
      <c r="K128" s="2">
        <v>0.55972222222222223</v>
      </c>
      <c r="L128" t="s">
        <v>24</v>
      </c>
      <c r="M128">
        <v>8.0625</v>
      </c>
      <c r="N128">
        <v>9</v>
      </c>
    </row>
    <row r="129" spans="1:14" x14ac:dyDescent="0.25">
      <c r="A129" t="s">
        <v>158</v>
      </c>
      <c r="B129" t="s">
        <v>20</v>
      </c>
      <c r="C129" t="s">
        <v>21</v>
      </c>
      <c r="D129" t="s">
        <v>22</v>
      </c>
      <c r="E129" t="s">
        <v>16</v>
      </c>
      <c r="F129" t="s">
        <v>41</v>
      </c>
      <c r="G129" t="str">
        <f t="shared" si="3"/>
        <v>Sunday</v>
      </c>
      <c r="H129" t="str">
        <f t="shared" si="4"/>
        <v>Jan</v>
      </c>
      <c r="I129" s="1">
        <v>43473</v>
      </c>
      <c r="J129" s="1" t="str">
        <f t="shared" si="5"/>
        <v>Evening</v>
      </c>
      <c r="K129" s="2">
        <v>0.67847222222222225</v>
      </c>
      <c r="L129" t="s">
        <v>28</v>
      </c>
      <c r="M129">
        <v>14.278499999999999</v>
      </c>
      <c r="N129">
        <v>5.9</v>
      </c>
    </row>
    <row r="130" spans="1:14" x14ac:dyDescent="0.25">
      <c r="A130" t="s">
        <v>159</v>
      </c>
      <c r="B130" t="s">
        <v>20</v>
      </c>
      <c r="C130" t="s">
        <v>21</v>
      </c>
      <c r="D130" t="s">
        <v>15</v>
      </c>
      <c r="E130" t="s">
        <v>16</v>
      </c>
      <c r="F130" t="s">
        <v>39</v>
      </c>
      <c r="G130" t="str">
        <f t="shared" si="3"/>
        <v>Sunday</v>
      </c>
      <c r="H130" t="str">
        <f t="shared" si="4"/>
        <v>Jan</v>
      </c>
      <c r="I130" s="1">
        <v>43473</v>
      </c>
      <c r="J130" s="1" t="str">
        <f t="shared" si="5"/>
        <v>Afternoon</v>
      </c>
      <c r="K130" s="2">
        <v>0.6645833333333333</v>
      </c>
      <c r="L130" t="s">
        <v>18</v>
      </c>
      <c r="M130">
        <v>27.416</v>
      </c>
      <c r="N130">
        <v>8.5</v>
      </c>
    </row>
    <row r="131" spans="1:14" x14ac:dyDescent="0.25">
      <c r="A131" t="s">
        <v>160</v>
      </c>
      <c r="B131" t="s">
        <v>37</v>
      </c>
      <c r="C131" t="s">
        <v>38</v>
      </c>
      <c r="D131" t="s">
        <v>22</v>
      </c>
      <c r="E131" t="s">
        <v>16</v>
      </c>
      <c r="F131" t="s">
        <v>31</v>
      </c>
      <c r="G131" t="str">
        <f t="shared" ref="G131:G194" si="6">TEXT(I131/7,"dddd")</f>
        <v>Thursday</v>
      </c>
      <c r="H131" t="str">
        <f t="shared" ref="H131:H194" si="7">TEXT(I131,"mmm")</f>
        <v>Feb</v>
      </c>
      <c r="I131" s="1">
        <v>43504</v>
      </c>
      <c r="J131" s="1" t="str">
        <f t="shared" ref="J131:J194" si="8">IF(AND(K131&gt;=TIME(9,0,0),K131&lt;TIME(12,0,0)),"Morning",IF(AND(K131&gt;=TIME(12,0,0),K131&lt;TIME(16,0,0)),"Afternoon","Evening"))</f>
        <v>Morning</v>
      </c>
      <c r="K131" s="2">
        <v>0.46875</v>
      </c>
      <c r="L131" t="s">
        <v>18</v>
      </c>
      <c r="M131">
        <v>40.625999999999998</v>
      </c>
      <c r="N131">
        <v>7.2</v>
      </c>
    </row>
    <row r="132" spans="1:14" x14ac:dyDescent="0.25">
      <c r="A132" t="s">
        <v>161</v>
      </c>
      <c r="B132" t="s">
        <v>37</v>
      </c>
      <c r="C132" t="s">
        <v>38</v>
      </c>
      <c r="D132" t="s">
        <v>22</v>
      </c>
      <c r="E132" t="s">
        <v>16</v>
      </c>
      <c r="F132" t="s">
        <v>41</v>
      </c>
      <c r="G132" t="str">
        <f t="shared" si="6"/>
        <v>Tuesday</v>
      </c>
      <c r="H132" t="str">
        <f t="shared" si="7"/>
        <v>Jan</v>
      </c>
      <c r="I132" s="1">
        <v>43490</v>
      </c>
      <c r="J132" s="1" t="str">
        <f t="shared" si="8"/>
        <v>Afternoon</v>
      </c>
      <c r="K132" s="2">
        <v>0.5541666666666667</v>
      </c>
      <c r="L132" t="s">
        <v>24</v>
      </c>
      <c r="M132">
        <v>13.867000000000001</v>
      </c>
      <c r="N132">
        <v>7.5</v>
      </c>
    </row>
    <row r="133" spans="1:14" x14ac:dyDescent="0.25">
      <c r="A133" t="s">
        <v>162</v>
      </c>
      <c r="B133" t="s">
        <v>13</v>
      </c>
      <c r="C133" t="s">
        <v>14</v>
      </c>
      <c r="D133" t="s">
        <v>15</v>
      </c>
      <c r="E133" t="s">
        <v>16</v>
      </c>
      <c r="F133" t="s">
        <v>31</v>
      </c>
      <c r="G133" t="str">
        <f t="shared" si="6"/>
        <v>Monday</v>
      </c>
      <c r="H133" t="str">
        <f t="shared" si="7"/>
        <v>Mar</v>
      </c>
      <c r="I133" s="1">
        <v>43530</v>
      </c>
      <c r="J133" s="1" t="str">
        <f t="shared" si="8"/>
        <v>Evening</v>
      </c>
      <c r="K133" s="2">
        <v>0.8569444444444444</v>
      </c>
      <c r="L133" t="s">
        <v>24</v>
      </c>
      <c r="M133">
        <v>27.638999999999999</v>
      </c>
      <c r="N133">
        <v>8.3000000000000007</v>
      </c>
    </row>
    <row r="134" spans="1:14" x14ac:dyDescent="0.25">
      <c r="A134" t="s">
        <v>163</v>
      </c>
      <c r="B134" t="s">
        <v>37</v>
      </c>
      <c r="C134" t="s">
        <v>38</v>
      </c>
      <c r="D134" t="s">
        <v>22</v>
      </c>
      <c r="E134" t="s">
        <v>16</v>
      </c>
      <c r="F134" t="s">
        <v>31</v>
      </c>
      <c r="G134" t="str">
        <f t="shared" si="6"/>
        <v>Friday</v>
      </c>
      <c r="H134" t="str">
        <f t="shared" si="7"/>
        <v>Feb</v>
      </c>
      <c r="I134" s="1">
        <v>43506</v>
      </c>
      <c r="J134" s="1" t="str">
        <f t="shared" si="8"/>
        <v>Evening</v>
      </c>
      <c r="K134" s="2">
        <v>0.77500000000000002</v>
      </c>
      <c r="L134" t="s">
        <v>24</v>
      </c>
      <c r="M134">
        <v>6.968</v>
      </c>
      <c r="N134">
        <v>7.4</v>
      </c>
    </row>
    <row r="135" spans="1:14" x14ac:dyDescent="0.25">
      <c r="A135" t="s">
        <v>164</v>
      </c>
      <c r="B135" t="s">
        <v>37</v>
      </c>
      <c r="C135" t="s">
        <v>38</v>
      </c>
      <c r="D135" t="s">
        <v>15</v>
      </c>
      <c r="E135" t="s">
        <v>26</v>
      </c>
      <c r="F135" t="s">
        <v>23</v>
      </c>
      <c r="G135" t="str">
        <f t="shared" si="6"/>
        <v>Saturday</v>
      </c>
      <c r="H135" t="str">
        <f t="shared" si="7"/>
        <v>Feb</v>
      </c>
      <c r="I135" s="1">
        <v>43513</v>
      </c>
      <c r="J135" s="1" t="str">
        <f t="shared" si="8"/>
        <v>Afternoon</v>
      </c>
      <c r="K135" s="2">
        <v>0.61111111111111105</v>
      </c>
      <c r="L135" t="s">
        <v>28</v>
      </c>
      <c r="M135">
        <v>26.234999999999999</v>
      </c>
      <c r="N135">
        <v>8.8000000000000007</v>
      </c>
    </row>
    <row r="136" spans="1:14" x14ac:dyDescent="0.25">
      <c r="A136" t="s">
        <v>165</v>
      </c>
      <c r="B136" t="s">
        <v>20</v>
      </c>
      <c r="C136" t="s">
        <v>21</v>
      </c>
      <c r="D136" t="s">
        <v>22</v>
      </c>
      <c r="E136" t="s">
        <v>16</v>
      </c>
      <c r="F136" t="s">
        <v>17</v>
      </c>
      <c r="G136" t="str">
        <f t="shared" si="6"/>
        <v>Monday</v>
      </c>
      <c r="H136" t="str">
        <f t="shared" si="7"/>
        <v>Mar</v>
      </c>
      <c r="I136" s="1">
        <v>43532</v>
      </c>
      <c r="J136" s="1" t="str">
        <f t="shared" si="8"/>
        <v>Evening</v>
      </c>
      <c r="K136" s="2">
        <v>0.69652777777777775</v>
      </c>
      <c r="L136" t="s">
        <v>18</v>
      </c>
      <c r="M136">
        <v>24.39</v>
      </c>
      <c r="N136">
        <v>5.3</v>
      </c>
    </row>
    <row r="137" spans="1:14" x14ac:dyDescent="0.25">
      <c r="A137" t="s">
        <v>166</v>
      </c>
      <c r="B137" t="s">
        <v>20</v>
      </c>
      <c r="C137" t="s">
        <v>21</v>
      </c>
      <c r="D137" t="s">
        <v>22</v>
      </c>
      <c r="E137" t="s">
        <v>26</v>
      </c>
      <c r="F137" t="s">
        <v>41</v>
      </c>
      <c r="G137" t="str">
        <f t="shared" si="6"/>
        <v>Saturday</v>
      </c>
      <c r="H137" t="str">
        <f t="shared" si="7"/>
        <v>Feb</v>
      </c>
      <c r="I137" s="1">
        <v>43514</v>
      </c>
      <c r="J137" s="1" t="str">
        <f t="shared" si="8"/>
        <v>Evening</v>
      </c>
      <c r="K137" s="2">
        <v>0.81874999999999998</v>
      </c>
      <c r="L137" t="s">
        <v>24</v>
      </c>
      <c r="M137">
        <v>13.532999999999999</v>
      </c>
      <c r="N137">
        <v>6.2</v>
      </c>
    </row>
    <row r="138" spans="1:14" x14ac:dyDescent="0.25">
      <c r="A138" t="s">
        <v>167</v>
      </c>
      <c r="B138" t="s">
        <v>13</v>
      </c>
      <c r="C138" t="s">
        <v>14</v>
      </c>
      <c r="D138" t="s">
        <v>22</v>
      </c>
      <c r="E138" t="s">
        <v>16</v>
      </c>
      <c r="F138" t="s">
        <v>23</v>
      </c>
      <c r="G138" t="str">
        <f t="shared" si="6"/>
        <v>Monday</v>
      </c>
      <c r="H138" t="str">
        <f t="shared" si="7"/>
        <v>Jan</v>
      </c>
      <c r="I138" s="1">
        <v>43483</v>
      </c>
      <c r="J138" s="1" t="str">
        <f t="shared" si="8"/>
        <v>Evening</v>
      </c>
      <c r="K138" s="2">
        <v>0.87430555555555556</v>
      </c>
      <c r="L138" t="s">
        <v>28</v>
      </c>
      <c r="M138">
        <v>6.5774999999999997</v>
      </c>
      <c r="N138">
        <v>8.8000000000000007</v>
      </c>
    </row>
    <row r="139" spans="1:14" x14ac:dyDescent="0.25">
      <c r="A139" t="s">
        <v>168</v>
      </c>
      <c r="B139" t="s">
        <v>13</v>
      </c>
      <c r="C139" t="s">
        <v>14</v>
      </c>
      <c r="D139" t="s">
        <v>15</v>
      </c>
      <c r="E139" t="s">
        <v>16</v>
      </c>
      <c r="F139" t="s">
        <v>27</v>
      </c>
      <c r="G139" t="str">
        <f t="shared" si="6"/>
        <v>Saturday</v>
      </c>
      <c r="H139" t="str">
        <f t="shared" si="7"/>
        <v>Feb</v>
      </c>
      <c r="I139" s="1">
        <v>43514</v>
      </c>
      <c r="J139" s="1" t="str">
        <f t="shared" si="8"/>
        <v>Afternoon</v>
      </c>
      <c r="K139" s="2">
        <v>0.65208333333333335</v>
      </c>
      <c r="L139" t="s">
        <v>24</v>
      </c>
      <c r="M139">
        <v>10.326000000000001</v>
      </c>
      <c r="N139">
        <v>9.8000000000000007</v>
      </c>
    </row>
    <row r="140" spans="1:14" x14ac:dyDescent="0.25">
      <c r="A140" t="s">
        <v>169</v>
      </c>
      <c r="B140" t="s">
        <v>37</v>
      </c>
      <c r="C140" t="s">
        <v>38</v>
      </c>
      <c r="D140" t="s">
        <v>22</v>
      </c>
      <c r="E140" t="s">
        <v>26</v>
      </c>
      <c r="F140" t="s">
        <v>31</v>
      </c>
      <c r="G140" t="str">
        <f t="shared" si="6"/>
        <v>Saturday</v>
      </c>
      <c r="H140" t="str">
        <f t="shared" si="7"/>
        <v>Feb</v>
      </c>
      <c r="I140" s="1">
        <v>43512</v>
      </c>
      <c r="J140" s="1" t="str">
        <f t="shared" si="8"/>
        <v>Afternoon</v>
      </c>
      <c r="K140" s="2">
        <v>0.51458333333333328</v>
      </c>
      <c r="L140" t="s">
        <v>24</v>
      </c>
      <c r="M140">
        <v>25.954999999999998</v>
      </c>
      <c r="N140">
        <v>8.1999999999999993</v>
      </c>
    </row>
    <row r="141" spans="1:14" x14ac:dyDescent="0.25">
      <c r="A141" t="s">
        <v>170</v>
      </c>
      <c r="B141" t="s">
        <v>13</v>
      </c>
      <c r="C141" t="s">
        <v>14</v>
      </c>
      <c r="D141" t="s">
        <v>22</v>
      </c>
      <c r="E141" t="s">
        <v>26</v>
      </c>
      <c r="F141" t="s">
        <v>31</v>
      </c>
      <c r="G141" t="str">
        <f t="shared" si="6"/>
        <v>Wednesday</v>
      </c>
      <c r="H141" t="str">
        <f t="shared" si="7"/>
        <v>Mar</v>
      </c>
      <c r="I141" s="1">
        <v>43540</v>
      </c>
      <c r="J141" s="1" t="str">
        <f t="shared" si="8"/>
        <v>Evening</v>
      </c>
      <c r="K141" s="2">
        <v>0.80902777777777779</v>
      </c>
      <c r="L141" t="s">
        <v>18</v>
      </c>
      <c r="M141">
        <v>29</v>
      </c>
      <c r="N141">
        <v>9.1999999999999993</v>
      </c>
    </row>
    <row r="142" spans="1:14" x14ac:dyDescent="0.25">
      <c r="A142" t="s">
        <v>171</v>
      </c>
      <c r="B142" t="s">
        <v>20</v>
      </c>
      <c r="C142" t="s">
        <v>21</v>
      </c>
      <c r="D142" t="s">
        <v>15</v>
      </c>
      <c r="E142" t="s">
        <v>16</v>
      </c>
      <c r="F142" t="s">
        <v>31</v>
      </c>
      <c r="G142" t="str">
        <f t="shared" si="6"/>
        <v>Tuesday</v>
      </c>
      <c r="H142" t="str">
        <f t="shared" si="7"/>
        <v>Jan</v>
      </c>
      <c r="I142" s="1">
        <v>43488</v>
      </c>
      <c r="J142" s="1" t="str">
        <f t="shared" si="8"/>
        <v>Afternoon</v>
      </c>
      <c r="K142" s="2">
        <v>0.54166666666666663</v>
      </c>
      <c r="L142" t="s">
        <v>28</v>
      </c>
      <c r="M142">
        <v>44.9</v>
      </c>
      <c r="N142">
        <v>5.4</v>
      </c>
    </row>
    <row r="143" spans="1:14" x14ac:dyDescent="0.25">
      <c r="A143" t="s">
        <v>172</v>
      </c>
      <c r="B143" t="s">
        <v>20</v>
      </c>
      <c r="C143" t="s">
        <v>21</v>
      </c>
      <c r="D143" t="s">
        <v>15</v>
      </c>
      <c r="E143" t="s">
        <v>26</v>
      </c>
      <c r="F143" t="s">
        <v>17</v>
      </c>
      <c r="G143" t="str">
        <f t="shared" si="6"/>
        <v>Tuesday</v>
      </c>
      <c r="H143" t="str">
        <f t="shared" si="7"/>
        <v>Jan</v>
      </c>
      <c r="I143" s="1">
        <v>43490</v>
      </c>
      <c r="J143" s="1" t="str">
        <f t="shared" si="8"/>
        <v>Afternoon</v>
      </c>
      <c r="K143" s="2">
        <v>0.57500000000000007</v>
      </c>
      <c r="L143" t="s">
        <v>24</v>
      </c>
      <c r="M143">
        <v>45.25</v>
      </c>
      <c r="N143">
        <v>8.1</v>
      </c>
    </row>
    <row r="144" spans="1:14" x14ac:dyDescent="0.25">
      <c r="A144" t="s">
        <v>173</v>
      </c>
      <c r="B144" t="s">
        <v>20</v>
      </c>
      <c r="C144" t="s">
        <v>21</v>
      </c>
      <c r="D144" t="s">
        <v>15</v>
      </c>
      <c r="E144" t="s">
        <v>16</v>
      </c>
      <c r="F144" t="s">
        <v>17</v>
      </c>
      <c r="G144" t="str">
        <f t="shared" si="6"/>
        <v>Thursday</v>
      </c>
      <c r="H144" t="str">
        <f t="shared" si="7"/>
        <v>Feb</v>
      </c>
      <c r="I144" s="1">
        <v>43501</v>
      </c>
      <c r="J144" s="1" t="str">
        <f t="shared" si="8"/>
        <v>Evening</v>
      </c>
      <c r="K144" s="2">
        <v>0.83124999999999993</v>
      </c>
      <c r="L144" t="s">
        <v>24</v>
      </c>
      <c r="M144">
        <v>34.299999999999997</v>
      </c>
      <c r="N144">
        <v>9.1</v>
      </c>
    </row>
    <row r="145" spans="1:14" x14ac:dyDescent="0.25">
      <c r="A145" t="s">
        <v>174</v>
      </c>
      <c r="B145" t="s">
        <v>20</v>
      </c>
      <c r="C145" t="s">
        <v>21</v>
      </c>
      <c r="D145" t="s">
        <v>15</v>
      </c>
      <c r="E145" t="s">
        <v>16</v>
      </c>
      <c r="F145" t="s">
        <v>39</v>
      </c>
      <c r="G145" t="str">
        <f t="shared" si="6"/>
        <v>Saturday</v>
      </c>
      <c r="H145" t="str">
        <f t="shared" si="7"/>
        <v>Feb</v>
      </c>
      <c r="I145" s="1">
        <v>43518</v>
      </c>
      <c r="J145" s="1" t="str">
        <f t="shared" si="8"/>
        <v>Morning</v>
      </c>
      <c r="K145" s="2">
        <v>0.44166666666666665</v>
      </c>
      <c r="L145" t="s">
        <v>28</v>
      </c>
      <c r="M145">
        <v>1.5205</v>
      </c>
      <c r="N145">
        <v>8.4</v>
      </c>
    </row>
    <row r="146" spans="1:14" x14ac:dyDescent="0.25">
      <c r="A146" t="s">
        <v>175</v>
      </c>
      <c r="B146" t="s">
        <v>13</v>
      </c>
      <c r="C146" t="s">
        <v>14</v>
      </c>
      <c r="D146" t="s">
        <v>22</v>
      </c>
      <c r="E146" t="s">
        <v>16</v>
      </c>
      <c r="F146" t="s">
        <v>27</v>
      </c>
      <c r="G146" t="str">
        <f t="shared" si="6"/>
        <v>Tuesday</v>
      </c>
      <c r="H146" t="str">
        <f t="shared" si="7"/>
        <v>Jan</v>
      </c>
      <c r="I146" s="1">
        <v>43486</v>
      </c>
      <c r="J146" s="1" t="str">
        <f t="shared" si="8"/>
        <v>Evening</v>
      </c>
      <c r="K146" s="2">
        <v>0.69236111111111109</v>
      </c>
      <c r="L146" t="s">
        <v>18</v>
      </c>
      <c r="M146">
        <v>23.385000000000002</v>
      </c>
      <c r="N146">
        <v>8</v>
      </c>
    </row>
    <row r="147" spans="1:14" x14ac:dyDescent="0.25">
      <c r="A147" t="s">
        <v>176</v>
      </c>
      <c r="B147" t="s">
        <v>20</v>
      </c>
      <c r="C147" t="s">
        <v>21</v>
      </c>
      <c r="D147" t="s">
        <v>22</v>
      </c>
      <c r="E147" t="s">
        <v>16</v>
      </c>
      <c r="F147" t="s">
        <v>17</v>
      </c>
      <c r="G147" t="str">
        <f t="shared" si="6"/>
        <v>Monday</v>
      </c>
      <c r="H147" t="str">
        <f t="shared" si="7"/>
        <v>Mar</v>
      </c>
      <c r="I147" s="1">
        <v>43532</v>
      </c>
      <c r="J147" s="1" t="str">
        <f t="shared" si="8"/>
        <v>Evening</v>
      </c>
      <c r="K147" s="2">
        <v>0.71597222222222223</v>
      </c>
      <c r="L147" t="s">
        <v>28</v>
      </c>
      <c r="M147">
        <v>13.878</v>
      </c>
      <c r="N147">
        <v>9.5</v>
      </c>
    </row>
    <row r="148" spans="1:14" x14ac:dyDescent="0.25">
      <c r="A148" t="s">
        <v>177</v>
      </c>
      <c r="B148" t="s">
        <v>13</v>
      </c>
      <c r="C148" t="s">
        <v>14</v>
      </c>
      <c r="D148" t="s">
        <v>15</v>
      </c>
      <c r="E148" t="s">
        <v>16</v>
      </c>
      <c r="F148" t="s">
        <v>41</v>
      </c>
      <c r="G148" t="str">
        <f t="shared" si="6"/>
        <v>Friday</v>
      </c>
      <c r="H148" t="str">
        <f t="shared" si="7"/>
        <v>Feb</v>
      </c>
      <c r="I148" s="1">
        <v>43506</v>
      </c>
      <c r="J148" s="1" t="str">
        <f t="shared" si="8"/>
        <v>Afternoon</v>
      </c>
      <c r="K148" s="2">
        <v>0.51944444444444449</v>
      </c>
      <c r="L148" t="s">
        <v>18</v>
      </c>
      <c r="M148">
        <v>15.07</v>
      </c>
      <c r="N148">
        <v>9.1999999999999993</v>
      </c>
    </row>
    <row r="149" spans="1:14" x14ac:dyDescent="0.25">
      <c r="A149" t="s">
        <v>178</v>
      </c>
      <c r="B149" t="s">
        <v>20</v>
      </c>
      <c r="C149" t="s">
        <v>21</v>
      </c>
      <c r="D149" t="s">
        <v>22</v>
      </c>
      <c r="E149" t="s">
        <v>26</v>
      </c>
      <c r="F149" t="s">
        <v>17</v>
      </c>
      <c r="G149" t="str">
        <f t="shared" si="6"/>
        <v>Wednesday</v>
      </c>
      <c r="H149" t="str">
        <f t="shared" si="7"/>
        <v>Mar</v>
      </c>
      <c r="I149" s="1">
        <v>43543</v>
      </c>
      <c r="J149" s="1" t="str">
        <f t="shared" si="8"/>
        <v>Afternoon</v>
      </c>
      <c r="K149" s="2">
        <v>0.53194444444444444</v>
      </c>
      <c r="L149" t="s">
        <v>28</v>
      </c>
      <c r="M149">
        <v>13.228</v>
      </c>
      <c r="N149">
        <v>5.6</v>
      </c>
    </row>
    <row r="150" spans="1:14" x14ac:dyDescent="0.25">
      <c r="A150" t="s">
        <v>179</v>
      </c>
      <c r="B150" t="s">
        <v>37</v>
      </c>
      <c r="C150" t="s">
        <v>38</v>
      </c>
      <c r="D150" t="s">
        <v>15</v>
      </c>
      <c r="E150" t="s">
        <v>26</v>
      </c>
      <c r="F150" t="s">
        <v>27</v>
      </c>
      <c r="G150" t="str">
        <f t="shared" si="6"/>
        <v>Monday</v>
      </c>
      <c r="H150" t="str">
        <f t="shared" si="7"/>
        <v>Mar</v>
      </c>
      <c r="I150" s="1">
        <v>43530</v>
      </c>
      <c r="J150" s="1" t="str">
        <f t="shared" si="8"/>
        <v>Afternoon</v>
      </c>
      <c r="K150" s="2">
        <v>0.62986111111111109</v>
      </c>
      <c r="L150" t="s">
        <v>28</v>
      </c>
      <c r="M150">
        <v>28.744</v>
      </c>
      <c r="N150">
        <v>6.2</v>
      </c>
    </row>
    <row r="151" spans="1:14" x14ac:dyDescent="0.25">
      <c r="A151" t="s">
        <v>180</v>
      </c>
      <c r="B151" t="s">
        <v>13</v>
      </c>
      <c r="C151" t="s">
        <v>14</v>
      </c>
      <c r="D151" t="s">
        <v>22</v>
      </c>
      <c r="E151" t="s">
        <v>26</v>
      </c>
      <c r="F151" t="s">
        <v>17</v>
      </c>
      <c r="G151" t="str">
        <f t="shared" si="6"/>
        <v>Thursday</v>
      </c>
      <c r="H151" t="str">
        <f t="shared" si="7"/>
        <v>Mar</v>
      </c>
      <c r="I151" s="1">
        <v>43551</v>
      </c>
      <c r="J151" s="1" t="str">
        <f t="shared" si="8"/>
        <v>Afternoon</v>
      </c>
      <c r="K151" s="2">
        <v>0.57500000000000007</v>
      </c>
      <c r="L151" t="s">
        <v>28</v>
      </c>
      <c r="M151">
        <v>12.984</v>
      </c>
      <c r="N151">
        <v>4.9000000000000004</v>
      </c>
    </row>
    <row r="152" spans="1:14" x14ac:dyDescent="0.25">
      <c r="A152" t="s">
        <v>181</v>
      </c>
      <c r="B152" t="s">
        <v>37</v>
      </c>
      <c r="C152" t="s">
        <v>38</v>
      </c>
      <c r="D152" t="s">
        <v>15</v>
      </c>
      <c r="E152" t="s">
        <v>16</v>
      </c>
      <c r="F152" t="s">
        <v>41</v>
      </c>
      <c r="G152" t="str">
        <f t="shared" si="6"/>
        <v>Thursday</v>
      </c>
      <c r="H152" t="str">
        <f t="shared" si="7"/>
        <v>Mar</v>
      </c>
      <c r="I152" s="1">
        <v>43547</v>
      </c>
      <c r="J152" s="1" t="str">
        <f t="shared" si="8"/>
        <v>Evening</v>
      </c>
      <c r="K152" s="2">
        <v>0.80555555555555547</v>
      </c>
      <c r="L152" t="s">
        <v>28</v>
      </c>
      <c r="M152">
        <v>18.308</v>
      </c>
      <c r="N152">
        <v>4.8</v>
      </c>
    </row>
    <row r="153" spans="1:14" x14ac:dyDescent="0.25">
      <c r="A153" t="s">
        <v>182</v>
      </c>
      <c r="B153" t="s">
        <v>20</v>
      </c>
      <c r="C153" t="s">
        <v>21</v>
      </c>
      <c r="D153" t="s">
        <v>15</v>
      </c>
      <c r="E153" t="s">
        <v>26</v>
      </c>
      <c r="F153" t="s">
        <v>31</v>
      </c>
      <c r="G153" t="str">
        <f t="shared" si="6"/>
        <v>Tuesday</v>
      </c>
      <c r="H153" t="str">
        <f t="shared" si="7"/>
        <v>Mar</v>
      </c>
      <c r="I153" s="1">
        <v>43535</v>
      </c>
      <c r="J153" s="1" t="str">
        <f t="shared" si="8"/>
        <v>Evening</v>
      </c>
      <c r="K153" s="2">
        <v>0.67152777777777783</v>
      </c>
      <c r="L153" t="s">
        <v>28</v>
      </c>
      <c r="M153">
        <v>12.096</v>
      </c>
      <c r="N153">
        <v>7.3</v>
      </c>
    </row>
    <row r="154" spans="1:14" x14ac:dyDescent="0.25">
      <c r="A154" t="s">
        <v>183</v>
      </c>
      <c r="B154" t="s">
        <v>13</v>
      </c>
      <c r="C154" t="s">
        <v>14</v>
      </c>
      <c r="D154" t="s">
        <v>22</v>
      </c>
      <c r="E154" t="s">
        <v>26</v>
      </c>
      <c r="F154" t="s">
        <v>41</v>
      </c>
      <c r="G154" t="str">
        <f t="shared" si="6"/>
        <v>Wednesday</v>
      </c>
      <c r="H154" t="str">
        <f t="shared" si="7"/>
        <v>Jan</v>
      </c>
      <c r="I154" s="1">
        <v>43494</v>
      </c>
      <c r="J154" s="1" t="str">
        <f t="shared" si="8"/>
        <v>Morning</v>
      </c>
      <c r="K154" s="2">
        <v>0.49722222222222223</v>
      </c>
      <c r="L154" t="s">
        <v>28</v>
      </c>
      <c r="M154">
        <v>37.457999999999998</v>
      </c>
      <c r="N154">
        <v>7.4</v>
      </c>
    </row>
    <row r="155" spans="1:14" x14ac:dyDescent="0.25">
      <c r="A155" t="s">
        <v>184</v>
      </c>
      <c r="B155" t="s">
        <v>20</v>
      </c>
      <c r="C155" t="s">
        <v>21</v>
      </c>
      <c r="D155" t="s">
        <v>22</v>
      </c>
      <c r="E155" t="s">
        <v>16</v>
      </c>
      <c r="F155" t="s">
        <v>39</v>
      </c>
      <c r="G155" t="str">
        <f t="shared" si="6"/>
        <v>Thursday</v>
      </c>
      <c r="H155" t="str">
        <f t="shared" si="7"/>
        <v>Feb</v>
      </c>
      <c r="I155" s="1">
        <v>43503</v>
      </c>
      <c r="J155" s="1" t="str">
        <f t="shared" si="8"/>
        <v>Evening</v>
      </c>
      <c r="K155" s="2">
        <v>0.76597222222222217</v>
      </c>
      <c r="L155" t="s">
        <v>18</v>
      </c>
      <c r="M155">
        <v>4.944</v>
      </c>
      <c r="N155">
        <v>9.9</v>
      </c>
    </row>
    <row r="156" spans="1:14" x14ac:dyDescent="0.25">
      <c r="A156" t="s">
        <v>185</v>
      </c>
      <c r="B156" t="s">
        <v>20</v>
      </c>
      <c r="C156" t="s">
        <v>21</v>
      </c>
      <c r="D156" t="s">
        <v>22</v>
      </c>
      <c r="E156" t="s">
        <v>16</v>
      </c>
      <c r="F156" t="s">
        <v>31</v>
      </c>
      <c r="G156" t="str">
        <f t="shared" si="6"/>
        <v>Wednesday</v>
      </c>
      <c r="H156" t="str">
        <f t="shared" si="7"/>
        <v>Jan</v>
      </c>
      <c r="I156" s="1">
        <v>43493</v>
      </c>
      <c r="J156" s="1" t="str">
        <f t="shared" si="8"/>
        <v>Afternoon</v>
      </c>
      <c r="K156" s="2">
        <v>0.54513888888888895</v>
      </c>
      <c r="L156" t="s">
        <v>24</v>
      </c>
      <c r="M156">
        <v>32.387999999999998</v>
      </c>
      <c r="N156">
        <v>9.3000000000000007</v>
      </c>
    </row>
    <row r="157" spans="1:14" x14ac:dyDescent="0.25">
      <c r="A157" t="s">
        <v>186</v>
      </c>
      <c r="B157" t="s">
        <v>13</v>
      </c>
      <c r="C157" t="s">
        <v>14</v>
      </c>
      <c r="D157" t="s">
        <v>15</v>
      </c>
      <c r="E157" t="s">
        <v>26</v>
      </c>
      <c r="F157" t="s">
        <v>39</v>
      </c>
      <c r="G157" t="str">
        <f t="shared" si="6"/>
        <v>Saturday</v>
      </c>
      <c r="H157" t="str">
        <f t="shared" si="7"/>
        <v>Feb</v>
      </c>
      <c r="I157" s="1">
        <v>43516</v>
      </c>
      <c r="J157" s="1" t="str">
        <f t="shared" si="8"/>
        <v>Afternoon</v>
      </c>
      <c r="K157" s="2">
        <v>0.66319444444444442</v>
      </c>
      <c r="L157" t="s">
        <v>28</v>
      </c>
      <c r="M157">
        <v>23.072500000000002</v>
      </c>
      <c r="N157">
        <v>9</v>
      </c>
    </row>
    <row r="158" spans="1:14" x14ac:dyDescent="0.25">
      <c r="A158" t="s">
        <v>187</v>
      </c>
      <c r="B158" t="s">
        <v>37</v>
      </c>
      <c r="C158" t="s">
        <v>38</v>
      </c>
      <c r="D158" t="s">
        <v>15</v>
      </c>
      <c r="E158" t="s">
        <v>26</v>
      </c>
      <c r="F158" t="s">
        <v>23</v>
      </c>
      <c r="G158" t="str">
        <f t="shared" si="6"/>
        <v>Saturday</v>
      </c>
      <c r="H158" t="str">
        <f t="shared" si="7"/>
        <v>Jan</v>
      </c>
      <c r="I158" s="1">
        <v>43469</v>
      </c>
      <c r="J158" s="1" t="str">
        <f t="shared" si="8"/>
        <v>Evening</v>
      </c>
      <c r="K158" s="2">
        <v>0.81944444444444453</v>
      </c>
      <c r="L158" t="s">
        <v>24</v>
      </c>
      <c r="M158">
        <v>3.6084999999999998</v>
      </c>
      <c r="N158">
        <v>6.1</v>
      </c>
    </row>
    <row r="159" spans="1:14" x14ac:dyDescent="0.25">
      <c r="A159" t="s">
        <v>188</v>
      </c>
      <c r="B159" t="s">
        <v>37</v>
      </c>
      <c r="C159" t="s">
        <v>38</v>
      </c>
      <c r="D159" t="s">
        <v>22</v>
      </c>
      <c r="E159" t="s">
        <v>26</v>
      </c>
      <c r="F159" t="s">
        <v>27</v>
      </c>
      <c r="G159" t="str">
        <f t="shared" si="6"/>
        <v>Monday</v>
      </c>
      <c r="H159" t="str">
        <f t="shared" si="7"/>
        <v>Mar</v>
      </c>
      <c r="I159" s="1">
        <v>43531</v>
      </c>
      <c r="J159" s="1" t="str">
        <f t="shared" si="8"/>
        <v>Afternoon</v>
      </c>
      <c r="K159" s="2">
        <v>0.58194444444444449</v>
      </c>
      <c r="L159" t="s">
        <v>18</v>
      </c>
      <c r="M159">
        <v>12.57</v>
      </c>
      <c r="N159">
        <v>9.6999999999999993</v>
      </c>
    </row>
    <row r="160" spans="1:14" x14ac:dyDescent="0.25">
      <c r="A160" t="s">
        <v>189</v>
      </c>
      <c r="B160" t="s">
        <v>37</v>
      </c>
      <c r="C160" t="s">
        <v>38</v>
      </c>
      <c r="D160" t="s">
        <v>15</v>
      </c>
      <c r="E160" t="s">
        <v>26</v>
      </c>
      <c r="F160" t="s">
        <v>17</v>
      </c>
      <c r="G160" t="str">
        <f t="shared" si="6"/>
        <v>Friday</v>
      </c>
      <c r="H160" t="str">
        <f t="shared" si="7"/>
        <v>Mar</v>
      </c>
      <c r="I160" s="1">
        <v>43554</v>
      </c>
      <c r="J160" s="1" t="str">
        <f t="shared" si="8"/>
        <v>Afternoon</v>
      </c>
      <c r="K160" s="2">
        <v>0.61319444444444449</v>
      </c>
      <c r="L160" t="s">
        <v>18</v>
      </c>
      <c r="M160">
        <v>43.749000000000002</v>
      </c>
      <c r="N160">
        <v>6</v>
      </c>
    </row>
    <row r="161" spans="1:14" x14ac:dyDescent="0.25">
      <c r="A161" t="s">
        <v>190</v>
      </c>
      <c r="B161" t="s">
        <v>37</v>
      </c>
      <c r="C161" t="s">
        <v>38</v>
      </c>
      <c r="D161" t="s">
        <v>22</v>
      </c>
      <c r="E161" t="s">
        <v>26</v>
      </c>
      <c r="F161" t="s">
        <v>31</v>
      </c>
      <c r="G161" t="str">
        <f t="shared" si="6"/>
        <v>Thursday</v>
      </c>
      <c r="H161" t="str">
        <f t="shared" si="7"/>
        <v>Mar</v>
      </c>
      <c r="I161" s="1">
        <v>43551</v>
      </c>
      <c r="J161" s="1" t="str">
        <f t="shared" si="8"/>
        <v>Evening</v>
      </c>
      <c r="K161" s="2">
        <v>0.8041666666666667</v>
      </c>
      <c r="L161" t="s">
        <v>18</v>
      </c>
      <c r="M161">
        <v>28.016999999999999</v>
      </c>
      <c r="N161">
        <v>10</v>
      </c>
    </row>
    <row r="162" spans="1:14" x14ac:dyDescent="0.25">
      <c r="A162" t="s">
        <v>191</v>
      </c>
      <c r="B162" t="s">
        <v>20</v>
      </c>
      <c r="C162" t="s">
        <v>21</v>
      </c>
      <c r="D162" t="s">
        <v>22</v>
      </c>
      <c r="E162" t="s">
        <v>16</v>
      </c>
      <c r="F162" t="s">
        <v>39</v>
      </c>
      <c r="G162" t="str">
        <f t="shared" si="6"/>
        <v>Tuesday</v>
      </c>
      <c r="H162" t="str">
        <f t="shared" si="7"/>
        <v>Jan</v>
      </c>
      <c r="I162" s="1">
        <v>43484</v>
      </c>
      <c r="J162" s="1" t="str">
        <f t="shared" si="8"/>
        <v>Evening</v>
      </c>
      <c r="K162" s="2">
        <v>0.81874999999999998</v>
      </c>
      <c r="L162" t="s">
        <v>28</v>
      </c>
      <c r="M162">
        <v>17.271999999999998</v>
      </c>
      <c r="N162">
        <v>8.3000000000000007</v>
      </c>
    </row>
    <row r="163" spans="1:14" x14ac:dyDescent="0.25">
      <c r="A163" t="s">
        <v>192</v>
      </c>
      <c r="B163" t="s">
        <v>13</v>
      </c>
      <c r="C163" t="s">
        <v>14</v>
      </c>
      <c r="D163" t="s">
        <v>22</v>
      </c>
      <c r="E163" t="s">
        <v>26</v>
      </c>
      <c r="F163" t="s">
        <v>31</v>
      </c>
      <c r="G163" t="str">
        <f t="shared" si="6"/>
        <v>Sunday</v>
      </c>
      <c r="H163" t="str">
        <f t="shared" si="7"/>
        <v>Feb</v>
      </c>
      <c r="I163" s="1">
        <v>43521</v>
      </c>
      <c r="J163" s="1" t="str">
        <f t="shared" si="8"/>
        <v>Evening</v>
      </c>
      <c r="K163" s="2">
        <v>0.68125000000000002</v>
      </c>
      <c r="L163" t="s">
        <v>24</v>
      </c>
      <c r="M163">
        <v>3.1844999999999999</v>
      </c>
      <c r="N163">
        <v>6</v>
      </c>
    </row>
    <row r="164" spans="1:14" x14ac:dyDescent="0.25">
      <c r="A164" t="s">
        <v>193</v>
      </c>
      <c r="B164" t="s">
        <v>13</v>
      </c>
      <c r="C164" t="s">
        <v>14</v>
      </c>
      <c r="D164" t="s">
        <v>22</v>
      </c>
      <c r="E164" t="s">
        <v>26</v>
      </c>
      <c r="F164" t="s">
        <v>39</v>
      </c>
      <c r="G164" t="str">
        <f t="shared" si="6"/>
        <v>Tuesday</v>
      </c>
      <c r="H164" t="str">
        <f t="shared" si="7"/>
        <v>Mar</v>
      </c>
      <c r="I164" s="1">
        <v>43537</v>
      </c>
      <c r="J164" s="1" t="str">
        <f t="shared" si="8"/>
        <v>Evening</v>
      </c>
      <c r="K164" s="2">
        <v>0.8222222222222223</v>
      </c>
      <c r="L164" t="s">
        <v>28</v>
      </c>
      <c r="M164">
        <v>16.026499999999999</v>
      </c>
      <c r="N164">
        <v>7</v>
      </c>
    </row>
    <row r="165" spans="1:14" x14ac:dyDescent="0.25">
      <c r="A165" t="s">
        <v>194</v>
      </c>
      <c r="B165" t="s">
        <v>20</v>
      </c>
      <c r="C165" t="s">
        <v>21</v>
      </c>
      <c r="D165" t="s">
        <v>22</v>
      </c>
      <c r="E165" t="s">
        <v>26</v>
      </c>
      <c r="F165" t="s">
        <v>31</v>
      </c>
      <c r="G165" t="str">
        <f t="shared" si="6"/>
        <v>Wednesday</v>
      </c>
      <c r="H165" t="str">
        <f t="shared" si="7"/>
        <v>Jan</v>
      </c>
      <c r="I165" s="1">
        <v>43495</v>
      </c>
      <c r="J165" s="1" t="str">
        <f t="shared" si="8"/>
        <v>Evening</v>
      </c>
      <c r="K165" s="2">
        <v>0.8208333333333333</v>
      </c>
      <c r="L165" t="s">
        <v>18</v>
      </c>
      <c r="M165">
        <v>7.64</v>
      </c>
      <c r="N165">
        <v>6.5</v>
      </c>
    </row>
    <row r="166" spans="1:14" x14ac:dyDescent="0.25">
      <c r="A166" t="s">
        <v>195</v>
      </c>
      <c r="B166" t="s">
        <v>37</v>
      </c>
      <c r="C166" t="s">
        <v>38</v>
      </c>
      <c r="D166" t="s">
        <v>22</v>
      </c>
      <c r="E166" t="s">
        <v>26</v>
      </c>
      <c r="F166" t="s">
        <v>39</v>
      </c>
      <c r="G166" t="str">
        <f t="shared" si="6"/>
        <v>Saturday</v>
      </c>
      <c r="H166" t="str">
        <f t="shared" si="7"/>
        <v>Feb</v>
      </c>
      <c r="I166" s="1">
        <v>43516</v>
      </c>
      <c r="J166" s="1" t="str">
        <f t="shared" si="8"/>
        <v>Afternoon</v>
      </c>
      <c r="K166" s="2">
        <v>0.64166666666666672</v>
      </c>
      <c r="L166" t="s">
        <v>28</v>
      </c>
      <c r="M166">
        <v>19.95</v>
      </c>
      <c r="N166">
        <v>5.9</v>
      </c>
    </row>
    <row r="167" spans="1:14" x14ac:dyDescent="0.25">
      <c r="A167" t="s">
        <v>196</v>
      </c>
      <c r="B167" t="s">
        <v>37</v>
      </c>
      <c r="C167" t="s">
        <v>38</v>
      </c>
      <c r="D167" t="s">
        <v>15</v>
      </c>
      <c r="E167" t="s">
        <v>26</v>
      </c>
      <c r="F167" t="s">
        <v>17</v>
      </c>
      <c r="G167" t="str">
        <f t="shared" si="6"/>
        <v>Sunday</v>
      </c>
      <c r="H167" t="str">
        <f t="shared" si="7"/>
        <v>Feb</v>
      </c>
      <c r="I167" s="1">
        <v>43521</v>
      </c>
      <c r="J167" s="1" t="str">
        <f t="shared" si="8"/>
        <v>Afternoon</v>
      </c>
      <c r="K167" s="2">
        <v>0.59166666666666667</v>
      </c>
      <c r="L167" t="s">
        <v>18</v>
      </c>
      <c r="M167">
        <v>17.027999999999999</v>
      </c>
      <c r="N167">
        <v>5.6</v>
      </c>
    </row>
    <row r="168" spans="1:14" x14ac:dyDescent="0.25">
      <c r="A168" t="s">
        <v>197</v>
      </c>
      <c r="B168" t="s">
        <v>20</v>
      </c>
      <c r="C168" t="s">
        <v>21</v>
      </c>
      <c r="D168" t="s">
        <v>22</v>
      </c>
      <c r="E168" t="s">
        <v>26</v>
      </c>
      <c r="F168" t="s">
        <v>27</v>
      </c>
      <c r="G168" t="str">
        <f t="shared" si="6"/>
        <v>Monday</v>
      </c>
      <c r="H168" t="str">
        <f t="shared" si="7"/>
        <v>Jan</v>
      </c>
      <c r="I168" s="1">
        <v>43481</v>
      </c>
      <c r="J168" s="1" t="str">
        <f t="shared" si="8"/>
        <v>Afternoon</v>
      </c>
      <c r="K168" s="2">
        <v>0.56388888888888888</v>
      </c>
      <c r="L168" t="s">
        <v>24</v>
      </c>
      <c r="M168">
        <v>47.79</v>
      </c>
      <c r="N168">
        <v>4.8</v>
      </c>
    </row>
    <row r="169" spans="1:14" x14ac:dyDescent="0.25">
      <c r="A169" t="s">
        <v>198</v>
      </c>
      <c r="B169" t="s">
        <v>13</v>
      </c>
      <c r="C169" t="s">
        <v>14</v>
      </c>
      <c r="D169" t="s">
        <v>22</v>
      </c>
      <c r="E169" t="s">
        <v>26</v>
      </c>
      <c r="F169" t="s">
        <v>41</v>
      </c>
      <c r="G169" t="str">
        <f t="shared" si="6"/>
        <v>Thursday</v>
      </c>
      <c r="H169" t="str">
        <f t="shared" si="7"/>
        <v>Feb</v>
      </c>
      <c r="I169" s="1">
        <v>43504</v>
      </c>
      <c r="J169" s="1" t="str">
        <f t="shared" si="8"/>
        <v>Evening</v>
      </c>
      <c r="K169" s="2">
        <v>0.68055555555555547</v>
      </c>
      <c r="L169" t="s">
        <v>28</v>
      </c>
      <c r="M169">
        <v>49.49</v>
      </c>
      <c r="N169">
        <v>8.6999999999999993</v>
      </c>
    </row>
    <row r="170" spans="1:14" x14ac:dyDescent="0.25">
      <c r="A170" t="s">
        <v>199</v>
      </c>
      <c r="B170" t="s">
        <v>13</v>
      </c>
      <c r="C170" t="s">
        <v>14</v>
      </c>
      <c r="D170" t="s">
        <v>22</v>
      </c>
      <c r="E170" t="s">
        <v>26</v>
      </c>
      <c r="F170" t="s">
        <v>39</v>
      </c>
      <c r="G170" t="str">
        <f t="shared" si="6"/>
        <v>Tuesday</v>
      </c>
      <c r="H170" t="str">
        <f t="shared" si="7"/>
        <v>Jan</v>
      </c>
      <c r="I170" s="1">
        <v>43484</v>
      </c>
      <c r="J170" s="1" t="str">
        <f t="shared" si="8"/>
        <v>Evening</v>
      </c>
      <c r="K170" s="2">
        <v>0.68819444444444444</v>
      </c>
      <c r="L170" t="s">
        <v>24</v>
      </c>
      <c r="M170">
        <v>15.384</v>
      </c>
      <c r="N170">
        <v>6.5</v>
      </c>
    </row>
    <row r="171" spans="1:14" x14ac:dyDescent="0.25">
      <c r="A171" t="s">
        <v>200</v>
      </c>
      <c r="B171" t="s">
        <v>13</v>
      </c>
      <c r="C171" t="s">
        <v>14</v>
      </c>
      <c r="D171" t="s">
        <v>15</v>
      </c>
      <c r="E171" t="s">
        <v>26</v>
      </c>
      <c r="F171" t="s">
        <v>31</v>
      </c>
      <c r="G171" t="str">
        <f t="shared" si="6"/>
        <v>Wednesday</v>
      </c>
      <c r="H171" t="str">
        <f t="shared" si="7"/>
        <v>Feb</v>
      </c>
      <c r="I171" s="1">
        <v>43497</v>
      </c>
      <c r="J171" s="1" t="str">
        <f t="shared" si="8"/>
        <v>Afternoon</v>
      </c>
      <c r="K171" s="2">
        <v>0.63194444444444442</v>
      </c>
      <c r="L171" t="s">
        <v>28</v>
      </c>
      <c r="M171">
        <v>24.332000000000001</v>
      </c>
      <c r="N171">
        <v>8.5</v>
      </c>
    </row>
    <row r="172" spans="1:14" x14ac:dyDescent="0.25">
      <c r="A172" t="s">
        <v>201</v>
      </c>
      <c r="B172" t="s">
        <v>13</v>
      </c>
      <c r="C172" t="s">
        <v>14</v>
      </c>
      <c r="D172" t="s">
        <v>22</v>
      </c>
      <c r="E172" t="s">
        <v>26</v>
      </c>
      <c r="F172" t="s">
        <v>17</v>
      </c>
      <c r="G172" t="str">
        <f t="shared" si="6"/>
        <v>Saturday</v>
      </c>
      <c r="H172" t="str">
        <f t="shared" si="7"/>
        <v>Jan</v>
      </c>
      <c r="I172" s="1">
        <v>43468</v>
      </c>
      <c r="J172" s="1" t="str">
        <f t="shared" si="8"/>
        <v>Morning</v>
      </c>
      <c r="K172" s="2">
        <v>0.48333333333333334</v>
      </c>
      <c r="L172" t="s">
        <v>18</v>
      </c>
      <c r="M172">
        <v>17.502500000000001</v>
      </c>
      <c r="N172">
        <v>5.5</v>
      </c>
    </row>
    <row r="173" spans="1:14" x14ac:dyDescent="0.25">
      <c r="A173" t="s">
        <v>202</v>
      </c>
      <c r="B173" t="s">
        <v>37</v>
      </c>
      <c r="C173" t="s">
        <v>38</v>
      </c>
      <c r="D173" t="s">
        <v>15</v>
      </c>
      <c r="E173" t="s">
        <v>26</v>
      </c>
      <c r="F173" t="s">
        <v>39</v>
      </c>
      <c r="G173" t="str">
        <f t="shared" si="6"/>
        <v>Wednesday</v>
      </c>
      <c r="H173" t="str">
        <f t="shared" si="7"/>
        <v>Jan</v>
      </c>
      <c r="I173" s="1">
        <v>43491</v>
      </c>
      <c r="J173" s="1" t="str">
        <f t="shared" si="8"/>
        <v>Afternoon</v>
      </c>
      <c r="K173" s="2">
        <v>0.53125</v>
      </c>
      <c r="L173" t="s">
        <v>28</v>
      </c>
      <c r="M173">
        <v>20.012499999999999</v>
      </c>
      <c r="N173">
        <v>9.4</v>
      </c>
    </row>
    <row r="174" spans="1:14" x14ac:dyDescent="0.25">
      <c r="A174" t="s">
        <v>203</v>
      </c>
      <c r="B174" t="s">
        <v>20</v>
      </c>
      <c r="C174" t="s">
        <v>21</v>
      </c>
      <c r="D174" t="s">
        <v>22</v>
      </c>
      <c r="E174" t="s">
        <v>26</v>
      </c>
      <c r="F174" t="s">
        <v>23</v>
      </c>
      <c r="G174" t="str">
        <f t="shared" si="6"/>
        <v>Monday</v>
      </c>
      <c r="H174" t="str">
        <f t="shared" si="7"/>
        <v>Mar</v>
      </c>
      <c r="I174" s="1">
        <v>43527</v>
      </c>
      <c r="J174" s="1" t="str">
        <f t="shared" si="8"/>
        <v>Evening</v>
      </c>
      <c r="K174" s="2">
        <v>0.80347222222222225</v>
      </c>
      <c r="L174" t="s">
        <v>24</v>
      </c>
      <c r="M174">
        <v>8.34</v>
      </c>
      <c r="N174">
        <v>6.3</v>
      </c>
    </row>
    <row r="175" spans="1:14" x14ac:dyDescent="0.25">
      <c r="A175" t="s">
        <v>204</v>
      </c>
      <c r="B175" t="s">
        <v>37</v>
      </c>
      <c r="C175" t="s">
        <v>38</v>
      </c>
      <c r="D175" t="s">
        <v>15</v>
      </c>
      <c r="E175" t="s">
        <v>26</v>
      </c>
      <c r="F175" t="s">
        <v>23</v>
      </c>
      <c r="G175" t="str">
        <f t="shared" si="6"/>
        <v>Tuesday</v>
      </c>
      <c r="H175" t="str">
        <f t="shared" si="7"/>
        <v>Jan</v>
      </c>
      <c r="I175" s="1">
        <v>43484</v>
      </c>
      <c r="J175" s="1" t="str">
        <f t="shared" si="8"/>
        <v>Evening</v>
      </c>
      <c r="K175" s="2">
        <v>0.7319444444444444</v>
      </c>
      <c r="L175" t="s">
        <v>28</v>
      </c>
      <c r="M175">
        <v>15.867000000000001</v>
      </c>
      <c r="N175">
        <v>9.8000000000000007</v>
      </c>
    </row>
    <row r="176" spans="1:14" x14ac:dyDescent="0.25">
      <c r="A176" t="s">
        <v>205</v>
      </c>
      <c r="B176" t="s">
        <v>37</v>
      </c>
      <c r="C176" t="s">
        <v>38</v>
      </c>
      <c r="D176" t="s">
        <v>22</v>
      </c>
      <c r="E176" t="s">
        <v>26</v>
      </c>
      <c r="F176" t="s">
        <v>39</v>
      </c>
      <c r="G176" t="str">
        <f t="shared" si="6"/>
        <v>Monday</v>
      </c>
      <c r="H176" t="str">
        <f t="shared" si="7"/>
        <v>Jan</v>
      </c>
      <c r="I176" s="1">
        <v>43483</v>
      </c>
      <c r="J176" s="1" t="str">
        <f t="shared" si="8"/>
        <v>Afternoon</v>
      </c>
      <c r="K176" s="2">
        <v>0.50277777777777777</v>
      </c>
      <c r="L176" t="s">
        <v>18</v>
      </c>
      <c r="M176">
        <v>7.9160000000000004</v>
      </c>
      <c r="N176">
        <v>8.6999999999999993</v>
      </c>
    </row>
    <row r="177" spans="1:14" x14ac:dyDescent="0.25">
      <c r="A177" t="s">
        <v>206</v>
      </c>
      <c r="B177" t="s">
        <v>13</v>
      </c>
      <c r="C177" t="s">
        <v>14</v>
      </c>
      <c r="D177" t="s">
        <v>15</v>
      </c>
      <c r="E177" t="s">
        <v>26</v>
      </c>
      <c r="F177" t="s">
        <v>27</v>
      </c>
      <c r="G177" t="str">
        <f t="shared" si="6"/>
        <v>Wednesday</v>
      </c>
      <c r="H177" t="str">
        <f t="shared" si="7"/>
        <v>Mar</v>
      </c>
      <c r="I177" s="1">
        <v>43545</v>
      </c>
      <c r="J177" s="1" t="str">
        <f t="shared" si="8"/>
        <v>Evening</v>
      </c>
      <c r="K177" s="2">
        <v>0.68125000000000002</v>
      </c>
      <c r="L177" t="s">
        <v>18</v>
      </c>
      <c r="M177">
        <v>15.228</v>
      </c>
      <c r="N177">
        <v>8.8000000000000007</v>
      </c>
    </row>
    <row r="178" spans="1:14" x14ac:dyDescent="0.25">
      <c r="A178" t="s">
        <v>207</v>
      </c>
      <c r="B178" t="s">
        <v>13</v>
      </c>
      <c r="C178" t="s">
        <v>14</v>
      </c>
      <c r="D178" t="s">
        <v>15</v>
      </c>
      <c r="E178" t="s">
        <v>26</v>
      </c>
      <c r="F178" t="s">
        <v>39</v>
      </c>
      <c r="G178" t="str">
        <f t="shared" si="6"/>
        <v>Monday</v>
      </c>
      <c r="H178" t="str">
        <f t="shared" si="7"/>
        <v>Mar</v>
      </c>
      <c r="I178" s="1">
        <v>43527</v>
      </c>
      <c r="J178" s="1" t="str">
        <f t="shared" si="8"/>
        <v>Evening</v>
      </c>
      <c r="K178" s="2">
        <v>0.7090277777777777</v>
      </c>
      <c r="L178" t="s">
        <v>28</v>
      </c>
      <c r="M178">
        <v>8.8680000000000003</v>
      </c>
      <c r="N178">
        <v>9.6</v>
      </c>
    </row>
    <row r="179" spans="1:14" x14ac:dyDescent="0.25">
      <c r="A179" t="s">
        <v>208</v>
      </c>
      <c r="B179" t="s">
        <v>20</v>
      </c>
      <c r="C179" t="s">
        <v>21</v>
      </c>
      <c r="D179" t="s">
        <v>22</v>
      </c>
      <c r="E179" t="s">
        <v>16</v>
      </c>
      <c r="F179" t="s">
        <v>41</v>
      </c>
      <c r="G179" t="str">
        <f t="shared" si="6"/>
        <v>Friday</v>
      </c>
      <c r="H179" t="str">
        <f t="shared" si="7"/>
        <v>Feb</v>
      </c>
      <c r="I179" s="1">
        <v>43509</v>
      </c>
      <c r="J179" s="1" t="str">
        <f t="shared" si="8"/>
        <v>Morning</v>
      </c>
      <c r="K179" s="2">
        <v>0.4513888888888889</v>
      </c>
      <c r="L179" t="s">
        <v>28</v>
      </c>
      <c r="M179">
        <v>7.8784999999999998</v>
      </c>
      <c r="N179">
        <v>4.8</v>
      </c>
    </row>
    <row r="180" spans="1:14" x14ac:dyDescent="0.25">
      <c r="A180" t="s">
        <v>209</v>
      </c>
      <c r="B180" t="s">
        <v>13</v>
      </c>
      <c r="C180" t="s">
        <v>14</v>
      </c>
      <c r="D180" t="s">
        <v>22</v>
      </c>
      <c r="E180" t="s">
        <v>26</v>
      </c>
      <c r="F180" t="s">
        <v>39</v>
      </c>
      <c r="G180" t="str">
        <f t="shared" si="6"/>
        <v>Thursday</v>
      </c>
      <c r="H180" t="str">
        <f t="shared" si="7"/>
        <v>Mar</v>
      </c>
      <c r="I180" s="1">
        <v>43547</v>
      </c>
      <c r="J180" s="1" t="str">
        <f t="shared" si="8"/>
        <v>Evening</v>
      </c>
      <c r="K180" s="2">
        <v>0.8027777777777777</v>
      </c>
      <c r="L180" t="s">
        <v>18</v>
      </c>
      <c r="M180">
        <v>22.164000000000001</v>
      </c>
      <c r="N180">
        <v>4.4000000000000004</v>
      </c>
    </row>
    <row r="181" spans="1:14" x14ac:dyDescent="0.25">
      <c r="A181" t="s">
        <v>210</v>
      </c>
      <c r="B181" t="s">
        <v>20</v>
      </c>
      <c r="C181" t="s">
        <v>21</v>
      </c>
      <c r="D181" t="s">
        <v>15</v>
      </c>
      <c r="E181" t="s">
        <v>26</v>
      </c>
      <c r="F181" t="s">
        <v>17</v>
      </c>
      <c r="G181" t="str">
        <f t="shared" si="6"/>
        <v>Wednesday</v>
      </c>
      <c r="H181" t="str">
        <f t="shared" si="7"/>
        <v>Jan</v>
      </c>
      <c r="I181" s="1">
        <v>43493</v>
      </c>
      <c r="J181" s="1" t="str">
        <f t="shared" si="8"/>
        <v>Evening</v>
      </c>
      <c r="K181" s="2">
        <v>0.69930555555555562</v>
      </c>
      <c r="L181" t="s">
        <v>18</v>
      </c>
      <c r="M181">
        <v>13.02</v>
      </c>
      <c r="N181">
        <v>9.9</v>
      </c>
    </row>
    <row r="182" spans="1:14" x14ac:dyDescent="0.25">
      <c r="A182" t="s">
        <v>211</v>
      </c>
      <c r="B182" t="s">
        <v>20</v>
      </c>
      <c r="C182" t="s">
        <v>21</v>
      </c>
      <c r="D182" t="s">
        <v>22</v>
      </c>
      <c r="E182" t="s">
        <v>26</v>
      </c>
      <c r="F182" t="s">
        <v>41</v>
      </c>
      <c r="G182" t="str">
        <f t="shared" si="6"/>
        <v>Friday</v>
      </c>
      <c r="H182" t="str">
        <f t="shared" si="7"/>
        <v>Feb</v>
      </c>
      <c r="I182" s="1">
        <v>43505</v>
      </c>
      <c r="J182" s="1" t="str">
        <f t="shared" si="8"/>
        <v>Morning</v>
      </c>
      <c r="K182" s="2">
        <v>0.41666666666666669</v>
      </c>
      <c r="L182" t="s">
        <v>24</v>
      </c>
      <c r="M182">
        <v>22.491</v>
      </c>
      <c r="N182">
        <v>5.7</v>
      </c>
    </row>
    <row r="183" spans="1:14" x14ac:dyDescent="0.25">
      <c r="A183" t="s">
        <v>212</v>
      </c>
      <c r="B183" t="s">
        <v>20</v>
      </c>
      <c r="C183" t="s">
        <v>21</v>
      </c>
      <c r="D183" t="s">
        <v>15</v>
      </c>
      <c r="E183" t="s">
        <v>26</v>
      </c>
      <c r="F183" t="s">
        <v>39</v>
      </c>
      <c r="G183" t="str">
        <f t="shared" si="6"/>
        <v>Tuesday</v>
      </c>
      <c r="H183" t="str">
        <f t="shared" si="7"/>
        <v>Jan</v>
      </c>
      <c r="I183" s="1">
        <v>43488</v>
      </c>
      <c r="J183" s="1" t="str">
        <f t="shared" si="8"/>
        <v>Morning</v>
      </c>
      <c r="K183" s="2">
        <v>0.49374999999999997</v>
      </c>
      <c r="L183" t="s">
        <v>24</v>
      </c>
      <c r="M183">
        <v>15.388</v>
      </c>
      <c r="N183">
        <v>7.7</v>
      </c>
    </row>
    <row r="184" spans="1:14" x14ac:dyDescent="0.25">
      <c r="A184" t="s">
        <v>213</v>
      </c>
      <c r="B184" t="s">
        <v>13</v>
      </c>
      <c r="C184" t="s">
        <v>14</v>
      </c>
      <c r="D184" t="s">
        <v>15</v>
      </c>
      <c r="E184" t="s">
        <v>26</v>
      </c>
      <c r="F184" t="s">
        <v>31</v>
      </c>
      <c r="G184" t="str">
        <f t="shared" si="6"/>
        <v>Thursday</v>
      </c>
      <c r="H184" t="str">
        <f t="shared" si="7"/>
        <v>Mar</v>
      </c>
      <c r="I184" s="1">
        <v>43547</v>
      </c>
      <c r="J184" s="1" t="str">
        <f t="shared" si="8"/>
        <v>Morning</v>
      </c>
      <c r="K184" s="2">
        <v>0.4548611111111111</v>
      </c>
      <c r="L184" t="s">
        <v>18</v>
      </c>
      <c r="M184">
        <v>7.75</v>
      </c>
      <c r="N184">
        <v>8</v>
      </c>
    </row>
    <row r="185" spans="1:14" x14ac:dyDescent="0.25">
      <c r="A185" t="s">
        <v>214</v>
      </c>
      <c r="B185" t="s">
        <v>20</v>
      </c>
      <c r="C185" t="s">
        <v>21</v>
      </c>
      <c r="D185" t="s">
        <v>22</v>
      </c>
      <c r="E185" t="s">
        <v>26</v>
      </c>
      <c r="F185" t="s">
        <v>17</v>
      </c>
      <c r="G185" t="str">
        <f t="shared" si="6"/>
        <v>Tuesday</v>
      </c>
      <c r="H185" t="str">
        <f t="shared" si="7"/>
        <v>Jan</v>
      </c>
      <c r="I185" s="1">
        <v>43490</v>
      </c>
      <c r="J185" s="1" t="str">
        <f t="shared" si="8"/>
        <v>Afternoon</v>
      </c>
      <c r="K185" s="2">
        <v>0.625</v>
      </c>
      <c r="L185" t="s">
        <v>18</v>
      </c>
      <c r="M185">
        <v>13.724</v>
      </c>
      <c r="N185">
        <v>5.7</v>
      </c>
    </row>
    <row r="186" spans="1:14" x14ac:dyDescent="0.25">
      <c r="A186" t="s">
        <v>215</v>
      </c>
      <c r="B186" t="s">
        <v>13</v>
      </c>
      <c r="C186" t="s">
        <v>14</v>
      </c>
      <c r="D186" t="s">
        <v>22</v>
      </c>
      <c r="E186" t="s">
        <v>16</v>
      </c>
      <c r="F186" t="s">
        <v>31</v>
      </c>
      <c r="G186" t="str">
        <f t="shared" si="6"/>
        <v>Monday</v>
      </c>
      <c r="H186" t="str">
        <f t="shared" si="7"/>
        <v>Mar</v>
      </c>
      <c r="I186" s="1">
        <v>43528</v>
      </c>
      <c r="J186" s="1" t="str">
        <f t="shared" si="8"/>
        <v>Morning</v>
      </c>
      <c r="K186" s="2">
        <v>0.47152777777777777</v>
      </c>
      <c r="L186" t="s">
        <v>28</v>
      </c>
      <c r="M186">
        <v>4.319</v>
      </c>
      <c r="N186">
        <v>6.7</v>
      </c>
    </row>
    <row r="187" spans="1:14" x14ac:dyDescent="0.25">
      <c r="A187" t="s">
        <v>216</v>
      </c>
      <c r="B187" t="s">
        <v>37</v>
      </c>
      <c r="C187" t="s">
        <v>38</v>
      </c>
      <c r="D187" t="s">
        <v>15</v>
      </c>
      <c r="E187" t="s">
        <v>26</v>
      </c>
      <c r="F187" t="s">
        <v>39</v>
      </c>
      <c r="G187" t="str">
        <f t="shared" si="6"/>
        <v>Monday</v>
      </c>
      <c r="H187" t="str">
        <f t="shared" si="7"/>
        <v>Mar</v>
      </c>
      <c r="I187" s="1">
        <v>43529</v>
      </c>
      <c r="J187" s="1" t="str">
        <f t="shared" si="8"/>
        <v>Evening</v>
      </c>
      <c r="K187" s="2">
        <v>0.82361111111111107</v>
      </c>
      <c r="L187" t="s">
        <v>18</v>
      </c>
      <c r="M187">
        <v>2.7120000000000002</v>
      </c>
      <c r="N187">
        <v>8</v>
      </c>
    </row>
    <row r="188" spans="1:14" x14ac:dyDescent="0.25">
      <c r="A188" t="s">
        <v>217</v>
      </c>
      <c r="B188" t="s">
        <v>37</v>
      </c>
      <c r="C188" t="s">
        <v>38</v>
      </c>
      <c r="D188" t="s">
        <v>15</v>
      </c>
      <c r="E188" t="s">
        <v>16</v>
      </c>
      <c r="F188" t="s">
        <v>27</v>
      </c>
      <c r="G188" t="str">
        <f t="shared" si="6"/>
        <v>Monday</v>
      </c>
      <c r="H188" t="str">
        <f t="shared" si="7"/>
        <v>Mar</v>
      </c>
      <c r="I188" s="1">
        <v>43527</v>
      </c>
      <c r="J188" s="1" t="str">
        <f t="shared" si="8"/>
        <v>Evening</v>
      </c>
      <c r="K188" s="2">
        <v>0.79166666666666663</v>
      </c>
      <c r="L188" t="s">
        <v>18</v>
      </c>
      <c r="M188">
        <v>37.795999999999999</v>
      </c>
      <c r="N188">
        <v>7.5</v>
      </c>
    </row>
    <row r="189" spans="1:14" x14ac:dyDescent="0.25">
      <c r="A189" t="s">
        <v>218</v>
      </c>
      <c r="B189" t="s">
        <v>37</v>
      </c>
      <c r="C189" t="s">
        <v>38</v>
      </c>
      <c r="D189" t="s">
        <v>15</v>
      </c>
      <c r="E189" t="s">
        <v>26</v>
      </c>
      <c r="F189" t="s">
        <v>27</v>
      </c>
      <c r="G189" t="str">
        <f t="shared" si="6"/>
        <v>Thursday</v>
      </c>
      <c r="H189" t="str">
        <f t="shared" si="7"/>
        <v>Feb</v>
      </c>
      <c r="I189" s="1">
        <v>43504</v>
      </c>
      <c r="J189" s="1" t="str">
        <f t="shared" si="8"/>
        <v>Morning</v>
      </c>
      <c r="K189" s="2">
        <v>0.45347222222222222</v>
      </c>
      <c r="L189" t="s">
        <v>24</v>
      </c>
      <c r="M189">
        <v>9.2940000000000005</v>
      </c>
      <c r="N189">
        <v>7</v>
      </c>
    </row>
    <row r="190" spans="1:14" x14ac:dyDescent="0.25">
      <c r="A190" t="s">
        <v>219</v>
      </c>
      <c r="B190" t="s">
        <v>13</v>
      </c>
      <c r="C190" t="s">
        <v>14</v>
      </c>
      <c r="D190" t="s">
        <v>22</v>
      </c>
      <c r="E190" t="s">
        <v>26</v>
      </c>
      <c r="F190" t="s">
        <v>27</v>
      </c>
      <c r="G190" t="str">
        <f t="shared" si="6"/>
        <v>Friday</v>
      </c>
      <c r="H190" t="str">
        <f t="shared" si="7"/>
        <v>Feb</v>
      </c>
      <c r="I190" s="1">
        <v>43506</v>
      </c>
      <c r="J190" s="1" t="str">
        <f t="shared" si="8"/>
        <v>Afternoon</v>
      </c>
      <c r="K190" s="2">
        <v>0.53472222222222221</v>
      </c>
      <c r="L190" t="s">
        <v>18</v>
      </c>
      <c r="M190">
        <v>3.7035</v>
      </c>
      <c r="N190">
        <v>9.9</v>
      </c>
    </row>
    <row r="191" spans="1:14" x14ac:dyDescent="0.25">
      <c r="A191" t="s">
        <v>220</v>
      </c>
      <c r="B191" t="s">
        <v>20</v>
      </c>
      <c r="C191" t="s">
        <v>21</v>
      </c>
      <c r="D191" t="s">
        <v>22</v>
      </c>
      <c r="E191" t="s">
        <v>16</v>
      </c>
      <c r="F191" t="s">
        <v>27</v>
      </c>
      <c r="G191" t="str">
        <f t="shared" si="6"/>
        <v>Wednesday</v>
      </c>
      <c r="H191" t="str">
        <f t="shared" si="7"/>
        <v>Jan</v>
      </c>
      <c r="I191" s="1">
        <v>43493</v>
      </c>
      <c r="J191" s="1" t="str">
        <f t="shared" si="8"/>
        <v>Evening</v>
      </c>
      <c r="K191" s="2">
        <v>0.86805555555555547</v>
      </c>
      <c r="L191" t="s">
        <v>28</v>
      </c>
      <c r="M191">
        <v>13.962</v>
      </c>
      <c r="N191">
        <v>5.9</v>
      </c>
    </row>
    <row r="192" spans="1:14" x14ac:dyDescent="0.25">
      <c r="A192" t="s">
        <v>221</v>
      </c>
      <c r="B192" t="s">
        <v>37</v>
      </c>
      <c r="C192" t="s">
        <v>38</v>
      </c>
      <c r="D192" t="s">
        <v>22</v>
      </c>
      <c r="E192" t="s">
        <v>16</v>
      </c>
      <c r="F192" t="s">
        <v>27</v>
      </c>
      <c r="G192" t="str">
        <f t="shared" si="6"/>
        <v>Friday</v>
      </c>
      <c r="H192" t="str">
        <f t="shared" si="7"/>
        <v>Feb</v>
      </c>
      <c r="I192" s="1">
        <v>43507</v>
      </c>
      <c r="J192" s="1" t="str">
        <f t="shared" si="8"/>
        <v>Morning</v>
      </c>
      <c r="K192" s="2">
        <v>0.44375000000000003</v>
      </c>
      <c r="L192" t="s">
        <v>28</v>
      </c>
      <c r="M192">
        <v>11.555999999999999</v>
      </c>
      <c r="N192">
        <v>7.2</v>
      </c>
    </row>
    <row r="193" spans="1:14" x14ac:dyDescent="0.25">
      <c r="A193" t="s">
        <v>222</v>
      </c>
      <c r="B193" t="s">
        <v>37</v>
      </c>
      <c r="C193" t="s">
        <v>38</v>
      </c>
      <c r="D193" t="s">
        <v>22</v>
      </c>
      <c r="E193" t="s">
        <v>16</v>
      </c>
      <c r="F193" t="s">
        <v>41</v>
      </c>
      <c r="G193" t="str">
        <f t="shared" si="6"/>
        <v>Monday</v>
      </c>
      <c r="H193" t="str">
        <f t="shared" si="7"/>
        <v>Jan</v>
      </c>
      <c r="I193" s="1">
        <v>43480</v>
      </c>
      <c r="J193" s="1" t="str">
        <f t="shared" si="8"/>
        <v>Afternoon</v>
      </c>
      <c r="K193" s="2">
        <v>0.57013888888888886</v>
      </c>
      <c r="L193" t="s">
        <v>18</v>
      </c>
      <c r="M193">
        <v>7.3520000000000003</v>
      </c>
      <c r="N193">
        <v>4.5999999999999996</v>
      </c>
    </row>
    <row r="194" spans="1:14" x14ac:dyDescent="0.25">
      <c r="A194" t="s">
        <v>223</v>
      </c>
      <c r="B194" t="s">
        <v>20</v>
      </c>
      <c r="C194" t="s">
        <v>21</v>
      </c>
      <c r="D194" t="s">
        <v>22</v>
      </c>
      <c r="E194" t="s">
        <v>16</v>
      </c>
      <c r="F194" t="s">
        <v>39</v>
      </c>
      <c r="G194" t="str">
        <f t="shared" si="6"/>
        <v>Wednesday</v>
      </c>
      <c r="H194" t="str">
        <f t="shared" si="7"/>
        <v>Mar</v>
      </c>
      <c r="I194" s="1">
        <v>43540</v>
      </c>
      <c r="J194" s="1" t="str">
        <f t="shared" si="8"/>
        <v>Evening</v>
      </c>
      <c r="K194" s="2">
        <v>0.79722222222222217</v>
      </c>
      <c r="L194" t="s">
        <v>24</v>
      </c>
      <c r="M194">
        <v>39.51</v>
      </c>
      <c r="N194">
        <v>9.1999999999999993</v>
      </c>
    </row>
    <row r="195" spans="1:14" x14ac:dyDescent="0.25">
      <c r="A195" t="s">
        <v>224</v>
      </c>
      <c r="B195" t="s">
        <v>37</v>
      </c>
      <c r="C195" t="s">
        <v>38</v>
      </c>
      <c r="D195" t="s">
        <v>22</v>
      </c>
      <c r="E195" t="s">
        <v>26</v>
      </c>
      <c r="F195" t="s">
        <v>27</v>
      </c>
      <c r="G195" t="str">
        <f t="shared" ref="G195:G258" si="9">TEXT(I195/7,"dddd")</f>
        <v>Wednesday</v>
      </c>
      <c r="H195" t="str">
        <f t="shared" ref="H195:H258" si="10">TEXT(I195,"mmm")</f>
        <v>Jan</v>
      </c>
      <c r="I195" s="1">
        <v>43491</v>
      </c>
      <c r="J195" s="1" t="str">
        <f t="shared" ref="J195:J258" si="11">IF(AND(K195&gt;=TIME(9,0,0),K195&lt;TIME(12,0,0)),"Morning",IF(AND(K195&gt;=TIME(12,0,0),K195&lt;TIME(16,0,0)),"Afternoon","Evening"))</f>
        <v>Evening</v>
      </c>
      <c r="K195" s="2">
        <v>0.84930555555555554</v>
      </c>
      <c r="L195" t="s">
        <v>18</v>
      </c>
      <c r="M195">
        <v>5.1100000000000003</v>
      </c>
      <c r="N195">
        <v>5.7</v>
      </c>
    </row>
    <row r="196" spans="1:14" x14ac:dyDescent="0.25">
      <c r="A196" t="s">
        <v>225</v>
      </c>
      <c r="B196" t="s">
        <v>13</v>
      </c>
      <c r="C196" t="s">
        <v>14</v>
      </c>
      <c r="D196" t="s">
        <v>22</v>
      </c>
      <c r="E196" t="s">
        <v>26</v>
      </c>
      <c r="F196" t="s">
        <v>23</v>
      </c>
      <c r="G196" t="str">
        <f t="shared" si="9"/>
        <v>Wednesday</v>
      </c>
      <c r="H196" t="str">
        <f t="shared" si="10"/>
        <v>Mar</v>
      </c>
      <c r="I196" s="1">
        <v>43543</v>
      </c>
      <c r="J196" s="1" t="str">
        <f t="shared" si="11"/>
        <v>Morning</v>
      </c>
      <c r="K196" s="2">
        <v>0.47916666666666669</v>
      </c>
      <c r="L196" t="s">
        <v>28</v>
      </c>
      <c r="M196">
        <v>8.1775000000000002</v>
      </c>
      <c r="N196">
        <v>9.9</v>
      </c>
    </row>
    <row r="197" spans="1:14" x14ac:dyDescent="0.25">
      <c r="A197" t="s">
        <v>226</v>
      </c>
      <c r="B197" t="s">
        <v>20</v>
      </c>
      <c r="C197" t="s">
        <v>21</v>
      </c>
      <c r="D197" t="s">
        <v>15</v>
      </c>
      <c r="E197" t="s">
        <v>16</v>
      </c>
      <c r="F197" t="s">
        <v>41</v>
      </c>
      <c r="G197" t="str">
        <f t="shared" si="9"/>
        <v>Monday</v>
      </c>
      <c r="H197" t="str">
        <f t="shared" si="10"/>
        <v>Jan</v>
      </c>
      <c r="I197" s="1">
        <v>43478</v>
      </c>
      <c r="J197" s="1" t="str">
        <f t="shared" si="11"/>
        <v>Evening</v>
      </c>
      <c r="K197" s="2">
        <v>0.8125</v>
      </c>
      <c r="L197" t="s">
        <v>24</v>
      </c>
      <c r="M197">
        <v>3.7145000000000001</v>
      </c>
      <c r="N197">
        <v>5</v>
      </c>
    </row>
    <row r="198" spans="1:14" x14ac:dyDescent="0.25">
      <c r="A198" t="s">
        <v>227</v>
      </c>
      <c r="B198" t="s">
        <v>20</v>
      </c>
      <c r="C198" t="s">
        <v>21</v>
      </c>
      <c r="D198" t="s">
        <v>15</v>
      </c>
      <c r="E198" t="s">
        <v>26</v>
      </c>
      <c r="F198" t="s">
        <v>17</v>
      </c>
      <c r="G198" t="str">
        <f t="shared" si="9"/>
        <v>Thursday</v>
      </c>
      <c r="H198" t="str">
        <f t="shared" si="10"/>
        <v>Mar</v>
      </c>
      <c r="I198" s="1">
        <v>43550</v>
      </c>
      <c r="J198" s="1" t="str">
        <f t="shared" si="11"/>
        <v>Evening</v>
      </c>
      <c r="K198" s="2">
        <v>0.75208333333333333</v>
      </c>
      <c r="L198" t="s">
        <v>24</v>
      </c>
      <c r="M198">
        <v>4.37</v>
      </c>
      <c r="N198">
        <v>4.9000000000000004</v>
      </c>
    </row>
    <row r="199" spans="1:14" x14ac:dyDescent="0.25">
      <c r="A199" t="s">
        <v>228</v>
      </c>
      <c r="B199" t="s">
        <v>13</v>
      </c>
      <c r="C199" t="s">
        <v>14</v>
      </c>
      <c r="D199" t="s">
        <v>22</v>
      </c>
      <c r="E199" t="s">
        <v>16</v>
      </c>
      <c r="F199" t="s">
        <v>27</v>
      </c>
      <c r="G199" t="str">
        <f t="shared" si="9"/>
        <v>Thursday</v>
      </c>
      <c r="H199" t="str">
        <f t="shared" si="10"/>
        <v>Mar</v>
      </c>
      <c r="I199" s="1">
        <v>43547</v>
      </c>
      <c r="J199" s="1" t="str">
        <f t="shared" si="11"/>
        <v>Morning</v>
      </c>
      <c r="K199" s="2">
        <v>0.42569444444444443</v>
      </c>
      <c r="L199" t="s">
        <v>18</v>
      </c>
      <c r="M199">
        <v>1.2645</v>
      </c>
      <c r="N199">
        <v>6.1</v>
      </c>
    </row>
    <row r="200" spans="1:14" x14ac:dyDescent="0.25">
      <c r="A200" t="s">
        <v>229</v>
      </c>
      <c r="B200" t="s">
        <v>20</v>
      </c>
      <c r="C200" t="s">
        <v>21</v>
      </c>
      <c r="D200" t="s">
        <v>22</v>
      </c>
      <c r="E200" t="s">
        <v>26</v>
      </c>
      <c r="F200" t="s">
        <v>17</v>
      </c>
      <c r="G200" t="str">
        <f t="shared" si="9"/>
        <v>Tuesday</v>
      </c>
      <c r="H200" t="str">
        <f t="shared" si="10"/>
        <v>Mar</v>
      </c>
      <c r="I200" s="1">
        <v>43536</v>
      </c>
      <c r="J200" s="1" t="str">
        <f t="shared" si="11"/>
        <v>Evening</v>
      </c>
      <c r="K200" s="2">
        <v>0.83194444444444438</v>
      </c>
      <c r="L200" t="s">
        <v>28</v>
      </c>
      <c r="M200">
        <v>8.3000000000000007</v>
      </c>
      <c r="N200">
        <v>8.1999999999999993</v>
      </c>
    </row>
    <row r="201" spans="1:14" x14ac:dyDescent="0.25">
      <c r="A201" t="s">
        <v>230</v>
      </c>
      <c r="B201" t="s">
        <v>20</v>
      </c>
      <c r="C201" t="s">
        <v>21</v>
      </c>
      <c r="D201" t="s">
        <v>15</v>
      </c>
      <c r="E201" t="s">
        <v>16</v>
      </c>
      <c r="F201" t="s">
        <v>39</v>
      </c>
      <c r="G201" t="str">
        <f t="shared" si="9"/>
        <v>Saturday</v>
      </c>
      <c r="H201" t="str">
        <f t="shared" si="10"/>
        <v>Feb</v>
      </c>
      <c r="I201" s="1">
        <v>43513</v>
      </c>
      <c r="J201" s="1" t="str">
        <f t="shared" si="11"/>
        <v>Evening</v>
      </c>
      <c r="K201" s="2">
        <v>0.83124999999999993</v>
      </c>
      <c r="L201" t="s">
        <v>28</v>
      </c>
      <c r="M201">
        <v>17.8475</v>
      </c>
      <c r="N201">
        <v>5.5</v>
      </c>
    </row>
    <row r="202" spans="1:14" x14ac:dyDescent="0.25">
      <c r="A202" t="s">
        <v>231</v>
      </c>
      <c r="B202" t="s">
        <v>20</v>
      </c>
      <c r="C202" t="s">
        <v>21</v>
      </c>
      <c r="D202" t="s">
        <v>15</v>
      </c>
      <c r="E202" t="s">
        <v>16</v>
      </c>
      <c r="F202" t="s">
        <v>31</v>
      </c>
      <c r="G202" t="str">
        <f t="shared" si="9"/>
        <v>Wednesday</v>
      </c>
      <c r="H202" t="str">
        <f t="shared" si="10"/>
        <v>Jan</v>
      </c>
      <c r="I202" s="1">
        <v>43494</v>
      </c>
      <c r="J202" s="1" t="str">
        <f t="shared" si="11"/>
        <v>Morning</v>
      </c>
      <c r="K202" s="2">
        <v>0.41736111111111113</v>
      </c>
      <c r="L202" t="s">
        <v>28</v>
      </c>
      <c r="M202">
        <v>5.7450000000000001</v>
      </c>
      <c r="N202">
        <v>6.8</v>
      </c>
    </row>
    <row r="203" spans="1:14" x14ac:dyDescent="0.25">
      <c r="A203" t="s">
        <v>232</v>
      </c>
      <c r="B203" t="s">
        <v>37</v>
      </c>
      <c r="C203" t="s">
        <v>38</v>
      </c>
      <c r="D203" t="s">
        <v>15</v>
      </c>
      <c r="E203" t="s">
        <v>16</v>
      </c>
      <c r="F203" t="s">
        <v>23</v>
      </c>
      <c r="G203" t="str">
        <f t="shared" si="9"/>
        <v>Tuesday</v>
      </c>
      <c r="H203" t="str">
        <f t="shared" si="10"/>
        <v>Mar</v>
      </c>
      <c r="I203" s="1">
        <v>43539</v>
      </c>
      <c r="J203" s="1" t="str">
        <f t="shared" si="11"/>
        <v>Morning</v>
      </c>
      <c r="K203" s="2">
        <v>0.49791666666666662</v>
      </c>
      <c r="L203" t="s">
        <v>24</v>
      </c>
      <c r="M203">
        <v>11.497999999999999</v>
      </c>
      <c r="N203">
        <v>6.6</v>
      </c>
    </row>
    <row r="204" spans="1:14" x14ac:dyDescent="0.25">
      <c r="A204" t="s">
        <v>233</v>
      </c>
      <c r="B204" t="s">
        <v>20</v>
      </c>
      <c r="C204" t="s">
        <v>21</v>
      </c>
      <c r="D204" t="s">
        <v>22</v>
      </c>
      <c r="E204" t="s">
        <v>26</v>
      </c>
      <c r="F204" t="s">
        <v>23</v>
      </c>
      <c r="G204" t="str">
        <f t="shared" si="9"/>
        <v>Monday</v>
      </c>
      <c r="H204" t="str">
        <f t="shared" si="10"/>
        <v>Jan</v>
      </c>
      <c r="I204" s="1">
        <v>43479</v>
      </c>
      <c r="J204" s="1" t="str">
        <f t="shared" si="11"/>
        <v>Morning</v>
      </c>
      <c r="K204" s="2">
        <v>0.41805555555555557</v>
      </c>
      <c r="L204" t="s">
        <v>24</v>
      </c>
      <c r="M204">
        <v>21.493500000000001</v>
      </c>
      <c r="N204">
        <v>9.8000000000000007</v>
      </c>
    </row>
    <row r="205" spans="1:14" x14ac:dyDescent="0.25">
      <c r="A205" t="s">
        <v>234</v>
      </c>
      <c r="B205" t="s">
        <v>37</v>
      </c>
      <c r="C205" t="s">
        <v>38</v>
      </c>
      <c r="D205" t="s">
        <v>15</v>
      </c>
      <c r="E205" t="s">
        <v>26</v>
      </c>
      <c r="F205" t="s">
        <v>17</v>
      </c>
      <c r="G205" t="str">
        <f t="shared" si="9"/>
        <v>Thursday</v>
      </c>
      <c r="H205" t="str">
        <f t="shared" si="10"/>
        <v>Feb</v>
      </c>
      <c r="I205" s="1">
        <v>43502</v>
      </c>
      <c r="J205" s="1" t="str">
        <f t="shared" si="11"/>
        <v>Afternoon</v>
      </c>
      <c r="K205" s="2">
        <v>0.61875000000000002</v>
      </c>
      <c r="L205" t="s">
        <v>18</v>
      </c>
      <c r="M205">
        <v>12.95</v>
      </c>
      <c r="N205">
        <v>8.6999999999999993</v>
      </c>
    </row>
    <row r="206" spans="1:14" x14ac:dyDescent="0.25">
      <c r="A206" t="s">
        <v>235</v>
      </c>
      <c r="B206" t="s">
        <v>37</v>
      </c>
      <c r="C206" t="s">
        <v>38</v>
      </c>
      <c r="D206" t="s">
        <v>15</v>
      </c>
      <c r="E206" t="s">
        <v>26</v>
      </c>
      <c r="F206" t="s">
        <v>27</v>
      </c>
      <c r="G206" t="str">
        <f t="shared" si="9"/>
        <v>Friday</v>
      </c>
      <c r="H206" t="str">
        <f t="shared" si="10"/>
        <v>Feb</v>
      </c>
      <c r="I206" s="1">
        <v>43511</v>
      </c>
      <c r="J206" s="1" t="str">
        <f t="shared" si="11"/>
        <v>Afternoon</v>
      </c>
      <c r="K206" s="2">
        <v>0.52916666666666667</v>
      </c>
      <c r="L206" t="s">
        <v>28</v>
      </c>
      <c r="M206">
        <v>4.4424999999999999</v>
      </c>
      <c r="N206">
        <v>5.4</v>
      </c>
    </row>
    <row r="207" spans="1:14" x14ac:dyDescent="0.25">
      <c r="A207" t="s">
        <v>236</v>
      </c>
      <c r="B207" t="s">
        <v>13</v>
      </c>
      <c r="C207" t="s">
        <v>14</v>
      </c>
      <c r="D207" t="s">
        <v>22</v>
      </c>
      <c r="E207" t="s">
        <v>16</v>
      </c>
      <c r="F207" t="s">
        <v>17</v>
      </c>
      <c r="G207" t="str">
        <f t="shared" si="9"/>
        <v>Saturday</v>
      </c>
      <c r="H207" t="str">
        <f t="shared" si="10"/>
        <v>Jan</v>
      </c>
      <c r="I207" s="1">
        <v>43468</v>
      </c>
      <c r="J207" s="1" t="str">
        <f t="shared" si="11"/>
        <v>Afternoon</v>
      </c>
      <c r="K207" s="2">
        <v>0.50138888888888888</v>
      </c>
      <c r="L207" t="s">
        <v>18</v>
      </c>
      <c r="M207">
        <v>10.3635</v>
      </c>
      <c r="N207">
        <v>7.9</v>
      </c>
    </row>
    <row r="208" spans="1:14" x14ac:dyDescent="0.25">
      <c r="A208" t="s">
        <v>237</v>
      </c>
      <c r="B208" t="s">
        <v>20</v>
      </c>
      <c r="C208" t="s">
        <v>21</v>
      </c>
      <c r="D208" t="s">
        <v>15</v>
      </c>
      <c r="E208" t="s">
        <v>16</v>
      </c>
      <c r="F208" t="s">
        <v>23</v>
      </c>
      <c r="G208" t="str">
        <f t="shared" si="9"/>
        <v>Saturday</v>
      </c>
      <c r="H208" t="str">
        <f t="shared" si="10"/>
        <v>Jan</v>
      </c>
      <c r="I208" s="1">
        <v>43469</v>
      </c>
      <c r="J208" s="1" t="str">
        <f t="shared" si="11"/>
        <v>Evening</v>
      </c>
      <c r="K208" s="2">
        <v>0.7631944444444444</v>
      </c>
      <c r="L208" t="s">
        <v>28</v>
      </c>
      <c r="M208">
        <v>29.9925</v>
      </c>
      <c r="N208">
        <v>9.6999999999999993</v>
      </c>
    </row>
    <row r="209" spans="1:14" x14ac:dyDescent="0.25">
      <c r="A209" t="s">
        <v>238</v>
      </c>
      <c r="B209" t="s">
        <v>20</v>
      </c>
      <c r="C209" t="s">
        <v>21</v>
      </c>
      <c r="D209" t="s">
        <v>15</v>
      </c>
      <c r="E209" t="s">
        <v>16</v>
      </c>
      <c r="F209" t="s">
        <v>27</v>
      </c>
      <c r="G209" t="str">
        <f t="shared" si="9"/>
        <v>Wednesday</v>
      </c>
      <c r="H209" t="str">
        <f t="shared" si="10"/>
        <v>Mar</v>
      </c>
      <c r="I209" s="1">
        <v>43542</v>
      </c>
      <c r="J209" s="1" t="str">
        <f t="shared" si="11"/>
        <v>Evening</v>
      </c>
      <c r="K209" s="2">
        <v>0.73472222222222217</v>
      </c>
      <c r="L209" t="s">
        <v>18</v>
      </c>
      <c r="M209">
        <v>14.265000000000001</v>
      </c>
      <c r="N209">
        <v>7.8</v>
      </c>
    </row>
    <row r="210" spans="1:14" x14ac:dyDescent="0.25">
      <c r="A210" t="s">
        <v>239</v>
      </c>
      <c r="B210" t="s">
        <v>37</v>
      </c>
      <c r="C210" t="s">
        <v>38</v>
      </c>
      <c r="D210" t="s">
        <v>22</v>
      </c>
      <c r="E210" t="s">
        <v>16</v>
      </c>
      <c r="F210" t="s">
        <v>41</v>
      </c>
      <c r="G210" t="str">
        <f t="shared" si="9"/>
        <v>Thursday</v>
      </c>
      <c r="H210" t="str">
        <f t="shared" si="10"/>
        <v>Mar</v>
      </c>
      <c r="I210" s="1">
        <v>43552</v>
      </c>
      <c r="J210" s="1" t="str">
        <f t="shared" si="11"/>
        <v>Afternoon</v>
      </c>
      <c r="K210" s="2">
        <v>0.57013888888888886</v>
      </c>
      <c r="L210" t="s">
        <v>18</v>
      </c>
      <c r="M210">
        <v>4.5555000000000003</v>
      </c>
      <c r="N210">
        <v>5.0999999999999996</v>
      </c>
    </row>
    <row r="211" spans="1:14" x14ac:dyDescent="0.25">
      <c r="A211" t="s">
        <v>240</v>
      </c>
      <c r="B211" t="s">
        <v>37</v>
      </c>
      <c r="C211" t="s">
        <v>38</v>
      </c>
      <c r="D211" t="s">
        <v>22</v>
      </c>
      <c r="E211" t="s">
        <v>16</v>
      </c>
      <c r="F211" t="s">
        <v>23</v>
      </c>
      <c r="G211" t="str">
        <f t="shared" si="9"/>
        <v>Monday</v>
      </c>
      <c r="H211" t="str">
        <f t="shared" si="10"/>
        <v>Mar</v>
      </c>
      <c r="I211" s="1">
        <v>43526</v>
      </c>
      <c r="J211" s="1" t="str">
        <f t="shared" si="11"/>
        <v>Evening</v>
      </c>
      <c r="K211" s="2">
        <v>0.8208333333333333</v>
      </c>
      <c r="L211" t="s">
        <v>28</v>
      </c>
      <c r="M211">
        <v>44.878500000000003</v>
      </c>
      <c r="N211">
        <v>6.5</v>
      </c>
    </row>
    <row r="212" spans="1:14" x14ac:dyDescent="0.25">
      <c r="A212" t="s">
        <v>241</v>
      </c>
      <c r="B212" t="s">
        <v>13</v>
      </c>
      <c r="C212" t="s">
        <v>14</v>
      </c>
      <c r="D212" t="s">
        <v>22</v>
      </c>
      <c r="E212" t="s">
        <v>26</v>
      </c>
      <c r="F212" t="s">
        <v>23</v>
      </c>
      <c r="G212" t="str">
        <f t="shared" si="9"/>
        <v>Tuesday</v>
      </c>
      <c r="H212" t="str">
        <f t="shared" si="10"/>
        <v>Jan</v>
      </c>
      <c r="I212" s="1">
        <v>43490</v>
      </c>
      <c r="J212" s="1" t="str">
        <f t="shared" si="11"/>
        <v>Evening</v>
      </c>
      <c r="K212" s="2">
        <v>0.85</v>
      </c>
      <c r="L212" t="s">
        <v>18</v>
      </c>
      <c r="M212">
        <v>11.8035</v>
      </c>
      <c r="N212">
        <v>5.9</v>
      </c>
    </row>
    <row r="213" spans="1:14" x14ac:dyDescent="0.25">
      <c r="A213" t="s">
        <v>242</v>
      </c>
      <c r="B213" t="s">
        <v>20</v>
      </c>
      <c r="C213" t="s">
        <v>21</v>
      </c>
      <c r="D213" t="s">
        <v>22</v>
      </c>
      <c r="E213" t="s">
        <v>16</v>
      </c>
      <c r="F213" t="s">
        <v>39</v>
      </c>
      <c r="G213" t="str">
        <f t="shared" si="9"/>
        <v>Monday</v>
      </c>
      <c r="H213" t="str">
        <f t="shared" si="10"/>
        <v>Jan</v>
      </c>
      <c r="I213" s="1">
        <v>43481</v>
      </c>
      <c r="J213" s="1" t="str">
        <f t="shared" si="11"/>
        <v>Evening</v>
      </c>
      <c r="K213" s="2">
        <v>0.75555555555555554</v>
      </c>
      <c r="L213" t="s">
        <v>24</v>
      </c>
      <c r="M213">
        <v>41.966999999999999</v>
      </c>
      <c r="N213">
        <v>8.8000000000000007</v>
      </c>
    </row>
    <row r="214" spans="1:14" x14ac:dyDescent="0.25">
      <c r="A214" t="s">
        <v>243</v>
      </c>
      <c r="B214" t="s">
        <v>37</v>
      </c>
      <c r="C214" t="s">
        <v>38</v>
      </c>
      <c r="D214" t="s">
        <v>22</v>
      </c>
      <c r="E214" t="s">
        <v>26</v>
      </c>
      <c r="F214" t="s">
        <v>27</v>
      </c>
      <c r="G214" t="str">
        <f t="shared" si="9"/>
        <v>Wednesday</v>
      </c>
      <c r="H214" t="str">
        <f t="shared" si="10"/>
        <v>Mar</v>
      </c>
      <c r="I214" s="1">
        <v>43544</v>
      </c>
      <c r="J214" s="1" t="str">
        <f t="shared" si="11"/>
        <v>Evening</v>
      </c>
      <c r="K214" s="2">
        <v>0.80347222222222225</v>
      </c>
      <c r="L214" t="s">
        <v>18</v>
      </c>
      <c r="M214">
        <v>23.09</v>
      </c>
      <c r="N214">
        <v>4.9000000000000004</v>
      </c>
    </row>
    <row r="215" spans="1:14" x14ac:dyDescent="0.25">
      <c r="A215" t="s">
        <v>244</v>
      </c>
      <c r="B215" t="s">
        <v>37</v>
      </c>
      <c r="C215" t="s">
        <v>38</v>
      </c>
      <c r="D215" t="s">
        <v>22</v>
      </c>
      <c r="E215" t="s">
        <v>26</v>
      </c>
      <c r="F215" t="s">
        <v>31</v>
      </c>
      <c r="G215" t="str">
        <f t="shared" si="9"/>
        <v>Saturday</v>
      </c>
      <c r="H215" t="str">
        <f t="shared" si="10"/>
        <v>Jan</v>
      </c>
      <c r="I215" s="1">
        <v>43469</v>
      </c>
      <c r="J215" s="1" t="str">
        <f t="shared" si="11"/>
        <v>Afternoon</v>
      </c>
      <c r="K215" s="2">
        <v>0.55833333333333335</v>
      </c>
      <c r="L215" t="s">
        <v>28</v>
      </c>
      <c r="M215">
        <v>6.9630000000000001</v>
      </c>
      <c r="N215">
        <v>4.4000000000000004</v>
      </c>
    </row>
    <row r="216" spans="1:14" x14ac:dyDescent="0.25">
      <c r="A216" t="s">
        <v>245</v>
      </c>
      <c r="B216" t="s">
        <v>37</v>
      </c>
      <c r="C216" t="s">
        <v>38</v>
      </c>
      <c r="D216" t="s">
        <v>15</v>
      </c>
      <c r="E216" t="s">
        <v>16</v>
      </c>
      <c r="F216" t="s">
        <v>31</v>
      </c>
      <c r="G216" t="str">
        <f t="shared" si="9"/>
        <v>Tuesday</v>
      </c>
      <c r="H216" t="str">
        <f t="shared" si="10"/>
        <v>Mar</v>
      </c>
      <c r="I216" s="1">
        <v>43535</v>
      </c>
      <c r="J216" s="1" t="str">
        <f t="shared" si="11"/>
        <v>Afternoon</v>
      </c>
      <c r="K216" s="2">
        <v>0.66180555555555554</v>
      </c>
      <c r="L216" t="s">
        <v>24</v>
      </c>
      <c r="M216">
        <v>10.3635</v>
      </c>
      <c r="N216">
        <v>6.5</v>
      </c>
    </row>
    <row r="217" spans="1:14" x14ac:dyDescent="0.25">
      <c r="A217" t="s">
        <v>246</v>
      </c>
      <c r="B217" t="s">
        <v>13</v>
      </c>
      <c r="C217" t="s">
        <v>14</v>
      </c>
      <c r="D217" t="s">
        <v>22</v>
      </c>
      <c r="E217" t="s">
        <v>26</v>
      </c>
      <c r="F217" t="s">
        <v>27</v>
      </c>
      <c r="G217" t="str">
        <f t="shared" si="9"/>
        <v>Wednesday</v>
      </c>
      <c r="H217" t="str">
        <f t="shared" si="10"/>
        <v>Mar</v>
      </c>
      <c r="I217" s="1">
        <v>43546</v>
      </c>
      <c r="J217" s="1" t="str">
        <f t="shared" si="11"/>
        <v>Afternoon</v>
      </c>
      <c r="K217" s="2">
        <v>0.62847222222222221</v>
      </c>
      <c r="L217" t="s">
        <v>28</v>
      </c>
      <c r="M217">
        <v>0.91400000000000003</v>
      </c>
      <c r="N217">
        <v>8.3000000000000007</v>
      </c>
    </row>
    <row r="218" spans="1:14" x14ac:dyDescent="0.25">
      <c r="A218" t="s">
        <v>247</v>
      </c>
      <c r="B218" t="s">
        <v>37</v>
      </c>
      <c r="C218" t="s">
        <v>38</v>
      </c>
      <c r="D218" t="s">
        <v>22</v>
      </c>
      <c r="E218" t="s">
        <v>16</v>
      </c>
      <c r="F218" t="s">
        <v>31</v>
      </c>
      <c r="G218" t="str">
        <f t="shared" si="9"/>
        <v>Thursday</v>
      </c>
      <c r="H218" t="str">
        <f t="shared" si="10"/>
        <v>Mar</v>
      </c>
      <c r="I218" s="1">
        <v>43548</v>
      </c>
      <c r="J218" s="1" t="str">
        <f t="shared" si="11"/>
        <v>Evening</v>
      </c>
      <c r="K218" s="2">
        <v>0.76874999999999993</v>
      </c>
      <c r="L218" t="s">
        <v>24</v>
      </c>
      <c r="M218">
        <v>6.1924999999999999</v>
      </c>
      <c r="N218">
        <v>8.5</v>
      </c>
    </row>
    <row r="219" spans="1:14" x14ac:dyDescent="0.25">
      <c r="A219" t="s">
        <v>248</v>
      </c>
      <c r="B219" t="s">
        <v>13</v>
      </c>
      <c r="C219" t="s">
        <v>14</v>
      </c>
      <c r="D219" t="s">
        <v>15</v>
      </c>
      <c r="E219" t="s">
        <v>16</v>
      </c>
      <c r="F219" t="s">
        <v>23</v>
      </c>
      <c r="G219" t="str">
        <f t="shared" si="9"/>
        <v>Saturday</v>
      </c>
      <c r="H219" t="str">
        <f t="shared" si="10"/>
        <v>Feb</v>
      </c>
      <c r="I219" s="1">
        <v>43517</v>
      </c>
      <c r="J219" s="1" t="str">
        <f t="shared" si="11"/>
        <v>Evening</v>
      </c>
      <c r="K219" s="2">
        <v>0.70486111111111116</v>
      </c>
      <c r="L219" t="s">
        <v>24</v>
      </c>
      <c r="M219">
        <v>14.196</v>
      </c>
      <c r="N219">
        <v>5.5</v>
      </c>
    </row>
    <row r="220" spans="1:14" x14ac:dyDescent="0.25">
      <c r="A220" t="s">
        <v>249</v>
      </c>
      <c r="B220" t="s">
        <v>37</v>
      </c>
      <c r="C220" t="s">
        <v>38</v>
      </c>
      <c r="D220" t="s">
        <v>22</v>
      </c>
      <c r="E220" t="s">
        <v>26</v>
      </c>
      <c r="F220" t="s">
        <v>41</v>
      </c>
      <c r="G220" t="str">
        <f t="shared" si="9"/>
        <v>Friday</v>
      </c>
      <c r="H220" t="str">
        <f t="shared" si="10"/>
        <v>Feb</v>
      </c>
      <c r="I220" s="1">
        <v>43508</v>
      </c>
      <c r="J220" s="1" t="str">
        <f t="shared" si="11"/>
        <v>Afternoon</v>
      </c>
      <c r="K220" s="2">
        <v>0.54027777777777775</v>
      </c>
      <c r="L220" t="s">
        <v>18</v>
      </c>
      <c r="M220">
        <v>37.948</v>
      </c>
      <c r="N220">
        <v>8.6999999999999993</v>
      </c>
    </row>
    <row r="221" spans="1:14" x14ac:dyDescent="0.25">
      <c r="A221" t="s">
        <v>250</v>
      </c>
      <c r="B221" t="s">
        <v>37</v>
      </c>
      <c r="C221" t="s">
        <v>38</v>
      </c>
      <c r="D221" t="s">
        <v>22</v>
      </c>
      <c r="E221" t="s">
        <v>16</v>
      </c>
      <c r="F221" t="s">
        <v>39</v>
      </c>
      <c r="G221" t="str">
        <f t="shared" si="9"/>
        <v>Tuesday</v>
      </c>
      <c r="H221" t="str">
        <f t="shared" si="10"/>
        <v>Mar</v>
      </c>
      <c r="I221" s="1">
        <v>43534</v>
      </c>
      <c r="J221" s="1" t="str">
        <f t="shared" si="11"/>
        <v>Evening</v>
      </c>
      <c r="K221" s="2">
        <v>0.7909722222222223</v>
      </c>
      <c r="L221" t="s">
        <v>28</v>
      </c>
      <c r="M221">
        <v>8.6010000000000009</v>
      </c>
      <c r="N221">
        <v>7.9</v>
      </c>
    </row>
    <row r="222" spans="1:14" x14ac:dyDescent="0.25">
      <c r="A222" t="s">
        <v>251</v>
      </c>
      <c r="B222" t="s">
        <v>37</v>
      </c>
      <c r="C222" t="s">
        <v>38</v>
      </c>
      <c r="D222" t="s">
        <v>22</v>
      </c>
      <c r="E222" t="s">
        <v>26</v>
      </c>
      <c r="F222" t="s">
        <v>23</v>
      </c>
      <c r="G222" t="str">
        <f t="shared" si="9"/>
        <v>Wednesday</v>
      </c>
      <c r="H222" t="str">
        <f t="shared" si="10"/>
        <v>Jan</v>
      </c>
      <c r="I222" s="1">
        <v>43496</v>
      </c>
      <c r="J222" s="1" t="str">
        <f t="shared" si="11"/>
        <v>Afternoon</v>
      </c>
      <c r="K222" s="2">
        <v>0.57222222222222219</v>
      </c>
      <c r="L222" t="s">
        <v>18</v>
      </c>
      <c r="M222">
        <v>13.605</v>
      </c>
      <c r="N222">
        <v>6.1</v>
      </c>
    </row>
    <row r="223" spans="1:14" x14ac:dyDescent="0.25">
      <c r="A223" t="s">
        <v>252</v>
      </c>
      <c r="B223" t="s">
        <v>37</v>
      </c>
      <c r="C223" t="s">
        <v>38</v>
      </c>
      <c r="D223" t="s">
        <v>22</v>
      </c>
      <c r="E223" t="s">
        <v>26</v>
      </c>
      <c r="F223" t="s">
        <v>39</v>
      </c>
      <c r="G223" t="str">
        <f t="shared" si="9"/>
        <v>Monday</v>
      </c>
      <c r="H223" t="str">
        <f t="shared" si="10"/>
        <v>Mar</v>
      </c>
      <c r="I223" s="1">
        <v>43530</v>
      </c>
      <c r="J223" s="1" t="str">
        <f t="shared" si="11"/>
        <v>Afternoon</v>
      </c>
      <c r="K223" s="2">
        <v>0.57361111111111118</v>
      </c>
      <c r="L223" t="s">
        <v>18</v>
      </c>
      <c r="M223">
        <v>21.728000000000002</v>
      </c>
      <c r="N223">
        <v>5.4</v>
      </c>
    </row>
    <row r="224" spans="1:14" x14ac:dyDescent="0.25">
      <c r="A224" t="s">
        <v>253</v>
      </c>
      <c r="B224" t="s">
        <v>20</v>
      </c>
      <c r="C224" t="s">
        <v>21</v>
      </c>
      <c r="D224" t="s">
        <v>22</v>
      </c>
      <c r="E224" t="s">
        <v>26</v>
      </c>
      <c r="F224" t="s">
        <v>23</v>
      </c>
      <c r="G224" t="str">
        <f t="shared" si="9"/>
        <v>Saturday</v>
      </c>
      <c r="H224" t="str">
        <f t="shared" si="10"/>
        <v>Feb</v>
      </c>
      <c r="I224" s="1">
        <v>43513</v>
      </c>
      <c r="J224" s="1" t="str">
        <f t="shared" si="11"/>
        <v>Evening</v>
      </c>
      <c r="K224" s="2">
        <v>0.75416666666666676</v>
      </c>
      <c r="L224" t="s">
        <v>24</v>
      </c>
      <c r="M224">
        <v>2.9525000000000001</v>
      </c>
      <c r="N224">
        <v>9.4</v>
      </c>
    </row>
    <row r="225" spans="1:14" x14ac:dyDescent="0.25">
      <c r="A225" t="s">
        <v>254</v>
      </c>
      <c r="B225" t="s">
        <v>20</v>
      </c>
      <c r="C225" t="s">
        <v>21</v>
      </c>
      <c r="D225" t="s">
        <v>15</v>
      </c>
      <c r="E225" t="s">
        <v>16</v>
      </c>
      <c r="F225" t="s">
        <v>41</v>
      </c>
      <c r="G225" t="str">
        <f t="shared" si="9"/>
        <v>Saturday</v>
      </c>
      <c r="H225" t="str">
        <f t="shared" si="10"/>
        <v>Feb</v>
      </c>
      <c r="I225" s="1">
        <v>43517</v>
      </c>
      <c r="J225" s="1" t="str">
        <f t="shared" si="11"/>
        <v>Afternoon</v>
      </c>
      <c r="K225" s="2">
        <v>0.52638888888888891</v>
      </c>
      <c r="L225" t="s">
        <v>24</v>
      </c>
      <c r="M225">
        <v>0.627</v>
      </c>
      <c r="N225">
        <v>8.1999999999999993</v>
      </c>
    </row>
    <row r="226" spans="1:14" x14ac:dyDescent="0.25">
      <c r="A226" t="s">
        <v>255</v>
      </c>
      <c r="B226" t="s">
        <v>13</v>
      </c>
      <c r="C226" t="s">
        <v>14</v>
      </c>
      <c r="D226" t="s">
        <v>22</v>
      </c>
      <c r="E226" t="s">
        <v>26</v>
      </c>
      <c r="F226" t="s">
        <v>39</v>
      </c>
      <c r="G226" t="str">
        <f t="shared" si="9"/>
        <v>Wednesday</v>
      </c>
      <c r="H226" t="str">
        <f t="shared" si="10"/>
        <v>Mar</v>
      </c>
      <c r="I226" s="1">
        <v>43544</v>
      </c>
      <c r="J226" s="1" t="str">
        <f t="shared" si="11"/>
        <v>Afternoon</v>
      </c>
      <c r="K226" s="2">
        <v>0.66388888888888886</v>
      </c>
      <c r="L226" t="s">
        <v>24</v>
      </c>
      <c r="M226">
        <v>4.3250000000000002</v>
      </c>
      <c r="N226">
        <v>6.2</v>
      </c>
    </row>
    <row r="227" spans="1:14" x14ac:dyDescent="0.25">
      <c r="A227" t="s">
        <v>256</v>
      </c>
      <c r="B227" t="s">
        <v>20</v>
      </c>
      <c r="C227" t="s">
        <v>21</v>
      </c>
      <c r="D227" t="s">
        <v>15</v>
      </c>
      <c r="E227" t="s">
        <v>16</v>
      </c>
      <c r="F227" t="s">
        <v>31</v>
      </c>
      <c r="G227" t="str">
        <f t="shared" si="9"/>
        <v>Sunday</v>
      </c>
      <c r="H227" t="str">
        <f t="shared" si="10"/>
        <v>Jan</v>
      </c>
      <c r="I227" s="1">
        <v>43476</v>
      </c>
      <c r="J227" s="1" t="str">
        <f t="shared" si="11"/>
        <v>Afternoon</v>
      </c>
      <c r="K227" s="2">
        <v>0.60347222222222219</v>
      </c>
      <c r="L227" t="s">
        <v>28</v>
      </c>
      <c r="M227">
        <v>8.7159999999999993</v>
      </c>
      <c r="N227">
        <v>9.6999999999999993</v>
      </c>
    </row>
    <row r="228" spans="1:14" x14ac:dyDescent="0.25">
      <c r="A228" t="s">
        <v>257</v>
      </c>
      <c r="B228" t="s">
        <v>37</v>
      </c>
      <c r="C228" t="s">
        <v>38</v>
      </c>
      <c r="D228" t="s">
        <v>15</v>
      </c>
      <c r="E228" t="s">
        <v>26</v>
      </c>
      <c r="F228" t="s">
        <v>17</v>
      </c>
      <c r="G228" t="str">
        <f t="shared" si="9"/>
        <v>Wednesday</v>
      </c>
      <c r="H228" t="str">
        <f t="shared" si="10"/>
        <v>Jan</v>
      </c>
      <c r="I228" s="1">
        <v>43491</v>
      </c>
      <c r="J228" s="1" t="str">
        <f t="shared" si="11"/>
        <v>Evening</v>
      </c>
      <c r="K228" s="2">
        <v>0.80138888888888893</v>
      </c>
      <c r="L228" t="s">
        <v>18</v>
      </c>
      <c r="M228">
        <v>31.2165</v>
      </c>
      <c r="N228">
        <v>4</v>
      </c>
    </row>
    <row r="229" spans="1:14" x14ac:dyDescent="0.25">
      <c r="A229" t="s">
        <v>258</v>
      </c>
      <c r="B229" t="s">
        <v>20</v>
      </c>
      <c r="C229" t="s">
        <v>21</v>
      </c>
      <c r="D229" t="s">
        <v>15</v>
      </c>
      <c r="E229" t="s">
        <v>26</v>
      </c>
      <c r="F229" t="s">
        <v>23</v>
      </c>
      <c r="G229" t="str">
        <f t="shared" si="9"/>
        <v>Wednesday</v>
      </c>
      <c r="H229" t="str">
        <f t="shared" si="10"/>
        <v>Jan</v>
      </c>
      <c r="I229" s="1">
        <v>43496</v>
      </c>
      <c r="J229" s="1" t="str">
        <f t="shared" si="11"/>
        <v>Evening</v>
      </c>
      <c r="K229" s="2">
        <v>0.68333333333333324</v>
      </c>
      <c r="L229" t="s">
        <v>18</v>
      </c>
      <c r="M229">
        <v>7.4119999999999999</v>
      </c>
      <c r="N229">
        <v>9.6999999999999993</v>
      </c>
    </row>
    <row r="230" spans="1:14" x14ac:dyDescent="0.25">
      <c r="A230" t="s">
        <v>259</v>
      </c>
      <c r="B230" t="s">
        <v>37</v>
      </c>
      <c r="C230" t="s">
        <v>38</v>
      </c>
      <c r="D230" t="s">
        <v>15</v>
      </c>
      <c r="E230" t="s">
        <v>16</v>
      </c>
      <c r="F230" t="s">
        <v>23</v>
      </c>
      <c r="G230" t="str">
        <f t="shared" si="9"/>
        <v>Sunday</v>
      </c>
      <c r="H230" t="str">
        <f t="shared" si="10"/>
        <v>Feb</v>
      </c>
      <c r="I230" s="1">
        <v>43522</v>
      </c>
      <c r="J230" s="1" t="str">
        <f t="shared" si="11"/>
        <v>Morning</v>
      </c>
      <c r="K230" s="2">
        <v>0.45277777777777778</v>
      </c>
      <c r="L230" t="s">
        <v>24</v>
      </c>
      <c r="M230">
        <v>27.21</v>
      </c>
      <c r="N230">
        <v>5.3</v>
      </c>
    </row>
    <row r="231" spans="1:14" x14ac:dyDescent="0.25">
      <c r="A231" t="s">
        <v>260</v>
      </c>
      <c r="B231" t="s">
        <v>13</v>
      </c>
      <c r="C231" t="s">
        <v>14</v>
      </c>
      <c r="D231" t="s">
        <v>22</v>
      </c>
      <c r="E231" t="s">
        <v>16</v>
      </c>
      <c r="F231" t="s">
        <v>27</v>
      </c>
      <c r="G231" t="str">
        <f t="shared" si="9"/>
        <v>Tuesday</v>
      </c>
      <c r="H231" t="str">
        <f t="shared" si="10"/>
        <v>Mar</v>
      </c>
      <c r="I231" s="1">
        <v>43535</v>
      </c>
      <c r="J231" s="1" t="str">
        <f t="shared" si="11"/>
        <v>Afternoon</v>
      </c>
      <c r="K231" s="2">
        <v>0.53819444444444442</v>
      </c>
      <c r="L231" t="s">
        <v>18</v>
      </c>
      <c r="M231">
        <v>25.367999999999999</v>
      </c>
      <c r="N231">
        <v>7.4</v>
      </c>
    </row>
    <row r="232" spans="1:14" x14ac:dyDescent="0.25">
      <c r="A232" t="s">
        <v>261</v>
      </c>
      <c r="B232" t="s">
        <v>37</v>
      </c>
      <c r="C232" t="s">
        <v>38</v>
      </c>
      <c r="D232" t="s">
        <v>22</v>
      </c>
      <c r="E232" t="s">
        <v>16</v>
      </c>
      <c r="F232" t="s">
        <v>41</v>
      </c>
      <c r="G232" t="str">
        <f t="shared" si="9"/>
        <v>Wednesday</v>
      </c>
      <c r="H232" t="str">
        <f t="shared" si="10"/>
        <v>Jan</v>
      </c>
      <c r="I232" s="1">
        <v>43491</v>
      </c>
      <c r="J232" s="1" t="str">
        <f t="shared" si="11"/>
        <v>Evening</v>
      </c>
      <c r="K232" s="2">
        <v>0.81111111111111101</v>
      </c>
      <c r="L232" t="s">
        <v>24</v>
      </c>
      <c r="M232">
        <v>8.1370000000000005</v>
      </c>
      <c r="N232">
        <v>6.5</v>
      </c>
    </row>
    <row r="233" spans="1:14" x14ac:dyDescent="0.25">
      <c r="A233" t="s">
        <v>262</v>
      </c>
      <c r="B233" t="s">
        <v>37</v>
      </c>
      <c r="C233" t="s">
        <v>38</v>
      </c>
      <c r="D233" t="s">
        <v>15</v>
      </c>
      <c r="E233" t="s">
        <v>16</v>
      </c>
      <c r="F233" t="s">
        <v>23</v>
      </c>
      <c r="G233" t="str">
        <f t="shared" si="9"/>
        <v>Tuesday</v>
      </c>
      <c r="H233" t="str">
        <f t="shared" si="10"/>
        <v>Mar</v>
      </c>
      <c r="I233" s="1">
        <v>43536</v>
      </c>
      <c r="J233" s="1" t="str">
        <f t="shared" si="11"/>
        <v>Afternoon</v>
      </c>
      <c r="K233" s="2">
        <v>0.57777777777777783</v>
      </c>
      <c r="L233" t="s">
        <v>28</v>
      </c>
      <c r="M233">
        <v>1.5885</v>
      </c>
      <c r="N233">
        <v>8.6999999999999993</v>
      </c>
    </row>
    <row r="234" spans="1:14" x14ac:dyDescent="0.25">
      <c r="A234" t="s">
        <v>263</v>
      </c>
      <c r="B234" t="s">
        <v>37</v>
      </c>
      <c r="C234" t="s">
        <v>38</v>
      </c>
      <c r="D234" t="s">
        <v>22</v>
      </c>
      <c r="E234" t="s">
        <v>16</v>
      </c>
      <c r="F234" t="s">
        <v>17</v>
      </c>
      <c r="G234" t="str">
        <f t="shared" si="9"/>
        <v>Friday</v>
      </c>
      <c r="H234" t="str">
        <f t="shared" si="10"/>
        <v>Feb</v>
      </c>
      <c r="I234" s="1">
        <v>43507</v>
      </c>
      <c r="J234" s="1" t="str">
        <f t="shared" si="11"/>
        <v>Morning</v>
      </c>
      <c r="K234" s="2">
        <v>0.45416666666666666</v>
      </c>
      <c r="L234" t="s">
        <v>24</v>
      </c>
      <c r="M234">
        <v>37.840499999999999</v>
      </c>
      <c r="N234">
        <v>8</v>
      </c>
    </row>
    <row r="235" spans="1:14" x14ac:dyDescent="0.25">
      <c r="A235" t="s">
        <v>264</v>
      </c>
      <c r="B235" t="s">
        <v>37</v>
      </c>
      <c r="C235" t="s">
        <v>38</v>
      </c>
      <c r="D235" t="s">
        <v>15</v>
      </c>
      <c r="E235" t="s">
        <v>26</v>
      </c>
      <c r="F235" t="s">
        <v>41</v>
      </c>
      <c r="G235" t="str">
        <f t="shared" si="9"/>
        <v>Saturday</v>
      </c>
      <c r="H235" t="str">
        <f t="shared" si="10"/>
        <v>Feb</v>
      </c>
      <c r="I235" s="1">
        <v>43517</v>
      </c>
      <c r="J235" s="1" t="str">
        <f t="shared" si="11"/>
        <v>Evening</v>
      </c>
      <c r="K235" s="2">
        <v>0.7715277777777777</v>
      </c>
      <c r="L235" t="s">
        <v>24</v>
      </c>
      <c r="M235">
        <v>14.763999999999999</v>
      </c>
      <c r="N235">
        <v>6.7</v>
      </c>
    </row>
    <row r="236" spans="1:14" x14ac:dyDescent="0.25">
      <c r="A236" t="s">
        <v>265</v>
      </c>
      <c r="B236" t="s">
        <v>13</v>
      </c>
      <c r="C236" t="s">
        <v>14</v>
      </c>
      <c r="D236" t="s">
        <v>15</v>
      </c>
      <c r="E236" t="s">
        <v>26</v>
      </c>
      <c r="F236" t="s">
        <v>17</v>
      </c>
      <c r="G236" t="str">
        <f t="shared" si="9"/>
        <v>Tuesday</v>
      </c>
      <c r="H236" t="str">
        <f t="shared" si="10"/>
        <v>Mar</v>
      </c>
      <c r="I236" s="1">
        <v>43533</v>
      </c>
      <c r="J236" s="1" t="str">
        <f t="shared" si="11"/>
        <v>Evening</v>
      </c>
      <c r="K236" s="2">
        <v>0.76666666666666661</v>
      </c>
      <c r="L236" t="s">
        <v>18</v>
      </c>
      <c r="M236">
        <v>25.97</v>
      </c>
      <c r="N236">
        <v>6.5</v>
      </c>
    </row>
    <row r="237" spans="1:14" x14ac:dyDescent="0.25">
      <c r="A237" t="s">
        <v>266</v>
      </c>
      <c r="B237" t="s">
        <v>13</v>
      </c>
      <c r="C237" t="s">
        <v>14</v>
      </c>
      <c r="D237" t="s">
        <v>22</v>
      </c>
      <c r="E237" t="s">
        <v>16</v>
      </c>
      <c r="F237" t="s">
        <v>31</v>
      </c>
      <c r="G237" t="str">
        <f t="shared" si="9"/>
        <v>Tuesday</v>
      </c>
      <c r="H237" t="str">
        <f t="shared" si="10"/>
        <v>Jan</v>
      </c>
      <c r="I237" s="1">
        <v>43485</v>
      </c>
      <c r="J237" s="1" t="str">
        <f t="shared" si="11"/>
        <v>Evening</v>
      </c>
      <c r="K237" s="2">
        <v>0.75624999999999998</v>
      </c>
      <c r="L237" t="s">
        <v>18</v>
      </c>
      <c r="M237">
        <v>9.3140000000000001</v>
      </c>
      <c r="N237">
        <v>4.0999999999999996</v>
      </c>
    </row>
    <row r="238" spans="1:14" x14ac:dyDescent="0.25">
      <c r="A238" t="s">
        <v>267</v>
      </c>
      <c r="B238" t="s">
        <v>20</v>
      </c>
      <c r="C238" t="s">
        <v>21</v>
      </c>
      <c r="D238" t="s">
        <v>22</v>
      </c>
      <c r="E238" t="s">
        <v>26</v>
      </c>
      <c r="F238" t="s">
        <v>17</v>
      </c>
      <c r="G238" t="str">
        <f t="shared" si="9"/>
        <v>Wednesday</v>
      </c>
      <c r="H238" t="str">
        <f t="shared" si="10"/>
        <v>Jan</v>
      </c>
      <c r="I238" s="1">
        <v>43493</v>
      </c>
      <c r="J238" s="1" t="str">
        <f t="shared" si="11"/>
        <v>Afternoon</v>
      </c>
      <c r="K238" s="2">
        <v>0.63611111111111118</v>
      </c>
      <c r="L238" t="s">
        <v>28</v>
      </c>
      <c r="M238">
        <v>4.3525</v>
      </c>
      <c r="N238">
        <v>4.9000000000000004</v>
      </c>
    </row>
    <row r="239" spans="1:14" x14ac:dyDescent="0.25">
      <c r="A239" t="s">
        <v>268</v>
      </c>
      <c r="B239" t="s">
        <v>20</v>
      </c>
      <c r="C239" t="s">
        <v>21</v>
      </c>
      <c r="D239" t="s">
        <v>15</v>
      </c>
      <c r="E239" t="s">
        <v>16</v>
      </c>
      <c r="F239" t="s">
        <v>41</v>
      </c>
      <c r="G239" t="str">
        <f t="shared" si="9"/>
        <v>Monday</v>
      </c>
      <c r="H239" t="str">
        <f t="shared" si="10"/>
        <v>Mar</v>
      </c>
      <c r="I239" s="1">
        <v>43529</v>
      </c>
      <c r="J239" s="1" t="str">
        <f t="shared" si="11"/>
        <v>Evening</v>
      </c>
      <c r="K239" s="2">
        <v>0.71319444444444446</v>
      </c>
      <c r="L239" t="s">
        <v>28</v>
      </c>
      <c r="M239">
        <v>11.055</v>
      </c>
      <c r="N239">
        <v>8.6</v>
      </c>
    </row>
    <row r="240" spans="1:14" x14ac:dyDescent="0.25">
      <c r="A240" t="s">
        <v>269</v>
      </c>
      <c r="B240" t="s">
        <v>37</v>
      </c>
      <c r="C240" t="s">
        <v>38</v>
      </c>
      <c r="D240" t="s">
        <v>15</v>
      </c>
      <c r="E240" t="s">
        <v>16</v>
      </c>
      <c r="F240" t="s">
        <v>23</v>
      </c>
      <c r="G240" t="str">
        <f t="shared" si="9"/>
        <v>Monday</v>
      </c>
      <c r="H240" t="str">
        <f t="shared" si="10"/>
        <v>Mar</v>
      </c>
      <c r="I240" s="1">
        <v>43526</v>
      </c>
      <c r="J240" s="1" t="str">
        <f t="shared" si="11"/>
        <v>Evening</v>
      </c>
      <c r="K240" s="2">
        <v>0.80972222222222223</v>
      </c>
      <c r="L240" t="s">
        <v>24</v>
      </c>
      <c r="M240">
        <v>3.3050000000000002</v>
      </c>
      <c r="N240">
        <v>4.3</v>
      </c>
    </row>
    <row r="241" spans="1:14" x14ac:dyDescent="0.25">
      <c r="A241" t="s">
        <v>270</v>
      </c>
      <c r="B241" t="s">
        <v>13</v>
      </c>
      <c r="C241" t="s">
        <v>14</v>
      </c>
      <c r="D241" t="s">
        <v>22</v>
      </c>
      <c r="E241" t="s">
        <v>26</v>
      </c>
      <c r="F241" t="s">
        <v>41</v>
      </c>
      <c r="G241" t="str">
        <f t="shared" si="9"/>
        <v>Sunday</v>
      </c>
      <c r="H241" t="str">
        <f t="shared" si="10"/>
        <v>Jan</v>
      </c>
      <c r="I241" s="1">
        <v>43476</v>
      </c>
      <c r="J241" s="1" t="str">
        <f t="shared" si="11"/>
        <v>Morning</v>
      </c>
      <c r="K241" s="2">
        <v>0.47222222222222227</v>
      </c>
      <c r="L241" t="s">
        <v>18</v>
      </c>
      <c r="M241">
        <v>4.4844999999999997</v>
      </c>
      <c r="N241">
        <v>4.9000000000000004</v>
      </c>
    </row>
    <row r="242" spans="1:14" x14ac:dyDescent="0.25">
      <c r="A242" t="s">
        <v>271</v>
      </c>
      <c r="B242" t="s">
        <v>13</v>
      </c>
      <c r="C242" t="s">
        <v>14</v>
      </c>
      <c r="D242" t="s">
        <v>22</v>
      </c>
      <c r="E242" t="s">
        <v>26</v>
      </c>
      <c r="F242" t="s">
        <v>39</v>
      </c>
      <c r="G242" t="str">
        <f t="shared" si="9"/>
        <v>Sunday</v>
      </c>
      <c r="H242" t="str">
        <f t="shared" si="10"/>
        <v>Jan</v>
      </c>
      <c r="I242" s="1">
        <v>43476</v>
      </c>
      <c r="J242" s="1" t="str">
        <f t="shared" si="11"/>
        <v>Evening</v>
      </c>
      <c r="K242" s="2">
        <v>0.7006944444444444</v>
      </c>
      <c r="L242" t="s">
        <v>28</v>
      </c>
      <c r="M242">
        <v>11.223000000000001</v>
      </c>
      <c r="N242">
        <v>5.6</v>
      </c>
    </row>
    <row r="243" spans="1:14" x14ac:dyDescent="0.25">
      <c r="A243" t="s">
        <v>272</v>
      </c>
      <c r="B243" t="s">
        <v>13</v>
      </c>
      <c r="C243" t="s">
        <v>14</v>
      </c>
      <c r="D243" t="s">
        <v>22</v>
      </c>
      <c r="E243" t="s">
        <v>26</v>
      </c>
      <c r="F243" t="s">
        <v>17</v>
      </c>
      <c r="G243" t="str">
        <f t="shared" si="9"/>
        <v>Tuesday</v>
      </c>
      <c r="H243" t="str">
        <f t="shared" si="10"/>
        <v>Mar</v>
      </c>
      <c r="I243" s="1">
        <v>43535</v>
      </c>
      <c r="J243" s="1" t="str">
        <f t="shared" si="11"/>
        <v>Afternoon</v>
      </c>
      <c r="K243" s="2">
        <v>0.50069444444444444</v>
      </c>
      <c r="L243" t="s">
        <v>28</v>
      </c>
      <c r="M243">
        <v>5.9770000000000003</v>
      </c>
      <c r="N243">
        <v>5.8</v>
      </c>
    </row>
    <row r="244" spans="1:14" x14ac:dyDescent="0.25">
      <c r="A244" t="s">
        <v>273</v>
      </c>
      <c r="B244" t="s">
        <v>20</v>
      </c>
      <c r="C244" t="s">
        <v>21</v>
      </c>
      <c r="D244" t="s">
        <v>15</v>
      </c>
      <c r="E244" t="s">
        <v>26</v>
      </c>
      <c r="F244" t="s">
        <v>41</v>
      </c>
      <c r="G244" t="str">
        <f t="shared" si="9"/>
        <v>Sunday</v>
      </c>
      <c r="H244" t="str">
        <f t="shared" si="10"/>
        <v>Feb</v>
      </c>
      <c r="I244" s="1">
        <v>43524</v>
      </c>
      <c r="J244" s="1" t="str">
        <f t="shared" si="11"/>
        <v>Evening</v>
      </c>
      <c r="K244" s="2">
        <v>0.77569444444444446</v>
      </c>
      <c r="L244" t="s">
        <v>28</v>
      </c>
      <c r="M244">
        <v>9.32</v>
      </c>
      <c r="N244">
        <v>6</v>
      </c>
    </row>
    <row r="245" spans="1:14" x14ac:dyDescent="0.25">
      <c r="A245" t="s">
        <v>274</v>
      </c>
      <c r="B245" t="s">
        <v>13</v>
      </c>
      <c r="C245" t="s">
        <v>14</v>
      </c>
      <c r="D245" t="s">
        <v>15</v>
      </c>
      <c r="E245" t="s">
        <v>26</v>
      </c>
      <c r="F245" t="s">
        <v>27</v>
      </c>
      <c r="G245" t="str">
        <f t="shared" si="9"/>
        <v>Sunday</v>
      </c>
      <c r="H245" t="str">
        <f t="shared" si="10"/>
        <v>Jan</v>
      </c>
      <c r="I245" s="1">
        <v>43470</v>
      </c>
      <c r="J245" s="1" t="str">
        <f t="shared" si="11"/>
        <v>Morning</v>
      </c>
      <c r="K245" s="2">
        <v>0.47569444444444442</v>
      </c>
      <c r="L245" t="s">
        <v>24</v>
      </c>
      <c r="M245">
        <v>12.53</v>
      </c>
      <c r="N245">
        <v>4.2</v>
      </c>
    </row>
    <row r="246" spans="1:14" x14ac:dyDescent="0.25">
      <c r="A246" t="s">
        <v>275</v>
      </c>
      <c r="B246" t="s">
        <v>37</v>
      </c>
      <c r="C246" t="s">
        <v>38</v>
      </c>
      <c r="D246" t="s">
        <v>22</v>
      </c>
      <c r="E246" t="s">
        <v>26</v>
      </c>
      <c r="F246" t="s">
        <v>27</v>
      </c>
      <c r="G246" t="str">
        <f t="shared" si="9"/>
        <v>Thursday</v>
      </c>
      <c r="H246" t="str">
        <f t="shared" si="10"/>
        <v>Feb</v>
      </c>
      <c r="I246" s="1">
        <v>43498</v>
      </c>
      <c r="J246" s="1" t="str">
        <f t="shared" si="11"/>
        <v>Evening</v>
      </c>
      <c r="K246" s="2">
        <v>0.77916666666666667</v>
      </c>
      <c r="L246" t="s">
        <v>28</v>
      </c>
      <c r="M246">
        <v>37.548000000000002</v>
      </c>
      <c r="N246">
        <v>8.3000000000000007</v>
      </c>
    </row>
    <row r="247" spans="1:14" x14ac:dyDescent="0.25">
      <c r="A247" t="s">
        <v>276</v>
      </c>
      <c r="B247" t="s">
        <v>13</v>
      </c>
      <c r="C247" t="s">
        <v>14</v>
      </c>
      <c r="D247" t="s">
        <v>15</v>
      </c>
      <c r="E247" t="s">
        <v>26</v>
      </c>
      <c r="F247" t="s">
        <v>27</v>
      </c>
      <c r="G247" t="str">
        <f t="shared" si="9"/>
        <v>Saturday</v>
      </c>
      <c r="H247" t="str">
        <f t="shared" si="10"/>
        <v>Jan</v>
      </c>
      <c r="I247" s="1">
        <v>43466</v>
      </c>
      <c r="J247" s="1" t="str">
        <f t="shared" si="11"/>
        <v>Afternoon</v>
      </c>
      <c r="K247" s="2">
        <v>0.61597222222222225</v>
      </c>
      <c r="L247" t="s">
        <v>24</v>
      </c>
      <c r="M247">
        <v>19.036000000000001</v>
      </c>
      <c r="N247">
        <v>5.7</v>
      </c>
    </row>
    <row r="248" spans="1:14" x14ac:dyDescent="0.25">
      <c r="A248" t="s">
        <v>277</v>
      </c>
      <c r="B248" t="s">
        <v>37</v>
      </c>
      <c r="C248" t="s">
        <v>38</v>
      </c>
      <c r="D248" t="s">
        <v>15</v>
      </c>
      <c r="E248" t="s">
        <v>16</v>
      </c>
      <c r="F248" t="s">
        <v>23</v>
      </c>
      <c r="G248" t="str">
        <f t="shared" si="9"/>
        <v>Friday</v>
      </c>
      <c r="H248" t="str">
        <f t="shared" si="10"/>
        <v>Feb</v>
      </c>
      <c r="I248" s="1">
        <v>43505</v>
      </c>
      <c r="J248" s="1" t="str">
        <f t="shared" si="11"/>
        <v>Evening</v>
      </c>
      <c r="K248" s="2">
        <v>0.82152777777777775</v>
      </c>
      <c r="L248" t="s">
        <v>24</v>
      </c>
      <c r="M248">
        <v>12.21</v>
      </c>
      <c r="N248">
        <v>4.8</v>
      </c>
    </row>
    <row r="249" spans="1:14" x14ac:dyDescent="0.25">
      <c r="A249" t="s">
        <v>278</v>
      </c>
      <c r="B249" t="s">
        <v>13</v>
      </c>
      <c r="C249" t="s">
        <v>14</v>
      </c>
      <c r="D249" t="s">
        <v>15</v>
      </c>
      <c r="E249" t="s">
        <v>26</v>
      </c>
      <c r="F249" t="s">
        <v>41</v>
      </c>
      <c r="G249" t="str">
        <f t="shared" si="9"/>
        <v>Tuesday</v>
      </c>
      <c r="H249" t="str">
        <f t="shared" si="10"/>
        <v>Jan</v>
      </c>
      <c r="I249" s="1">
        <v>43488</v>
      </c>
      <c r="J249" s="1" t="str">
        <f t="shared" si="11"/>
        <v>Afternoon</v>
      </c>
      <c r="K249" s="2">
        <v>0.58611111111111114</v>
      </c>
      <c r="L249" t="s">
        <v>18</v>
      </c>
      <c r="M249">
        <v>4.4850000000000003</v>
      </c>
      <c r="N249">
        <v>6.8</v>
      </c>
    </row>
    <row r="250" spans="1:14" x14ac:dyDescent="0.25">
      <c r="A250" t="s">
        <v>279</v>
      </c>
      <c r="B250" t="s">
        <v>13</v>
      </c>
      <c r="C250" t="s">
        <v>14</v>
      </c>
      <c r="D250" t="s">
        <v>15</v>
      </c>
      <c r="E250" t="s">
        <v>26</v>
      </c>
      <c r="F250" t="s">
        <v>23</v>
      </c>
      <c r="G250" t="str">
        <f t="shared" si="9"/>
        <v>Sunday</v>
      </c>
      <c r="H250" t="str">
        <f t="shared" si="10"/>
        <v>Jan</v>
      </c>
      <c r="I250" s="1">
        <v>43472</v>
      </c>
      <c r="J250" s="1" t="str">
        <f t="shared" si="11"/>
        <v>Evening</v>
      </c>
      <c r="K250" s="2">
        <v>0.6743055555555556</v>
      </c>
      <c r="L250" t="s">
        <v>28</v>
      </c>
      <c r="M250">
        <v>15.544</v>
      </c>
      <c r="N250">
        <v>8.8000000000000007</v>
      </c>
    </row>
    <row r="251" spans="1:14" x14ac:dyDescent="0.25">
      <c r="A251" t="s">
        <v>280</v>
      </c>
      <c r="B251" t="s">
        <v>37</v>
      </c>
      <c r="C251" t="s">
        <v>38</v>
      </c>
      <c r="D251" t="s">
        <v>22</v>
      </c>
      <c r="E251" t="s">
        <v>26</v>
      </c>
      <c r="F251" t="s">
        <v>39</v>
      </c>
      <c r="G251" t="str">
        <f t="shared" si="9"/>
        <v>Monday</v>
      </c>
      <c r="H251" t="str">
        <f t="shared" si="10"/>
        <v>Jan</v>
      </c>
      <c r="I251" s="1">
        <v>43479</v>
      </c>
      <c r="J251" s="1" t="str">
        <f t="shared" si="11"/>
        <v>Evening</v>
      </c>
      <c r="K251" s="2">
        <v>0.79583333333333339</v>
      </c>
      <c r="L251" t="s">
        <v>28</v>
      </c>
      <c r="M251">
        <v>25.571000000000002</v>
      </c>
      <c r="N251">
        <v>4.2</v>
      </c>
    </row>
    <row r="252" spans="1:14" x14ac:dyDescent="0.25">
      <c r="A252" t="s">
        <v>281</v>
      </c>
      <c r="B252" t="s">
        <v>37</v>
      </c>
      <c r="C252" t="s">
        <v>38</v>
      </c>
      <c r="D252" t="s">
        <v>15</v>
      </c>
      <c r="E252" t="s">
        <v>26</v>
      </c>
      <c r="F252" t="s">
        <v>39</v>
      </c>
      <c r="G252" t="str">
        <f t="shared" si="9"/>
        <v>Thursday</v>
      </c>
      <c r="H252" t="str">
        <f t="shared" si="10"/>
        <v>Feb</v>
      </c>
      <c r="I252" s="1">
        <v>43498</v>
      </c>
      <c r="J252" s="1" t="str">
        <f t="shared" si="11"/>
        <v>Afternoon</v>
      </c>
      <c r="K252" s="2">
        <v>0.64861111111111114</v>
      </c>
      <c r="L252" t="s">
        <v>18</v>
      </c>
      <c r="M252">
        <v>20.947500000000002</v>
      </c>
      <c r="N252">
        <v>6.4</v>
      </c>
    </row>
    <row r="253" spans="1:14" x14ac:dyDescent="0.25">
      <c r="A253" t="s">
        <v>282</v>
      </c>
      <c r="B253" t="s">
        <v>20</v>
      </c>
      <c r="C253" t="s">
        <v>21</v>
      </c>
      <c r="D253" t="s">
        <v>15</v>
      </c>
      <c r="E253" t="s">
        <v>26</v>
      </c>
      <c r="F253" t="s">
        <v>41</v>
      </c>
      <c r="G253" t="str">
        <f t="shared" si="9"/>
        <v>Wednesday</v>
      </c>
      <c r="H253" t="str">
        <f t="shared" si="10"/>
        <v>Mar</v>
      </c>
      <c r="I253" s="1">
        <v>43541</v>
      </c>
      <c r="J253" s="1" t="str">
        <f t="shared" si="11"/>
        <v>Evening</v>
      </c>
      <c r="K253" s="2">
        <v>0.79583333333333339</v>
      </c>
      <c r="L253" t="s">
        <v>28</v>
      </c>
      <c r="M253">
        <v>17.594999999999999</v>
      </c>
      <c r="N253">
        <v>8.4</v>
      </c>
    </row>
    <row r="254" spans="1:14" x14ac:dyDescent="0.25">
      <c r="A254" t="s">
        <v>283</v>
      </c>
      <c r="B254" t="s">
        <v>20</v>
      </c>
      <c r="C254" t="s">
        <v>21</v>
      </c>
      <c r="D254" t="s">
        <v>22</v>
      </c>
      <c r="E254" t="s">
        <v>16</v>
      </c>
      <c r="F254" t="s">
        <v>31</v>
      </c>
      <c r="G254" t="str">
        <f t="shared" si="9"/>
        <v>Monday</v>
      </c>
      <c r="H254" t="str">
        <f t="shared" si="10"/>
        <v>Mar</v>
      </c>
      <c r="I254" s="1">
        <v>43526</v>
      </c>
      <c r="J254" s="1" t="str">
        <f t="shared" si="11"/>
        <v>Evening</v>
      </c>
      <c r="K254" s="2">
        <v>0.8222222222222223</v>
      </c>
      <c r="L254" t="s">
        <v>28</v>
      </c>
      <c r="M254">
        <v>1.4390000000000001</v>
      </c>
      <c r="N254">
        <v>7.2</v>
      </c>
    </row>
    <row r="255" spans="1:14" x14ac:dyDescent="0.25">
      <c r="A255" t="s">
        <v>284</v>
      </c>
      <c r="B255" t="s">
        <v>13</v>
      </c>
      <c r="C255" t="s">
        <v>14</v>
      </c>
      <c r="D255" t="s">
        <v>22</v>
      </c>
      <c r="E255" t="s">
        <v>26</v>
      </c>
      <c r="F255" t="s">
        <v>27</v>
      </c>
      <c r="G255" t="str">
        <f t="shared" si="9"/>
        <v>Wednesday</v>
      </c>
      <c r="H255" t="str">
        <f t="shared" si="10"/>
        <v>Mar</v>
      </c>
      <c r="I255" s="1">
        <v>43540</v>
      </c>
      <c r="J255" s="1" t="str">
        <f t="shared" si="11"/>
        <v>Morning</v>
      </c>
      <c r="K255" s="2">
        <v>0.47361111111111115</v>
      </c>
      <c r="L255" t="s">
        <v>24</v>
      </c>
      <c r="M255">
        <v>4.75</v>
      </c>
      <c r="N255">
        <v>5.2</v>
      </c>
    </row>
    <row r="256" spans="1:14" x14ac:dyDescent="0.25">
      <c r="A256" t="s">
        <v>285</v>
      </c>
      <c r="B256" t="s">
        <v>13</v>
      </c>
      <c r="C256" t="s">
        <v>14</v>
      </c>
      <c r="D256" t="s">
        <v>15</v>
      </c>
      <c r="E256" t="s">
        <v>26</v>
      </c>
      <c r="F256" t="s">
        <v>27</v>
      </c>
      <c r="G256" t="str">
        <f t="shared" si="9"/>
        <v>Sunday</v>
      </c>
      <c r="H256" t="str">
        <f t="shared" si="10"/>
        <v>Jan</v>
      </c>
      <c r="I256" s="1">
        <v>43471</v>
      </c>
      <c r="J256" s="1" t="str">
        <f t="shared" si="11"/>
        <v>Morning</v>
      </c>
      <c r="K256" s="2">
        <v>0.47430555555555554</v>
      </c>
      <c r="L256" t="s">
        <v>24</v>
      </c>
      <c r="M256">
        <v>23.56</v>
      </c>
      <c r="N256">
        <v>8.9</v>
      </c>
    </row>
    <row r="257" spans="1:14" x14ac:dyDescent="0.25">
      <c r="A257" t="s">
        <v>286</v>
      </c>
      <c r="B257" t="s">
        <v>37</v>
      </c>
      <c r="C257" t="s">
        <v>38</v>
      </c>
      <c r="D257" t="s">
        <v>15</v>
      </c>
      <c r="E257" t="s">
        <v>26</v>
      </c>
      <c r="F257" t="s">
        <v>41</v>
      </c>
      <c r="G257" t="str">
        <f t="shared" si="9"/>
        <v>Wednesday</v>
      </c>
      <c r="H257" t="str">
        <f t="shared" si="10"/>
        <v>Jan</v>
      </c>
      <c r="I257" s="1">
        <v>43494</v>
      </c>
      <c r="J257" s="1" t="str">
        <f t="shared" si="11"/>
        <v>Afternoon</v>
      </c>
      <c r="K257" s="2">
        <v>0.59166666666666667</v>
      </c>
      <c r="L257" t="s">
        <v>24</v>
      </c>
      <c r="M257">
        <v>6.524</v>
      </c>
      <c r="N257">
        <v>9</v>
      </c>
    </row>
    <row r="258" spans="1:14" x14ac:dyDescent="0.25">
      <c r="A258" t="s">
        <v>287</v>
      </c>
      <c r="B258" t="s">
        <v>13</v>
      </c>
      <c r="C258" t="s">
        <v>14</v>
      </c>
      <c r="D258" t="s">
        <v>15</v>
      </c>
      <c r="E258" t="s">
        <v>26</v>
      </c>
      <c r="F258" t="s">
        <v>23</v>
      </c>
      <c r="G258" t="str">
        <f t="shared" si="9"/>
        <v>Wednesday</v>
      </c>
      <c r="H258" t="str">
        <f t="shared" si="10"/>
        <v>Jan</v>
      </c>
      <c r="I258" s="1">
        <v>43496</v>
      </c>
      <c r="J258" s="1" t="str">
        <f t="shared" si="11"/>
        <v>Morning</v>
      </c>
      <c r="K258" s="2">
        <v>0.44861111111111113</v>
      </c>
      <c r="L258" t="s">
        <v>28</v>
      </c>
      <c r="M258">
        <v>3.3174999999999999</v>
      </c>
      <c r="N258">
        <v>9.6999999999999993</v>
      </c>
    </row>
    <row r="259" spans="1:14" x14ac:dyDescent="0.25">
      <c r="A259" t="s">
        <v>288</v>
      </c>
      <c r="B259" t="s">
        <v>13</v>
      </c>
      <c r="C259" t="s">
        <v>14</v>
      </c>
      <c r="D259" t="s">
        <v>15</v>
      </c>
      <c r="E259" t="s">
        <v>26</v>
      </c>
      <c r="F259" t="s">
        <v>27</v>
      </c>
      <c r="G259" t="str">
        <f t="shared" ref="G259:G322" si="12">TEXT(I259/7,"dddd")</f>
        <v>Thursday</v>
      </c>
      <c r="H259" t="str">
        <f t="shared" ref="H259:H322" si="13">TEXT(I259,"mmm")</f>
        <v>Feb</v>
      </c>
      <c r="I259" s="1">
        <v>43501</v>
      </c>
      <c r="J259" s="1" t="str">
        <f t="shared" ref="J259:J322" si="14">IF(AND(K259&gt;=TIME(9,0,0),K259&lt;TIME(12,0,0)),"Morning",IF(AND(K259&gt;=TIME(12,0,0),K259&lt;TIME(16,0,0)),"Afternoon","Evening"))</f>
        <v>Morning</v>
      </c>
      <c r="K259" s="2">
        <v>0.42777777777777781</v>
      </c>
      <c r="L259" t="s">
        <v>18</v>
      </c>
      <c r="M259">
        <v>7.7729999999999997</v>
      </c>
      <c r="N259">
        <v>8.6999999999999993</v>
      </c>
    </row>
    <row r="260" spans="1:14" x14ac:dyDescent="0.25">
      <c r="A260" t="s">
        <v>289</v>
      </c>
      <c r="B260" t="s">
        <v>13</v>
      </c>
      <c r="C260" t="s">
        <v>14</v>
      </c>
      <c r="D260" t="s">
        <v>15</v>
      </c>
      <c r="E260" t="s">
        <v>26</v>
      </c>
      <c r="F260" t="s">
        <v>23</v>
      </c>
      <c r="G260" t="str">
        <f t="shared" si="12"/>
        <v>Friday</v>
      </c>
      <c r="H260" t="str">
        <f t="shared" si="13"/>
        <v>Feb</v>
      </c>
      <c r="I260" s="1">
        <v>43509</v>
      </c>
      <c r="J260" s="1" t="str">
        <f t="shared" si="14"/>
        <v>Afternoon</v>
      </c>
      <c r="K260" s="2">
        <v>0.52638888888888891</v>
      </c>
      <c r="L260" t="s">
        <v>18</v>
      </c>
      <c r="M260">
        <v>6.45</v>
      </c>
      <c r="N260">
        <v>6.5</v>
      </c>
    </row>
    <row r="261" spans="1:14" x14ac:dyDescent="0.25">
      <c r="A261" t="s">
        <v>290</v>
      </c>
      <c r="B261" t="s">
        <v>20</v>
      </c>
      <c r="C261" t="s">
        <v>21</v>
      </c>
      <c r="D261" t="s">
        <v>15</v>
      </c>
      <c r="E261" t="s">
        <v>26</v>
      </c>
      <c r="F261" t="s">
        <v>23</v>
      </c>
      <c r="G261" t="str">
        <f t="shared" si="12"/>
        <v>Thursday</v>
      </c>
      <c r="H261" t="str">
        <f t="shared" si="13"/>
        <v>Feb</v>
      </c>
      <c r="I261" s="1">
        <v>43503</v>
      </c>
      <c r="J261" s="1" t="str">
        <f t="shared" si="14"/>
        <v>Afternoon</v>
      </c>
      <c r="K261" s="2">
        <v>0.54513888888888895</v>
      </c>
      <c r="L261" t="s">
        <v>28</v>
      </c>
      <c r="M261">
        <v>13.188000000000001</v>
      </c>
      <c r="N261">
        <v>6.9</v>
      </c>
    </row>
    <row r="262" spans="1:14" x14ac:dyDescent="0.25">
      <c r="A262" t="s">
        <v>291</v>
      </c>
      <c r="B262" t="s">
        <v>13</v>
      </c>
      <c r="C262" t="s">
        <v>14</v>
      </c>
      <c r="D262" t="s">
        <v>22</v>
      </c>
      <c r="E262" t="s">
        <v>16</v>
      </c>
      <c r="F262" t="s">
        <v>23</v>
      </c>
      <c r="G262" t="str">
        <f t="shared" si="12"/>
        <v>Wednesday</v>
      </c>
      <c r="H262" t="str">
        <f t="shared" si="13"/>
        <v>Mar</v>
      </c>
      <c r="I262" s="1">
        <v>43543</v>
      </c>
      <c r="J262" s="1" t="str">
        <f t="shared" si="14"/>
        <v>Afternoon</v>
      </c>
      <c r="K262" s="2">
        <v>0.55902777777777779</v>
      </c>
      <c r="L262" t="s">
        <v>18</v>
      </c>
      <c r="M262">
        <v>33.777000000000001</v>
      </c>
      <c r="N262">
        <v>6.2</v>
      </c>
    </row>
    <row r="263" spans="1:14" x14ac:dyDescent="0.25">
      <c r="A263" t="s">
        <v>292</v>
      </c>
      <c r="B263" t="s">
        <v>20</v>
      </c>
      <c r="C263" t="s">
        <v>21</v>
      </c>
      <c r="D263" t="s">
        <v>22</v>
      </c>
      <c r="E263" t="s">
        <v>16</v>
      </c>
      <c r="F263" t="s">
        <v>41</v>
      </c>
      <c r="G263" t="str">
        <f t="shared" si="12"/>
        <v>Monday</v>
      </c>
      <c r="H263" t="str">
        <f t="shared" si="13"/>
        <v>Mar</v>
      </c>
      <c r="I263" s="1">
        <v>43531</v>
      </c>
      <c r="J263" s="1" t="str">
        <f t="shared" si="14"/>
        <v>Afternoon</v>
      </c>
      <c r="K263" s="2">
        <v>0.62013888888888891</v>
      </c>
      <c r="L263" t="s">
        <v>18</v>
      </c>
      <c r="M263">
        <v>3.29</v>
      </c>
      <c r="N263">
        <v>5.6</v>
      </c>
    </row>
    <row r="264" spans="1:14" x14ac:dyDescent="0.25">
      <c r="A264" t="s">
        <v>293</v>
      </c>
      <c r="B264" t="s">
        <v>37</v>
      </c>
      <c r="C264" t="s">
        <v>38</v>
      </c>
      <c r="D264" t="s">
        <v>15</v>
      </c>
      <c r="E264" t="s">
        <v>16</v>
      </c>
      <c r="F264" t="s">
        <v>41</v>
      </c>
      <c r="G264" t="str">
        <f t="shared" si="12"/>
        <v>Tuesday</v>
      </c>
      <c r="H264" t="str">
        <f t="shared" si="13"/>
        <v>Mar</v>
      </c>
      <c r="I264" s="1">
        <v>43537</v>
      </c>
      <c r="J264" s="1" t="str">
        <f t="shared" si="14"/>
        <v>Evening</v>
      </c>
      <c r="K264" s="2">
        <v>0.80694444444444446</v>
      </c>
      <c r="L264" t="s">
        <v>24</v>
      </c>
      <c r="M264">
        <v>7.66</v>
      </c>
      <c r="N264">
        <v>5.7</v>
      </c>
    </row>
    <row r="265" spans="1:14" x14ac:dyDescent="0.25">
      <c r="A265" t="s">
        <v>294</v>
      </c>
      <c r="B265" t="s">
        <v>13</v>
      </c>
      <c r="C265" t="s">
        <v>14</v>
      </c>
      <c r="D265" t="s">
        <v>15</v>
      </c>
      <c r="E265" t="s">
        <v>16</v>
      </c>
      <c r="F265" t="s">
        <v>31</v>
      </c>
      <c r="G265" t="str">
        <f t="shared" si="12"/>
        <v>Friday</v>
      </c>
      <c r="H265" t="str">
        <f t="shared" si="13"/>
        <v>Feb</v>
      </c>
      <c r="I265" s="1">
        <v>43505</v>
      </c>
      <c r="J265" s="1" t="str">
        <f t="shared" si="14"/>
        <v>Morning</v>
      </c>
      <c r="K265" s="2">
        <v>0.45833333333333331</v>
      </c>
      <c r="L265" t="s">
        <v>24</v>
      </c>
      <c r="M265">
        <v>11.12</v>
      </c>
      <c r="N265">
        <v>4.2</v>
      </c>
    </row>
    <row r="266" spans="1:14" x14ac:dyDescent="0.25">
      <c r="A266" t="s">
        <v>295</v>
      </c>
      <c r="B266" t="s">
        <v>37</v>
      </c>
      <c r="C266" t="s">
        <v>38</v>
      </c>
      <c r="D266" t="s">
        <v>22</v>
      </c>
      <c r="E266" t="s">
        <v>26</v>
      </c>
      <c r="F266" t="s">
        <v>31</v>
      </c>
      <c r="G266" t="str">
        <f t="shared" si="12"/>
        <v>Sunday</v>
      </c>
      <c r="H266" t="str">
        <f t="shared" si="13"/>
        <v>Feb</v>
      </c>
      <c r="I266" s="1">
        <v>43522</v>
      </c>
      <c r="J266" s="1" t="str">
        <f t="shared" si="14"/>
        <v>Evening</v>
      </c>
      <c r="K266" s="2">
        <v>0.80833333333333324</v>
      </c>
      <c r="L266" t="s">
        <v>18</v>
      </c>
      <c r="M266">
        <v>2.7225000000000001</v>
      </c>
      <c r="N266">
        <v>7.9</v>
      </c>
    </row>
    <row r="267" spans="1:14" x14ac:dyDescent="0.25">
      <c r="A267" t="s">
        <v>296</v>
      </c>
      <c r="B267" t="s">
        <v>13</v>
      </c>
      <c r="C267" t="s">
        <v>14</v>
      </c>
      <c r="D267" t="s">
        <v>15</v>
      </c>
      <c r="E267" t="s">
        <v>16</v>
      </c>
      <c r="F267" t="s">
        <v>31</v>
      </c>
      <c r="G267" t="str">
        <f t="shared" si="12"/>
        <v>Tuesday</v>
      </c>
      <c r="H267" t="str">
        <f t="shared" si="13"/>
        <v>Mar</v>
      </c>
      <c r="I267" s="1">
        <v>43536</v>
      </c>
      <c r="J267" s="1" t="str">
        <f t="shared" si="14"/>
        <v>Afternoon</v>
      </c>
      <c r="K267" s="2">
        <v>0.52986111111111112</v>
      </c>
      <c r="L267" t="s">
        <v>28</v>
      </c>
      <c r="M267">
        <v>34.44</v>
      </c>
      <c r="N267">
        <v>8.6999999999999993</v>
      </c>
    </row>
    <row r="268" spans="1:14" x14ac:dyDescent="0.25">
      <c r="A268" t="s">
        <v>297</v>
      </c>
      <c r="B268" t="s">
        <v>20</v>
      </c>
      <c r="C268" t="s">
        <v>21</v>
      </c>
      <c r="D268" t="s">
        <v>22</v>
      </c>
      <c r="E268" t="s">
        <v>26</v>
      </c>
      <c r="F268" t="s">
        <v>27</v>
      </c>
      <c r="G268" t="str">
        <f t="shared" si="12"/>
        <v>Tuesday</v>
      </c>
      <c r="H268" t="str">
        <f t="shared" si="13"/>
        <v>Mar</v>
      </c>
      <c r="I268" s="1">
        <v>43538</v>
      </c>
      <c r="J268" s="1" t="str">
        <f t="shared" si="14"/>
        <v>Evening</v>
      </c>
      <c r="K268" s="2">
        <v>0.72361111111111109</v>
      </c>
      <c r="L268" t="s">
        <v>28</v>
      </c>
      <c r="M268">
        <v>7.0940000000000003</v>
      </c>
      <c r="N268">
        <v>6.9</v>
      </c>
    </row>
    <row r="269" spans="1:14" x14ac:dyDescent="0.25">
      <c r="A269" t="s">
        <v>298</v>
      </c>
      <c r="B269" t="s">
        <v>37</v>
      </c>
      <c r="C269" t="s">
        <v>38</v>
      </c>
      <c r="D269" t="s">
        <v>15</v>
      </c>
      <c r="E269" t="s">
        <v>16</v>
      </c>
      <c r="F269" t="s">
        <v>39</v>
      </c>
      <c r="G269" t="str">
        <f t="shared" si="12"/>
        <v>Sunday</v>
      </c>
      <c r="H269" t="str">
        <f t="shared" si="13"/>
        <v>Jan</v>
      </c>
      <c r="I269" s="1">
        <v>43473</v>
      </c>
      <c r="J269" s="1" t="str">
        <f t="shared" si="14"/>
        <v>Evening</v>
      </c>
      <c r="K269" s="2">
        <v>0.87152777777777779</v>
      </c>
      <c r="L269" t="s">
        <v>24</v>
      </c>
      <c r="M269">
        <v>37.299999999999997</v>
      </c>
      <c r="N269">
        <v>9.5</v>
      </c>
    </row>
    <row r="270" spans="1:14" x14ac:dyDescent="0.25">
      <c r="A270" t="s">
        <v>299</v>
      </c>
      <c r="B270" t="s">
        <v>13</v>
      </c>
      <c r="C270" t="s">
        <v>14</v>
      </c>
      <c r="D270" t="s">
        <v>15</v>
      </c>
      <c r="E270" t="s">
        <v>26</v>
      </c>
      <c r="F270" t="s">
        <v>27</v>
      </c>
      <c r="G270" t="str">
        <f t="shared" si="12"/>
        <v>Sunday</v>
      </c>
      <c r="H270" t="str">
        <f t="shared" si="13"/>
        <v>Jan</v>
      </c>
      <c r="I270" s="1">
        <v>43470</v>
      </c>
      <c r="J270" s="1" t="str">
        <f t="shared" si="14"/>
        <v>Evening</v>
      </c>
      <c r="K270" s="2">
        <v>0.67013888888888884</v>
      </c>
      <c r="L270" t="s">
        <v>28</v>
      </c>
      <c r="M270">
        <v>14.148</v>
      </c>
      <c r="N270">
        <v>4.4000000000000004</v>
      </c>
    </row>
    <row r="271" spans="1:14" x14ac:dyDescent="0.25">
      <c r="A271" t="s">
        <v>300</v>
      </c>
      <c r="B271" t="s">
        <v>13</v>
      </c>
      <c r="C271" t="s">
        <v>14</v>
      </c>
      <c r="D271" t="s">
        <v>15</v>
      </c>
      <c r="E271" t="s">
        <v>16</v>
      </c>
      <c r="F271" t="s">
        <v>27</v>
      </c>
      <c r="G271" t="str">
        <f t="shared" si="12"/>
        <v>Saturday</v>
      </c>
      <c r="H271" t="str">
        <f t="shared" si="13"/>
        <v>Jan</v>
      </c>
      <c r="I271" s="1">
        <v>43469</v>
      </c>
      <c r="J271" s="1" t="str">
        <f t="shared" si="14"/>
        <v>Afternoon</v>
      </c>
      <c r="K271" s="2">
        <v>0.56527777777777777</v>
      </c>
      <c r="L271" t="s">
        <v>18</v>
      </c>
      <c r="M271">
        <v>17.77</v>
      </c>
      <c r="N271">
        <v>7</v>
      </c>
    </row>
    <row r="272" spans="1:14" x14ac:dyDescent="0.25">
      <c r="A272" t="s">
        <v>301</v>
      </c>
      <c r="B272" t="s">
        <v>37</v>
      </c>
      <c r="C272" t="s">
        <v>38</v>
      </c>
      <c r="D272" t="s">
        <v>22</v>
      </c>
      <c r="E272" t="s">
        <v>16</v>
      </c>
      <c r="F272" t="s">
        <v>31</v>
      </c>
      <c r="G272" t="str">
        <f t="shared" si="12"/>
        <v>Monday</v>
      </c>
      <c r="H272" t="str">
        <f t="shared" si="13"/>
        <v>Mar</v>
      </c>
      <c r="I272" s="1">
        <v>43530</v>
      </c>
      <c r="J272" s="1" t="str">
        <f t="shared" si="14"/>
        <v>Evening</v>
      </c>
      <c r="K272" s="2">
        <v>0.75902777777777775</v>
      </c>
      <c r="L272" t="s">
        <v>18</v>
      </c>
      <c r="M272">
        <v>16.857500000000002</v>
      </c>
      <c r="N272">
        <v>6.3</v>
      </c>
    </row>
    <row r="273" spans="1:14" x14ac:dyDescent="0.25">
      <c r="A273" t="s">
        <v>302</v>
      </c>
      <c r="B273" t="s">
        <v>20</v>
      </c>
      <c r="C273" t="s">
        <v>21</v>
      </c>
      <c r="D273" t="s">
        <v>15</v>
      </c>
      <c r="E273" t="s">
        <v>16</v>
      </c>
      <c r="F273" t="s">
        <v>17</v>
      </c>
      <c r="G273" t="str">
        <f t="shared" si="12"/>
        <v>Saturday</v>
      </c>
      <c r="H273" t="str">
        <f t="shared" si="13"/>
        <v>Jan</v>
      </c>
      <c r="I273" s="1">
        <v>43468</v>
      </c>
      <c r="J273" s="1" t="str">
        <f t="shared" si="14"/>
        <v>Evening</v>
      </c>
      <c r="K273" s="2">
        <v>0.80347222222222225</v>
      </c>
      <c r="L273" t="s">
        <v>24</v>
      </c>
      <c r="M273">
        <v>2.1120000000000001</v>
      </c>
      <c r="N273">
        <v>9.6999999999999993</v>
      </c>
    </row>
    <row r="274" spans="1:14" x14ac:dyDescent="0.25">
      <c r="A274" t="s">
        <v>303</v>
      </c>
      <c r="B274" t="s">
        <v>13</v>
      </c>
      <c r="C274" t="s">
        <v>14</v>
      </c>
      <c r="D274" t="s">
        <v>15</v>
      </c>
      <c r="E274" t="s">
        <v>16</v>
      </c>
      <c r="F274" t="s">
        <v>27</v>
      </c>
      <c r="G274" t="str">
        <f t="shared" si="12"/>
        <v>Sunday</v>
      </c>
      <c r="H274" t="str">
        <f t="shared" si="13"/>
        <v>Jan</v>
      </c>
      <c r="I274" s="1">
        <v>43472</v>
      </c>
      <c r="J274" s="1" t="str">
        <f t="shared" si="14"/>
        <v>Morning</v>
      </c>
      <c r="K274" s="2">
        <v>0.48888888888888887</v>
      </c>
      <c r="L274" t="s">
        <v>28</v>
      </c>
      <c r="M274">
        <v>9.6929999999999996</v>
      </c>
      <c r="N274">
        <v>8.8000000000000007</v>
      </c>
    </row>
    <row r="275" spans="1:14" x14ac:dyDescent="0.25">
      <c r="A275" t="s">
        <v>304</v>
      </c>
      <c r="B275" t="s">
        <v>13</v>
      </c>
      <c r="C275" t="s">
        <v>14</v>
      </c>
      <c r="D275" t="s">
        <v>22</v>
      </c>
      <c r="E275" t="s">
        <v>16</v>
      </c>
      <c r="F275" t="s">
        <v>27</v>
      </c>
      <c r="G275" t="str">
        <f t="shared" si="12"/>
        <v>Wednesday</v>
      </c>
      <c r="H275" t="str">
        <f t="shared" si="13"/>
        <v>Jan</v>
      </c>
      <c r="I275" s="1">
        <v>43492</v>
      </c>
      <c r="J275" s="1" t="str">
        <f t="shared" si="14"/>
        <v>Afternoon</v>
      </c>
      <c r="K275" s="2">
        <v>0.66041666666666665</v>
      </c>
      <c r="L275" t="s">
        <v>24</v>
      </c>
      <c r="M275">
        <v>1.2030000000000001</v>
      </c>
      <c r="N275">
        <v>5.0999999999999996</v>
      </c>
    </row>
    <row r="276" spans="1:14" x14ac:dyDescent="0.25">
      <c r="A276" t="s">
        <v>305</v>
      </c>
      <c r="B276" t="s">
        <v>37</v>
      </c>
      <c r="C276" t="s">
        <v>38</v>
      </c>
      <c r="D276" t="s">
        <v>22</v>
      </c>
      <c r="E276" t="s">
        <v>16</v>
      </c>
      <c r="F276" t="s">
        <v>17</v>
      </c>
      <c r="G276" t="str">
        <f t="shared" si="12"/>
        <v>Sunday</v>
      </c>
      <c r="H276" t="str">
        <f t="shared" si="13"/>
        <v>Feb</v>
      </c>
      <c r="I276" s="1">
        <v>43522</v>
      </c>
      <c r="J276" s="1" t="str">
        <f t="shared" si="14"/>
        <v>Evening</v>
      </c>
      <c r="K276" s="2">
        <v>0.70277777777777783</v>
      </c>
      <c r="L276" t="s">
        <v>18</v>
      </c>
      <c r="M276">
        <v>29.913</v>
      </c>
      <c r="N276">
        <v>7.9</v>
      </c>
    </row>
    <row r="277" spans="1:14" x14ac:dyDescent="0.25">
      <c r="A277" t="s">
        <v>306</v>
      </c>
      <c r="B277" t="s">
        <v>37</v>
      </c>
      <c r="C277" t="s">
        <v>38</v>
      </c>
      <c r="D277" t="s">
        <v>22</v>
      </c>
      <c r="E277" t="s">
        <v>26</v>
      </c>
      <c r="F277" t="s">
        <v>41</v>
      </c>
      <c r="G277" t="str">
        <f t="shared" si="12"/>
        <v>Sunday</v>
      </c>
      <c r="H277" t="str">
        <f t="shared" si="13"/>
        <v>Jan</v>
      </c>
      <c r="I277" s="1">
        <v>43472</v>
      </c>
      <c r="J277" s="1" t="str">
        <f t="shared" si="14"/>
        <v>Evening</v>
      </c>
      <c r="K277" s="2">
        <v>0.86944444444444446</v>
      </c>
      <c r="L277" t="s">
        <v>24</v>
      </c>
      <c r="M277">
        <v>16.7895</v>
      </c>
      <c r="N277">
        <v>6.2</v>
      </c>
    </row>
    <row r="278" spans="1:14" x14ac:dyDescent="0.25">
      <c r="A278" t="s">
        <v>307</v>
      </c>
      <c r="B278" t="s">
        <v>20</v>
      </c>
      <c r="C278" t="s">
        <v>21</v>
      </c>
      <c r="D278" t="s">
        <v>15</v>
      </c>
      <c r="E278" t="s">
        <v>16</v>
      </c>
      <c r="F278" t="s">
        <v>27</v>
      </c>
      <c r="G278" t="str">
        <f t="shared" si="12"/>
        <v>Sunday</v>
      </c>
      <c r="H278" t="str">
        <f t="shared" si="13"/>
        <v>Jan</v>
      </c>
      <c r="I278" s="1">
        <v>43472</v>
      </c>
      <c r="J278" s="1" t="str">
        <f t="shared" si="14"/>
        <v>Evening</v>
      </c>
      <c r="K278" s="2">
        <v>0.73333333333333339</v>
      </c>
      <c r="L278" t="s">
        <v>24</v>
      </c>
      <c r="M278">
        <v>10.91</v>
      </c>
      <c r="N278">
        <v>7.1</v>
      </c>
    </row>
    <row r="279" spans="1:14" x14ac:dyDescent="0.25">
      <c r="A279" t="s">
        <v>308</v>
      </c>
      <c r="B279" t="s">
        <v>20</v>
      </c>
      <c r="C279" t="s">
        <v>21</v>
      </c>
      <c r="D279" t="s">
        <v>22</v>
      </c>
      <c r="E279" t="s">
        <v>16</v>
      </c>
      <c r="F279" t="s">
        <v>41</v>
      </c>
      <c r="G279" t="str">
        <f t="shared" si="12"/>
        <v>Thursday</v>
      </c>
      <c r="H279" t="str">
        <f t="shared" si="13"/>
        <v>Feb</v>
      </c>
      <c r="I279" s="1">
        <v>43498</v>
      </c>
      <c r="J279" s="1" t="str">
        <f t="shared" si="14"/>
        <v>Afternoon</v>
      </c>
      <c r="K279" s="2">
        <v>0.55763888888888891</v>
      </c>
      <c r="L279" t="s">
        <v>18</v>
      </c>
      <c r="M279">
        <v>19.084</v>
      </c>
      <c r="N279">
        <v>6.4</v>
      </c>
    </row>
    <row r="280" spans="1:14" x14ac:dyDescent="0.25">
      <c r="A280" t="s">
        <v>309</v>
      </c>
      <c r="B280" t="s">
        <v>20</v>
      </c>
      <c r="C280" t="s">
        <v>21</v>
      </c>
      <c r="D280" t="s">
        <v>15</v>
      </c>
      <c r="E280" t="s">
        <v>26</v>
      </c>
      <c r="F280" t="s">
        <v>41</v>
      </c>
      <c r="G280" t="str">
        <f t="shared" si="12"/>
        <v>Wednesday</v>
      </c>
      <c r="H280" t="str">
        <f t="shared" si="13"/>
        <v>Mar</v>
      </c>
      <c r="I280" s="1">
        <v>43544</v>
      </c>
      <c r="J280" s="1" t="str">
        <f t="shared" si="14"/>
        <v>Evening</v>
      </c>
      <c r="K280" s="2">
        <v>0.68611111111111101</v>
      </c>
      <c r="L280" t="s">
        <v>24</v>
      </c>
      <c r="M280">
        <v>35.494999999999997</v>
      </c>
      <c r="N280">
        <v>5.7</v>
      </c>
    </row>
    <row r="281" spans="1:14" x14ac:dyDescent="0.25">
      <c r="A281" t="s">
        <v>310</v>
      </c>
      <c r="B281" t="s">
        <v>13</v>
      </c>
      <c r="C281" t="s">
        <v>14</v>
      </c>
      <c r="D281" t="s">
        <v>15</v>
      </c>
      <c r="E281" t="s">
        <v>26</v>
      </c>
      <c r="F281" t="s">
        <v>31</v>
      </c>
      <c r="G281" t="str">
        <f t="shared" si="12"/>
        <v>Wednesday</v>
      </c>
      <c r="H281" t="str">
        <f t="shared" si="13"/>
        <v>Mar</v>
      </c>
      <c r="I281" s="1">
        <v>43544</v>
      </c>
      <c r="J281" s="1" t="str">
        <f t="shared" si="14"/>
        <v>Evening</v>
      </c>
      <c r="K281" s="2">
        <v>0.83124999999999993</v>
      </c>
      <c r="L281" t="s">
        <v>28</v>
      </c>
      <c r="M281">
        <v>22.01</v>
      </c>
      <c r="N281">
        <v>9.6</v>
      </c>
    </row>
    <row r="282" spans="1:14" x14ac:dyDescent="0.25">
      <c r="A282" t="s">
        <v>311</v>
      </c>
      <c r="B282" t="s">
        <v>13</v>
      </c>
      <c r="C282" t="s">
        <v>14</v>
      </c>
      <c r="D282" t="s">
        <v>22</v>
      </c>
      <c r="E282" t="s">
        <v>16</v>
      </c>
      <c r="F282" t="s">
        <v>27</v>
      </c>
      <c r="G282" t="str">
        <f t="shared" si="12"/>
        <v>Friday</v>
      </c>
      <c r="H282" t="str">
        <f t="shared" si="13"/>
        <v>Feb</v>
      </c>
      <c r="I282" s="1">
        <v>43511</v>
      </c>
      <c r="J282" s="1" t="str">
        <f t="shared" si="14"/>
        <v>Evening</v>
      </c>
      <c r="K282" s="2">
        <v>0.7090277777777777</v>
      </c>
      <c r="L282" t="s">
        <v>28</v>
      </c>
      <c r="M282">
        <v>27.984000000000002</v>
      </c>
      <c r="N282">
        <v>6.4</v>
      </c>
    </row>
    <row r="283" spans="1:14" x14ac:dyDescent="0.25">
      <c r="A283" t="s">
        <v>312</v>
      </c>
      <c r="B283" t="s">
        <v>20</v>
      </c>
      <c r="C283" t="s">
        <v>21</v>
      </c>
      <c r="D283" t="s">
        <v>22</v>
      </c>
      <c r="E283" t="s">
        <v>26</v>
      </c>
      <c r="F283" t="s">
        <v>27</v>
      </c>
      <c r="G283" t="str">
        <f t="shared" si="12"/>
        <v>Monday</v>
      </c>
      <c r="H283" t="str">
        <f t="shared" si="13"/>
        <v>Mar</v>
      </c>
      <c r="I283" s="1">
        <v>43530</v>
      </c>
      <c r="J283" s="1" t="str">
        <f t="shared" si="14"/>
        <v>Afternoon</v>
      </c>
      <c r="K283" s="2">
        <v>0.56180555555555556</v>
      </c>
      <c r="L283" t="s">
        <v>28</v>
      </c>
      <c r="M283">
        <v>1.85</v>
      </c>
      <c r="N283">
        <v>7.9</v>
      </c>
    </row>
    <row r="284" spans="1:14" x14ac:dyDescent="0.25">
      <c r="A284" t="s">
        <v>313</v>
      </c>
      <c r="B284" t="s">
        <v>13</v>
      </c>
      <c r="C284" t="s">
        <v>14</v>
      </c>
      <c r="D284" t="s">
        <v>22</v>
      </c>
      <c r="E284" t="s">
        <v>16</v>
      </c>
      <c r="F284" t="s">
        <v>31</v>
      </c>
      <c r="G284" t="str">
        <f t="shared" si="12"/>
        <v>Sunday</v>
      </c>
      <c r="H284" t="str">
        <f t="shared" si="13"/>
        <v>Jan</v>
      </c>
      <c r="I284" s="1">
        <v>43471</v>
      </c>
      <c r="J284" s="1" t="str">
        <f t="shared" si="14"/>
        <v>Morning</v>
      </c>
      <c r="K284" s="2">
        <v>0.46458333333333335</v>
      </c>
      <c r="L284" t="s">
        <v>24</v>
      </c>
      <c r="M284">
        <v>0.76700000000000002</v>
      </c>
      <c r="N284">
        <v>6.5</v>
      </c>
    </row>
    <row r="285" spans="1:14" x14ac:dyDescent="0.25">
      <c r="A285" t="s">
        <v>314</v>
      </c>
      <c r="B285" t="s">
        <v>13</v>
      </c>
      <c r="C285" t="s">
        <v>14</v>
      </c>
      <c r="D285" t="s">
        <v>15</v>
      </c>
      <c r="E285" t="s">
        <v>26</v>
      </c>
      <c r="F285" t="s">
        <v>17</v>
      </c>
      <c r="G285" t="str">
        <f t="shared" si="12"/>
        <v>Monday</v>
      </c>
      <c r="H285" t="str">
        <f t="shared" si="13"/>
        <v>Mar</v>
      </c>
      <c r="I285" s="1">
        <v>43528</v>
      </c>
      <c r="J285" s="1" t="str">
        <f t="shared" si="14"/>
        <v>Afternoon</v>
      </c>
      <c r="K285" s="2">
        <v>0.62638888888888888</v>
      </c>
      <c r="L285" t="s">
        <v>18</v>
      </c>
      <c r="M285">
        <v>29.949000000000002</v>
      </c>
      <c r="N285">
        <v>8.5</v>
      </c>
    </row>
    <row r="286" spans="1:14" x14ac:dyDescent="0.25">
      <c r="A286" t="s">
        <v>315</v>
      </c>
      <c r="B286" t="s">
        <v>13</v>
      </c>
      <c r="C286" t="s">
        <v>14</v>
      </c>
      <c r="D286" t="s">
        <v>15</v>
      </c>
      <c r="E286" t="s">
        <v>16</v>
      </c>
      <c r="F286" t="s">
        <v>17</v>
      </c>
      <c r="G286" t="str">
        <f t="shared" si="12"/>
        <v>Tuesday</v>
      </c>
      <c r="H286" t="str">
        <f t="shared" si="13"/>
        <v>Mar</v>
      </c>
      <c r="I286" s="1">
        <v>43536</v>
      </c>
      <c r="J286" s="1" t="str">
        <f t="shared" si="14"/>
        <v>Afternoon</v>
      </c>
      <c r="K286" s="2">
        <v>0.59791666666666665</v>
      </c>
      <c r="L286" t="s">
        <v>24</v>
      </c>
      <c r="M286">
        <v>9.5340000000000007</v>
      </c>
      <c r="N286">
        <v>9.1</v>
      </c>
    </row>
    <row r="287" spans="1:14" x14ac:dyDescent="0.25">
      <c r="A287" t="s">
        <v>316</v>
      </c>
      <c r="B287" t="s">
        <v>37</v>
      </c>
      <c r="C287" t="s">
        <v>38</v>
      </c>
      <c r="D287" t="s">
        <v>22</v>
      </c>
      <c r="E287" t="s">
        <v>26</v>
      </c>
      <c r="F287" t="s">
        <v>17</v>
      </c>
      <c r="G287" t="str">
        <f t="shared" si="12"/>
        <v>Saturday</v>
      </c>
      <c r="H287" t="str">
        <f t="shared" si="13"/>
        <v>Feb</v>
      </c>
      <c r="I287" s="1">
        <v>43516</v>
      </c>
      <c r="J287" s="1" t="str">
        <f t="shared" si="14"/>
        <v>Evening</v>
      </c>
      <c r="K287" s="2">
        <v>0.75069444444444444</v>
      </c>
      <c r="L287" t="s">
        <v>24</v>
      </c>
      <c r="M287">
        <v>16.670000000000002</v>
      </c>
      <c r="N287">
        <v>7.6</v>
      </c>
    </row>
    <row r="288" spans="1:14" x14ac:dyDescent="0.25">
      <c r="A288" t="s">
        <v>317</v>
      </c>
      <c r="B288" t="s">
        <v>20</v>
      </c>
      <c r="C288" t="s">
        <v>21</v>
      </c>
      <c r="D288" t="s">
        <v>15</v>
      </c>
      <c r="E288" t="s">
        <v>26</v>
      </c>
      <c r="F288" t="s">
        <v>27</v>
      </c>
      <c r="G288" t="str">
        <f t="shared" si="12"/>
        <v>Thursday</v>
      </c>
      <c r="H288" t="str">
        <f t="shared" si="13"/>
        <v>Mar</v>
      </c>
      <c r="I288" s="1">
        <v>43548</v>
      </c>
      <c r="J288" s="1" t="str">
        <f t="shared" si="14"/>
        <v>Afternoon</v>
      </c>
      <c r="K288" s="2">
        <v>0.61736111111111114</v>
      </c>
      <c r="L288" t="s">
        <v>24</v>
      </c>
      <c r="M288">
        <v>3.7429999999999999</v>
      </c>
      <c r="N288">
        <v>6.9</v>
      </c>
    </row>
    <row r="289" spans="1:14" x14ac:dyDescent="0.25">
      <c r="A289" t="s">
        <v>318</v>
      </c>
      <c r="B289" t="s">
        <v>20</v>
      </c>
      <c r="C289" t="s">
        <v>21</v>
      </c>
      <c r="D289" t="s">
        <v>22</v>
      </c>
      <c r="E289" t="s">
        <v>16</v>
      </c>
      <c r="F289" t="s">
        <v>31</v>
      </c>
      <c r="G289" t="str">
        <f t="shared" si="12"/>
        <v>Wednesday</v>
      </c>
      <c r="H289" t="str">
        <f t="shared" si="13"/>
        <v>Jan</v>
      </c>
      <c r="I289" s="1">
        <v>43496</v>
      </c>
      <c r="J289" s="1" t="str">
        <f t="shared" si="14"/>
        <v>Afternoon</v>
      </c>
      <c r="K289" s="2">
        <v>0.50138888888888888</v>
      </c>
      <c r="L289" t="s">
        <v>24</v>
      </c>
      <c r="M289">
        <v>10.6875</v>
      </c>
      <c r="N289">
        <v>9.5</v>
      </c>
    </row>
    <row r="290" spans="1:14" x14ac:dyDescent="0.25">
      <c r="A290" t="s">
        <v>319</v>
      </c>
      <c r="B290" t="s">
        <v>37</v>
      </c>
      <c r="C290" t="s">
        <v>38</v>
      </c>
      <c r="D290" t="s">
        <v>22</v>
      </c>
      <c r="E290" t="s">
        <v>16</v>
      </c>
      <c r="F290" t="s">
        <v>39</v>
      </c>
      <c r="G290" t="str">
        <f t="shared" si="12"/>
        <v>Tuesday</v>
      </c>
      <c r="H290" t="str">
        <f t="shared" si="13"/>
        <v>Jan</v>
      </c>
      <c r="I290" s="1">
        <v>43490</v>
      </c>
      <c r="J290" s="1" t="str">
        <f t="shared" si="14"/>
        <v>Afternoon</v>
      </c>
      <c r="K290" s="2">
        <v>0.5625</v>
      </c>
      <c r="L290" t="s">
        <v>28</v>
      </c>
      <c r="M290">
        <v>16.9785</v>
      </c>
      <c r="N290">
        <v>5.2</v>
      </c>
    </row>
    <row r="291" spans="1:14" x14ac:dyDescent="0.25">
      <c r="A291" t="s">
        <v>320</v>
      </c>
      <c r="B291" t="s">
        <v>13</v>
      </c>
      <c r="C291" t="s">
        <v>14</v>
      </c>
      <c r="D291" t="s">
        <v>15</v>
      </c>
      <c r="E291" t="s">
        <v>16</v>
      </c>
      <c r="F291" t="s">
        <v>27</v>
      </c>
      <c r="G291" t="str">
        <f t="shared" si="12"/>
        <v>Thursday</v>
      </c>
      <c r="H291" t="str">
        <f t="shared" si="13"/>
        <v>Feb</v>
      </c>
      <c r="I291" s="1">
        <v>43499</v>
      </c>
      <c r="J291" s="1" t="str">
        <f t="shared" si="14"/>
        <v>Afternoon</v>
      </c>
      <c r="K291" s="2">
        <v>0.60972222222222217</v>
      </c>
      <c r="L291" t="s">
        <v>24</v>
      </c>
      <c r="M291">
        <v>33.207999999999998</v>
      </c>
      <c r="N291">
        <v>4.2</v>
      </c>
    </row>
    <row r="292" spans="1:14" x14ac:dyDescent="0.25">
      <c r="A292" t="s">
        <v>321</v>
      </c>
      <c r="B292" t="s">
        <v>37</v>
      </c>
      <c r="C292" t="s">
        <v>38</v>
      </c>
      <c r="D292" t="s">
        <v>15</v>
      </c>
      <c r="E292" t="s">
        <v>26</v>
      </c>
      <c r="F292" t="s">
        <v>23</v>
      </c>
      <c r="G292" t="str">
        <f t="shared" si="12"/>
        <v>Tuesday</v>
      </c>
      <c r="H292" t="str">
        <f t="shared" si="13"/>
        <v>Jan</v>
      </c>
      <c r="I292" s="1">
        <v>43489</v>
      </c>
      <c r="J292" s="1" t="str">
        <f t="shared" si="14"/>
        <v>Evening</v>
      </c>
      <c r="K292" s="2">
        <v>0.73402777777777783</v>
      </c>
      <c r="L292" t="s">
        <v>28</v>
      </c>
      <c r="M292">
        <v>20.149999999999999</v>
      </c>
      <c r="N292">
        <v>7</v>
      </c>
    </row>
    <row r="293" spans="1:14" x14ac:dyDescent="0.25">
      <c r="A293" t="s">
        <v>322</v>
      </c>
      <c r="B293" t="s">
        <v>20</v>
      </c>
      <c r="C293" t="s">
        <v>21</v>
      </c>
      <c r="D293" t="s">
        <v>22</v>
      </c>
      <c r="E293" t="s">
        <v>26</v>
      </c>
      <c r="F293" t="s">
        <v>23</v>
      </c>
      <c r="G293" t="str">
        <f t="shared" si="12"/>
        <v>Tuesday</v>
      </c>
      <c r="H293" t="str">
        <f t="shared" si="13"/>
        <v>Mar</v>
      </c>
      <c r="I293" s="1">
        <v>43538</v>
      </c>
      <c r="J293" s="1" t="str">
        <f t="shared" si="14"/>
        <v>Evening</v>
      </c>
      <c r="K293" s="2">
        <v>0.72222222222222221</v>
      </c>
      <c r="L293" t="s">
        <v>18</v>
      </c>
      <c r="M293">
        <v>9.7475000000000005</v>
      </c>
      <c r="N293">
        <v>6</v>
      </c>
    </row>
    <row r="294" spans="1:14" x14ac:dyDescent="0.25">
      <c r="A294" t="s">
        <v>323</v>
      </c>
      <c r="B294" t="s">
        <v>13</v>
      </c>
      <c r="C294" t="s">
        <v>14</v>
      </c>
      <c r="D294" t="s">
        <v>15</v>
      </c>
      <c r="E294" t="s">
        <v>16</v>
      </c>
      <c r="F294" t="s">
        <v>23</v>
      </c>
      <c r="G294" t="str">
        <f t="shared" si="12"/>
        <v>Saturday</v>
      </c>
      <c r="H294" t="str">
        <f t="shared" si="13"/>
        <v>Feb</v>
      </c>
      <c r="I294" s="1">
        <v>43514</v>
      </c>
      <c r="J294" s="1" t="str">
        <f t="shared" si="14"/>
        <v>Evening</v>
      </c>
      <c r="K294" s="2">
        <v>0.8534722222222223</v>
      </c>
      <c r="L294" t="s">
        <v>24</v>
      </c>
      <c r="M294">
        <v>3.1240000000000001</v>
      </c>
      <c r="N294">
        <v>4.7</v>
      </c>
    </row>
    <row r="295" spans="1:14" x14ac:dyDescent="0.25">
      <c r="A295" t="s">
        <v>324</v>
      </c>
      <c r="B295" t="s">
        <v>13</v>
      </c>
      <c r="C295" t="s">
        <v>14</v>
      </c>
      <c r="D295" t="s">
        <v>15</v>
      </c>
      <c r="E295" t="s">
        <v>16</v>
      </c>
      <c r="F295" t="s">
        <v>39</v>
      </c>
      <c r="G295" t="str">
        <f t="shared" si="12"/>
        <v>Tuesday</v>
      </c>
      <c r="H295" t="str">
        <f t="shared" si="13"/>
        <v>Jan</v>
      </c>
      <c r="I295" s="1">
        <v>43486</v>
      </c>
      <c r="J295" s="1" t="str">
        <f t="shared" si="14"/>
        <v>Morning</v>
      </c>
      <c r="K295" s="2">
        <v>0.41666666666666669</v>
      </c>
      <c r="L295" t="s">
        <v>24</v>
      </c>
      <c r="M295">
        <v>3.6360000000000001</v>
      </c>
      <c r="N295">
        <v>7.1</v>
      </c>
    </row>
    <row r="296" spans="1:14" x14ac:dyDescent="0.25">
      <c r="A296" t="s">
        <v>325</v>
      </c>
      <c r="B296" t="s">
        <v>37</v>
      </c>
      <c r="C296" t="s">
        <v>38</v>
      </c>
      <c r="D296" t="s">
        <v>22</v>
      </c>
      <c r="E296" t="s">
        <v>26</v>
      </c>
      <c r="F296" t="s">
        <v>17</v>
      </c>
      <c r="G296" t="str">
        <f t="shared" si="12"/>
        <v>Tuesday</v>
      </c>
      <c r="H296" t="str">
        <f t="shared" si="13"/>
        <v>Mar</v>
      </c>
      <c r="I296" s="1">
        <v>43537</v>
      </c>
      <c r="J296" s="1" t="str">
        <f t="shared" si="14"/>
        <v>Morning</v>
      </c>
      <c r="K296" s="2">
        <v>0.49027777777777781</v>
      </c>
      <c r="L296" t="s">
        <v>18</v>
      </c>
      <c r="M296">
        <v>9.0549999999999997</v>
      </c>
      <c r="N296">
        <v>5.9</v>
      </c>
    </row>
    <row r="297" spans="1:14" x14ac:dyDescent="0.25">
      <c r="A297" t="s">
        <v>326</v>
      </c>
      <c r="B297" t="s">
        <v>20</v>
      </c>
      <c r="C297" t="s">
        <v>21</v>
      </c>
      <c r="D297" t="s">
        <v>15</v>
      </c>
      <c r="E297" t="s">
        <v>16</v>
      </c>
      <c r="F297" t="s">
        <v>23</v>
      </c>
      <c r="G297" t="str">
        <f t="shared" si="12"/>
        <v>Monday</v>
      </c>
      <c r="H297" t="str">
        <f t="shared" si="13"/>
        <v>Mar</v>
      </c>
      <c r="I297" s="1">
        <v>43527</v>
      </c>
      <c r="J297" s="1" t="str">
        <f t="shared" si="14"/>
        <v>Afternoon</v>
      </c>
      <c r="K297" s="2">
        <v>0.5708333333333333</v>
      </c>
      <c r="L297" t="s">
        <v>24</v>
      </c>
      <c r="M297">
        <v>12.98</v>
      </c>
      <c r="N297">
        <v>7.5</v>
      </c>
    </row>
    <row r="298" spans="1:14" x14ac:dyDescent="0.25">
      <c r="A298" t="s">
        <v>327</v>
      </c>
      <c r="B298" t="s">
        <v>20</v>
      </c>
      <c r="C298" t="s">
        <v>21</v>
      </c>
      <c r="D298" t="s">
        <v>22</v>
      </c>
      <c r="E298" t="s">
        <v>26</v>
      </c>
      <c r="F298" t="s">
        <v>23</v>
      </c>
      <c r="G298" t="str">
        <f t="shared" si="12"/>
        <v>Thursday</v>
      </c>
      <c r="H298" t="str">
        <f t="shared" si="13"/>
        <v>Mar</v>
      </c>
      <c r="I298" s="1">
        <v>43553</v>
      </c>
      <c r="J298" s="1" t="str">
        <f t="shared" si="14"/>
        <v>Afternoon</v>
      </c>
      <c r="K298" s="2">
        <v>0.61388888888888882</v>
      </c>
      <c r="L298" t="s">
        <v>24</v>
      </c>
      <c r="M298">
        <v>5.7679999999999998</v>
      </c>
      <c r="N298">
        <v>6.4</v>
      </c>
    </row>
    <row r="299" spans="1:14" x14ac:dyDescent="0.25">
      <c r="A299" t="s">
        <v>328</v>
      </c>
      <c r="B299" t="s">
        <v>13</v>
      </c>
      <c r="C299" t="s">
        <v>14</v>
      </c>
      <c r="D299" t="s">
        <v>15</v>
      </c>
      <c r="E299" t="s">
        <v>26</v>
      </c>
      <c r="F299" t="s">
        <v>27</v>
      </c>
      <c r="G299" t="str">
        <f t="shared" si="12"/>
        <v>Sunday</v>
      </c>
      <c r="H299" t="str">
        <f t="shared" si="13"/>
        <v>Jan</v>
      </c>
      <c r="I299" s="1">
        <v>43475</v>
      </c>
      <c r="J299" s="1" t="str">
        <f t="shared" si="14"/>
        <v>Afternoon</v>
      </c>
      <c r="K299" s="2">
        <v>0.59444444444444444</v>
      </c>
      <c r="L299" t="s">
        <v>18</v>
      </c>
      <c r="M299">
        <v>23.513999999999999</v>
      </c>
      <c r="N299">
        <v>5.8</v>
      </c>
    </row>
    <row r="300" spans="1:14" x14ac:dyDescent="0.25">
      <c r="A300" t="s">
        <v>329</v>
      </c>
      <c r="B300" t="s">
        <v>13</v>
      </c>
      <c r="C300" t="s">
        <v>14</v>
      </c>
      <c r="D300" t="s">
        <v>15</v>
      </c>
      <c r="E300" t="s">
        <v>26</v>
      </c>
      <c r="F300" t="s">
        <v>27</v>
      </c>
      <c r="G300" t="str">
        <f t="shared" si="12"/>
        <v>Tuesday</v>
      </c>
      <c r="H300" t="str">
        <f t="shared" si="13"/>
        <v>Jan</v>
      </c>
      <c r="I300" s="1">
        <v>43490</v>
      </c>
      <c r="J300" s="1" t="str">
        <f t="shared" si="14"/>
        <v>Afternoon</v>
      </c>
      <c r="K300" s="2">
        <v>0.66249999999999998</v>
      </c>
      <c r="L300" t="s">
        <v>24</v>
      </c>
      <c r="M300">
        <v>12.002000000000001</v>
      </c>
      <c r="N300">
        <v>4.5</v>
      </c>
    </row>
    <row r="301" spans="1:14" x14ac:dyDescent="0.25">
      <c r="A301" t="s">
        <v>330</v>
      </c>
      <c r="B301" t="s">
        <v>20</v>
      </c>
      <c r="C301" t="s">
        <v>21</v>
      </c>
      <c r="D301" t="s">
        <v>15</v>
      </c>
      <c r="E301" t="s">
        <v>16</v>
      </c>
      <c r="F301" t="s">
        <v>27</v>
      </c>
      <c r="G301" t="str">
        <f t="shared" si="12"/>
        <v>Tuesday</v>
      </c>
      <c r="H301" t="str">
        <f t="shared" si="13"/>
        <v>Jan</v>
      </c>
      <c r="I301" s="1">
        <v>43484</v>
      </c>
      <c r="J301" s="1" t="str">
        <f t="shared" si="14"/>
        <v>Morning</v>
      </c>
      <c r="K301" s="2">
        <v>0.43124999999999997</v>
      </c>
      <c r="L301" t="s">
        <v>24</v>
      </c>
      <c r="M301">
        <v>4.4305000000000003</v>
      </c>
      <c r="N301">
        <v>7.7</v>
      </c>
    </row>
    <row r="302" spans="1:14" x14ac:dyDescent="0.25">
      <c r="A302" t="s">
        <v>331</v>
      </c>
      <c r="B302" t="s">
        <v>20</v>
      </c>
      <c r="C302" t="s">
        <v>21</v>
      </c>
      <c r="D302" t="s">
        <v>22</v>
      </c>
      <c r="E302" t="s">
        <v>26</v>
      </c>
      <c r="F302" t="s">
        <v>41</v>
      </c>
      <c r="G302" t="str">
        <f t="shared" si="12"/>
        <v>Saturday</v>
      </c>
      <c r="H302" t="str">
        <f t="shared" si="13"/>
        <v>Jan</v>
      </c>
      <c r="I302" s="1">
        <v>43467</v>
      </c>
      <c r="J302" s="1" t="str">
        <f t="shared" si="14"/>
        <v>Evening</v>
      </c>
      <c r="K302" s="2">
        <v>0.75624999999999998</v>
      </c>
      <c r="L302" t="s">
        <v>28</v>
      </c>
      <c r="M302">
        <v>9.9819999999999993</v>
      </c>
      <c r="N302">
        <v>6.7</v>
      </c>
    </row>
    <row r="303" spans="1:14" x14ac:dyDescent="0.25">
      <c r="A303" t="s">
        <v>332</v>
      </c>
      <c r="B303" t="s">
        <v>37</v>
      </c>
      <c r="C303" t="s">
        <v>38</v>
      </c>
      <c r="D303" t="s">
        <v>15</v>
      </c>
      <c r="E303" t="s">
        <v>26</v>
      </c>
      <c r="F303" t="s">
        <v>17</v>
      </c>
      <c r="G303" t="str">
        <f t="shared" si="12"/>
        <v>Tuesday</v>
      </c>
      <c r="H303" t="str">
        <f t="shared" si="13"/>
        <v>Mar</v>
      </c>
      <c r="I303" s="1">
        <v>43536</v>
      </c>
      <c r="J303" s="1" t="str">
        <f t="shared" si="14"/>
        <v>Evening</v>
      </c>
      <c r="K303" s="2">
        <v>0.69861111111111107</v>
      </c>
      <c r="L303" t="s">
        <v>28</v>
      </c>
      <c r="M303">
        <v>1.9504999999999999</v>
      </c>
      <c r="N303">
        <v>4.7</v>
      </c>
    </row>
    <row r="304" spans="1:14" x14ac:dyDescent="0.25">
      <c r="A304" t="s">
        <v>333</v>
      </c>
      <c r="B304" t="s">
        <v>20</v>
      </c>
      <c r="C304" t="s">
        <v>21</v>
      </c>
      <c r="D304" t="s">
        <v>22</v>
      </c>
      <c r="E304" t="s">
        <v>26</v>
      </c>
      <c r="F304" t="s">
        <v>39</v>
      </c>
      <c r="G304" t="str">
        <f t="shared" si="12"/>
        <v>Sunday</v>
      </c>
      <c r="H304" t="str">
        <f t="shared" si="13"/>
        <v>Feb</v>
      </c>
      <c r="I304" s="1">
        <v>43521</v>
      </c>
      <c r="J304" s="1" t="str">
        <f t="shared" si="14"/>
        <v>Afternoon</v>
      </c>
      <c r="K304" s="2">
        <v>0.64652777777777781</v>
      </c>
      <c r="L304" t="s">
        <v>24</v>
      </c>
      <c r="M304">
        <v>2.4304999999999999</v>
      </c>
      <c r="N304">
        <v>4.4000000000000004</v>
      </c>
    </row>
    <row r="305" spans="1:14" x14ac:dyDescent="0.25">
      <c r="A305" t="s">
        <v>334</v>
      </c>
      <c r="B305" t="s">
        <v>13</v>
      </c>
      <c r="C305" t="s">
        <v>14</v>
      </c>
      <c r="D305" t="s">
        <v>22</v>
      </c>
      <c r="E305" t="s">
        <v>16</v>
      </c>
      <c r="F305" t="s">
        <v>23</v>
      </c>
      <c r="G305" t="str">
        <f t="shared" si="12"/>
        <v>Wednesday</v>
      </c>
      <c r="H305" t="str">
        <f t="shared" si="13"/>
        <v>Mar</v>
      </c>
      <c r="I305" s="1">
        <v>43542</v>
      </c>
      <c r="J305" s="1" t="str">
        <f t="shared" si="14"/>
        <v>Evening</v>
      </c>
      <c r="K305" s="2">
        <v>0.71875</v>
      </c>
      <c r="L305" t="s">
        <v>28</v>
      </c>
      <c r="M305">
        <v>10.238</v>
      </c>
      <c r="N305">
        <v>4.7</v>
      </c>
    </row>
    <row r="306" spans="1:14" x14ac:dyDescent="0.25">
      <c r="A306" t="s">
        <v>335</v>
      </c>
      <c r="B306" t="s">
        <v>37</v>
      </c>
      <c r="C306" t="s">
        <v>38</v>
      </c>
      <c r="D306" t="s">
        <v>22</v>
      </c>
      <c r="E306" t="s">
        <v>16</v>
      </c>
      <c r="F306" t="s">
        <v>23</v>
      </c>
      <c r="G306" t="str">
        <f t="shared" si="12"/>
        <v>Sunday</v>
      </c>
      <c r="H306" t="str">
        <f t="shared" si="13"/>
        <v>Feb</v>
      </c>
      <c r="I306" s="1">
        <v>43519</v>
      </c>
      <c r="J306" s="1" t="str">
        <f t="shared" si="14"/>
        <v>Afternoon</v>
      </c>
      <c r="K306" s="2">
        <v>0.52013888888888882</v>
      </c>
      <c r="L306" t="s">
        <v>24</v>
      </c>
      <c r="M306">
        <v>5.984</v>
      </c>
      <c r="N306">
        <v>8.6</v>
      </c>
    </row>
    <row r="307" spans="1:14" x14ac:dyDescent="0.25">
      <c r="A307" t="s">
        <v>336</v>
      </c>
      <c r="B307" t="s">
        <v>13</v>
      </c>
      <c r="C307" t="s">
        <v>14</v>
      </c>
      <c r="D307" t="s">
        <v>15</v>
      </c>
      <c r="E307" t="s">
        <v>26</v>
      </c>
      <c r="F307" t="s">
        <v>23</v>
      </c>
      <c r="G307" t="str">
        <f t="shared" si="12"/>
        <v>Thursday</v>
      </c>
      <c r="H307" t="str">
        <f t="shared" si="13"/>
        <v>Mar</v>
      </c>
      <c r="I307" s="1">
        <v>43550</v>
      </c>
      <c r="J307" s="1" t="str">
        <f t="shared" si="14"/>
        <v>Evening</v>
      </c>
      <c r="K307" s="2">
        <v>0.84305555555555556</v>
      </c>
      <c r="L307" t="s">
        <v>18</v>
      </c>
      <c r="M307">
        <v>25.27</v>
      </c>
      <c r="N307">
        <v>4.3</v>
      </c>
    </row>
    <row r="308" spans="1:14" x14ac:dyDescent="0.25">
      <c r="A308" t="s">
        <v>337</v>
      </c>
      <c r="B308" t="s">
        <v>13</v>
      </c>
      <c r="C308" t="s">
        <v>14</v>
      </c>
      <c r="D308" t="s">
        <v>22</v>
      </c>
      <c r="E308" t="s">
        <v>16</v>
      </c>
      <c r="F308" t="s">
        <v>31</v>
      </c>
      <c r="G308" t="str">
        <f t="shared" si="12"/>
        <v>Friday</v>
      </c>
      <c r="H308" t="str">
        <f t="shared" si="13"/>
        <v>Mar</v>
      </c>
      <c r="I308" s="1">
        <v>43554</v>
      </c>
      <c r="J308" s="1" t="str">
        <f t="shared" si="14"/>
        <v>Afternoon</v>
      </c>
      <c r="K308" s="2">
        <v>0.55694444444444446</v>
      </c>
      <c r="L308" t="s">
        <v>24</v>
      </c>
      <c r="M308">
        <v>14.080500000000001</v>
      </c>
      <c r="N308">
        <v>9.6</v>
      </c>
    </row>
    <row r="309" spans="1:14" x14ac:dyDescent="0.25">
      <c r="A309" t="s">
        <v>338</v>
      </c>
      <c r="B309" t="s">
        <v>13</v>
      </c>
      <c r="C309" t="s">
        <v>14</v>
      </c>
      <c r="D309" t="s">
        <v>15</v>
      </c>
      <c r="E309" t="s">
        <v>16</v>
      </c>
      <c r="F309" t="s">
        <v>27</v>
      </c>
      <c r="G309" t="str">
        <f t="shared" si="12"/>
        <v>Saturday</v>
      </c>
      <c r="H309" t="str">
        <f t="shared" si="13"/>
        <v>Feb</v>
      </c>
      <c r="I309" s="1">
        <v>43513</v>
      </c>
      <c r="J309" s="1" t="str">
        <f t="shared" si="14"/>
        <v>Evening</v>
      </c>
      <c r="K309" s="2">
        <v>0.71458333333333324</v>
      </c>
      <c r="L309" t="s">
        <v>24</v>
      </c>
      <c r="M309">
        <v>35.515999999999998</v>
      </c>
      <c r="N309">
        <v>4.0999999999999996</v>
      </c>
    </row>
    <row r="310" spans="1:14" x14ac:dyDescent="0.25">
      <c r="A310" t="s">
        <v>339</v>
      </c>
      <c r="B310" t="s">
        <v>13</v>
      </c>
      <c r="C310" t="s">
        <v>14</v>
      </c>
      <c r="D310" t="s">
        <v>15</v>
      </c>
      <c r="E310" t="s">
        <v>16</v>
      </c>
      <c r="F310" t="s">
        <v>23</v>
      </c>
      <c r="G310" t="str">
        <f t="shared" si="12"/>
        <v>Wednesday</v>
      </c>
      <c r="H310" t="str">
        <f t="shared" si="13"/>
        <v>Mar</v>
      </c>
      <c r="I310" s="1">
        <v>43545</v>
      </c>
      <c r="J310" s="1" t="str">
        <f t="shared" si="14"/>
        <v>Morning</v>
      </c>
      <c r="K310" s="2">
        <v>0.44444444444444442</v>
      </c>
      <c r="L310" t="s">
        <v>18</v>
      </c>
      <c r="M310">
        <v>3.972</v>
      </c>
      <c r="N310">
        <v>4.7</v>
      </c>
    </row>
    <row r="311" spans="1:14" x14ac:dyDescent="0.25">
      <c r="A311" t="s">
        <v>340</v>
      </c>
      <c r="B311" t="s">
        <v>13</v>
      </c>
      <c r="C311" t="s">
        <v>14</v>
      </c>
      <c r="D311" t="s">
        <v>22</v>
      </c>
      <c r="E311" t="s">
        <v>16</v>
      </c>
      <c r="F311" t="s">
        <v>41</v>
      </c>
      <c r="G311" t="str">
        <f t="shared" si="12"/>
        <v>Monday</v>
      </c>
      <c r="H311" t="str">
        <f t="shared" si="13"/>
        <v>Mar</v>
      </c>
      <c r="I311" s="1">
        <v>43529</v>
      </c>
      <c r="J311" s="1" t="str">
        <f t="shared" si="14"/>
        <v>Evening</v>
      </c>
      <c r="K311" s="2">
        <v>0.73819444444444438</v>
      </c>
      <c r="L311" t="s">
        <v>24</v>
      </c>
      <c r="M311">
        <v>8.1910000000000007</v>
      </c>
      <c r="N311">
        <v>7.8</v>
      </c>
    </row>
    <row r="312" spans="1:14" x14ac:dyDescent="0.25">
      <c r="A312" t="s">
        <v>341</v>
      </c>
      <c r="B312" t="s">
        <v>37</v>
      </c>
      <c r="C312" t="s">
        <v>38</v>
      </c>
      <c r="D312" t="s">
        <v>15</v>
      </c>
      <c r="E312" t="s">
        <v>26</v>
      </c>
      <c r="F312" t="s">
        <v>31</v>
      </c>
      <c r="G312" t="str">
        <f t="shared" si="12"/>
        <v>Wednesday</v>
      </c>
      <c r="H312" t="str">
        <f t="shared" si="13"/>
        <v>Jan</v>
      </c>
      <c r="I312" s="1">
        <v>43496</v>
      </c>
      <c r="J312" s="1" t="str">
        <f t="shared" si="14"/>
        <v>Afternoon</v>
      </c>
      <c r="K312" s="2">
        <v>0.58611111111111114</v>
      </c>
      <c r="L312" t="s">
        <v>24</v>
      </c>
      <c r="M312">
        <v>23.978999999999999</v>
      </c>
      <c r="N312">
        <v>5.5</v>
      </c>
    </row>
    <row r="313" spans="1:14" x14ac:dyDescent="0.25">
      <c r="A313" t="s">
        <v>342</v>
      </c>
      <c r="B313" t="s">
        <v>20</v>
      </c>
      <c r="C313" t="s">
        <v>21</v>
      </c>
      <c r="D313" t="s">
        <v>15</v>
      </c>
      <c r="E313" t="s">
        <v>26</v>
      </c>
      <c r="F313" t="s">
        <v>41</v>
      </c>
      <c r="G313" t="str">
        <f t="shared" si="12"/>
        <v>Thursday</v>
      </c>
      <c r="H313" t="str">
        <f t="shared" si="13"/>
        <v>Feb</v>
      </c>
      <c r="I313" s="1">
        <v>43501</v>
      </c>
      <c r="J313" s="1" t="str">
        <f t="shared" si="14"/>
        <v>Evening</v>
      </c>
      <c r="K313" s="2">
        <v>0.79513888888888884</v>
      </c>
      <c r="L313" t="s">
        <v>18</v>
      </c>
      <c r="M313">
        <v>6.9329999999999998</v>
      </c>
      <c r="N313">
        <v>9.6999999999999993</v>
      </c>
    </row>
    <row r="314" spans="1:14" x14ac:dyDescent="0.25">
      <c r="A314" t="s">
        <v>343</v>
      </c>
      <c r="B314" t="s">
        <v>13</v>
      </c>
      <c r="C314" t="s">
        <v>14</v>
      </c>
      <c r="D314" t="s">
        <v>15</v>
      </c>
      <c r="E314" t="s">
        <v>16</v>
      </c>
      <c r="F314" t="s">
        <v>39</v>
      </c>
      <c r="G314" t="str">
        <f t="shared" si="12"/>
        <v>Wednesday</v>
      </c>
      <c r="H314" t="str">
        <f t="shared" si="13"/>
        <v>Feb</v>
      </c>
      <c r="I314" s="1">
        <v>43497</v>
      </c>
      <c r="J314" s="1" t="str">
        <f t="shared" si="14"/>
        <v>Morning</v>
      </c>
      <c r="K314" s="2">
        <v>0.42222222222222222</v>
      </c>
      <c r="L314" t="s">
        <v>28</v>
      </c>
      <c r="M314">
        <v>3.5575000000000001</v>
      </c>
      <c r="N314">
        <v>4.4000000000000004</v>
      </c>
    </row>
    <row r="315" spans="1:14" x14ac:dyDescent="0.25">
      <c r="A315" t="s">
        <v>344</v>
      </c>
      <c r="B315" t="s">
        <v>13</v>
      </c>
      <c r="C315" t="s">
        <v>14</v>
      </c>
      <c r="D315" t="s">
        <v>15</v>
      </c>
      <c r="E315" t="s">
        <v>16</v>
      </c>
      <c r="F315" t="s">
        <v>17</v>
      </c>
      <c r="G315" t="str">
        <f t="shared" si="12"/>
        <v>Monday</v>
      </c>
      <c r="H315" t="str">
        <f t="shared" si="13"/>
        <v>Mar</v>
      </c>
      <c r="I315" s="1">
        <v>43531</v>
      </c>
      <c r="J315" s="1" t="str">
        <f t="shared" si="14"/>
        <v>Afternoon</v>
      </c>
      <c r="K315" s="2">
        <v>0.54999999999999993</v>
      </c>
      <c r="L315" t="s">
        <v>24</v>
      </c>
      <c r="M315">
        <v>6.9974999999999996</v>
      </c>
      <c r="N315">
        <v>5</v>
      </c>
    </row>
    <row r="316" spans="1:14" x14ac:dyDescent="0.25">
      <c r="A316" t="s">
        <v>345</v>
      </c>
      <c r="B316" t="s">
        <v>20</v>
      </c>
      <c r="C316" t="s">
        <v>21</v>
      </c>
      <c r="D316" t="s">
        <v>15</v>
      </c>
      <c r="E316" t="s">
        <v>16</v>
      </c>
      <c r="F316" t="s">
        <v>23</v>
      </c>
      <c r="G316" t="str">
        <f t="shared" si="12"/>
        <v>Friday</v>
      </c>
      <c r="H316" t="str">
        <f t="shared" si="13"/>
        <v>Feb</v>
      </c>
      <c r="I316" s="1">
        <v>43506</v>
      </c>
      <c r="J316" s="1" t="str">
        <f t="shared" si="14"/>
        <v>Evening</v>
      </c>
      <c r="K316" s="2">
        <v>0.86875000000000002</v>
      </c>
      <c r="L316" t="s">
        <v>24</v>
      </c>
      <c r="M316">
        <v>39.064999999999998</v>
      </c>
      <c r="N316">
        <v>4.4000000000000004</v>
      </c>
    </row>
    <row r="317" spans="1:14" x14ac:dyDescent="0.25">
      <c r="A317" t="s">
        <v>346</v>
      </c>
      <c r="B317" t="s">
        <v>20</v>
      </c>
      <c r="C317" t="s">
        <v>21</v>
      </c>
      <c r="D317" t="s">
        <v>15</v>
      </c>
      <c r="E317" t="s">
        <v>26</v>
      </c>
      <c r="F317" t="s">
        <v>39</v>
      </c>
      <c r="G317" t="str">
        <f t="shared" si="12"/>
        <v>Friday</v>
      </c>
      <c r="H317" t="str">
        <f t="shared" si="13"/>
        <v>Feb</v>
      </c>
      <c r="I317" s="1">
        <v>43510</v>
      </c>
      <c r="J317" s="1" t="str">
        <f t="shared" si="14"/>
        <v>Evening</v>
      </c>
      <c r="K317" s="2">
        <v>0.7284722222222223</v>
      </c>
      <c r="L317" t="s">
        <v>24</v>
      </c>
      <c r="M317">
        <v>9.9369999999999994</v>
      </c>
      <c r="N317">
        <v>5.2</v>
      </c>
    </row>
    <row r="318" spans="1:14" x14ac:dyDescent="0.25">
      <c r="A318" t="s">
        <v>347</v>
      </c>
      <c r="B318" t="s">
        <v>20</v>
      </c>
      <c r="C318" t="s">
        <v>21</v>
      </c>
      <c r="D318" t="s">
        <v>15</v>
      </c>
      <c r="E318" t="s">
        <v>16</v>
      </c>
      <c r="F318" t="s">
        <v>39</v>
      </c>
      <c r="G318" t="str">
        <f t="shared" si="12"/>
        <v>Friday</v>
      </c>
      <c r="H318" t="str">
        <f t="shared" si="13"/>
        <v>Feb</v>
      </c>
      <c r="I318" s="1">
        <v>43505</v>
      </c>
      <c r="J318" s="1" t="str">
        <f t="shared" si="14"/>
        <v>Morning</v>
      </c>
      <c r="K318" s="2">
        <v>0.43402777777777773</v>
      </c>
      <c r="L318" t="s">
        <v>24</v>
      </c>
      <c r="M318">
        <v>3.1619999999999999</v>
      </c>
      <c r="N318">
        <v>7.3</v>
      </c>
    </row>
    <row r="319" spans="1:14" x14ac:dyDescent="0.25">
      <c r="A319" t="s">
        <v>348</v>
      </c>
      <c r="B319" t="s">
        <v>20</v>
      </c>
      <c r="C319" t="s">
        <v>21</v>
      </c>
      <c r="D319" t="s">
        <v>15</v>
      </c>
      <c r="E319" t="s">
        <v>26</v>
      </c>
      <c r="F319" t="s">
        <v>23</v>
      </c>
      <c r="G319" t="str">
        <f t="shared" si="12"/>
        <v>Sunday</v>
      </c>
      <c r="H319" t="str">
        <f t="shared" si="13"/>
        <v>Jan</v>
      </c>
      <c r="I319" s="1">
        <v>43475</v>
      </c>
      <c r="J319" s="1" t="str">
        <f t="shared" si="14"/>
        <v>Morning</v>
      </c>
      <c r="K319" s="2">
        <v>0.48194444444444445</v>
      </c>
      <c r="L319" t="s">
        <v>24</v>
      </c>
      <c r="M319">
        <v>18.697500000000002</v>
      </c>
      <c r="N319">
        <v>4.9000000000000004</v>
      </c>
    </row>
    <row r="320" spans="1:14" x14ac:dyDescent="0.25">
      <c r="A320" t="s">
        <v>349</v>
      </c>
      <c r="B320" t="s">
        <v>20</v>
      </c>
      <c r="C320" t="s">
        <v>21</v>
      </c>
      <c r="D320" t="s">
        <v>15</v>
      </c>
      <c r="E320" t="s">
        <v>16</v>
      </c>
      <c r="F320" t="s">
        <v>17</v>
      </c>
      <c r="G320" t="str">
        <f t="shared" si="12"/>
        <v>Tuesday</v>
      </c>
      <c r="H320" t="str">
        <f t="shared" si="13"/>
        <v>Mar</v>
      </c>
      <c r="I320" s="1">
        <v>43535</v>
      </c>
      <c r="J320" s="1" t="str">
        <f t="shared" si="14"/>
        <v>Evening</v>
      </c>
      <c r="K320" s="2">
        <v>0.79027777777777775</v>
      </c>
      <c r="L320" t="s">
        <v>28</v>
      </c>
      <c r="M320">
        <v>10.384499999999999</v>
      </c>
      <c r="N320">
        <v>8.1</v>
      </c>
    </row>
    <row r="321" spans="1:14" x14ac:dyDescent="0.25">
      <c r="A321" t="s">
        <v>350</v>
      </c>
      <c r="B321" t="s">
        <v>20</v>
      </c>
      <c r="C321" t="s">
        <v>21</v>
      </c>
      <c r="D321" t="s">
        <v>15</v>
      </c>
      <c r="E321" t="s">
        <v>26</v>
      </c>
      <c r="F321" t="s">
        <v>17</v>
      </c>
      <c r="G321" t="str">
        <f t="shared" si="12"/>
        <v>Saturday</v>
      </c>
      <c r="H321" t="str">
        <f t="shared" si="13"/>
        <v>Feb</v>
      </c>
      <c r="I321" s="1">
        <v>43514</v>
      </c>
      <c r="J321" s="1" t="str">
        <f t="shared" si="14"/>
        <v>Evening</v>
      </c>
      <c r="K321" s="2">
        <v>0.68611111111111101</v>
      </c>
      <c r="L321" t="s">
        <v>18</v>
      </c>
      <c r="M321">
        <v>8.8140000000000001</v>
      </c>
      <c r="N321">
        <v>8.4</v>
      </c>
    </row>
    <row r="322" spans="1:14" x14ac:dyDescent="0.25">
      <c r="A322" t="s">
        <v>351</v>
      </c>
      <c r="B322" t="s">
        <v>20</v>
      </c>
      <c r="C322" t="s">
        <v>21</v>
      </c>
      <c r="D322" t="s">
        <v>22</v>
      </c>
      <c r="E322" t="s">
        <v>16</v>
      </c>
      <c r="F322" t="s">
        <v>39</v>
      </c>
      <c r="G322" t="str">
        <f t="shared" si="12"/>
        <v>Sunday</v>
      </c>
      <c r="H322" t="str">
        <f t="shared" si="13"/>
        <v>Feb</v>
      </c>
      <c r="I322" s="1">
        <v>43522</v>
      </c>
      <c r="J322" s="1" t="str">
        <f t="shared" si="14"/>
        <v>Evening</v>
      </c>
      <c r="K322" s="2">
        <v>0.85138888888888886</v>
      </c>
      <c r="L322" t="s">
        <v>24</v>
      </c>
      <c r="M322">
        <v>10.3185</v>
      </c>
      <c r="N322">
        <v>5.5</v>
      </c>
    </row>
    <row r="323" spans="1:14" x14ac:dyDescent="0.25">
      <c r="A323" t="s">
        <v>352</v>
      </c>
      <c r="B323" t="s">
        <v>20</v>
      </c>
      <c r="C323" t="s">
        <v>21</v>
      </c>
      <c r="D323" t="s">
        <v>22</v>
      </c>
      <c r="E323" t="s">
        <v>16</v>
      </c>
      <c r="F323" t="s">
        <v>17</v>
      </c>
      <c r="G323" t="str">
        <f t="shared" ref="G323:G386" si="15">TEXT(I323/7,"dddd")</f>
        <v>Monday</v>
      </c>
      <c r="H323" t="str">
        <f t="shared" ref="H323:H386" si="16">TEXT(I323,"mmm")</f>
        <v>Jan</v>
      </c>
      <c r="I323" s="1">
        <v>43483</v>
      </c>
      <c r="J323" s="1" t="str">
        <f t="shared" ref="J323:J386" si="17">IF(AND(K323&gt;=TIME(9,0,0),K323&lt;TIME(12,0,0)),"Morning",IF(AND(K323&gt;=TIME(12,0,0),K323&lt;TIME(16,0,0)),"Afternoon","Evening"))</f>
        <v>Afternoon</v>
      </c>
      <c r="K323" s="2">
        <v>0.63055555555555554</v>
      </c>
      <c r="L323" t="s">
        <v>24</v>
      </c>
      <c r="M323">
        <v>1.9710000000000001</v>
      </c>
      <c r="N323">
        <v>8.4</v>
      </c>
    </row>
    <row r="324" spans="1:14" x14ac:dyDescent="0.25">
      <c r="A324" t="s">
        <v>353</v>
      </c>
      <c r="B324" t="s">
        <v>13</v>
      </c>
      <c r="C324" t="s">
        <v>14</v>
      </c>
      <c r="D324" t="s">
        <v>22</v>
      </c>
      <c r="E324" t="s">
        <v>26</v>
      </c>
      <c r="F324" t="s">
        <v>17</v>
      </c>
      <c r="G324" t="str">
        <f t="shared" si="15"/>
        <v>Friday</v>
      </c>
      <c r="H324" t="str">
        <f t="shared" si="16"/>
        <v>Feb</v>
      </c>
      <c r="I324" s="1">
        <v>43511</v>
      </c>
      <c r="J324" s="1" t="str">
        <f t="shared" si="17"/>
        <v>Evening</v>
      </c>
      <c r="K324" s="2">
        <v>0.75208333333333333</v>
      </c>
      <c r="L324" t="s">
        <v>18</v>
      </c>
      <c r="M324">
        <v>4.5780000000000003</v>
      </c>
      <c r="N324">
        <v>9.8000000000000007</v>
      </c>
    </row>
    <row r="325" spans="1:14" x14ac:dyDescent="0.25">
      <c r="A325" t="s">
        <v>354</v>
      </c>
      <c r="B325" t="s">
        <v>13</v>
      </c>
      <c r="C325" t="s">
        <v>14</v>
      </c>
      <c r="D325" t="s">
        <v>22</v>
      </c>
      <c r="E325" t="s">
        <v>16</v>
      </c>
      <c r="F325" t="s">
        <v>41</v>
      </c>
      <c r="G325" t="str">
        <f t="shared" si="15"/>
        <v>Monday</v>
      </c>
      <c r="H325" t="str">
        <f t="shared" si="16"/>
        <v>Mar</v>
      </c>
      <c r="I325" s="1">
        <v>43532</v>
      </c>
      <c r="J325" s="1" t="str">
        <f t="shared" si="17"/>
        <v>Afternoon</v>
      </c>
      <c r="K325" s="2">
        <v>0.55625000000000002</v>
      </c>
      <c r="L325" t="s">
        <v>24</v>
      </c>
      <c r="M325">
        <v>15.442500000000001</v>
      </c>
      <c r="N325">
        <v>6.7</v>
      </c>
    </row>
    <row r="326" spans="1:14" x14ac:dyDescent="0.25">
      <c r="A326" t="s">
        <v>355</v>
      </c>
      <c r="B326" t="s">
        <v>13</v>
      </c>
      <c r="C326" t="s">
        <v>14</v>
      </c>
      <c r="D326" t="s">
        <v>22</v>
      </c>
      <c r="E326" t="s">
        <v>26</v>
      </c>
      <c r="F326" t="s">
        <v>27</v>
      </c>
      <c r="G326" t="str">
        <f t="shared" si="15"/>
        <v>Monday</v>
      </c>
      <c r="H326" t="str">
        <f t="shared" si="16"/>
        <v>Jan</v>
      </c>
      <c r="I326" s="1">
        <v>43482</v>
      </c>
      <c r="J326" s="1" t="str">
        <f t="shared" si="17"/>
        <v>Afternoon</v>
      </c>
      <c r="K326" s="2">
        <v>0.53333333333333333</v>
      </c>
      <c r="L326" t="s">
        <v>28</v>
      </c>
      <c r="M326">
        <v>6.4560000000000004</v>
      </c>
      <c r="N326">
        <v>9.4</v>
      </c>
    </row>
    <row r="327" spans="1:14" x14ac:dyDescent="0.25">
      <c r="A327" t="s">
        <v>356</v>
      </c>
      <c r="B327" t="s">
        <v>37</v>
      </c>
      <c r="C327" t="s">
        <v>38</v>
      </c>
      <c r="D327" t="s">
        <v>22</v>
      </c>
      <c r="E327" t="s">
        <v>26</v>
      </c>
      <c r="F327" t="s">
        <v>31</v>
      </c>
      <c r="G327" t="str">
        <f t="shared" si="15"/>
        <v>Tuesday</v>
      </c>
      <c r="H327" t="str">
        <f t="shared" si="16"/>
        <v>Mar</v>
      </c>
      <c r="I327" s="1">
        <v>43536</v>
      </c>
      <c r="J327" s="1" t="str">
        <f t="shared" si="17"/>
        <v>Evening</v>
      </c>
      <c r="K327" s="2">
        <v>0.82847222222222217</v>
      </c>
      <c r="L327" t="s">
        <v>18</v>
      </c>
      <c r="M327">
        <v>19.547999999999998</v>
      </c>
      <c r="N327">
        <v>6.4</v>
      </c>
    </row>
    <row r="328" spans="1:14" x14ac:dyDescent="0.25">
      <c r="A328" t="s">
        <v>357</v>
      </c>
      <c r="B328" t="s">
        <v>13</v>
      </c>
      <c r="C328" t="s">
        <v>14</v>
      </c>
      <c r="D328" t="s">
        <v>15</v>
      </c>
      <c r="E328" t="s">
        <v>26</v>
      </c>
      <c r="F328" t="s">
        <v>39</v>
      </c>
      <c r="G328" t="str">
        <f t="shared" si="15"/>
        <v>Tuesday</v>
      </c>
      <c r="H328" t="str">
        <f t="shared" si="16"/>
        <v>Mar</v>
      </c>
      <c r="I328" s="1">
        <v>43533</v>
      </c>
      <c r="J328" s="1" t="str">
        <f t="shared" si="17"/>
        <v>Evening</v>
      </c>
      <c r="K328" s="2">
        <v>0.79791666666666661</v>
      </c>
      <c r="L328" t="s">
        <v>24</v>
      </c>
      <c r="M328">
        <v>24.945</v>
      </c>
      <c r="N328">
        <v>5.4</v>
      </c>
    </row>
    <row r="329" spans="1:14" x14ac:dyDescent="0.25">
      <c r="A329" t="s">
        <v>358</v>
      </c>
      <c r="B329" t="s">
        <v>20</v>
      </c>
      <c r="C329" t="s">
        <v>21</v>
      </c>
      <c r="D329" t="s">
        <v>15</v>
      </c>
      <c r="E329" t="s">
        <v>26</v>
      </c>
      <c r="F329" t="s">
        <v>39</v>
      </c>
      <c r="G329" t="str">
        <f t="shared" si="15"/>
        <v>Tuesday</v>
      </c>
      <c r="H329" t="str">
        <f t="shared" si="16"/>
        <v>Mar</v>
      </c>
      <c r="I329" s="1">
        <v>43536</v>
      </c>
      <c r="J329" s="1" t="str">
        <f t="shared" si="17"/>
        <v>Evening</v>
      </c>
      <c r="K329" s="2">
        <v>0.6875</v>
      </c>
      <c r="L329" t="s">
        <v>24</v>
      </c>
      <c r="M329">
        <v>18.852</v>
      </c>
      <c r="N329">
        <v>8.6</v>
      </c>
    </row>
    <row r="330" spans="1:14" x14ac:dyDescent="0.25">
      <c r="A330" t="s">
        <v>359</v>
      </c>
      <c r="B330" t="s">
        <v>37</v>
      </c>
      <c r="C330" t="s">
        <v>38</v>
      </c>
      <c r="D330" t="s">
        <v>15</v>
      </c>
      <c r="E330" t="s">
        <v>26</v>
      </c>
      <c r="F330" t="s">
        <v>17</v>
      </c>
      <c r="G330" t="str">
        <f t="shared" si="15"/>
        <v>Tuesday</v>
      </c>
      <c r="H330" t="str">
        <f t="shared" si="16"/>
        <v>Jan</v>
      </c>
      <c r="I330" s="1">
        <v>43490</v>
      </c>
      <c r="J330" s="1" t="str">
        <f t="shared" si="17"/>
        <v>Morning</v>
      </c>
      <c r="K330" s="2">
        <v>0.42430555555555555</v>
      </c>
      <c r="L330" t="s">
        <v>28</v>
      </c>
      <c r="M330">
        <v>10.226000000000001</v>
      </c>
      <c r="N330">
        <v>4</v>
      </c>
    </row>
    <row r="331" spans="1:14" x14ac:dyDescent="0.25">
      <c r="A331" t="s">
        <v>360</v>
      </c>
      <c r="B331" t="s">
        <v>13</v>
      </c>
      <c r="C331" t="s">
        <v>14</v>
      </c>
      <c r="D331" t="s">
        <v>15</v>
      </c>
      <c r="E331" t="s">
        <v>26</v>
      </c>
      <c r="F331" t="s">
        <v>23</v>
      </c>
      <c r="G331" t="str">
        <f t="shared" si="15"/>
        <v>Thursday</v>
      </c>
      <c r="H331" t="str">
        <f t="shared" si="16"/>
        <v>Mar</v>
      </c>
      <c r="I331" s="1">
        <v>43549</v>
      </c>
      <c r="J331" s="1" t="str">
        <f t="shared" si="17"/>
        <v>Afternoon</v>
      </c>
      <c r="K331" s="2">
        <v>0.54652777777777783</v>
      </c>
      <c r="L331" t="s">
        <v>24</v>
      </c>
      <c r="M331">
        <v>7.2720000000000002</v>
      </c>
      <c r="N331">
        <v>7.6</v>
      </c>
    </row>
    <row r="332" spans="1:14" x14ac:dyDescent="0.25">
      <c r="A332" t="s">
        <v>361</v>
      </c>
      <c r="B332" t="s">
        <v>37</v>
      </c>
      <c r="C332" t="s">
        <v>38</v>
      </c>
      <c r="D332" t="s">
        <v>22</v>
      </c>
      <c r="E332" t="s">
        <v>26</v>
      </c>
      <c r="F332" t="s">
        <v>27</v>
      </c>
      <c r="G332" t="str">
        <f t="shared" si="15"/>
        <v>Thursday</v>
      </c>
      <c r="H332" t="str">
        <f t="shared" si="16"/>
        <v>Feb</v>
      </c>
      <c r="I332" s="1">
        <v>43503</v>
      </c>
      <c r="J332" s="1" t="str">
        <f t="shared" si="17"/>
        <v>Evening</v>
      </c>
      <c r="K332" s="2">
        <v>0.78333333333333333</v>
      </c>
      <c r="L332" t="s">
        <v>24</v>
      </c>
      <c r="M332">
        <v>9.9090000000000007</v>
      </c>
      <c r="N332">
        <v>6.8</v>
      </c>
    </row>
    <row r="333" spans="1:14" x14ac:dyDescent="0.25">
      <c r="A333" t="s">
        <v>362</v>
      </c>
      <c r="B333" t="s">
        <v>13</v>
      </c>
      <c r="C333" t="s">
        <v>14</v>
      </c>
      <c r="D333" t="s">
        <v>22</v>
      </c>
      <c r="E333" t="s">
        <v>26</v>
      </c>
      <c r="F333" t="s">
        <v>39</v>
      </c>
      <c r="G333" t="str">
        <f t="shared" si="15"/>
        <v>Saturday</v>
      </c>
      <c r="H333" t="str">
        <f t="shared" si="16"/>
        <v>Feb</v>
      </c>
      <c r="I333" s="1">
        <v>43513</v>
      </c>
      <c r="J333" s="1" t="str">
        <f t="shared" si="17"/>
        <v>Evening</v>
      </c>
      <c r="K333" s="2">
        <v>0.7270833333333333</v>
      </c>
      <c r="L333" t="s">
        <v>28</v>
      </c>
      <c r="M333">
        <v>4.9349999999999996</v>
      </c>
      <c r="N333">
        <v>9.1</v>
      </c>
    </row>
    <row r="334" spans="1:14" x14ac:dyDescent="0.25">
      <c r="A334" t="s">
        <v>363</v>
      </c>
      <c r="B334" t="s">
        <v>13</v>
      </c>
      <c r="C334" t="s">
        <v>14</v>
      </c>
      <c r="D334" t="s">
        <v>22</v>
      </c>
      <c r="E334" t="s">
        <v>26</v>
      </c>
      <c r="F334" t="s">
        <v>41</v>
      </c>
      <c r="G334" t="str">
        <f t="shared" si="15"/>
        <v>Thursday</v>
      </c>
      <c r="H334" t="str">
        <f t="shared" si="16"/>
        <v>Feb</v>
      </c>
      <c r="I334" s="1">
        <v>43499</v>
      </c>
      <c r="J334" s="1" t="str">
        <f t="shared" si="17"/>
        <v>Afternoon</v>
      </c>
      <c r="K334" s="2">
        <v>0.66597222222222219</v>
      </c>
      <c r="L334" t="s">
        <v>24</v>
      </c>
      <c r="M334">
        <v>19.254999999999999</v>
      </c>
      <c r="N334">
        <v>5.5</v>
      </c>
    </row>
    <row r="335" spans="1:14" x14ac:dyDescent="0.25">
      <c r="A335" t="s">
        <v>364</v>
      </c>
      <c r="B335" t="s">
        <v>13</v>
      </c>
      <c r="C335" t="s">
        <v>14</v>
      </c>
      <c r="D335" t="s">
        <v>15</v>
      </c>
      <c r="E335" t="s">
        <v>26</v>
      </c>
      <c r="F335" t="s">
        <v>39</v>
      </c>
      <c r="G335" t="str">
        <f t="shared" si="15"/>
        <v>Tuesday</v>
      </c>
      <c r="H335" t="str">
        <f t="shared" si="16"/>
        <v>Mar</v>
      </c>
      <c r="I335" s="1">
        <v>43538</v>
      </c>
      <c r="J335" s="1" t="str">
        <f t="shared" si="17"/>
        <v>Morning</v>
      </c>
      <c r="K335" s="2">
        <v>0.47291666666666665</v>
      </c>
      <c r="L335" t="s">
        <v>28</v>
      </c>
      <c r="M335">
        <v>2.3479999999999999</v>
      </c>
      <c r="N335">
        <v>7.9</v>
      </c>
    </row>
    <row r="336" spans="1:14" x14ac:dyDescent="0.25">
      <c r="A336" t="s">
        <v>365</v>
      </c>
      <c r="B336" t="s">
        <v>20</v>
      </c>
      <c r="C336" t="s">
        <v>21</v>
      </c>
      <c r="D336" t="s">
        <v>15</v>
      </c>
      <c r="E336" t="s">
        <v>26</v>
      </c>
      <c r="F336" t="s">
        <v>31</v>
      </c>
      <c r="G336" t="str">
        <f t="shared" si="15"/>
        <v>Thursday</v>
      </c>
      <c r="H336" t="str">
        <f t="shared" si="16"/>
        <v>Mar</v>
      </c>
      <c r="I336" s="1">
        <v>43548</v>
      </c>
      <c r="J336" s="1" t="str">
        <f t="shared" si="17"/>
        <v>Afternoon</v>
      </c>
      <c r="K336" s="2">
        <v>0.57500000000000007</v>
      </c>
      <c r="L336" t="s">
        <v>18</v>
      </c>
      <c r="M336">
        <v>3.6749999999999998</v>
      </c>
      <c r="N336">
        <v>8.5</v>
      </c>
    </row>
    <row r="337" spans="1:14" x14ac:dyDescent="0.25">
      <c r="A337" t="s">
        <v>366</v>
      </c>
      <c r="B337" t="s">
        <v>13</v>
      </c>
      <c r="C337" t="s">
        <v>14</v>
      </c>
      <c r="D337" t="s">
        <v>15</v>
      </c>
      <c r="E337" t="s">
        <v>16</v>
      </c>
      <c r="F337" t="s">
        <v>23</v>
      </c>
      <c r="G337" t="str">
        <f t="shared" si="15"/>
        <v>Wednesday</v>
      </c>
      <c r="H337" t="str">
        <f t="shared" si="16"/>
        <v>Mar</v>
      </c>
      <c r="I337" s="1">
        <v>43545</v>
      </c>
      <c r="J337" s="1" t="str">
        <f t="shared" si="17"/>
        <v>Morning</v>
      </c>
      <c r="K337" s="2">
        <v>0.4284722222222222</v>
      </c>
      <c r="L337" t="s">
        <v>28</v>
      </c>
      <c r="M337">
        <v>7.1124999999999998</v>
      </c>
      <c r="N337">
        <v>9.1</v>
      </c>
    </row>
    <row r="338" spans="1:14" x14ac:dyDescent="0.25">
      <c r="A338" t="s">
        <v>367</v>
      </c>
      <c r="B338" t="s">
        <v>13</v>
      </c>
      <c r="C338" t="s">
        <v>14</v>
      </c>
      <c r="D338" t="s">
        <v>22</v>
      </c>
      <c r="E338" t="s">
        <v>26</v>
      </c>
      <c r="F338" t="s">
        <v>41</v>
      </c>
      <c r="G338" t="str">
        <f t="shared" si="15"/>
        <v>Wednesday</v>
      </c>
      <c r="H338" t="str">
        <f t="shared" si="16"/>
        <v>Mar</v>
      </c>
      <c r="I338" s="1">
        <v>43543</v>
      </c>
      <c r="J338" s="1" t="str">
        <f t="shared" si="17"/>
        <v>Afternoon</v>
      </c>
      <c r="K338" s="2">
        <v>0.65902777777777777</v>
      </c>
      <c r="L338" t="s">
        <v>18</v>
      </c>
      <c r="M338">
        <v>34.380000000000003</v>
      </c>
      <c r="N338">
        <v>7.5</v>
      </c>
    </row>
    <row r="339" spans="1:14" x14ac:dyDescent="0.25">
      <c r="A339" t="s">
        <v>368</v>
      </c>
      <c r="B339" t="s">
        <v>37</v>
      </c>
      <c r="C339" t="s">
        <v>38</v>
      </c>
      <c r="D339" t="s">
        <v>22</v>
      </c>
      <c r="E339" t="s">
        <v>16</v>
      </c>
      <c r="F339" t="s">
        <v>31</v>
      </c>
      <c r="G339" t="str">
        <f t="shared" si="15"/>
        <v>Sunday</v>
      </c>
      <c r="H339" t="str">
        <f t="shared" si="16"/>
        <v>Feb</v>
      </c>
      <c r="I339" s="1">
        <v>43520</v>
      </c>
      <c r="J339" s="1" t="str">
        <f t="shared" si="17"/>
        <v>Afternoon</v>
      </c>
      <c r="K339" s="2">
        <v>0.54305555555555551</v>
      </c>
      <c r="L339" t="s">
        <v>24</v>
      </c>
      <c r="M339">
        <v>17.385000000000002</v>
      </c>
      <c r="N339">
        <v>5.2</v>
      </c>
    </row>
    <row r="340" spans="1:14" x14ac:dyDescent="0.25">
      <c r="A340" t="s">
        <v>369</v>
      </c>
      <c r="B340" t="s">
        <v>20</v>
      </c>
      <c r="C340" t="s">
        <v>21</v>
      </c>
      <c r="D340" t="s">
        <v>22</v>
      </c>
      <c r="E340" t="s">
        <v>16</v>
      </c>
      <c r="F340" t="s">
        <v>23</v>
      </c>
      <c r="G340" t="str">
        <f t="shared" si="15"/>
        <v>Thursday</v>
      </c>
      <c r="H340" t="str">
        <f t="shared" si="16"/>
        <v>Mar</v>
      </c>
      <c r="I340" s="1">
        <v>43552</v>
      </c>
      <c r="J340" s="1" t="str">
        <f t="shared" si="17"/>
        <v>Afternoon</v>
      </c>
      <c r="K340" s="2">
        <v>0.54027777777777775</v>
      </c>
      <c r="L340" t="s">
        <v>28</v>
      </c>
      <c r="M340">
        <v>7.1475</v>
      </c>
      <c r="N340">
        <v>9.5</v>
      </c>
    </row>
    <row r="341" spans="1:14" x14ac:dyDescent="0.25">
      <c r="A341" t="s">
        <v>370</v>
      </c>
      <c r="B341" t="s">
        <v>37</v>
      </c>
      <c r="C341" t="s">
        <v>38</v>
      </c>
      <c r="D341" t="s">
        <v>15</v>
      </c>
      <c r="E341" t="s">
        <v>16</v>
      </c>
      <c r="F341" t="s">
        <v>39</v>
      </c>
      <c r="G341" t="str">
        <f t="shared" si="15"/>
        <v>Thursday</v>
      </c>
      <c r="H341" t="str">
        <f t="shared" si="16"/>
        <v>Feb</v>
      </c>
      <c r="I341" s="1">
        <v>43501</v>
      </c>
      <c r="J341" s="1" t="str">
        <f t="shared" si="17"/>
        <v>Afternoon</v>
      </c>
      <c r="K341" s="2">
        <v>0.6430555555555556</v>
      </c>
      <c r="L341" t="s">
        <v>28</v>
      </c>
      <c r="M341">
        <v>19.268999999999998</v>
      </c>
      <c r="N341">
        <v>8.9</v>
      </c>
    </row>
    <row r="342" spans="1:14" x14ac:dyDescent="0.25">
      <c r="A342" t="s">
        <v>371</v>
      </c>
      <c r="B342" t="s">
        <v>37</v>
      </c>
      <c r="C342" t="s">
        <v>38</v>
      </c>
      <c r="D342" t="s">
        <v>15</v>
      </c>
      <c r="E342" t="s">
        <v>26</v>
      </c>
      <c r="F342" t="s">
        <v>23</v>
      </c>
      <c r="G342" t="str">
        <f t="shared" si="15"/>
        <v>Friday</v>
      </c>
      <c r="H342" t="str">
        <f t="shared" si="16"/>
        <v>Feb</v>
      </c>
      <c r="I342" s="1">
        <v>43506</v>
      </c>
      <c r="J342" s="1" t="str">
        <f t="shared" si="17"/>
        <v>Evening</v>
      </c>
      <c r="K342" s="2">
        <v>0.76597222222222217</v>
      </c>
      <c r="L342" t="s">
        <v>28</v>
      </c>
      <c r="M342">
        <v>7.2134999999999998</v>
      </c>
      <c r="N342">
        <v>7.8</v>
      </c>
    </row>
    <row r="343" spans="1:14" x14ac:dyDescent="0.25">
      <c r="A343" t="s">
        <v>372</v>
      </c>
      <c r="B343" t="s">
        <v>37</v>
      </c>
      <c r="C343" t="s">
        <v>38</v>
      </c>
      <c r="D343" t="s">
        <v>15</v>
      </c>
      <c r="E343" t="s">
        <v>16</v>
      </c>
      <c r="F343" t="s">
        <v>17</v>
      </c>
      <c r="G343" t="str">
        <f t="shared" si="15"/>
        <v>Monday</v>
      </c>
      <c r="H343" t="str">
        <f t="shared" si="16"/>
        <v>Mar</v>
      </c>
      <c r="I343" s="1">
        <v>43529</v>
      </c>
      <c r="J343" s="1" t="str">
        <f t="shared" si="17"/>
        <v>Evening</v>
      </c>
      <c r="K343" s="2">
        <v>0.79583333333333339</v>
      </c>
      <c r="L343" t="s">
        <v>18</v>
      </c>
      <c r="M343">
        <v>19.589500000000001</v>
      </c>
      <c r="N343">
        <v>8.9</v>
      </c>
    </row>
    <row r="344" spans="1:14" x14ac:dyDescent="0.25">
      <c r="A344" t="s">
        <v>373</v>
      </c>
      <c r="B344" t="s">
        <v>37</v>
      </c>
      <c r="C344" t="s">
        <v>38</v>
      </c>
      <c r="D344" t="s">
        <v>15</v>
      </c>
      <c r="E344" t="s">
        <v>16</v>
      </c>
      <c r="F344" t="s">
        <v>17</v>
      </c>
      <c r="G344" t="str">
        <f t="shared" si="15"/>
        <v>Friday</v>
      </c>
      <c r="H344" t="str">
        <f t="shared" si="16"/>
        <v>Feb</v>
      </c>
      <c r="I344" s="1">
        <v>43511</v>
      </c>
      <c r="J344" s="1" t="str">
        <f t="shared" si="17"/>
        <v>Evening</v>
      </c>
      <c r="K344" s="2">
        <v>0.84791666666666676</v>
      </c>
      <c r="L344" t="s">
        <v>24</v>
      </c>
      <c r="M344">
        <v>26.914999999999999</v>
      </c>
      <c r="N344">
        <v>7.7</v>
      </c>
    </row>
    <row r="345" spans="1:14" x14ac:dyDescent="0.25">
      <c r="A345" t="s">
        <v>374</v>
      </c>
      <c r="B345" t="s">
        <v>20</v>
      </c>
      <c r="C345" t="s">
        <v>21</v>
      </c>
      <c r="D345" t="s">
        <v>22</v>
      </c>
      <c r="E345" t="s">
        <v>16</v>
      </c>
      <c r="F345" t="s">
        <v>39</v>
      </c>
      <c r="G345" t="str">
        <f t="shared" si="15"/>
        <v>Wednesday</v>
      </c>
      <c r="H345" t="str">
        <f t="shared" si="16"/>
        <v>Jan</v>
      </c>
      <c r="I345" s="1">
        <v>43495</v>
      </c>
      <c r="J345" s="1" t="str">
        <f t="shared" si="17"/>
        <v>Evening</v>
      </c>
      <c r="K345" s="2">
        <v>0.68333333333333324</v>
      </c>
      <c r="L345" t="s">
        <v>18</v>
      </c>
      <c r="M345">
        <v>24.2575</v>
      </c>
      <c r="N345">
        <v>9.3000000000000007</v>
      </c>
    </row>
    <row r="346" spans="1:14" x14ac:dyDescent="0.25">
      <c r="A346" t="s">
        <v>375</v>
      </c>
      <c r="B346" t="s">
        <v>13</v>
      </c>
      <c r="C346" t="s">
        <v>14</v>
      </c>
      <c r="D346" t="s">
        <v>22</v>
      </c>
      <c r="E346" t="s">
        <v>26</v>
      </c>
      <c r="F346" t="s">
        <v>31</v>
      </c>
      <c r="G346" t="str">
        <f t="shared" si="15"/>
        <v>Friday</v>
      </c>
      <c r="H346" t="str">
        <f t="shared" si="16"/>
        <v>Feb</v>
      </c>
      <c r="I346" s="1">
        <v>43510</v>
      </c>
      <c r="J346" s="1" t="str">
        <f t="shared" si="17"/>
        <v>Afternoon</v>
      </c>
      <c r="K346" s="2">
        <v>0.62777777777777777</v>
      </c>
      <c r="L346" t="s">
        <v>24</v>
      </c>
      <c r="M346">
        <v>6.6974999999999998</v>
      </c>
      <c r="N346">
        <v>6.2</v>
      </c>
    </row>
    <row r="347" spans="1:14" x14ac:dyDescent="0.25">
      <c r="A347" t="s">
        <v>376</v>
      </c>
      <c r="B347" t="s">
        <v>13</v>
      </c>
      <c r="C347" t="s">
        <v>14</v>
      </c>
      <c r="D347" t="s">
        <v>22</v>
      </c>
      <c r="E347" t="s">
        <v>16</v>
      </c>
      <c r="F347" t="s">
        <v>41</v>
      </c>
      <c r="G347" t="str">
        <f t="shared" si="15"/>
        <v>Sunday</v>
      </c>
      <c r="H347" t="str">
        <f t="shared" si="16"/>
        <v>Feb</v>
      </c>
      <c r="I347" s="1">
        <v>43523</v>
      </c>
      <c r="J347" s="1" t="str">
        <f t="shared" si="17"/>
        <v>Evening</v>
      </c>
      <c r="K347" s="2">
        <v>0.67361111111111116</v>
      </c>
      <c r="L347" t="s">
        <v>18</v>
      </c>
      <c r="M347">
        <v>35.0685</v>
      </c>
      <c r="N347">
        <v>7.6</v>
      </c>
    </row>
    <row r="348" spans="1:14" x14ac:dyDescent="0.25">
      <c r="A348" t="s">
        <v>377</v>
      </c>
      <c r="B348" t="s">
        <v>13</v>
      </c>
      <c r="C348" t="s">
        <v>14</v>
      </c>
      <c r="D348" t="s">
        <v>15</v>
      </c>
      <c r="E348" t="s">
        <v>26</v>
      </c>
      <c r="F348" t="s">
        <v>23</v>
      </c>
      <c r="G348" t="str">
        <f t="shared" si="15"/>
        <v>Thursday</v>
      </c>
      <c r="H348" t="str">
        <f t="shared" si="16"/>
        <v>Feb</v>
      </c>
      <c r="I348" s="1">
        <v>43500</v>
      </c>
      <c r="J348" s="1" t="str">
        <f t="shared" si="17"/>
        <v>Afternoon</v>
      </c>
      <c r="K348" s="2">
        <v>0.50972222222222219</v>
      </c>
      <c r="L348" t="s">
        <v>24</v>
      </c>
      <c r="M348">
        <v>3.5975000000000001</v>
      </c>
      <c r="N348">
        <v>7.3</v>
      </c>
    </row>
    <row r="349" spans="1:14" x14ac:dyDescent="0.25">
      <c r="A349" t="s">
        <v>378</v>
      </c>
      <c r="B349" t="s">
        <v>20</v>
      </c>
      <c r="C349" t="s">
        <v>21</v>
      </c>
      <c r="D349" t="s">
        <v>15</v>
      </c>
      <c r="E349" t="s">
        <v>16</v>
      </c>
      <c r="F349" t="s">
        <v>27</v>
      </c>
      <c r="G349" t="str">
        <f t="shared" si="15"/>
        <v>Tuesday</v>
      </c>
      <c r="H349" t="str">
        <f t="shared" si="16"/>
        <v>Jan</v>
      </c>
      <c r="I349" s="1">
        <v>43485</v>
      </c>
      <c r="J349" s="1" t="str">
        <f t="shared" si="17"/>
        <v>Morning</v>
      </c>
      <c r="K349" s="2">
        <v>0.42569444444444443</v>
      </c>
      <c r="L349" t="s">
        <v>24</v>
      </c>
      <c r="M349">
        <v>35.700000000000003</v>
      </c>
      <c r="N349">
        <v>4.7</v>
      </c>
    </row>
    <row r="350" spans="1:14" x14ac:dyDescent="0.25">
      <c r="A350" t="s">
        <v>379</v>
      </c>
      <c r="B350" t="s">
        <v>13</v>
      </c>
      <c r="C350" t="s">
        <v>14</v>
      </c>
      <c r="D350" t="s">
        <v>22</v>
      </c>
      <c r="E350" t="s">
        <v>26</v>
      </c>
      <c r="F350" t="s">
        <v>23</v>
      </c>
      <c r="G350" t="str">
        <f t="shared" si="15"/>
        <v>Thursday</v>
      </c>
      <c r="H350" t="str">
        <f t="shared" si="16"/>
        <v>Mar</v>
      </c>
      <c r="I350" s="1">
        <v>43552</v>
      </c>
      <c r="J350" s="1" t="str">
        <f t="shared" si="17"/>
        <v>Evening</v>
      </c>
      <c r="K350" s="2">
        <v>0.73472222222222217</v>
      </c>
      <c r="L350" t="s">
        <v>24</v>
      </c>
      <c r="M350">
        <v>9.1069999999999993</v>
      </c>
      <c r="N350">
        <v>5.0999999999999996</v>
      </c>
    </row>
    <row r="351" spans="1:14" x14ac:dyDescent="0.25">
      <c r="A351" t="s">
        <v>380</v>
      </c>
      <c r="B351" t="s">
        <v>37</v>
      </c>
      <c r="C351" t="s">
        <v>38</v>
      </c>
      <c r="D351" t="s">
        <v>22</v>
      </c>
      <c r="E351" t="s">
        <v>16</v>
      </c>
      <c r="F351" t="s">
        <v>17</v>
      </c>
      <c r="G351" t="str">
        <f t="shared" si="15"/>
        <v>Sunday</v>
      </c>
      <c r="H351" t="str">
        <f t="shared" si="16"/>
        <v>Feb</v>
      </c>
      <c r="I351" s="1">
        <v>43523</v>
      </c>
      <c r="J351" s="1" t="str">
        <f t="shared" si="17"/>
        <v>Morning</v>
      </c>
      <c r="K351" s="2">
        <v>0.46249999999999997</v>
      </c>
      <c r="L351" t="s">
        <v>28</v>
      </c>
      <c r="M351">
        <v>6.75</v>
      </c>
      <c r="N351">
        <v>4.8</v>
      </c>
    </row>
    <row r="352" spans="1:14" x14ac:dyDescent="0.25">
      <c r="A352" t="s">
        <v>381</v>
      </c>
      <c r="B352" t="s">
        <v>20</v>
      </c>
      <c r="C352" t="s">
        <v>21</v>
      </c>
      <c r="D352" t="s">
        <v>15</v>
      </c>
      <c r="E352" t="s">
        <v>16</v>
      </c>
      <c r="F352" t="s">
        <v>41</v>
      </c>
      <c r="G352" t="str">
        <f t="shared" si="15"/>
        <v>Friday</v>
      </c>
      <c r="H352" t="str">
        <f t="shared" si="16"/>
        <v>Feb</v>
      </c>
      <c r="I352" s="1">
        <v>43511</v>
      </c>
      <c r="J352" s="1" t="str">
        <f t="shared" si="17"/>
        <v>Afternoon</v>
      </c>
      <c r="K352" s="2">
        <v>0.62013888888888891</v>
      </c>
      <c r="L352" t="s">
        <v>28</v>
      </c>
      <c r="M352">
        <v>49.65</v>
      </c>
      <c r="N352">
        <v>6.6</v>
      </c>
    </row>
    <row r="353" spans="1:14" x14ac:dyDescent="0.25">
      <c r="A353" t="s">
        <v>382</v>
      </c>
      <c r="B353" t="s">
        <v>13</v>
      </c>
      <c r="C353" t="s">
        <v>14</v>
      </c>
      <c r="D353" t="s">
        <v>22</v>
      </c>
      <c r="E353" t="s">
        <v>26</v>
      </c>
      <c r="F353" t="s">
        <v>23</v>
      </c>
      <c r="G353" t="str">
        <f t="shared" si="15"/>
        <v>Wednesday</v>
      </c>
      <c r="H353" t="str">
        <f t="shared" si="16"/>
        <v>Jan</v>
      </c>
      <c r="I353" s="1">
        <v>43491</v>
      </c>
      <c r="J353" s="1" t="str">
        <f t="shared" si="17"/>
        <v>Evening</v>
      </c>
      <c r="K353" s="2">
        <v>0.76527777777777783</v>
      </c>
      <c r="L353" t="s">
        <v>24</v>
      </c>
      <c r="M353">
        <v>18.0915</v>
      </c>
      <c r="N353">
        <v>5.5</v>
      </c>
    </row>
    <row r="354" spans="1:14" x14ac:dyDescent="0.25">
      <c r="A354" t="s">
        <v>383</v>
      </c>
      <c r="B354" t="s">
        <v>37</v>
      </c>
      <c r="C354" t="s">
        <v>38</v>
      </c>
      <c r="D354" t="s">
        <v>15</v>
      </c>
      <c r="E354" t="s">
        <v>16</v>
      </c>
      <c r="F354" t="s">
        <v>41</v>
      </c>
      <c r="G354" t="str">
        <f t="shared" si="15"/>
        <v>Tuesday</v>
      </c>
      <c r="H354" t="str">
        <f t="shared" si="16"/>
        <v>Mar</v>
      </c>
      <c r="I354" s="1">
        <v>43538</v>
      </c>
      <c r="J354" s="1" t="str">
        <f t="shared" si="17"/>
        <v>Evening</v>
      </c>
      <c r="K354" s="2">
        <v>0.79305555555555562</v>
      </c>
      <c r="L354" t="s">
        <v>28</v>
      </c>
      <c r="M354">
        <v>19.1555</v>
      </c>
      <c r="N354">
        <v>8.5</v>
      </c>
    </row>
    <row r="355" spans="1:14" x14ac:dyDescent="0.25">
      <c r="A355" t="s">
        <v>384</v>
      </c>
      <c r="B355" t="s">
        <v>37</v>
      </c>
      <c r="C355" t="s">
        <v>38</v>
      </c>
      <c r="D355" t="s">
        <v>15</v>
      </c>
      <c r="E355" t="s">
        <v>26</v>
      </c>
      <c r="F355" t="s">
        <v>27</v>
      </c>
      <c r="G355" t="str">
        <f t="shared" si="15"/>
        <v>Monday</v>
      </c>
      <c r="H355" t="str">
        <f t="shared" si="16"/>
        <v>Mar</v>
      </c>
      <c r="I355" s="1">
        <v>43526</v>
      </c>
      <c r="J355" s="1" t="str">
        <f t="shared" si="17"/>
        <v>Afternoon</v>
      </c>
      <c r="K355" s="2">
        <v>0.59444444444444444</v>
      </c>
      <c r="L355" t="s">
        <v>24</v>
      </c>
      <c r="M355">
        <v>12.15</v>
      </c>
      <c r="N355">
        <v>4.8</v>
      </c>
    </row>
    <row r="356" spans="1:14" x14ac:dyDescent="0.25">
      <c r="A356" t="s">
        <v>385</v>
      </c>
      <c r="B356" t="s">
        <v>20</v>
      </c>
      <c r="C356" t="s">
        <v>21</v>
      </c>
      <c r="D356" t="s">
        <v>22</v>
      </c>
      <c r="E356" t="s">
        <v>16</v>
      </c>
      <c r="F356" t="s">
        <v>23</v>
      </c>
      <c r="G356" t="str">
        <f t="shared" si="15"/>
        <v>Monday</v>
      </c>
      <c r="H356" t="str">
        <f t="shared" si="16"/>
        <v>Mar</v>
      </c>
      <c r="I356" s="1">
        <v>43528</v>
      </c>
      <c r="J356" s="1" t="str">
        <f t="shared" si="17"/>
        <v>Afternoon</v>
      </c>
      <c r="K356" s="2">
        <v>0.65555555555555556</v>
      </c>
      <c r="L356" t="s">
        <v>24</v>
      </c>
      <c r="M356">
        <v>1.512</v>
      </c>
      <c r="N356">
        <v>8.4</v>
      </c>
    </row>
    <row r="357" spans="1:14" x14ac:dyDescent="0.25">
      <c r="A357" t="s">
        <v>386</v>
      </c>
      <c r="B357" t="s">
        <v>37</v>
      </c>
      <c r="C357" t="s">
        <v>38</v>
      </c>
      <c r="D357" t="s">
        <v>15</v>
      </c>
      <c r="E357" t="s">
        <v>16</v>
      </c>
      <c r="F357" t="s">
        <v>39</v>
      </c>
      <c r="G357" t="str">
        <f t="shared" si="15"/>
        <v>Sunday</v>
      </c>
      <c r="H357" t="str">
        <f t="shared" si="16"/>
        <v>Jan</v>
      </c>
      <c r="I357" s="1">
        <v>43472</v>
      </c>
      <c r="J357" s="1" t="str">
        <f t="shared" si="17"/>
        <v>Afternoon</v>
      </c>
      <c r="K357" s="2">
        <v>0.51388888888888895</v>
      </c>
      <c r="L357" t="s">
        <v>28</v>
      </c>
      <c r="M357">
        <v>17.827999999999999</v>
      </c>
      <c r="N357">
        <v>7.8</v>
      </c>
    </row>
    <row r="358" spans="1:14" x14ac:dyDescent="0.25">
      <c r="A358" t="s">
        <v>387</v>
      </c>
      <c r="B358" t="s">
        <v>20</v>
      </c>
      <c r="C358" t="s">
        <v>21</v>
      </c>
      <c r="D358" t="s">
        <v>22</v>
      </c>
      <c r="E358" t="s">
        <v>16</v>
      </c>
      <c r="F358" t="s">
        <v>41</v>
      </c>
      <c r="G358" t="str">
        <f t="shared" si="15"/>
        <v>Monday</v>
      </c>
      <c r="H358" t="str">
        <f t="shared" si="16"/>
        <v>Mar</v>
      </c>
      <c r="I358" s="1">
        <v>43532</v>
      </c>
      <c r="J358" s="1" t="str">
        <f t="shared" si="17"/>
        <v>Evening</v>
      </c>
      <c r="K358" s="2">
        <v>0.8340277777777777</v>
      </c>
      <c r="L358" t="s">
        <v>28</v>
      </c>
      <c r="M358">
        <v>18.774999999999999</v>
      </c>
      <c r="N358">
        <v>9.3000000000000007</v>
      </c>
    </row>
    <row r="359" spans="1:14" x14ac:dyDescent="0.25">
      <c r="A359" t="s">
        <v>388</v>
      </c>
      <c r="B359" t="s">
        <v>20</v>
      </c>
      <c r="C359" t="s">
        <v>21</v>
      </c>
      <c r="D359" t="s">
        <v>22</v>
      </c>
      <c r="E359" t="s">
        <v>16</v>
      </c>
      <c r="F359" t="s">
        <v>31</v>
      </c>
      <c r="G359" t="str">
        <f t="shared" si="15"/>
        <v>Sunday</v>
      </c>
      <c r="H359" t="str">
        <f t="shared" si="16"/>
        <v>Jan</v>
      </c>
      <c r="I359" s="1">
        <v>43474</v>
      </c>
      <c r="J359" s="1" t="str">
        <f t="shared" si="17"/>
        <v>Afternoon</v>
      </c>
      <c r="K359" s="2">
        <v>0.57291666666666663</v>
      </c>
      <c r="L359" t="s">
        <v>24</v>
      </c>
      <c r="M359">
        <v>47.72</v>
      </c>
      <c r="N359">
        <v>5.2</v>
      </c>
    </row>
    <row r="360" spans="1:14" x14ac:dyDescent="0.25">
      <c r="A360" t="s">
        <v>389</v>
      </c>
      <c r="B360" t="s">
        <v>37</v>
      </c>
      <c r="C360" t="s">
        <v>38</v>
      </c>
      <c r="D360" t="s">
        <v>22</v>
      </c>
      <c r="E360" t="s">
        <v>26</v>
      </c>
      <c r="F360" t="s">
        <v>23</v>
      </c>
      <c r="G360" t="str">
        <f t="shared" si="15"/>
        <v>Sunday</v>
      </c>
      <c r="H360" t="str">
        <f t="shared" si="16"/>
        <v>Mar</v>
      </c>
      <c r="I360" s="1">
        <v>43525</v>
      </c>
      <c r="J360" s="1" t="str">
        <f t="shared" si="17"/>
        <v>Afternoon</v>
      </c>
      <c r="K360" s="2">
        <v>0.65277777777777779</v>
      </c>
      <c r="L360" t="s">
        <v>18</v>
      </c>
      <c r="M360">
        <v>4.125</v>
      </c>
      <c r="N360">
        <v>6.5</v>
      </c>
    </row>
    <row r="361" spans="1:14" x14ac:dyDescent="0.25">
      <c r="A361" t="s">
        <v>390</v>
      </c>
      <c r="B361" t="s">
        <v>37</v>
      </c>
      <c r="C361" t="s">
        <v>38</v>
      </c>
      <c r="D361" t="s">
        <v>22</v>
      </c>
      <c r="E361" t="s">
        <v>26</v>
      </c>
      <c r="F361" t="s">
        <v>31</v>
      </c>
      <c r="G361" t="str">
        <f t="shared" si="15"/>
        <v>Wednesday</v>
      </c>
      <c r="H361" t="str">
        <f t="shared" si="16"/>
        <v>Mar</v>
      </c>
      <c r="I361" s="1">
        <v>43540</v>
      </c>
      <c r="J361" s="1" t="str">
        <f t="shared" si="17"/>
        <v>Evening</v>
      </c>
      <c r="K361" s="2">
        <v>0.70694444444444438</v>
      </c>
      <c r="L361" t="s">
        <v>24</v>
      </c>
      <c r="M361">
        <v>3.7484999999999999</v>
      </c>
      <c r="N361">
        <v>5.6</v>
      </c>
    </row>
    <row r="362" spans="1:14" x14ac:dyDescent="0.25">
      <c r="A362" t="s">
        <v>391</v>
      </c>
      <c r="B362" t="s">
        <v>13</v>
      </c>
      <c r="C362" t="s">
        <v>14</v>
      </c>
      <c r="D362" t="s">
        <v>15</v>
      </c>
      <c r="E362" t="s">
        <v>26</v>
      </c>
      <c r="F362" t="s">
        <v>39</v>
      </c>
      <c r="G362" t="str">
        <f t="shared" si="15"/>
        <v>Saturday</v>
      </c>
      <c r="H362" t="str">
        <f t="shared" si="16"/>
        <v>Feb</v>
      </c>
      <c r="I362" s="1">
        <v>43513</v>
      </c>
      <c r="J362" s="1" t="str">
        <f t="shared" si="17"/>
        <v>Morning</v>
      </c>
      <c r="K362" s="2">
        <v>0.46666666666666662</v>
      </c>
      <c r="L362" t="s">
        <v>28</v>
      </c>
      <c r="M362">
        <v>32.384</v>
      </c>
      <c r="N362">
        <v>7.4</v>
      </c>
    </row>
    <row r="363" spans="1:14" x14ac:dyDescent="0.25">
      <c r="A363" t="s">
        <v>392</v>
      </c>
      <c r="B363" t="s">
        <v>20</v>
      </c>
      <c r="C363" t="s">
        <v>21</v>
      </c>
      <c r="D363" t="s">
        <v>22</v>
      </c>
      <c r="E363" t="s">
        <v>16</v>
      </c>
      <c r="F363" t="s">
        <v>39</v>
      </c>
      <c r="G363" t="str">
        <f t="shared" si="15"/>
        <v>Sunday</v>
      </c>
      <c r="H363" t="str">
        <f t="shared" si="16"/>
        <v>Feb</v>
      </c>
      <c r="I363" s="1">
        <v>43523</v>
      </c>
      <c r="J363" s="1" t="str">
        <f t="shared" si="17"/>
        <v>Afternoon</v>
      </c>
      <c r="K363" s="2">
        <v>0.6333333333333333</v>
      </c>
      <c r="L363" t="s">
        <v>24</v>
      </c>
      <c r="M363">
        <v>37.787999999999997</v>
      </c>
      <c r="N363">
        <v>9.1</v>
      </c>
    </row>
    <row r="364" spans="1:14" x14ac:dyDescent="0.25">
      <c r="A364" t="s">
        <v>393</v>
      </c>
      <c r="B364" t="s">
        <v>20</v>
      </c>
      <c r="C364" t="s">
        <v>21</v>
      </c>
      <c r="D364" t="s">
        <v>22</v>
      </c>
      <c r="E364" t="s">
        <v>26</v>
      </c>
      <c r="F364" t="s">
        <v>39</v>
      </c>
      <c r="G364" t="str">
        <f t="shared" si="15"/>
        <v>Monday</v>
      </c>
      <c r="H364" t="str">
        <f t="shared" si="16"/>
        <v>Mar</v>
      </c>
      <c r="I364" s="1">
        <v>43531</v>
      </c>
      <c r="J364" s="1" t="str">
        <f t="shared" si="17"/>
        <v>Evening</v>
      </c>
      <c r="K364" s="2">
        <v>0.85902777777777783</v>
      </c>
      <c r="L364" t="s">
        <v>18</v>
      </c>
      <c r="M364">
        <v>9.9789999999999992</v>
      </c>
      <c r="N364">
        <v>8</v>
      </c>
    </row>
    <row r="365" spans="1:14" x14ac:dyDescent="0.25">
      <c r="A365" t="s">
        <v>394</v>
      </c>
      <c r="B365" t="s">
        <v>13</v>
      </c>
      <c r="C365" t="s">
        <v>14</v>
      </c>
      <c r="D365" t="s">
        <v>22</v>
      </c>
      <c r="E365" t="s">
        <v>26</v>
      </c>
      <c r="F365" t="s">
        <v>27</v>
      </c>
      <c r="G365" t="str">
        <f t="shared" si="15"/>
        <v>Tuesday</v>
      </c>
      <c r="H365" t="str">
        <f t="shared" si="16"/>
        <v>Jan</v>
      </c>
      <c r="I365" s="1">
        <v>43486</v>
      </c>
      <c r="J365" s="1" t="str">
        <f t="shared" si="17"/>
        <v>Evening</v>
      </c>
      <c r="K365" s="2">
        <v>0.73888888888888893</v>
      </c>
      <c r="L365" t="s">
        <v>24</v>
      </c>
      <c r="M365">
        <v>21.966000000000001</v>
      </c>
      <c r="N365">
        <v>7.2</v>
      </c>
    </row>
    <row r="366" spans="1:14" x14ac:dyDescent="0.25">
      <c r="A366" t="s">
        <v>395</v>
      </c>
      <c r="B366" t="s">
        <v>20</v>
      </c>
      <c r="C366" t="s">
        <v>21</v>
      </c>
      <c r="D366" t="s">
        <v>22</v>
      </c>
      <c r="E366" t="s">
        <v>16</v>
      </c>
      <c r="F366" t="s">
        <v>39</v>
      </c>
      <c r="G366" t="str">
        <f t="shared" si="15"/>
        <v>Saturday</v>
      </c>
      <c r="H366" t="str">
        <f t="shared" si="16"/>
        <v>Feb</v>
      </c>
      <c r="I366" s="1">
        <v>43515</v>
      </c>
      <c r="J366" s="1" t="str">
        <f t="shared" si="17"/>
        <v>Evening</v>
      </c>
      <c r="K366" s="2">
        <v>0.68263888888888891</v>
      </c>
      <c r="L366" t="s">
        <v>24</v>
      </c>
      <c r="M366">
        <v>8.2479999999999993</v>
      </c>
      <c r="N366">
        <v>7.1</v>
      </c>
    </row>
    <row r="367" spans="1:14" x14ac:dyDescent="0.25">
      <c r="A367" t="s">
        <v>396</v>
      </c>
      <c r="B367" t="s">
        <v>20</v>
      </c>
      <c r="C367" t="s">
        <v>21</v>
      </c>
      <c r="D367" t="s">
        <v>22</v>
      </c>
      <c r="E367" t="s">
        <v>16</v>
      </c>
      <c r="F367" t="s">
        <v>41</v>
      </c>
      <c r="G367" t="str">
        <f t="shared" si="15"/>
        <v>Sunday</v>
      </c>
      <c r="H367" t="str">
        <f t="shared" si="16"/>
        <v>Jan</v>
      </c>
      <c r="I367" s="1">
        <v>43471</v>
      </c>
      <c r="J367" s="1" t="str">
        <f t="shared" si="17"/>
        <v>Afternoon</v>
      </c>
      <c r="K367" s="2">
        <v>0.5083333333333333</v>
      </c>
      <c r="L367" t="s">
        <v>24</v>
      </c>
      <c r="M367">
        <v>16.335999999999999</v>
      </c>
      <c r="N367">
        <v>9.1</v>
      </c>
    </row>
    <row r="368" spans="1:14" x14ac:dyDescent="0.25">
      <c r="A368" t="s">
        <v>397</v>
      </c>
      <c r="B368" t="s">
        <v>20</v>
      </c>
      <c r="C368" t="s">
        <v>21</v>
      </c>
      <c r="D368" t="s">
        <v>22</v>
      </c>
      <c r="E368" t="s">
        <v>16</v>
      </c>
      <c r="F368" t="s">
        <v>23</v>
      </c>
      <c r="G368" t="str">
        <f t="shared" si="15"/>
        <v>Tuesday</v>
      </c>
      <c r="H368" t="str">
        <f t="shared" si="16"/>
        <v>Mar</v>
      </c>
      <c r="I368" s="1">
        <v>43538</v>
      </c>
      <c r="J368" s="1" t="str">
        <f t="shared" si="17"/>
        <v>Evening</v>
      </c>
      <c r="K368" s="2">
        <v>0.81458333333333333</v>
      </c>
      <c r="L368" t="s">
        <v>24</v>
      </c>
      <c r="M368">
        <v>23.094000000000001</v>
      </c>
      <c r="N368">
        <v>5.6</v>
      </c>
    </row>
    <row r="369" spans="1:14" x14ac:dyDescent="0.25">
      <c r="A369" t="s">
        <v>398</v>
      </c>
      <c r="B369" t="s">
        <v>13</v>
      </c>
      <c r="C369" t="s">
        <v>14</v>
      </c>
      <c r="D369" t="s">
        <v>15</v>
      </c>
      <c r="E369" t="s">
        <v>26</v>
      </c>
      <c r="F369" t="s">
        <v>27</v>
      </c>
      <c r="G369" t="str">
        <f t="shared" si="15"/>
        <v>Thursday</v>
      </c>
      <c r="H369" t="str">
        <f t="shared" si="16"/>
        <v>Mar</v>
      </c>
      <c r="I369" s="1">
        <v>43548</v>
      </c>
      <c r="J369" s="1" t="str">
        <f t="shared" si="17"/>
        <v>Morning</v>
      </c>
      <c r="K369" s="2">
        <v>0.4368055555555555</v>
      </c>
      <c r="L369" t="s">
        <v>24</v>
      </c>
      <c r="M369">
        <v>13.188000000000001</v>
      </c>
      <c r="N369">
        <v>6</v>
      </c>
    </row>
    <row r="370" spans="1:14" x14ac:dyDescent="0.25">
      <c r="A370" t="s">
        <v>399</v>
      </c>
      <c r="B370" t="s">
        <v>20</v>
      </c>
      <c r="C370" t="s">
        <v>21</v>
      </c>
      <c r="D370" t="s">
        <v>22</v>
      </c>
      <c r="E370" t="s">
        <v>16</v>
      </c>
      <c r="F370" t="s">
        <v>31</v>
      </c>
      <c r="G370" t="str">
        <f t="shared" si="15"/>
        <v>Wednesday</v>
      </c>
      <c r="H370" t="str">
        <f t="shared" si="16"/>
        <v>Jan</v>
      </c>
      <c r="I370" s="1">
        <v>43492</v>
      </c>
      <c r="J370" s="1" t="str">
        <f t="shared" si="17"/>
        <v>Afternoon</v>
      </c>
      <c r="K370" s="2">
        <v>0.60277777777777775</v>
      </c>
      <c r="L370" t="s">
        <v>24</v>
      </c>
      <c r="M370">
        <v>7.18</v>
      </c>
      <c r="N370">
        <v>5.4</v>
      </c>
    </row>
    <row r="371" spans="1:14" x14ac:dyDescent="0.25">
      <c r="A371" t="s">
        <v>400</v>
      </c>
      <c r="B371" t="s">
        <v>13</v>
      </c>
      <c r="C371" t="s">
        <v>14</v>
      </c>
      <c r="D371" t="s">
        <v>15</v>
      </c>
      <c r="E371" t="s">
        <v>26</v>
      </c>
      <c r="F371" t="s">
        <v>23</v>
      </c>
      <c r="G371" t="str">
        <f t="shared" si="15"/>
        <v>Monday</v>
      </c>
      <c r="H371" t="str">
        <f t="shared" si="16"/>
        <v>Mar</v>
      </c>
      <c r="I371" s="1">
        <v>43530</v>
      </c>
      <c r="J371" s="1" t="str">
        <f t="shared" si="17"/>
        <v>Afternoon</v>
      </c>
      <c r="K371" s="2">
        <v>0.53194444444444444</v>
      </c>
      <c r="L371" t="s">
        <v>28</v>
      </c>
      <c r="M371">
        <v>9.6750000000000007</v>
      </c>
      <c r="N371">
        <v>7.8</v>
      </c>
    </row>
    <row r="372" spans="1:14" x14ac:dyDescent="0.25">
      <c r="A372" t="s">
        <v>401</v>
      </c>
      <c r="B372" t="s">
        <v>37</v>
      </c>
      <c r="C372" t="s">
        <v>38</v>
      </c>
      <c r="D372" t="s">
        <v>15</v>
      </c>
      <c r="E372" t="s">
        <v>16</v>
      </c>
      <c r="F372" t="s">
        <v>23</v>
      </c>
      <c r="G372" t="str">
        <f t="shared" si="15"/>
        <v>Thursday</v>
      </c>
      <c r="H372" t="str">
        <f t="shared" si="16"/>
        <v>Feb</v>
      </c>
      <c r="I372" s="1">
        <v>43498</v>
      </c>
      <c r="J372" s="1" t="str">
        <f t="shared" si="17"/>
        <v>Evening</v>
      </c>
      <c r="K372" s="2">
        <v>0.81944444444444453</v>
      </c>
      <c r="L372" t="s">
        <v>24</v>
      </c>
      <c r="M372">
        <v>9.1910000000000007</v>
      </c>
      <c r="N372">
        <v>9.9</v>
      </c>
    </row>
    <row r="373" spans="1:14" x14ac:dyDescent="0.25">
      <c r="A373" t="s">
        <v>402</v>
      </c>
      <c r="B373" t="s">
        <v>37</v>
      </c>
      <c r="C373" t="s">
        <v>38</v>
      </c>
      <c r="D373" t="s">
        <v>22</v>
      </c>
      <c r="E373" t="s">
        <v>16</v>
      </c>
      <c r="F373" t="s">
        <v>41</v>
      </c>
      <c r="G373" t="str">
        <f t="shared" si="15"/>
        <v>Tuesday</v>
      </c>
      <c r="H373" t="str">
        <f t="shared" si="16"/>
        <v>Jan</v>
      </c>
      <c r="I373" s="1">
        <v>43490</v>
      </c>
      <c r="J373" s="1" t="str">
        <f t="shared" si="17"/>
        <v>Evening</v>
      </c>
      <c r="K373" s="2">
        <v>0.81874999999999998</v>
      </c>
      <c r="L373" t="s">
        <v>28</v>
      </c>
      <c r="M373">
        <v>6.0960000000000001</v>
      </c>
      <c r="N373">
        <v>4.9000000000000004</v>
      </c>
    </row>
    <row r="374" spans="1:14" x14ac:dyDescent="0.25">
      <c r="A374" t="s">
        <v>403</v>
      </c>
      <c r="B374" t="s">
        <v>20</v>
      </c>
      <c r="C374" t="s">
        <v>21</v>
      </c>
      <c r="D374" t="s">
        <v>22</v>
      </c>
      <c r="E374" t="s">
        <v>16</v>
      </c>
      <c r="F374" t="s">
        <v>27</v>
      </c>
      <c r="G374" t="str">
        <f t="shared" si="15"/>
        <v>Tuesday</v>
      </c>
      <c r="H374" t="str">
        <f t="shared" si="16"/>
        <v>Mar</v>
      </c>
      <c r="I374" s="1">
        <v>43538</v>
      </c>
      <c r="J374" s="1" t="str">
        <f t="shared" si="17"/>
        <v>Evening</v>
      </c>
      <c r="K374" s="2">
        <v>0.74583333333333324</v>
      </c>
      <c r="L374" t="s">
        <v>18</v>
      </c>
      <c r="M374">
        <v>21.033000000000001</v>
      </c>
      <c r="N374">
        <v>5.2</v>
      </c>
    </row>
    <row r="375" spans="1:14" x14ac:dyDescent="0.25">
      <c r="A375" t="s">
        <v>404</v>
      </c>
      <c r="B375" t="s">
        <v>20</v>
      </c>
      <c r="C375" t="s">
        <v>21</v>
      </c>
      <c r="D375" t="s">
        <v>22</v>
      </c>
      <c r="E375" t="s">
        <v>26</v>
      </c>
      <c r="F375" t="s">
        <v>41</v>
      </c>
      <c r="G375" t="str">
        <f t="shared" si="15"/>
        <v>Wednesday</v>
      </c>
      <c r="H375" t="str">
        <f t="shared" si="16"/>
        <v>Jan</v>
      </c>
      <c r="I375" s="1">
        <v>43494</v>
      </c>
      <c r="J375" s="1" t="str">
        <f t="shared" si="17"/>
        <v>Afternoon</v>
      </c>
      <c r="K375" s="2">
        <v>0.51736111111111105</v>
      </c>
      <c r="L375" t="s">
        <v>24</v>
      </c>
      <c r="M375">
        <v>12.624000000000001</v>
      </c>
      <c r="N375">
        <v>8.9</v>
      </c>
    </row>
    <row r="376" spans="1:14" x14ac:dyDescent="0.25">
      <c r="A376" t="s">
        <v>405</v>
      </c>
      <c r="B376" t="s">
        <v>13</v>
      </c>
      <c r="C376" t="s">
        <v>14</v>
      </c>
      <c r="D376" t="s">
        <v>22</v>
      </c>
      <c r="E376" t="s">
        <v>16</v>
      </c>
      <c r="F376" t="s">
        <v>27</v>
      </c>
      <c r="G376" t="str">
        <f t="shared" si="15"/>
        <v>Saturday</v>
      </c>
      <c r="H376" t="str">
        <f t="shared" si="16"/>
        <v>Jan</v>
      </c>
      <c r="I376" s="1">
        <v>43468</v>
      </c>
      <c r="J376" s="1" t="str">
        <f t="shared" si="17"/>
        <v>Evening</v>
      </c>
      <c r="K376" s="2">
        <v>0.69930555555555562</v>
      </c>
      <c r="L376" t="s">
        <v>28</v>
      </c>
      <c r="M376">
        <v>16.772500000000001</v>
      </c>
      <c r="N376">
        <v>9.1</v>
      </c>
    </row>
    <row r="377" spans="1:14" x14ac:dyDescent="0.25">
      <c r="A377" t="s">
        <v>406</v>
      </c>
      <c r="B377" t="s">
        <v>13</v>
      </c>
      <c r="C377" t="s">
        <v>14</v>
      </c>
      <c r="D377" t="s">
        <v>15</v>
      </c>
      <c r="E377" t="s">
        <v>16</v>
      </c>
      <c r="F377" t="s">
        <v>41</v>
      </c>
      <c r="G377" t="str">
        <f t="shared" si="15"/>
        <v>Monday</v>
      </c>
      <c r="H377" t="str">
        <f t="shared" si="16"/>
        <v>Jan</v>
      </c>
      <c r="I377" s="1">
        <v>43479</v>
      </c>
      <c r="J377" s="1" t="str">
        <f t="shared" si="17"/>
        <v>Afternoon</v>
      </c>
      <c r="K377" s="2">
        <v>0.53611111111111109</v>
      </c>
      <c r="L377" t="s">
        <v>18</v>
      </c>
      <c r="M377">
        <v>24.175000000000001</v>
      </c>
      <c r="N377">
        <v>7</v>
      </c>
    </row>
    <row r="378" spans="1:14" x14ac:dyDescent="0.25">
      <c r="A378" t="s">
        <v>407</v>
      </c>
      <c r="B378" t="s">
        <v>37</v>
      </c>
      <c r="C378" t="s">
        <v>38</v>
      </c>
      <c r="D378" t="s">
        <v>15</v>
      </c>
      <c r="E378" t="s">
        <v>16</v>
      </c>
      <c r="F378" t="s">
        <v>27</v>
      </c>
      <c r="G378" t="str">
        <f t="shared" si="15"/>
        <v>Sunday</v>
      </c>
      <c r="H378" t="str">
        <f t="shared" si="16"/>
        <v>Jan</v>
      </c>
      <c r="I378" s="1">
        <v>43470</v>
      </c>
      <c r="J378" s="1" t="str">
        <f t="shared" si="17"/>
        <v>Evening</v>
      </c>
      <c r="K378" s="2">
        <v>0.82638888888888884</v>
      </c>
      <c r="L378" t="s">
        <v>28</v>
      </c>
      <c r="M378">
        <v>15.920999999999999</v>
      </c>
      <c r="N378">
        <v>9.6</v>
      </c>
    </row>
    <row r="379" spans="1:14" x14ac:dyDescent="0.25">
      <c r="A379" t="s">
        <v>408</v>
      </c>
      <c r="B379" t="s">
        <v>20</v>
      </c>
      <c r="C379" t="s">
        <v>21</v>
      </c>
      <c r="D379" t="s">
        <v>22</v>
      </c>
      <c r="E379" t="s">
        <v>26</v>
      </c>
      <c r="F379" t="s">
        <v>31</v>
      </c>
      <c r="G379" t="str">
        <f t="shared" si="15"/>
        <v>Saturday</v>
      </c>
      <c r="H379" t="str">
        <f t="shared" si="16"/>
        <v>Feb</v>
      </c>
      <c r="I379" s="1">
        <v>43518</v>
      </c>
      <c r="J379" s="1" t="str">
        <f t="shared" si="17"/>
        <v>Evening</v>
      </c>
      <c r="K379" s="2">
        <v>0.76180555555555562</v>
      </c>
      <c r="L379" t="s">
        <v>18</v>
      </c>
      <c r="M379">
        <v>33.421500000000002</v>
      </c>
      <c r="N379">
        <v>8.6999999999999993</v>
      </c>
    </row>
    <row r="380" spans="1:14" x14ac:dyDescent="0.25">
      <c r="A380" t="s">
        <v>409</v>
      </c>
      <c r="B380" t="s">
        <v>20</v>
      </c>
      <c r="C380" t="s">
        <v>21</v>
      </c>
      <c r="D380" t="s">
        <v>15</v>
      </c>
      <c r="E380" t="s">
        <v>26</v>
      </c>
      <c r="F380" t="s">
        <v>41</v>
      </c>
      <c r="G380" t="str">
        <f t="shared" si="15"/>
        <v>Thursday</v>
      </c>
      <c r="H380" t="str">
        <f t="shared" si="16"/>
        <v>Feb</v>
      </c>
      <c r="I380" s="1">
        <v>43502</v>
      </c>
      <c r="J380" s="1" t="str">
        <f t="shared" si="17"/>
        <v>Evening</v>
      </c>
      <c r="K380" s="2">
        <v>0.72222222222222221</v>
      </c>
      <c r="L380" t="s">
        <v>18</v>
      </c>
      <c r="M380">
        <v>19.396000000000001</v>
      </c>
      <c r="N380">
        <v>9.4</v>
      </c>
    </row>
    <row r="381" spans="1:14" x14ac:dyDescent="0.25">
      <c r="A381" t="s">
        <v>410</v>
      </c>
      <c r="B381" t="s">
        <v>37</v>
      </c>
      <c r="C381" t="s">
        <v>38</v>
      </c>
      <c r="D381" t="s">
        <v>22</v>
      </c>
      <c r="E381" t="s">
        <v>16</v>
      </c>
      <c r="F381" t="s">
        <v>23</v>
      </c>
      <c r="G381" t="str">
        <f t="shared" si="15"/>
        <v>Wednesday</v>
      </c>
      <c r="H381" t="str">
        <f t="shared" si="16"/>
        <v>Jan</v>
      </c>
      <c r="I381" s="1">
        <v>43495</v>
      </c>
      <c r="J381" s="1" t="str">
        <f t="shared" si="17"/>
        <v>Afternoon</v>
      </c>
      <c r="K381" s="2">
        <v>0.56388888888888888</v>
      </c>
      <c r="L381" t="s">
        <v>28</v>
      </c>
      <c r="M381">
        <v>4.7300000000000004</v>
      </c>
      <c r="N381">
        <v>4</v>
      </c>
    </row>
    <row r="382" spans="1:14" x14ac:dyDescent="0.25">
      <c r="A382" t="s">
        <v>411</v>
      </c>
      <c r="B382" t="s">
        <v>13</v>
      </c>
      <c r="C382" t="s">
        <v>14</v>
      </c>
      <c r="D382" t="s">
        <v>15</v>
      </c>
      <c r="E382" t="s">
        <v>26</v>
      </c>
      <c r="F382" t="s">
        <v>31</v>
      </c>
      <c r="G382" t="str">
        <f t="shared" si="15"/>
        <v>Sunday</v>
      </c>
      <c r="H382" t="str">
        <f t="shared" si="16"/>
        <v>Jan</v>
      </c>
      <c r="I382" s="1">
        <v>43476</v>
      </c>
      <c r="J382" s="1" t="str">
        <f t="shared" si="17"/>
        <v>Morning</v>
      </c>
      <c r="K382" s="2">
        <v>0.44236111111111115</v>
      </c>
      <c r="L382" t="s">
        <v>28</v>
      </c>
      <c r="M382">
        <v>16.466000000000001</v>
      </c>
      <c r="N382">
        <v>7.5</v>
      </c>
    </row>
    <row r="383" spans="1:14" x14ac:dyDescent="0.25">
      <c r="A383" t="s">
        <v>412</v>
      </c>
      <c r="B383" t="s">
        <v>20</v>
      </c>
      <c r="C383" t="s">
        <v>21</v>
      </c>
      <c r="D383" t="s">
        <v>22</v>
      </c>
      <c r="E383" t="s">
        <v>16</v>
      </c>
      <c r="F383" t="s">
        <v>23</v>
      </c>
      <c r="G383" t="str">
        <f t="shared" si="15"/>
        <v>Wednesday</v>
      </c>
      <c r="H383" t="str">
        <f t="shared" si="16"/>
        <v>Mar</v>
      </c>
      <c r="I383" s="1">
        <v>43543</v>
      </c>
      <c r="J383" s="1" t="str">
        <f t="shared" si="17"/>
        <v>Afternoon</v>
      </c>
      <c r="K383" s="2">
        <v>0.60763888888888895</v>
      </c>
      <c r="L383" t="s">
        <v>24</v>
      </c>
      <c r="M383">
        <v>2.661</v>
      </c>
      <c r="N383">
        <v>4.2</v>
      </c>
    </row>
    <row r="384" spans="1:14" x14ac:dyDescent="0.25">
      <c r="A384" t="s">
        <v>413</v>
      </c>
      <c r="B384" t="s">
        <v>37</v>
      </c>
      <c r="C384" t="s">
        <v>38</v>
      </c>
      <c r="D384" t="s">
        <v>22</v>
      </c>
      <c r="E384" t="s">
        <v>16</v>
      </c>
      <c r="F384" t="s">
        <v>39</v>
      </c>
      <c r="G384" t="str">
        <f t="shared" si="15"/>
        <v>Monday</v>
      </c>
      <c r="H384" t="str">
        <f t="shared" si="16"/>
        <v>Jan</v>
      </c>
      <c r="I384" s="1">
        <v>43479</v>
      </c>
      <c r="J384" s="1" t="str">
        <f t="shared" si="17"/>
        <v>Afternoon</v>
      </c>
      <c r="K384" s="2">
        <v>0.50624999999999998</v>
      </c>
      <c r="L384" t="s">
        <v>24</v>
      </c>
      <c r="M384">
        <v>24.922499999999999</v>
      </c>
      <c r="N384">
        <v>9.9</v>
      </c>
    </row>
    <row r="385" spans="1:14" x14ac:dyDescent="0.25">
      <c r="A385" t="s">
        <v>414</v>
      </c>
      <c r="B385" t="s">
        <v>20</v>
      </c>
      <c r="C385" t="s">
        <v>21</v>
      </c>
      <c r="D385" t="s">
        <v>15</v>
      </c>
      <c r="E385" t="s">
        <v>16</v>
      </c>
      <c r="F385" t="s">
        <v>39</v>
      </c>
      <c r="G385" t="str">
        <f t="shared" si="15"/>
        <v>Sunday</v>
      </c>
      <c r="H385" t="str">
        <f t="shared" si="16"/>
        <v>Mar</v>
      </c>
      <c r="I385" s="1">
        <v>43525</v>
      </c>
      <c r="J385" s="1" t="str">
        <f t="shared" si="17"/>
        <v>Afternoon</v>
      </c>
      <c r="K385" s="2">
        <v>0.64722222222222225</v>
      </c>
      <c r="L385" t="s">
        <v>18</v>
      </c>
      <c r="M385">
        <v>14.978</v>
      </c>
      <c r="N385">
        <v>4.2</v>
      </c>
    </row>
    <row r="386" spans="1:14" x14ac:dyDescent="0.25">
      <c r="A386" t="s">
        <v>415</v>
      </c>
      <c r="B386" t="s">
        <v>13</v>
      </c>
      <c r="C386" t="s">
        <v>14</v>
      </c>
      <c r="D386" t="s">
        <v>22</v>
      </c>
      <c r="E386" t="s">
        <v>16</v>
      </c>
      <c r="F386" t="s">
        <v>39</v>
      </c>
      <c r="G386" t="str">
        <f t="shared" si="15"/>
        <v>Sunday</v>
      </c>
      <c r="H386" t="str">
        <f t="shared" si="16"/>
        <v>Jan</v>
      </c>
      <c r="I386" s="1">
        <v>43471</v>
      </c>
      <c r="J386" s="1" t="str">
        <f t="shared" si="17"/>
        <v>Afternoon</v>
      </c>
      <c r="K386" s="2">
        <v>0.58194444444444449</v>
      </c>
      <c r="L386" t="s">
        <v>18</v>
      </c>
      <c r="M386">
        <v>10.234999999999999</v>
      </c>
      <c r="N386">
        <v>9.9</v>
      </c>
    </row>
    <row r="387" spans="1:14" x14ac:dyDescent="0.25">
      <c r="A387" t="s">
        <v>416</v>
      </c>
      <c r="B387" t="s">
        <v>37</v>
      </c>
      <c r="C387" t="s">
        <v>38</v>
      </c>
      <c r="D387" t="s">
        <v>15</v>
      </c>
      <c r="E387" t="s">
        <v>26</v>
      </c>
      <c r="F387" t="s">
        <v>31</v>
      </c>
      <c r="G387" t="str">
        <f t="shared" ref="G387:G450" si="18">TEXT(I387/7,"dddd")</f>
        <v>Wednesday</v>
      </c>
      <c r="H387" t="str">
        <f t="shared" ref="H387:H450" si="19">TEXT(I387,"mmm")</f>
        <v>Jan</v>
      </c>
      <c r="I387" s="1">
        <v>43496</v>
      </c>
      <c r="J387" s="1" t="str">
        <f t="shared" ref="J387:J450" si="20">IF(AND(K387&gt;=TIME(9,0,0),K387&lt;TIME(12,0,0)),"Morning",IF(AND(K387&gt;=TIME(12,0,0),K387&lt;TIME(16,0,0)),"Afternoon","Evening"))</f>
        <v>Afternoon</v>
      </c>
      <c r="K387" s="2">
        <v>0.55486111111111114</v>
      </c>
      <c r="L387" t="s">
        <v>24</v>
      </c>
      <c r="M387">
        <v>3.7909999999999999</v>
      </c>
      <c r="N387">
        <v>5.8</v>
      </c>
    </row>
    <row r="388" spans="1:14" x14ac:dyDescent="0.25">
      <c r="A388" t="s">
        <v>417</v>
      </c>
      <c r="B388" t="s">
        <v>20</v>
      </c>
      <c r="C388" t="s">
        <v>21</v>
      </c>
      <c r="D388" t="s">
        <v>22</v>
      </c>
      <c r="E388" t="s">
        <v>26</v>
      </c>
      <c r="F388" t="s">
        <v>39</v>
      </c>
      <c r="G388" t="str">
        <f t="shared" si="18"/>
        <v>Tuesday</v>
      </c>
      <c r="H388" t="str">
        <f t="shared" si="19"/>
        <v>Mar</v>
      </c>
      <c r="I388" s="1">
        <v>43535</v>
      </c>
      <c r="J388" s="1" t="str">
        <f t="shared" si="20"/>
        <v>Afternoon</v>
      </c>
      <c r="K388" s="2">
        <v>0.56736111111111109</v>
      </c>
      <c r="L388" t="s">
        <v>24</v>
      </c>
      <c r="M388">
        <v>14.031000000000001</v>
      </c>
      <c r="N388">
        <v>6</v>
      </c>
    </row>
    <row r="389" spans="1:14" x14ac:dyDescent="0.25">
      <c r="A389" t="s">
        <v>418</v>
      </c>
      <c r="B389" t="s">
        <v>13</v>
      </c>
      <c r="C389" t="s">
        <v>14</v>
      </c>
      <c r="D389" t="s">
        <v>22</v>
      </c>
      <c r="E389" t="s">
        <v>16</v>
      </c>
      <c r="F389" t="s">
        <v>17</v>
      </c>
      <c r="G389" t="str">
        <f t="shared" si="18"/>
        <v>Saturday</v>
      </c>
      <c r="H389" t="str">
        <f t="shared" si="19"/>
        <v>Feb</v>
      </c>
      <c r="I389" s="1">
        <v>43516</v>
      </c>
      <c r="J389" s="1" t="str">
        <f t="shared" si="20"/>
        <v>Evening</v>
      </c>
      <c r="K389" s="2">
        <v>0.7006944444444444</v>
      </c>
      <c r="L389" t="s">
        <v>28</v>
      </c>
      <c r="M389">
        <v>16.16</v>
      </c>
      <c r="N389">
        <v>10</v>
      </c>
    </row>
    <row r="390" spans="1:14" x14ac:dyDescent="0.25">
      <c r="A390" t="s">
        <v>419</v>
      </c>
      <c r="B390" t="s">
        <v>20</v>
      </c>
      <c r="C390" t="s">
        <v>21</v>
      </c>
      <c r="D390" t="s">
        <v>15</v>
      </c>
      <c r="E390" t="s">
        <v>16</v>
      </c>
      <c r="F390" t="s">
        <v>41</v>
      </c>
      <c r="G390" t="str">
        <f t="shared" si="18"/>
        <v>Wednesday</v>
      </c>
      <c r="H390" t="str">
        <f t="shared" si="19"/>
        <v>Jan</v>
      </c>
      <c r="I390" s="1">
        <v>43492</v>
      </c>
      <c r="J390" s="1" t="str">
        <f t="shared" si="20"/>
        <v>Afternoon</v>
      </c>
      <c r="K390" s="2">
        <v>0.62152777777777779</v>
      </c>
      <c r="L390" t="s">
        <v>18</v>
      </c>
      <c r="M390">
        <v>24.331499999999998</v>
      </c>
      <c r="N390">
        <v>9.5</v>
      </c>
    </row>
    <row r="391" spans="1:14" x14ac:dyDescent="0.25">
      <c r="A391" t="s">
        <v>420</v>
      </c>
      <c r="B391" t="s">
        <v>37</v>
      </c>
      <c r="C391" t="s">
        <v>38</v>
      </c>
      <c r="D391" t="s">
        <v>22</v>
      </c>
      <c r="E391" t="s">
        <v>26</v>
      </c>
      <c r="F391" t="s">
        <v>39</v>
      </c>
      <c r="G391" t="str">
        <f t="shared" si="18"/>
        <v>Tuesday</v>
      </c>
      <c r="H391" t="str">
        <f t="shared" si="19"/>
        <v>Mar</v>
      </c>
      <c r="I391" s="1">
        <v>43534</v>
      </c>
      <c r="J391" s="1" t="str">
        <f t="shared" si="20"/>
        <v>Afternoon</v>
      </c>
      <c r="K391" s="2">
        <v>0.58611111111111114</v>
      </c>
      <c r="L391" t="s">
        <v>28</v>
      </c>
      <c r="M391">
        <v>6.3769999999999998</v>
      </c>
      <c r="N391">
        <v>6.6</v>
      </c>
    </row>
    <row r="392" spans="1:14" x14ac:dyDescent="0.25">
      <c r="A392" t="s">
        <v>421</v>
      </c>
      <c r="B392" t="s">
        <v>20</v>
      </c>
      <c r="C392" t="s">
        <v>21</v>
      </c>
      <c r="D392" t="s">
        <v>15</v>
      </c>
      <c r="E392" t="s">
        <v>16</v>
      </c>
      <c r="F392" t="s">
        <v>41</v>
      </c>
      <c r="G392" t="str">
        <f t="shared" si="18"/>
        <v>Friday</v>
      </c>
      <c r="H392" t="str">
        <f t="shared" si="19"/>
        <v>Feb</v>
      </c>
      <c r="I392" s="1">
        <v>43511</v>
      </c>
      <c r="J392" s="1" t="str">
        <f t="shared" si="20"/>
        <v>Afternoon</v>
      </c>
      <c r="K392" s="2">
        <v>0.52152777777777781</v>
      </c>
      <c r="L392" t="s">
        <v>24</v>
      </c>
      <c r="M392">
        <v>12.071999999999999</v>
      </c>
      <c r="N392">
        <v>8.1</v>
      </c>
    </row>
    <row r="393" spans="1:14" x14ac:dyDescent="0.25">
      <c r="A393" t="s">
        <v>422</v>
      </c>
      <c r="B393" t="s">
        <v>37</v>
      </c>
      <c r="C393" t="s">
        <v>38</v>
      </c>
      <c r="D393" t="s">
        <v>22</v>
      </c>
      <c r="E393" t="s">
        <v>16</v>
      </c>
      <c r="F393" t="s">
        <v>41</v>
      </c>
      <c r="G393" t="str">
        <f t="shared" si="18"/>
        <v>Wednesday</v>
      </c>
      <c r="H393" t="str">
        <f t="shared" si="19"/>
        <v>Jan</v>
      </c>
      <c r="I393" s="1">
        <v>43491</v>
      </c>
      <c r="J393" s="1" t="str">
        <f t="shared" si="20"/>
        <v>Afternoon</v>
      </c>
      <c r="K393" s="2">
        <v>0.61875000000000002</v>
      </c>
      <c r="L393" t="s">
        <v>24</v>
      </c>
      <c r="M393">
        <v>18.975000000000001</v>
      </c>
      <c r="N393">
        <v>9.6999999999999993</v>
      </c>
    </row>
    <row r="394" spans="1:14" x14ac:dyDescent="0.25">
      <c r="A394" t="s">
        <v>423</v>
      </c>
      <c r="B394" t="s">
        <v>13</v>
      </c>
      <c r="C394" t="s">
        <v>14</v>
      </c>
      <c r="D394" t="s">
        <v>15</v>
      </c>
      <c r="E394" t="s">
        <v>26</v>
      </c>
      <c r="F394" t="s">
        <v>23</v>
      </c>
      <c r="G394" t="str">
        <f t="shared" si="18"/>
        <v>Friday</v>
      </c>
      <c r="H394" t="str">
        <f t="shared" si="19"/>
        <v>Feb</v>
      </c>
      <c r="I394" s="1">
        <v>43509</v>
      </c>
      <c r="J394" s="1" t="str">
        <f t="shared" si="20"/>
        <v>Evening</v>
      </c>
      <c r="K394" s="2">
        <v>0.76874999999999993</v>
      </c>
      <c r="L394" t="s">
        <v>18</v>
      </c>
      <c r="M394">
        <v>3.8410000000000002</v>
      </c>
      <c r="N394">
        <v>7.2</v>
      </c>
    </row>
    <row r="395" spans="1:14" x14ac:dyDescent="0.25">
      <c r="A395" t="s">
        <v>424</v>
      </c>
      <c r="B395" t="s">
        <v>13</v>
      </c>
      <c r="C395" t="s">
        <v>14</v>
      </c>
      <c r="D395" t="s">
        <v>15</v>
      </c>
      <c r="E395" t="s">
        <v>16</v>
      </c>
      <c r="F395" t="s">
        <v>31</v>
      </c>
      <c r="G395" t="str">
        <f t="shared" si="18"/>
        <v>Tuesday</v>
      </c>
      <c r="H395" t="str">
        <f t="shared" si="19"/>
        <v>Mar</v>
      </c>
      <c r="I395" s="1">
        <v>43533</v>
      </c>
      <c r="J395" s="1" t="str">
        <f t="shared" si="20"/>
        <v>Afternoon</v>
      </c>
      <c r="K395" s="2">
        <v>0.53125</v>
      </c>
      <c r="L395" t="s">
        <v>28</v>
      </c>
      <c r="M395">
        <v>26.13</v>
      </c>
      <c r="N395">
        <v>6.2</v>
      </c>
    </row>
    <row r="396" spans="1:14" x14ac:dyDescent="0.25">
      <c r="A396" t="s">
        <v>425</v>
      </c>
      <c r="B396" t="s">
        <v>13</v>
      </c>
      <c r="C396" t="s">
        <v>14</v>
      </c>
      <c r="D396" t="s">
        <v>22</v>
      </c>
      <c r="E396" t="s">
        <v>16</v>
      </c>
      <c r="F396" t="s">
        <v>17</v>
      </c>
      <c r="G396" t="str">
        <f t="shared" si="18"/>
        <v>Monday</v>
      </c>
      <c r="H396" t="str">
        <f t="shared" si="19"/>
        <v>Mar</v>
      </c>
      <c r="I396" s="1">
        <v>43530</v>
      </c>
      <c r="J396" s="1" t="str">
        <f t="shared" si="20"/>
        <v>Morning</v>
      </c>
      <c r="K396" s="2">
        <v>0.44166666666666665</v>
      </c>
      <c r="L396" t="s">
        <v>18</v>
      </c>
      <c r="M396">
        <v>3.9870000000000001</v>
      </c>
      <c r="N396">
        <v>7.3</v>
      </c>
    </row>
    <row r="397" spans="1:14" x14ac:dyDescent="0.25">
      <c r="A397" t="s">
        <v>426</v>
      </c>
      <c r="B397" t="s">
        <v>13</v>
      </c>
      <c r="C397" t="s">
        <v>14</v>
      </c>
      <c r="D397" t="s">
        <v>22</v>
      </c>
      <c r="E397" t="s">
        <v>16</v>
      </c>
      <c r="F397" t="s">
        <v>17</v>
      </c>
      <c r="G397" t="str">
        <f t="shared" si="18"/>
        <v>Tuesday</v>
      </c>
      <c r="H397" t="str">
        <f t="shared" si="19"/>
        <v>Jan</v>
      </c>
      <c r="I397" s="1">
        <v>43489</v>
      </c>
      <c r="J397" s="1" t="str">
        <f t="shared" si="20"/>
        <v>Evening</v>
      </c>
      <c r="K397" s="2">
        <v>0.85833333333333339</v>
      </c>
      <c r="L397" t="s">
        <v>18</v>
      </c>
      <c r="M397">
        <v>19.375</v>
      </c>
      <c r="N397">
        <v>4.3</v>
      </c>
    </row>
    <row r="398" spans="1:14" x14ac:dyDescent="0.25">
      <c r="A398" t="s">
        <v>427</v>
      </c>
      <c r="B398" t="s">
        <v>13</v>
      </c>
      <c r="C398" t="s">
        <v>14</v>
      </c>
      <c r="D398" t="s">
        <v>22</v>
      </c>
      <c r="E398" t="s">
        <v>16</v>
      </c>
      <c r="F398" t="s">
        <v>39</v>
      </c>
      <c r="G398" t="str">
        <f t="shared" si="18"/>
        <v>Tuesday</v>
      </c>
      <c r="H398" t="str">
        <f t="shared" si="19"/>
        <v>Mar</v>
      </c>
      <c r="I398" s="1">
        <v>43537</v>
      </c>
      <c r="J398" s="1" t="str">
        <f t="shared" si="20"/>
        <v>Afternoon</v>
      </c>
      <c r="K398" s="2">
        <v>0.59444444444444444</v>
      </c>
      <c r="L398" t="s">
        <v>18</v>
      </c>
      <c r="M398">
        <v>13.567500000000001</v>
      </c>
      <c r="N398">
        <v>4.5999999999999996</v>
      </c>
    </row>
    <row r="399" spans="1:14" x14ac:dyDescent="0.25">
      <c r="A399" t="s">
        <v>428</v>
      </c>
      <c r="B399" t="s">
        <v>37</v>
      </c>
      <c r="C399" t="s">
        <v>38</v>
      </c>
      <c r="D399" t="s">
        <v>22</v>
      </c>
      <c r="E399" t="s">
        <v>26</v>
      </c>
      <c r="F399" t="s">
        <v>27</v>
      </c>
      <c r="G399" t="str">
        <f t="shared" si="18"/>
        <v>Tuesday</v>
      </c>
      <c r="H399" t="str">
        <f t="shared" si="19"/>
        <v>Mar</v>
      </c>
      <c r="I399" s="1">
        <v>43539</v>
      </c>
      <c r="J399" s="1" t="str">
        <f t="shared" si="20"/>
        <v>Morning</v>
      </c>
      <c r="K399" s="2">
        <v>0.43472222222222223</v>
      </c>
      <c r="L399" t="s">
        <v>24</v>
      </c>
      <c r="M399">
        <v>6.1154999999999999</v>
      </c>
      <c r="N399">
        <v>5.8</v>
      </c>
    </row>
    <row r="400" spans="1:14" x14ac:dyDescent="0.25">
      <c r="A400" t="s">
        <v>429</v>
      </c>
      <c r="B400" t="s">
        <v>37</v>
      </c>
      <c r="C400" t="s">
        <v>38</v>
      </c>
      <c r="D400" t="s">
        <v>15</v>
      </c>
      <c r="E400" t="s">
        <v>16</v>
      </c>
      <c r="F400" t="s">
        <v>17</v>
      </c>
      <c r="G400" t="str">
        <f t="shared" si="18"/>
        <v>Monday</v>
      </c>
      <c r="H400" t="str">
        <f t="shared" si="19"/>
        <v>Mar</v>
      </c>
      <c r="I400" s="1">
        <v>43529</v>
      </c>
      <c r="J400" s="1" t="str">
        <f t="shared" si="20"/>
        <v>Afternoon</v>
      </c>
      <c r="K400" s="2">
        <v>0.5625</v>
      </c>
      <c r="L400" t="s">
        <v>28</v>
      </c>
      <c r="M400">
        <v>12.318</v>
      </c>
      <c r="N400">
        <v>8.3000000000000007</v>
      </c>
    </row>
    <row r="401" spans="1:14" x14ac:dyDescent="0.25">
      <c r="A401" t="s">
        <v>430</v>
      </c>
      <c r="B401" t="s">
        <v>37</v>
      </c>
      <c r="C401" t="s">
        <v>38</v>
      </c>
      <c r="D401" t="s">
        <v>15</v>
      </c>
      <c r="E401" t="s">
        <v>26</v>
      </c>
      <c r="F401" t="s">
        <v>23</v>
      </c>
      <c r="G401" t="str">
        <f t="shared" si="18"/>
        <v>Monday</v>
      </c>
      <c r="H401" t="str">
        <f t="shared" si="19"/>
        <v>Mar</v>
      </c>
      <c r="I401" s="1">
        <v>43528</v>
      </c>
      <c r="J401" s="1" t="str">
        <f t="shared" si="20"/>
        <v>Evening</v>
      </c>
      <c r="K401" s="2">
        <v>0.68611111111111101</v>
      </c>
      <c r="L401" t="s">
        <v>24</v>
      </c>
      <c r="M401">
        <v>8.6579999999999995</v>
      </c>
      <c r="N401">
        <v>8</v>
      </c>
    </row>
    <row r="402" spans="1:14" x14ac:dyDescent="0.25">
      <c r="A402" t="s">
        <v>431</v>
      </c>
      <c r="B402" t="s">
        <v>20</v>
      </c>
      <c r="C402" t="s">
        <v>21</v>
      </c>
      <c r="D402" t="s">
        <v>22</v>
      </c>
      <c r="E402" t="s">
        <v>16</v>
      </c>
      <c r="F402" t="s">
        <v>39</v>
      </c>
      <c r="G402" t="str">
        <f t="shared" si="18"/>
        <v>Thursday</v>
      </c>
      <c r="H402" t="str">
        <f t="shared" si="19"/>
        <v>Mar</v>
      </c>
      <c r="I402" s="1">
        <v>43549</v>
      </c>
      <c r="J402" s="1" t="str">
        <f t="shared" si="20"/>
        <v>Evening</v>
      </c>
      <c r="K402" s="2">
        <v>0.84583333333333333</v>
      </c>
      <c r="L402" t="s">
        <v>28</v>
      </c>
      <c r="M402">
        <v>11.829000000000001</v>
      </c>
      <c r="N402">
        <v>9.4</v>
      </c>
    </row>
    <row r="403" spans="1:14" x14ac:dyDescent="0.25">
      <c r="A403" t="s">
        <v>432</v>
      </c>
      <c r="B403" t="s">
        <v>20</v>
      </c>
      <c r="C403" t="s">
        <v>21</v>
      </c>
      <c r="D403" t="s">
        <v>22</v>
      </c>
      <c r="E403" t="s">
        <v>26</v>
      </c>
      <c r="F403" t="s">
        <v>27</v>
      </c>
      <c r="G403" t="str">
        <f t="shared" si="18"/>
        <v>Tuesday</v>
      </c>
      <c r="H403" t="str">
        <f t="shared" si="19"/>
        <v>Mar</v>
      </c>
      <c r="I403" s="1">
        <v>43536</v>
      </c>
      <c r="J403" s="1" t="str">
        <f t="shared" si="20"/>
        <v>Evening</v>
      </c>
      <c r="K403" s="2">
        <v>0.83611111111111114</v>
      </c>
      <c r="L403" t="s">
        <v>28</v>
      </c>
      <c r="M403">
        <v>9.2439999999999998</v>
      </c>
      <c r="N403">
        <v>6.2</v>
      </c>
    </row>
    <row r="404" spans="1:14" x14ac:dyDescent="0.25">
      <c r="A404" t="s">
        <v>433</v>
      </c>
      <c r="B404" t="s">
        <v>20</v>
      </c>
      <c r="C404" t="s">
        <v>21</v>
      </c>
      <c r="D404" t="s">
        <v>15</v>
      </c>
      <c r="E404" t="s">
        <v>26</v>
      </c>
      <c r="F404" t="s">
        <v>27</v>
      </c>
      <c r="G404" t="str">
        <f t="shared" si="18"/>
        <v>Thursday</v>
      </c>
      <c r="H404" t="str">
        <f t="shared" si="19"/>
        <v>Feb</v>
      </c>
      <c r="I404" s="1">
        <v>43500</v>
      </c>
      <c r="J404" s="1" t="str">
        <f t="shared" si="20"/>
        <v>Afternoon</v>
      </c>
      <c r="K404" s="2">
        <v>0.56805555555555554</v>
      </c>
      <c r="L404" t="s">
        <v>18</v>
      </c>
      <c r="M404">
        <v>0.69899999999999995</v>
      </c>
      <c r="N404">
        <v>9.8000000000000007</v>
      </c>
    </row>
    <row r="405" spans="1:14" x14ac:dyDescent="0.25">
      <c r="A405" t="s">
        <v>434</v>
      </c>
      <c r="B405" t="s">
        <v>37</v>
      </c>
      <c r="C405" t="s">
        <v>38</v>
      </c>
      <c r="D405" t="s">
        <v>22</v>
      </c>
      <c r="E405" t="s">
        <v>16</v>
      </c>
      <c r="F405" t="s">
        <v>41</v>
      </c>
      <c r="G405" t="str">
        <f t="shared" si="18"/>
        <v>Saturday</v>
      </c>
      <c r="H405" t="str">
        <f t="shared" si="19"/>
        <v>Feb</v>
      </c>
      <c r="I405" s="1">
        <v>43518</v>
      </c>
      <c r="J405" s="1" t="str">
        <f t="shared" si="20"/>
        <v>Morning</v>
      </c>
      <c r="K405" s="2">
        <v>0.4465277777777778</v>
      </c>
      <c r="L405" t="s">
        <v>18</v>
      </c>
      <c r="M405">
        <v>9.9375</v>
      </c>
      <c r="N405">
        <v>9.6</v>
      </c>
    </row>
    <row r="406" spans="1:14" x14ac:dyDescent="0.25">
      <c r="A406" t="s">
        <v>435</v>
      </c>
      <c r="B406" t="s">
        <v>20</v>
      </c>
      <c r="C406" t="s">
        <v>21</v>
      </c>
      <c r="D406" t="s">
        <v>15</v>
      </c>
      <c r="E406" t="s">
        <v>16</v>
      </c>
      <c r="F406" t="s">
        <v>41</v>
      </c>
      <c r="G406" t="str">
        <f t="shared" si="18"/>
        <v>Saturday</v>
      </c>
      <c r="H406" t="str">
        <f t="shared" si="19"/>
        <v>Feb</v>
      </c>
      <c r="I406" s="1">
        <v>43512</v>
      </c>
      <c r="J406" s="1" t="str">
        <f t="shared" si="20"/>
        <v>Evening</v>
      </c>
      <c r="K406" s="2">
        <v>0.72916666666666663</v>
      </c>
      <c r="L406" t="s">
        <v>18</v>
      </c>
      <c r="M406">
        <v>34.226500000000001</v>
      </c>
      <c r="N406">
        <v>4.9000000000000004</v>
      </c>
    </row>
    <row r="407" spans="1:14" x14ac:dyDescent="0.25">
      <c r="A407" t="s">
        <v>436</v>
      </c>
      <c r="B407" t="s">
        <v>13</v>
      </c>
      <c r="C407" t="s">
        <v>14</v>
      </c>
      <c r="D407" t="s">
        <v>15</v>
      </c>
      <c r="E407" t="s">
        <v>26</v>
      </c>
      <c r="F407" t="s">
        <v>31</v>
      </c>
      <c r="G407" t="str">
        <f t="shared" si="18"/>
        <v>Tuesday</v>
      </c>
      <c r="H407" t="str">
        <f t="shared" si="19"/>
        <v>Jan</v>
      </c>
      <c r="I407" s="1">
        <v>43484</v>
      </c>
      <c r="J407" s="1" t="str">
        <f t="shared" si="20"/>
        <v>Afternoon</v>
      </c>
      <c r="K407" s="2">
        <v>0.64444444444444449</v>
      </c>
      <c r="L407" t="s">
        <v>28</v>
      </c>
      <c r="M407">
        <v>13.452</v>
      </c>
      <c r="N407">
        <v>8</v>
      </c>
    </row>
    <row r="408" spans="1:14" x14ac:dyDescent="0.25">
      <c r="A408" t="s">
        <v>437</v>
      </c>
      <c r="B408" t="s">
        <v>13</v>
      </c>
      <c r="C408" t="s">
        <v>14</v>
      </c>
      <c r="D408" t="s">
        <v>22</v>
      </c>
      <c r="E408" t="s">
        <v>26</v>
      </c>
      <c r="F408" t="s">
        <v>39</v>
      </c>
      <c r="G408" t="str">
        <f t="shared" si="18"/>
        <v>Sunday</v>
      </c>
      <c r="H408" t="str">
        <f t="shared" si="19"/>
        <v>Jan</v>
      </c>
      <c r="I408" s="1">
        <v>43476</v>
      </c>
      <c r="J408" s="1" t="str">
        <f t="shared" si="20"/>
        <v>Evening</v>
      </c>
      <c r="K408" s="2">
        <v>0.79652777777777783</v>
      </c>
      <c r="L408" t="s">
        <v>28</v>
      </c>
      <c r="M408">
        <v>3.4474999999999998</v>
      </c>
      <c r="N408">
        <v>7.8</v>
      </c>
    </row>
    <row r="409" spans="1:14" x14ac:dyDescent="0.25">
      <c r="A409" t="s">
        <v>438</v>
      </c>
      <c r="B409" t="s">
        <v>37</v>
      </c>
      <c r="C409" t="s">
        <v>38</v>
      </c>
      <c r="D409" t="s">
        <v>15</v>
      </c>
      <c r="E409" t="s">
        <v>16</v>
      </c>
      <c r="F409" t="s">
        <v>41</v>
      </c>
      <c r="G409" t="str">
        <f t="shared" si="18"/>
        <v>Saturday</v>
      </c>
      <c r="H409" t="str">
        <f t="shared" si="19"/>
        <v>Jan</v>
      </c>
      <c r="I409" s="1">
        <v>43469</v>
      </c>
      <c r="J409" s="1" t="str">
        <f t="shared" si="20"/>
        <v>Evening</v>
      </c>
      <c r="K409" s="2">
        <v>0.79236111111111107</v>
      </c>
      <c r="L409" t="s">
        <v>24</v>
      </c>
      <c r="M409">
        <v>13.742000000000001</v>
      </c>
      <c r="N409">
        <v>4.0999999999999996</v>
      </c>
    </row>
    <row r="410" spans="1:14" x14ac:dyDescent="0.25">
      <c r="A410" t="s">
        <v>439</v>
      </c>
      <c r="B410" t="s">
        <v>13</v>
      </c>
      <c r="C410" t="s">
        <v>14</v>
      </c>
      <c r="D410" t="s">
        <v>22</v>
      </c>
      <c r="E410" t="s">
        <v>16</v>
      </c>
      <c r="F410" t="s">
        <v>27</v>
      </c>
      <c r="G410" t="str">
        <f t="shared" si="18"/>
        <v>Monday</v>
      </c>
      <c r="H410" t="str">
        <f t="shared" si="19"/>
        <v>Mar</v>
      </c>
      <c r="I410" s="1">
        <v>43528</v>
      </c>
      <c r="J410" s="1" t="str">
        <f t="shared" si="20"/>
        <v>Evening</v>
      </c>
      <c r="K410" s="2">
        <v>0.82500000000000007</v>
      </c>
      <c r="L410" t="s">
        <v>18</v>
      </c>
      <c r="M410">
        <v>11.305999999999999</v>
      </c>
      <c r="N410">
        <v>5.5</v>
      </c>
    </row>
    <row r="411" spans="1:14" x14ac:dyDescent="0.25">
      <c r="A411" t="s">
        <v>440</v>
      </c>
      <c r="B411" t="s">
        <v>20</v>
      </c>
      <c r="C411" t="s">
        <v>21</v>
      </c>
      <c r="D411" t="s">
        <v>22</v>
      </c>
      <c r="E411" t="s">
        <v>16</v>
      </c>
      <c r="F411" t="s">
        <v>41</v>
      </c>
      <c r="G411" t="str">
        <f t="shared" si="18"/>
        <v>Wednesday</v>
      </c>
      <c r="H411" t="str">
        <f t="shared" si="19"/>
        <v>Jan</v>
      </c>
      <c r="I411" s="1">
        <v>43493</v>
      </c>
      <c r="J411" s="1" t="str">
        <f t="shared" si="20"/>
        <v>Evening</v>
      </c>
      <c r="K411" s="2">
        <v>0.80833333333333324</v>
      </c>
      <c r="L411" t="s">
        <v>18</v>
      </c>
      <c r="M411">
        <v>5.9550000000000001</v>
      </c>
      <c r="N411">
        <v>5.4</v>
      </c>
    </row>
    <row r="412" spans="1:14" x14ac:dyDescent="0.25">
      <c r="A412" t="s">
        <v>441</v>
      </c>
      <c r="B412" t="s">
        <v>37</v>
      </c>
      <c r="C412" t="s">
        <v>38</v>
      </c>
      <c r="D412" t="s">
        <v>22</v>
      </c>
      <c r="E412" t="s">
        <v>16</v>
      </c>
      <c r="F412" t="s">
        <v>17</v>
      </c>
      <c r="G412" t="str">
        <f t="shared" si="18"/>
        <v>Saturday</v>
      </c>
      <c r="H412" t="str">
        <f t="shared" si="19"/>
        <v>Jan</v>
      </c>
      <c r="I412" s="1">
        <v>43467</v>
      </c>
      <c r="J412" s="1" t="str">
        <f t="shared" si="20"/>
        <v>Afternoon</v>
      </c>
      <c r="K412" s="2">
        <v>0.54166666666666663</v>
      </c>
      <c r="L412" t="s">
        <v>24</v>
      </c>
      <c r="M412">
        <v>17.105</v>
      </c>
      <c r="N412">
        <v>5.0999999999999996</v>
      </c>
    </row>
    <row r="413" spans="1:14" x14ac:dyDescent="0.25">
      <c r="A413" t="s">
        <v>442</v>
      </c>
      <c r="B413" t="s">
        <v>37</v>
      </c>
      <c r="C413" t="s">
        <v>38</v>
      </c>
      <c r="D413" t="s">
        <v>22</v>
      </c>
      <c r="E413" t="s">
        <v>26</v>
      </c>
      <c r="F413" t="s">
        <v>31</v>
      </c>
      <c r="G413" t="str">
        <f t="shared" si="18"/>
        <v>Tuesday</v>
      </c>
      <c r="H413" t="str">
        <f t="shared" si="19"/>
        <v>Jan</v>
      </c>
      <c r="I413" s="1">
        <v>43490</v>
      </c>
      <c r="J413" s="1" t="str">
        <f t="shared" si="20"/>
        <v>Afternoon</v>
      </c>
      <c r="K413" s="2">
        <v>0.60347222222222219</v>
      </c>
      <c r="L413" t="s">
        <v>18</v>
      </c>
      <c r="M413">
        <v>2.1869999999999998</v>
      </c>
      <c r="N413">
        <v>6.9</v>
      </c>
    </row>
    <row r="414" spans="1:14" x14ac:dyDescent="0.25">
      <c r="A414" t="s">
        <v>443</v>
      </c>
      <c r="B414" t="s">
        <v>13</v>
      </c>
      <c r="C414" t="s">
        <v>14</v>
      </c>
      <c r="D414" t="s">
        <v>15</v>
      </c>
      <c r="E414" t="s">
        <v>26</v>
      </c>
      <c r="F414" t="s">
        <v>17</v>
      </c>
      <c r="G414" t="str">
        <f t="shared" si="18"/>
        <v>Saturday</v>
      </c>
      <c r="H414" t="str">
        <f t="shared" si="19"/>
        <v>Jan</v>
      </c>
      <c r="I414" s="1">
        <v>43469</v>
      </c>
      <c r="J414" s="1" t="str">
        <f t="shared" si="20"/>
        <v>Afternoon</v>
      </c>
      <c r="K414" s="2">
        <v>0.55625000000000002</v>
      </c>
      <c r="L414" t="s">
        <v>24</v>
      </c>
      <c r="M414">
        <v>5.2424999999999997</v>
      </c>
      <c r="N414">
        <v>7.8</v>
      </c>
    </row>
    <row r="415" spans="1:14" x14ac:dyDescent="0.25">
      <c r="A415" t="s">
        <v>444</v>
      </c>
      <c r="B415" t="s">
        <v>13</v>
      </c>
      <c r="C415" t="s">
        <v>14</v>
      </c>
      <c r="D415" t="s">
        <v>22</v>
      </c>
      <c r="E415" t="s">
        <v>26</v>
      </c>
      <c r="F415" t="s">
        <v>31</v>
      </c>
      <c r="G415" t="str">
        <f t="shared" si="18"/>
        <v>Tuesday</v>
      </c>
      <c r="H415" t="str">
        <f t="shared" si="19"/>
        <v>Mar</v>
      </c>
      <c r="I415" s="1">
        <v>43534</v>
      </c>
      <c r="J415" s="1" t="str">
        <f t="shared" si="20"/>
        <v>Evening</v>
      </c>
      <c r="K415" s="2">
        <v>0.78819444444444453</v>
      </c>
      <c r="L415" t="s">
        <v>18</v>
      </c>
      <c r="M415">
        <v>3.8759999999999999</v>
      </c>
      <c r="N415">
        <v>6.6</v>
      </c>
    </row>
    <row r="416" spans="1:14" x14ac:dyDescent="0.25">
      <c r="A416" t="s">
        <v>445</v>
      </c>
      <c r="B416" t="s">
        <v>13</v>
      </c>
      <c r="C416" t="s">
        <v>14</v>
      </c>
      <c r="D416" t="s">
        <v>22</v>
      </c>
      <c r="E416" t="s">
        <v>26</v>
      </c>
      <c r="F416" t="s">
        <v>27</v>
      </c>
      <c r="G416" t="str">
        <f t="shared" si="18"/>
        <v>Wednesday</v>
      </c>
      <c r="H416" t="str">
        <f t="shared" si="19"/>
        <v>Mar</v>
      </c>
      <c r="I416" s="1">
        <v>43546</v>
      </c>
      <c r="J416" s="1" t="str">
        <f t="shared" si="20"/>
        <v>Evening</v>
      </c>
      <c r="K416" s="2">
        <v>0.81666666666666676</v>
      </c>
      <c r="L416" t="s">
        <v>18</v>
      </c>
      <c r="M416">
        <v>20.372</v>
      </c>
      <c r="N416">
        <v>9.1999999999999993</v>
      </c>
    </row>
    <row r="417" spans="1:14" x14ac:dyDescent="0.25">
      <c r="A417" t="s">
        <v>446</v>
      </c>
      <c r="B417" t="s">
        <v>37</v>
      </c>
      <c r="C417" t="s">
        <v>38</v>
      </c>
      <c r="D417" t="s">
        <v>22</v>
      </c>
      <c r="E417" t="s">
        <v>26</v>
      </c>
      <c r="F417" t="s">
        <v>17</v>
      </c>
      <c r="G417" t="str">
        <f t="shared" si="18"/>
        <v>Tuesday</v>
      </c>
      <c r="H417" t="str">
        <f t="shared" si="19"/>
        <v>Jan</v>
      </c>
      <c r="I417" s="1">
        <v>43490</v>
      </c>
      <c r="J417" s="1" t="str">
        <f t="shared" si="20"/>
        <v>Evening</v>
      </c>
      <c r="K417" s="2">
        <v>0.68611111111111101</v>
      </c>
      <c r="L417" t="s">
        <v>18</v>
      </c>
      <c r="M417">
        <v>4.8055000000000003</v>
      </c>
      <c r="N417">
        <v>7.8</v>
      </c>
    </row>
    <row r="418" spans="1:14" x14ac:dyDescent="0.25">
      <c r="A418" t="s">
        <v>447</v>
      </c>
      <c r="B418" t="s">
        <v>20</v>
      </c>
      <c r="C418" t="s">
        <v>21</v>
      </c>
      <c r="D418" t="s">
        <v>22</v>
      </c>
      <c r="E418" t="s">
        <v>16</v>
      </c>
      <c r="F418" t="s">
        <v>27</v>
      </c>
      <c r="G418" t="str">
        <f t="shared" si="18"/>
        <v>Sunday</v>
      </c>
      <c r="H418" t="str">
        <f t="shared" si="19"/>
        <v>Jan</v>
      </c>
      <c r="I418" s="1">
        <v>43473</v>
      </c>
      <c r="J418" s="1" t="str">
        <f t="shared" si="20"/>
        <v>Afternoon</v>
      </c>
      <c r="K418" s="2">
        <v>0.57500000000000007</v>
      </c>
      <c r="L418" t="s">
        <v>28</v>
      </c>
      <c r="M418">
        <v>9.0760000000000005</v>
      </c>
      <c r="N418">
        <v>8.6999999999999993</v>
      </c>
    </row>
    <row r="419" spans="1:14" x14ac:dyDescent="0.25">
      <c r="A419" t="s">
        <v>448</v>
      </c>
      <c r="B419" t="s">
        <v>20</v>
      </c>
      <c r="C419" t="s">
        <v>21</v>
      </c>
      <c r="D419" t="s">
        <v>15</v>
      </c>
      <c r="E419" t="s">
        <v>16</v>
      </c>
      <c r="F419" t="s">
        <v>17</v>
      </c>
      <c r="G419" t="str">
        <f t="shared" si="18"/>
        <v>Tuesday</v>
      </c>
      <c r="H419" t="str">
        <f t="shared" si="19"/>
        <v>Jan</v>
      </c>
      <c r="I419" s="1">
        <v>43487</v>
      </c>
      <c r="J419" s="1" t="str">
        <f t="shared" si="20"/>
        <v>Morning</v>
      </c>
      <c r="K419" s="2">
        <v>0.45624999999999999</v>
      </c>
      <c r="L419" t="s">
        <v>18</v>
      </c>
      <c r="M419">
        <v>4.0754999999999999</v>
      </c>
      <c r="N419">
        <v>9.1999999999999993</v>
      </c>
    </row>
    <row r="420" spans="1:14" x14ac:dyDescent="0.25">
      <c r="A420" t="s">
        <v>449</v>
      </c>
      <c r="B420" t="s">
        <v>37</v>
      </c>
      <c r="C420" t="s">
        <v>38</v>
      </c>
      <c r="D420" t="s">
        <v>22</v>
      </c>
      <c r="E420" t="s">
        <v>16</v>
      </c>
      <c r="F420" t="s">
        <v>17</v>
      </c>
      <c r="G420" t="str">
        <f t="shared" si="18"/>
        <v>Monday</v>
      </c>
      <c r="H420" t="str">
        <f t="shared" si="19"/>
        <v>Jan</v>
      </c>
      <c r="I420" s="1">
        <v>43477</v>
      </c>
      <c r="J420" s="1" t="str">
        <f t="shared" si="20"/>
        <v>Evening</v>
      </c>
      <c r="K420" s="2">
        <v>0.71736111111111101</v>
      </c>
      <c r="L420" t="s">
        <v>18</v>
      </c>
      <c r="M420">
        <v>5.7220000000000004</v>
      </c>
      <c r="N420">
        <v>8.3000000000000007</v>
      </c>
    </row>
    <row r="421" spans="1:14" x14ac:dyDescent="0.25">
      <c r="A421" t="s">
        <v>450</v>
      </c>
      <c r="B421" t="s">
        <v>13</v>
      </c>
      <c r="C421" t="s">
        <v>14</v>
      </c>
      <c r="D421" t="s">
        <v>15</v>
      </c>
      <c r="E421" t="s">
        <v>16</v>
      </c>
      <c r="F421" t="s">
        <v>23</v>
      </c>
      <c r="G421" t="str">
        <f t="shared" si="18"/>
        <v>Thursday</v>
      </c>
      <c r="H421" t="str">
        <f t="shared" si="19"/>
        <v>Feb</v>
      </c>
      <c r="I421" s="1">
        <v>43500</v>
      </c>
      <c r="J421" s="1" t="str">
        <f t="shared" si="20"/>
        <v>Morning</v>
      </c>
      <c r="K421" s="2">
        <v>0.43263888888888885</v>
      </c>
      <c r="L421" t="s">
        <v>24</v>
      </c>
      <c r="M421">
        <v>8.827</v>
      </c>
      <c r="N421">
        <v>8.1999999999999993</v>
      </c>
    </row>
    <row r="422" spans="1:14" x14ac:dyDescent="0.25">
      <c r="A422" t="s">
        <v>451</v>
      </c>
      <c r="B422" t="s">
        <v>20</v>
      </c>
      <c r="C422" t="s">
        <v>21</v>
      </c>
      <c r="D422" t="s">
        <v>15</v>
      </c>
      <c r="E422" t="s">
        <v>16</v>
      </c>
      <c r="F422" t="s">
        <v>39</v>
      </c>
      <c r="G422" t="str">
        <f t="shared" si="18"/>
        <v>Thursday</v>
      </c>
      <c r="H422" t="str">
        <f t="shared" si="19"/>
        <v>Mar</v>
      </c>
      <c r="I422" s="1">
        <v>43552</v>
      </c>
      <c r="J422" s="1" t="str">
        <f t="shared" si="20"/>
        <v>Afternoon</v>
      </c>
      <c r="K422" s="2">
        <v>0.58124999999999993</v>
      </c>
      <c r="L422" t="s">
        <v>18</v>
      </c>
      <c r="M422">
        <v>5.79</v>
      </c>
      <c r="N422">
        <v>7.5</v>
      </c>
    </row>
    <row r="423" spans="1:14" x14ac:dyDescent="0.25">
      <c r="A423" t="s">
        <v>452</v>
      </c>
      <c r="B423" t="s">
        <v>20</v>
      </c>
      <c r="C423" t="s">
        <v>21</v>
      </c>
      <c r="D423" t="s">
        <v>22</v>
      </c>
      <c r="E423" t="s">
        <v>16</v>
      </c>
      <c r="F423" t="s">
        <v>23</v>
      </c>
      <c r="G423" t="str">
        <f t="shared" si="18"/>
        <v>Tuesday</v>
      </c>
      <c r="H423" t="str">
        <f t="shared" si="19"/>
        <v>Jan</v>
      </c>
      <c r="I423" s="1">
        <v>43488</v>
      </c>
      <c r="J423" s="1" t="str">
        <f t="shared" si="20"/>
        <v>Afternoon</v>
      </c>
      <c r="K423" s="2">
        <v>0.56180555555555556</v>
      </c>
      <c r="L423" t="s">
        <v>24</v>
      </c>
      <c r="M423">
        <v>12.6075</v>
      </c>
      <c r="N423">
        <v>9.8000000000000007</v>
      </c>
    </row>
    <row r="424" spans="1:14" x14ac:dyDescent="0.25">
      <c r="A424" t="s">
        <v>453</v>
      </c>
      <c r="B424" t="s">
        <v>20</v>
      </c>
      <c r="C424" t="s">
        <v>21</v>
      </c>
      <c r="D424" t="s">
        <v>15</v>
      </c>
      <c r="E424" t="s">
        <v>16</v>
      </c>
      <c r="F424" t="s">
        <v>41</v>
      </c>
      <c r="G424" t="str">
        <f t="shared" si="18"/>
        <v>Thursday</v>
      </c>
      <c r="H424" t="str">
        <f t="shared" si="19"/>
        <v>Feb</v>
      </c>
      <c r="I424" s="1">
        <v>43504</v>
      </c>
      <c r="J424" s="1" t="str">
        <f t="shared" si="20"/>
        <v>Afternoon</v>
      </c>
      <c r="K424" s="2">
        <v>0.54166666666666663</v>
      </c>
      <c r="L424" t="s">
        <v>28</v>
      </c>
      <c r="M424">
        <v>48.604999999999997</v>
      </c>
      <c r="N424">
        <v>8.6999999999999993</v>
      </c>
    </row>
    <row r="425" spans="1:14" x14ac:dyDescent="0.25">
      <c r="A425" t="s">
        <v>454</v>
      </c>
      <c r="B425" t="s">
        <v>37</v>
      </c>
      <c r="C425" t="s">
        <v>38</v>
      </c>
      <c r="D425" t="s">
        <v>15</v>
      </c>
      <c r="E425" t="s">
        <v>26</v>
      </c>
      <c r="F425" t="s">
        <v>41</v>
      </c>
      <c r="G425" t="str">
        <f t="shared" si="18"/>
        <v>Wednesday</v>
      </c>
      <c r="H425" t="str">
        <f t="shared" si="19"/>
        <v>Mar</v>
      </c>
      <c r="I425" s="1">
        <v>43543</v>
      </c>
      <c r="J425" s="1" t="str">
        <f t="shared" si="20"/>
        <v>Evening</v>
      </c>
      <c r="K425" s="2">
        <v>0.8208333333333333</v>
      </c>
      <c r="L425" t="s">
        <v>28</v>
      </c>
      <c r="M425">
        <v>10.167999999999999</v>
      </c>
      <c r="N425">
        <v>6.7</v>
      </c>
    </row>
    <row r="426" spans="1:14" x14ac:dyDescent="0.25">
      <c r="A426" t="s">
        <v>455</v>
      </c>
      <c r="B426" t="s">
        <v>20</v>
      </c>
      <c r="C426" t="s">
        <v>21</v>
      </c>
      <c r="D426" t="s">
        <v>22</v>
      </c>
      <c r="E426" t="s">
        <v>26</v>
      </c>
      <c r="F426" t="s">
        <v>41</v>
      </c>
      <c r="G426" t="str">
        <f t="shared" si="18"/>
        <v>Tuesday</v>
      </c>
      <c r="H426" t="str">
        <f t="shared" si="19"/>
        <v>Mar</v>
      </c>
      <c r="I426" s="1">
        <v>43533</v>
      </c>
      <c r="J426" s="1" t="str">
        <f t="shared" si="20"/>
        <v>Afternoon</v>
      </c>
      <c r="K426" s="2">
        <v>0.65</v>
      </c>
      <c r="L426" t="s">
        <v>24</v>
      </c>
      <c r="M426">
        <v>0.81399999999999995</v>
      </c>
      <c r="N426">
        <v>5</v>
      </c>
    </row>
    <row r="427" spans="1:14" x14ac:dyDescent="0.25">
      <c r="A427" t="s">
        <v>456</v>
      </c>
      <c r="B427" t="s">
        <v>37</v>
      </c>
      <c r="C427" t="s">
        <v>38</v>
      </c>
      <c r="D427" t="s">
        <v>15</v>
      </c>
      <c r="E427" t="s">
        <v>26</v>
      </c>
      <c r="F427" t="s">
        <v>41</v>
      </c>
      <c r="G427" t="str">
        <f t="shared" si="18"/>
        <v>Saturday</v>
      </c>
      <c r="H427" t="str">
        <f t="shared" si="19"/>
        <v>Jan</v>
      </c>
      <c r="I427" s="1">
        <v>43467</v>
      </c>
      <c r="J427" s="1" t="str">
        <f t="shared" si="20"/>
        <v>Afternoon</v>
      </c>
      <c r="K427" s="2">
        <v>0.56944444444444442</v>
      </c>
      <c r="L427" t="s">
        <v>24</v>
      </c>
      <c r="M427">
        <v>18.2745</v>
      </c>
      <c r="N427">
        <v>7</v>
      </c>
    </row>
    <row r="428" spans="1:14" x14ac:dyDescent="0.25">
      <c r="A428" t="s">
        <v>457</v>
      </c>
      <c r="B428" t="s">
        <v>13</v>
      </c>
      <c r="C428" t="s">
        <v>14</v>
      </c>
      <c r="D428" t="s">
        <v>15</v>
      </c>
      <c r="E428" t="s">
        <v>26</v>
      </c>
      <c r="F428" t="s">
        <v>17</v>
      </c>
      <c r="G428" t="str">
        <f t="shared" si="18"/>
        <v>Tuesday</v>
      </c>
      <c r="H428" t="str">
        <f t="shared" si="19"/>
        <v>Jan</v>
      </c>
      <c r="I428" s="1">
        <v>43486</v>
      </c>
      <c r="J428" s="1" t="str">
        <f t="shared" si="20"/>
        <v>Evening</v>
      </c>
      <c r="K428" s="2">
        <v>0.75069444444444444</v>
      </c>
      <c r="L428" t="s">
        <v>24</v>
      </c>
      <c r="M428">
        <v>18.609500000000001</v>
      </c>
      <c r="N428">
        <v>8.9</v>
      </c>
    </row>
    <row r="429" spans="1:14" x14ac:dyDescent="0.25">
      <c r="A429" t="s">
        <v>458</v>
      </c>
      <c r="B429" t="s">
        <v>37</v>
      </c>
      <c r="C429" t="s">
        <v>38</v>
      </c>
      <c r="D429" t="s">
        <v>15</v>
      </c>
      <c r="E429" t="s">
        <v>16</v>
      </c>
      <c r="F429" t="s">
        <v>39</v>
      </c>
      <c r="G429" t="str">
        <f t="shared" si="18"/>
        <v>Wednesday</v>
      </c>
      <c r="H429" t="str">
        <f t="shared" si="19"/>
        <v>Mar</v>
      </c>
      <c r="I429" s="1">
        <v>43544</v>
      </c>
      <c r="J429" s="1" t="str">
        <f t="shared" si="20"/>
        <v>Afternoon</v>
      </c>
      <c r="K429" s="2">
        <v>0.57847222222222217</v>
      </c>
      <c r="L429" t="s">
        <v>28</v>
      </c>
      <c r="M429">
        <v>3.1305000000000001</v>
      </c>
      <c r="N429">
        <v>8</v>
      </c>
    </row>
    <row r="430" spans="1:14" x14ac:dyDescent="0.25">
      <c r="A430" t="s">
        <v>459</v>
      </c>
      <c r="B430" t="s">
        <v>37</v>
      </c>
      <c r="C430" t="s">
        <v>38</v>
      </c>
      <c r="D430" t="s">
        <v>22</v>
      </c>
      <c r="E430" t="s">
        <v>26</v>
      </c>
      <c r="F430" t="s">
        <v>31</v>
      </c>
      <c r="G430" t="str">
        <f t="shared" si="18"/>
        <v>Sunday</v>
      </c>
      <c r="H430" t="str">
        <f t="shared" si="19"/>
        <v>Feb</v>
      </c>
      <c r="I430" s="1">
        <v>43523</v>
      </c>
      <c r="J430" s="1" t="str">
        <f t="shared" si="20"/>
        <v>Evening</v>
      </c>
      <c r="K430" s="2">
        <v>0.7270833333333333</v>
      </c>
      <c r="L430" t="s">
        <v>24</v>
      </c>
      <c r="M430">
        <v>16.817499999999999</v>
      </c>
      <c r="N430">
        <v>6.9</v>
      </c>
    </row>
    <row r="431" spans="1:14" x14ac:dyDescent="0.25">
      <c r="A431" t="s">
        <v>460</v>
      </c>
      <c r="B431" t="s">
        <v>13</v>
      </c>
      <c r="C431" t="s">
        <v>14</v>
      </c>
      <c r="D431" t="s">
        <v>15</v>
      </c>
      <c r="E431" t="s">
        <v>16</v>
      </c>
      <c r="F431" t="s">
        <v>27</v>
      </c>
      <c r="G431" t="str">
        <f t="shared" si="18"/>
        <v>Monday</v>
      </c>
      <c r="H431" t="str">
        <f t="shared" si="19"/>
        <v>Mar</v>
      </c>
      <c r="I431" s="1">
        <v>43532</v>
      </c>
      <c r="J431" s="1" t="str">
        <f t="shared" si="20"/>
        <v>Morning</v>
      </c>
      <c r="K431" s="2">
        <v>0.45347222222222222</v>
      </c>
      <c r="L431" t="s">
        <v>18</v>
      </c>
      <c r="M431">
        <v>45.325000000000003</v>
      </c>
      <c r="N431">
        <v>7.3</v>
      </c>
    </row>
    <row r="432" spans="1:14" x14ac:dyDescent="0.25">
      <c r="A432" t="s">
        <v>461</v>
      </c>
      <c r="B432" t="s">
        <v>37</v>
      </c>
      <c r="C432" t="s">
        <v>38</v>
      </c>
      <c r="D432" t="s">
        <v>22</v>
      </c>
      <c r="E432" t="s">
        <v>26</v>
      </c>
      <c r="F432" t="s">
        <v>41</v>
      </c>
      <c r="G432" t="str">
        <f t="shared" si="18"/>
        <v>Wednesday</v>
      </c>
      <c r="H432" t="str">
        <f t="shared" si="19"/>
        <v>Jan</v>
      </c>
      <c r="I432" s="1">
        <v>43496</v>
      </c>
      <c r="J432" s="1" t="str">
        <f t="shared" si="20"/>
        <v>Evening</v>
      </c>
      <c r="K432" s="2">
        <v>0.82500000000000007</v>
      </c>
      <c r="L432" t="s">
        <v>28</v>
      </c>
      <c r="M432">
        <v>6.9080000000000004</v>
      </c>
      <c r="N432">
        <v>6.9</v>
      </c>
    </row>
    <row r="433" spans="1:14" x14ac:dyDescent="0.25">
      <c r="A433" t="s">
        <v>462</v>
      </c>
      <c r="B433" t="s">
        <v>20</v>
      </c>
      <c r="C433" t="s">
        <v>21</v>
      </c>
      <c r="D433" t="s">
        <v>22</v>
      </c>
      <c r="E433" t="s">
        <v>26</v>
      </c>
      <c r="F433" t="s">
        <v>39</v>
      </c>
      <c r="G433" t="str">
        <f t="shared" si="18"/>
        <v>Monday</v>
      </c>
      <c r="H433" t="str">
        <f t="shared" si="19"/>
        <v>Mar</v>
      </c>
      <c r="I433" s="1">
        <v>43532</v>
      </c>
      <c r="J433" s="1" t="str">
        <f t="shared" si="20"/>
        <v>Evening</v>
      </c>
      <c r="K433" s="2">
        <v>0.70347222222222217</v>
      </c>
      <c r="L433" t="s">
        <v>18</v>
      </c>
      <c r="M433">
        <v>4.327</v>
      </c>
      <c r="N433">
        <v>5.7</v>
      </c>
    </row>
    <row r="434" spans="1:14" x14ac:dyDescent="0.25">
      <c r="A434" t="s">
        <v>463</v>
      </c>
      <c r="B434" t="s">
        <v>13</v>
      </c>
      <c r="C434" t="s">
        <v>14</v>
      </c>
      <c r="D434" t="s">
        <v>22</v>
      </c>
      <c r="E434" t="s">
        <v>16</v>
      </c>
      <c r="F434" t="s">
        <v>23</v>
      </c>
      <c r="G434" t="str">
        <f t="shared" si="18"/>
        <v>Monday</v>
      </c>
      <c r="H434" t="str">
        <f t="shared" si="19"/>
        <v>Jan</v>
      </c>
      <c r="I434" s="1">
        <v>43478</v>
      </c>
      <c r="J434" s="1" t="str">
        <f t="shared" si="20"/>
        <v>Evening</v>
      </c>
      <c r="K434" s="2">
        <v>0.80138888888888893</v>
      </c>
      <c r="L434" t="s">
        <v>18</v>
      </c>
      <c r="M434">
        <v>7.0380000000000003</v>
      </c>
      <c r="N434">
        <v>6.4</v>
      </c>
    </row>
    <row r="435" spans="1:14" x14ac:dyDescent="0.25">
      <c r="A435" t="s">
        <v>464</v>
      </c>
      <c r="B435" t="s">
        <v>37</v>
      </c>
      <c r="C435" t="s">
        <v>38</v>
      </c>
      <c r="D435" t="s">
        <v>22</v>
      </c>
      <c r="E435" t="s">
        <v>26</v>
      </c>
      <c r="F435" t="s">
        <v>41</v>
      </c>
      <c r="G435" t="str">
        <f t="shared" si="18"/>
        <v>Tuesday</v>
      </c>
      <c r="H435" t="str">
        <f t="shared" si="19"/>
        <v>Mar</v>
      </c>
      <c r="I435" s="1">
        <v>43533</v>
      </c>
      <c r="J435" s="1" t="str">
        <f t="shared" si="20"/>
        <v>Afternoon</v>
      </c>
      <c r="K435" s="2">
        <v>0.60833333333333328</v>
      </c>
      <c r="L435" t="s">
        <v>28</v>
      </c>
      <c r="M435">
        <v>33.439</v>
      </c>
      <c r="N435">
        <v>9.6</v>
      </c>
    </row>
    <row r="436" spans="1:14" x14ac:dyDescent="0.25">
      <c r="A436" t="s">
        <v>465</v>
      </c>
      <c r="B436" t="s">
        <v>37</v>
      </c>
      <c r="C436" t="s">
        <v>38</v>
      </c>
      <c r="D436" t="s">
        <v>22</v>
      </c>
      <c r="E436" t="s">
        <v>16</v>
      </c>
      <c r="F436" t="s">
        <v>41</v>
      </c>
      <c r="G436" t="str">
        <f t="shared" si="18"/>
        <v>Saturday</v>
      </c>
      <c r="H436" t="str">
        <f t="shared" si="19"/>
        <v>Feb</v>
      </c>
      <c r="I436" s="1">
        <v>43518</v>
      </c>
      <c r="J436" s="1" t="str">
        <f t="shared" si="20"/>
        <v>Evening</v>
      </c>
      <c r="K436" s="2">
        <v>0.7631944444444444</v>
      </c>
      <c r="L436" t="s">
        <v>28</v>
      </c>
      <c r="M436">
        <v>2.3719999999999999</v>
      </c>
      <c r="N436">
        <v>6.8</v>
      </c>
    </row>
    <row r="437" spans="1:14" x14ac:dyDescent="0.25">
      <c r="A437" t="s">
        <v>466</v>
      </c>
      <c r="B437" t="s">
        <v>20</v>
      </c>
      <c r="C437" t="s">
        <v>21</v>
      </c>
      <c r="D437" t="s">
        <v>22</v>
      </c>
      <c r="E437" t="s">
        <v>26</v>
      </c>
      <c r="F437" t="s">
        <v>31</v>
      </c>
      <c r="G437" t="str">
        <f t="shared" si="18"/>
        <v>Wednesday</v>
      </c>
      <c r="H437" t="str">
        <f t="shared" si="19"/>
        <v>Mar</v>
      </c>
      <c r="I437" s="1">
        <v>43543</v>
      </c>
      <c r="J437" s="1" t="str">
        <f t="shared" si="20"/>
        <v>Evening</v>
      </c>
      <c r="K437" s="2">
        <v>0.79791666666666661</v>
      </c>
      <c r="L437" t="s">
        <v>18</v>
      </c>
      <c r="M437">
        <v>44.658000000000001</v>
      </c>
      <c r="N437">
        <v>9</v>
      </c>
    </row>
    <row r="438" spans="1:14" x14ac:dyDescent="0.25">
      <c r="A438" t="s">
        <v>467</v>
      </c>
      <c r="B438" t="s">
        <v>20</v>
      </c>
      <c r="C438" t="s">
        <v>21</v>
      </c>
      <c r="D438" t="s">
        <v>15</v>
      </c>
      <c r="E438" t="s">
        <v>26</v>
      </c>
      <c r="F438" t="s">
        <v>31</v>
      </c>
      <c r="G438" t="str">
        <f t="shared" si="18"/>
        <v>Tuesday</v>
      </c>
      <c r="H438" t="str">
        <f t="shared" si="19"/>
        <v>Jan</v>
      </c>
      <c r="I438" s="1">
        <v>43485</v>
      </c>
      <c r="J438" s="1" t="str">
        <f t="shared" si="20"/>
        <v>Evening</v>
      </c>
      <c r="K438" s="2">
        <v>0.70208333333333339</v>
      </c>
      <c r="L438" t="s">
        <v>18</v>
      </c>
      <c r="M438">
        <v>16.585999999999999</v>
      </c>
      <c r="N438">
        <v>9.6</v>
      </c>
    </row>
    <row r="439" spans="1:14" x14ac:dyDescent="0.25">
      <c r="A439" t="s">
        <v>468</v>
      </c>
      <c r="B439" t="s">
        <v>13</v>
      </c>
      <c r="C439" t="s">
        <v>14</v>
      </c>
      <c r="D439" t="s">
        <v>22</v>
      </c>
      <c r="E439" t="s">
        <v>26</v>
      </c>
      <c r="F439" t="s">
        <v>27</v>
      </c>
      <c r="G439" t="str">
        <f t="shared" si="18"/>
        <v>Monday</v>
      </c>
      <c r="H439" t="str">
        <f t="shared" si="19"/>
        <v>Mar</v>
      </c>
      <c r="I439" s="1">
        <v>43532</v>
      </c>
      <c r="J439" s="1" t="str">
        <f t="shared" si="20"/>
        <v>Afternoon</v>
      </c>
      <c r="K439" s="2">
        <v>0.65069444444444446</v>
      </c>
      <c r="L439" t="s">
        <v>28</v>
      </c>
      <c r="M439">
        <v>10.196999999999999</v>
      </c>
      <c r="N439">
        <v>7.7</v>
      </c>
    </row>
    <row r="440" spans="1:14" x14ac:dyDescent="0.25">
      <c r="A440" t="s">
        <v>469</v>
      </c>
      <c r="B440" t="s">
        <v>20</v>
      </c>
      <c r="C440" t="s">
        <v>21</v>
      </c>
      <c r="D440" t="s">
        <v>15</v>
      </c>
      <c r="E440" t="s">
        <v>26</v>
      </c>
      <c r="F440" t="s">
        <v>39</v>
      </c>
      <c r="G440" t="str">
        <f t="shared" si="18"/>
        <v>Monday</v>
      </c>
      <c r="H440" t="str">
        <f t="shared" si="19"/>
        <v>Mar</v>
      </c>
      <c r="I440" s="1">
        <v>43532</v>
      </c>
      <c r="J440" s="1" t="str">
        <f t="shared" si="20"/>
        <v>Evening</v>
      </c>
      <c r="K440" s="2">
        <v>0.84375</v>
      </c>
      <c r="L440" t="s">
        <v>18</v>
      </c>
      <c r="M440">
        <v>3.4079999999999999</v>
      </c>
      <c r="N440">
        <v>7</v>
      </c>
    </row>
    <row r="441" spans="1:14" x14ac:dyDescent="0.25">
      <c r="A441" t="s">
        <v>470</v>
      </c>
      <c r="B441" t="s">
        <v>20</v>
      </c>
      <c r="C441" t="s">
        <v>21</v>
      </c>
      <c r="D441" t="s">
        <v>22</v>
      </c>
      <c r="E441" t="s">
        <v>16</v>
      </c>
      <c r="F441" t="s">
        <v>23</v>
      </c>
      <c r="G441" t="str">
        <f t="shared" si="18"/>
        <v>Thursday</v>
      </c>
      <c r="H441" t="str">
        <f t="shared" si="19"/>
        <v>Feb</v>
      </c>
      <c r="I441" s="1">
        <v>43503</v>
      </c>
      <c r="J441" s="1" t="str">
        <f t="shared" si="20"/>
        <v>Afternoon</v>
      </c>
      <c r="K441" s="2">
        <v>0.60972222222222217</v>
      </c>
      <c r="L441" t="s">
        <v>28</v>
      </c>
      <c r="M441">
        <v>16.344000000000001</v>
      </c>
      <c r="N441">
        <v>6.5</v>
      </c>
    </row>
    <row r="442" spans="1:14" x14ac:dyDescent="0.25">
      <c r="A442" t="s">
        <v>471</v>
      </c>
      <c r="B442" t="s">
        <v>20</v>
      </c>
      <c r="C442" t="s">
        <v>21</v>
      </c>
      <c r="D442" t="s">
        <v>15</v>
      </c>
      <c r="E442" t="s">
        <v>26</v>
      </c>
      <c r="F442" t="s">
        <v>39</v>
      </c>
      <c r="G442" t="str">
        <f t="shared" si="18"/>
        <v>Monday</v>
      </c>
      <c r="H442" t="str">
        <f t="shared" si="19"/>
        <v>Jan</v>
      </c>
      <c r="I442" s="1">
        <v>43480</v>
      </c>
      <c r="J442" s="1" t="str">
        <f t="shared" si="20"/>
        <v>Evening</v>
      </c>
      <c r="K442" s="2">
        <v>0.80902777777777779</v>
      </c>
      <c r="L442" t="s">
        <v>24</v>
      </c>
      <c r="M442">
        <v>4.3600000000000003</v>
      </c>
      <c r="N442">
        <v>8.1</v>
      </c>
    </row>
    <row r="443" spans="1:14" x14ac:dyDescent="0.25">
      <c r="A443" t="s">
        <v>472</v>
      </c>
      <c r="B443" t="s">
        <v>37</v>
      </c>
      <c r="C443" t="s">
        <v>38</v>
      </c>
      <c r="D443" t="s">
        <v>15</v>
      </c>
      <c r="E443" t="s">
        <v>16</v>
      </c>
      <c r="F443" t="s">
        <v>31</v>
      </c>
      <c r="G443" t="str">
        <f t="shared" si="18"/>
        <v>Wednesday</v>
      </c>
      <c r="H443" t="str">
        <f t="shared" si="19"/>
        <v>Mar</v>
      </c>
      <c r="I443" s="1">
        <v>43546</v>
      </c>
      <c r="J443" s="1" t="str">
        <f t="shared" si="20"/>
        <v>Evening</v>
      </c>
      <c r="K443" s="2">
        <v>0.81597222222222221</v>
      </c>
      <c r="L443" t="s">
        <v>28</v>
      </c>
      <c r="M443">
        <v>35.372</v>
      </c>
      <c r="N443">
        <v>4.3</v>
      </c>
    </row>
    <row r="444" spans="1:14" x14ac:dyDescent="0.25">
      <c r="A444" t="s">
        <v>473</v>
      </c>
      <c r="B444" t="s">
        <v>13</v>
      </c>
      <c r="C444" t="s">
        <v>14</v>
      </c>
      <c r="D444" t="s">
        <v>15</v>
      </c>
      <c r="E444" t="s">
        <v>16</v>
      </c>
      <c r="F444" t="s">
        <v>27</v>
      </c>
      <c r="G444" t="str">
        <f t="shared" si="18"/>
        <v>Monday</v>
      </c>
      <c r="H444" t="str">
        <f t="shared" si="19"/>
        <v>Jan</v>
      </c>
      <c r="I444" s="1">
        <v>43480</v>
      </c>
      <c r="J444" s="1" t="str">
        <f t="shared" si="20"/>
        <v>Afternoon</v>
      </c>
      <c r="K444" s="2">
        <v>0.65416666666666667</v>
      </c>
      <c r="L444" t="s">
        <v>28</v>
      </c>
      <c r="M444">
        <v>40.144500000000001</v>
      </c>
      <c r="N444">
        <v>6.5</v>
      </c>
    </row>
    <row r="445" spans="1:14" x14ac:dyDescent="0.25">
      <c r="A445" t="s">
        <v>474</v>
      </c>
      <c r="B445" t="s">
        <v>20</v>
      </c>
      <c r="C445" t="s">
        <v>21</v>
      </c>
      <c r="D445" t="s">
        <v>22</v>
      </c>
      <c r="E445" t="s">
        <v>26</v>
      </c>
      <c r="F445" t="s">
        <v>41</v>
      </c>
      <c r="G445" t="str">
        <f t="shared" si="18"/>
        <v>Sunday</v>
      </c>
      <c r="H445" t="str">
        <f t="shared" si="19"/>
        <v>Jan</v>
      </c>
      <c r="I445" s="1">
        <v>43473</v>
      </c>
      <c r="J445" s="1" t="str">
        <f t="shared" si="20"/>
        <v>Afternoon</v>
      </c>
      <c r="K445" s="2">
        <v>0.59097222222222223</v>
      </c>
      <c r="L445" t="s">
        <v>18</v>
      </c>
      <c r="M445">
        <v>0.63900000000000001</v>
      </c>
      <c r="N445">
        <v>9.5</v>
      </c>
    </row>
    <row r="446" spans="1:14" x14ac:dyDescent="0.25">
      <c r="A446" t="s">
        <v>475</v>
      </c>
      <c r="B446" t="s">
        <v>13</v>
      </c>
      <c r="C446" t="s">
        <v>14</v>
      </c>
      <c r="D446" t="s">
        <v>22</v>
      </c>
      <c r="E446" t="s">
        <v>16</v>
      </c>
      <c r="F446" t="s">
        <v>31</v>
      </c>
      <c r="G446" t="str">
        <f t="shared" si="18"/>
        <v>Monday</v>
      </c>
      <c r="H446" t="str">
        <f t="shared" si="19"/>
        <v>Jan</v>
      </c>
      <c r="I446" s="1">
        <v>43480</v>
      </c>
      <c r="J446" s="1" t="str">
        <f t="shared" si="20"/>
        <v>Morning</v>
      </c>
      <c r="K446" s="2">
        <v>0.4465277777777778</v>
      </c>
      <c r="L446" t="s">
        <v>24</v>
      </c>
      <c r="M446">
        <v>6.6849999999999996</v>
      </c>
      <c r="N446">
        <v>9.6999999999999993</v>
      </c>
    </row>
    <row r="447" spans="1:14" x14ac:dyDescent="0.25">
      <c r="A447" t="s">
        <v>476</v>
      </c>
      <c r="B447" t="s">
        <v>37</v>
      </c>
      <c r="C447" t="s">
        <v>38</v>
      </c>
      <c r="D447" t="s">
        <v>15</v>
      </c>
      <c r="E447" t="s">
        <v>16</v>
      </c>
      <c r="F447" t="s">
        <v>17</v>
      </c>
      <c r="G447" t="str">
        <f t="shared" si="18"/>
        <v>Wednesday</v>
      </c>
      <c r="H447" t="str">
        <f t="shared" si="19"/>
        <v>Jan</v>
      </c>
      <c r="I447" s="1">
        <v>43493</v>
      </c>
      <c r="J447" s="1" t="str">
        <f t="shared" si="20"/>
        <v>Evening</v>
      </c>
      <c r="K447" s="2">
        <v>0.74861111111111101</v>
      </c>
      <c r="L447" t="s">
        <v>28</v>
      </c>
      <c r="M447">
        <v>0.95750000000000002</v>
      </c>
      <c r="N447">
        <v>9.5</v>
      </c>
    </row>
    <row r="448" spans="1:14" x14ac:dyDescent="0.25">
      <c r="A448" t="s">
        <v>477</v>
      </c>
      <c r="B448" t="s">
        <v>20</v>
      </c>
      <c r="C448" t="s">
        <v>21</v>
      </c>
      <c r="D448" t="s">
        <v>15</v>
      </c>
      <c r="E448" t="s">
        <v>26</v>
      </c>
      <c r="F448" t="s">
        <v>39</v>
      </c>
      <c r="G448" t="str">
        <f t="shared" si="18"/>
        <v>Friday</v>
      </c>
      <c r="H448" t="str">
        <f t="shared" si="19"/>
        <v>Feb</v>
      </c>
      <c r="I448" s="1">
        <v>43510</v>
      </c>
      <c r="J448" s="1" t="str">
        <f t="shared" si="20"/>
        <v>Morning</v>
      </c>
      <c r="K448" s="2">
        <v>0.47638888888888892</v>
      </c>
      <c r="L448" t="s">
        <v>28</v>
      </c>
      <c r="M448">
        <v>13.83</v>
      </c>
      <c r="N448">
        <v>8.9</v>
      </c>
    </row>
    <row r="449" spans="1:14" x14ac:dyDescent="0.25">
      <c r="A449" t="s">
        <v>478</v>
      </c>
      <c r="B449" t="s">
        <v>20</v>
      </c>
      <c r="C449" t="s">
        <v>21</v>
      </c>
      <c r="D449" t="s">
        <v>22</v>
      </c>
      <c r="E449" t="s">
        <v>26</v>
      </c>
      <c r="F449" t="s">
        <v>41</v>
      </c>
      <c r="G449" t="str">
        <f t="shared" si="18"/>
        <v>Tuesday</v>
      </c>
      <c r="H449" t="str">
        <f t="shared" si="19"/>
        <v>Mar</v>
      </c>
      <c r="I449" s="1">
        <v>43534</v>
      </c>
      <c r="J449" s="1" t="str">
        <f t="shared" si="20"/>
        <v>Evening</v>
      </c>
      <c r="K449" s="2">
        <v>0.73472222222222217</v>
      </c>
      <c r="L449" t="s">
        <v>28</v>
      </c>
      <c r="M449">
        <v>6.8609999999999998</v>
      </c>
      <c r="N449">
        <v>6.5</v>
      </c>
    </row>
    <row r="450" spans="1:14" x14ac:dyDescent="0.25">
      <c r="A450" t="s">
        <v>479</v>
      </c>
      <c r="B450" t="s">
        <v>37</v>
      </c>
      <c r="C450" t="s">
        <v>38</v>
      </c>
      <c r="D450" t="s">
        <v>15</v>
      </c>
      <c r="E450" t="s">
        <v>16</v>
      </c>
      <c r="F450" t="s">
        <v>17</v>
      </c>
      <c r="G450" t="str">
        <f t="shared" si="18"/>
        <v>Monday</v>
      </c>
      <c r="H450" t="str">
        <f t="shared" si="19"/>
        <v>Jan</v>
      </c>
      <c r="I450" s="1">
        <v>43477</v>
      </c>
      <c r="J450" s="1" t="str">
        <f t="shared" si="20"/>
        <v>Evening</v>
      </c>
      <c r="K450" s="2">
        <v>0.83819444444444446</v>
      </c>
      <c r="L450" t="s">
        <v>28</v>
      </c>
      <c r="M450">
        <v>1.3534999999999999</v>
      </c>
      <c r="N450">
        <v>5.3</v>
      </c>
    </row>
    <row r="451" spans="1:14" x14ac:dyDescent="0.25">
      <c r="A451" t="s">
        <v>480</v>
      </c>
      <c r="B451" t="s">
        <v>37</v>
      </c>
      <c r="C451" t="s">
        <v>38</v>
      </c>
      <c r="D451" t="s">
        <v>15</v>
      </c>
      <c r="E451" t="s">
        <v>16</v>
      </c>
      <c r="F451" t="s">
        <v>31</v>
      </c>
      <c r="G451" t="str">
        <f t="shared" ref="G451:G514" si="21">TEXT(I451/7,"dddd")</f>
        <v>Thursday</v>
      </c>
      <c r="H451" t="str">
        <f t="shared" ref="H451:H514" si="22">TEXT(I451,"mmm")</f>
        <v>Mar</v>
      </c>
      <c r="I451" s="1">
        <v>43550</v>
      </c>
      <c r="J451" s="1" t="str">
        <f t="shared" ref="J451:J514" si="23">IF(AND(K451&gt;=TIME(9,0,0),K451&lt;TIME(12,0,0)),"Morning",IF(AND(K451&gt;=TIME(12,0,0),K451&lt;TIME(16,0,0)),"Afternoon","Evening"))</f>
        <v>Morning</v>
      </c>
      <c r="K451" s="2">
        <v>0.4597222222222222</v>
      </c>
      <c r="L451" t="s">
        <v>28</v>
      </c>
      <c r="M451">
        <v>1.956</v>
      </c>
      <c r="N451">
        <v>9.6</v>
      </c>
    </row>
    <row r="452" spans="1:14" x14ac:dyDescent="0.25">
      <c r="A452" t="s">
        <v>481</v>
      </c>
      <c r="B452" t="s">
        <v>37</v>
      </c>
      <c r="C452" t="s">
        <v>38</v>
      </c>
      <c r="D452" t="s">
        <v>22</v>
      </c>
      <c r="E452" t="s">
        <v>16</v>
      </c>
      <c r="F452" t="s">
        <v>23</v>
      </c>
      <c r="G452" t="str">
        <f t="shared" si="21"/>
        <v>Saturday</v>
      </c>
      <c r="H452" t="str">
        <f t="shared" si="22"/>
        <v>Jan</v>
      </c>
      <c r="I452" s="1">
        <v>43466</v>
      </c>
      <c r="J452" s="1" t="str">
        <f t="shared" si="23"/>
        <v>Evening</v>
      </c>
      <c r="K452" s="2">
        <v>0.79652777777777783</v>
      </c>
      <c r="L452" t="s">
        <v>24</v>
      </c>
      <c r="M452">
        <v>22.413</v>
      </c>
      <c r="N452">
        <v>6.7</v>
      </c>
    </row>
    <row r="453" spans="1:14" x14ac:dyDescent="0.25">
      <c r="A453" t="s">
        <v>482</v>
      </c>
      <c r="B453" t="s">
        <v>37</v>
      </c>
      <c r="C453" t="s">
        <v>38</v>
      </c>
      <c r="D453" t="s">
        <v>22</v>
      </c>
      <c r="E453" t="s">
        <v>26</v>
      </c>
      <c r="F453" t="s">
        <v>23</v>
      </c>
      <c r="G453" t="str">
        <f t="shared" si="21"/>
        <v>Saturday</v>
      </c>
      <c r="H453" t="str">
        <f t="shared" si="22"/>
        <v>Jan</v>
      </c>
      <c r="I453" s="1">
        <v>43467</v>
      </c>
      <c r="J453" s="1" t="str">
        <f t="shared" si="23"/>
        <v>Evening</v>
      </c>
      <c r="K453" s="2">
        <v>0.78472222222222221</v>
      </c>
      <c r="L453" t="s">
        <v>24</v>
      </c>
      <c r="M453">
        <v>6.6029999999999998</v>
      </c>
      <c r="N453">
        <v>7.6</v>
      </c>
    </row>
    <row r="454" spans="1:14" x14ac:dyDescent="0.25">
      <c r="A454" t="s">
        <v>483</v>
      </c>
      <c r="B454" t="s">
        <v>13</v>
      </c>
      <c r="C454" t="s">
        <v>14</v>
      </c>
      <c r="D454" t="s">
        <v>22</v>
      </c>
      <c r="E454" t="s">
        <v>16</v>
      </c>
      <c r="F454" t="s">
        <v>39</v>
      </c>
      <c r="G454" t="str">
        <f t="shared" si="21"/>
        <v>Wednesday</v>
      </c>
      <c r="H454" t="str">
        <f t="shared" si="22"/>
        <v>Mar</v>
      </c>
      <c r="I454" s="1">
        <v>43540</v>
      </c>
      <c r="J454" s="1" t="str">
        <f t="shared" si="23"/>
        <v>Afternoon</v>
      </c>
      <c r="K454" s="2">
        <v>0.52986111111111112</v>
      </c>
      <c r="L454" t="s">
        <v>18</v>
      </c>
      <c r="M454">
        <v>15.9025</v>
      </c>
      <c r="N454">
        <v>4.8</v>
      </c>
    </row>
    <row r="455" spans="1:14" x14ac:dyDescent="0.25">
      <c r="A455" t="s">
        <v>484</v>
      </c>
      <c r="B455" t="s">
        <v>13</v>
      </c>
      <c r="C455" t="s">
        <v>14</v>
      </c>
      <c r="D455" t="s">
        <v>22</v>
      </c>
      <c r="E455" t="s">
        <v>26</v>
      </c>
      <c r="F455" t="s">
        <v>17</v>
      </c>
      <c r="G455" t="str">
        <f t="shared" si="21"/>
        <v>Monday</v>
      </c>
      <c r="H455" t="str">
        <f t="shared" si="22"/>
        <v>Mar</v>
      </c>
      <c r="I455" s="1">
        <v>43527</v>
      </c>
      <c r="J455" s="1" t="str">
        <f t="shared" si="23"/>
        <v>Afternoon</v>
      </c>
      <c r="K455" s="2">
        <v>0.63124999999999998</v>
      </c>
      <c r="L455" t="s">
        <v>18</v>
      </c>
      <c r="M455">
        <v>1.25</v>
      </c>
      <c r="N455">
        <v>5.5</v>
      </c>
    </row>
    <row r="456" spans="1:14" x14ac:dyDescent="0.25">
      <c r="A456" t="s">
        <v>485</v>
      </c>
      <c r="B456" t="s">
        <v>13</v>
      </c>
      <c r="C456" t="s">
        <v>14</v>
      </c>
      <c r="D456" t="s">
        <v>15</v>
      </c>
      <c r="E456" t="s">
        <v>26</v>
      </c>
      <c r="F456" t="s">
        <v>23</v>
      </c>
      <c r="G456" t="str">
        <f t="shared" si="21"/>
        <v>Wednesday</v>
      </c>
      <c r="H456" t="str">
        <f t="shared" si="22"/>
        <v>Jan</v>
      </c>
      <c r="I456" s="1">
        <v>43496</v>
      </c>
      <c r="J456" s="1" t="str">
        <f t="shared" si="23"/>
        <v>Afternoon</v>
      </c>
      <c r="K456" s="2">
        <v>0.57430555555555551</v>
      </c>
      <c r="L456" t="s">
        <v>24</v>
      </c>
      <c r="M456">
        <v>4.1539999999999999</v>
      </c>
      <c r="N456">
        <v>4.7</v>
      </c>
    </row>
    <row r="457" spans="1:14" x14ac:dyDescent="0.25">
      <c r="A457" t="s">
        <v>486</v>
      </c>
      <c r="B457" t="s">
        <v>37</v>
      </c>
      <c r="C457" t="s">
        <v>38</v>
      </c>
      <c r="D457" t="s">
        <v>15</v>
      </c>
      <c r="E457" t="s">
        <v>16</v>
      </c>
      <c r="F457" t="s">
        <v>41</v>
      </c>
      <c r="G457" t="str">
        <f t="shared" si="21"/>
        <v>Friday</v>
      </c>
      <c r="H457" t="str">
        <f t="shared" si="22"/>
        <v>Feb</v>
      </c>
      <c r="I457" s="1">
        <v>43509</v>
      </c>
      <c r="J457" s="1" t="str">
        <f t="shared" si="23"/>
        <v>Evening</v>
      </c>
      <c r="K457" s="2">
        <v>0.70763888888888893</v>
      </c>
      <c r="L457" t="s">
        <v>24</v>
      </c>
      <c r="M457">
        <v>7.39</v>
      </c>
      <c r="N457">
        <v>6.9</v>
      </c>
    </row>
    <row r="458" spans="1:14" x14ac:dyDescent="0.25">
      <c r="A458" t="s">
        <v>487</v>
      </c>
      <c r="B458" t="s">
        <v>37</v>
      </c>
      <c r="C458" t="s">
        <v>38</v>
      </c>
      <c r="D458" t="s">
        <v>15</v>
      </c>
      <c r="E458" t="s">
        <v>16</v>
      </c>
      <c r="F458" t="s">
        <v>39</v>
      </c>
      <c r="G458" t="str">
        <f t="shared" si="21"/>
        <v>Friday</v>
      </c>
      <c r="H458" t="str">
        <f t="shared" si="22"/>
        <v>Feb</v>
      </c>
      <c r="I458" s="1">
        <v>43511</v>
      </c>
      <c r="J458" s="1" t="str">
        <f t="shared" si="23"/>
        <v>Afternoon</v>
      </c>
      <c r="K458" s="2">
        <v>0.59375</v>
      </c>
      <c r="L458" t="s">
        <v>28</v>
      </c>
      <c r="M458">
        <v>34.83</v>
      </c>
      <c r="N458">
        <v>4.5</v>
      </c>
    </row>
    <row r="459" spans="1:14" x14ac:dyDescent="0.25">
      <c r="A459" t="s">
        <v>488</v>
      </c>
      <c r="B459" t="s">
        <v>37</v>
      </c>
      <c r="C459" t="s">
        <v>38</v>
      </c>
      <c r="D459" t="s">
        <v>22</v>
      </c>
      <c r="E459" t="s">
        <v>26</v>
      </c>
      <c r="F459" t="s">
        <v>23</v>
      </c>
      <c r="G459" t="str">
        <f t="shared" si="21"/>
        <v>Thursday</v>
      </c>
      <c r="H459" t="str">
        <f t="shared" si="22"/>
        <v>Feb</v>
      </c>
      <c r="I459" s="1">
        <v>43503</v>
      </c>
      <c r="J459" s="1" t="str">
        <f t="shared" si="23"/>
        <v>Evening</v>
      </c>
      <c r="K459" s="2">
        <v>0.85</v>
      </c>
      <c r="L459" t="s">
        <v>24</v>
      </c>
      <c r="M459">
        <v>39.695</v>
      </c>
      <c r="N459">
        <v>6.2</v>
      </c>
    </row>
    <row r="460" spans="1:14" x14ac:dyDescent="0.25">
      <c r="A460" t="s">
        <v>489</v>
      </c>
      <c r="B460" t="s">
        <v>20</v>
      </c>
      <c r="C460" t="s">
        <v>21</v>
      </c>
      <c r="D460" t="s">
        <v>15</v>
      </c>
      <c r="E460" t="s">
        <v>16</v>
      </c>
      <c r="F460" t="s">
        <v>23</v>
      </c>
      <c r="G460" t="str">
        <f t="shared" si="21"/>
        <v>Wednesday</v>
      </c>
      <c r="H460" t="str">
        <f t="shared" si="22"/>
        <v>Jan</v>
      </c>
      <c r="I460" s="1">
        <v>43492</v>
      </c>
      <c r="J460" s="1" t="str">
        <f t="shared" si="23"/>
        <v>Afternoon</v>
      </c>
      <c r="K460" s="2">
        <v>0.58194444444444449</v>
      </c>
      <c r="L460" t="s">
        <v>24</v>
      </c>
      <c r="M460">
        <v>23.285</v>
      </c>
      <c r="N460">
        <v>7.6</v>
      </c>
    </row>
    <row r="461" spans="1:14" x14ac:dyDescent="0.25">
      <c r="A461" t="s">
        <v>490</v>
      </c>
      <c r="B461" t="s">
        <v>20</v>
      </c>
      <c r="C461" t="s">
        <v>21</v>
      </c>
      <c r="D461" t="s">
        <v>22</v>
      </c>
      <c r="E461" t="s">
        <v>26</v>
      </c>
      <c r="F461" t="s">
        <v>39</v>
      </c>
      <c r="G461" t="str">
        <f t="shared" si="21"/>
        <v>Sunday</v>
      </c>
      <c r="H461" t="str">
        <f t="shared" si="22"/>
        <v>Feb</v>
      </c>
      <c r="I461" s="1">
        <v>43519</v>
      </c>
      <c r="J461" s="1" t="str">
        <f t="shared" si="23"/>
        <v>Evening</v>
      </c>
      <c r="K461" s="2">
        <v>0.70277777777777783</v>
      </c>
      <c r="L461" t="s">
        <v>28</v>
      </c>
      <c r="M461">
        <v>1.7945</v>
      </c>
      <c r="N461">
        <v>7.9</v>
      </c>
    </row>
    <row r="462" spans="1:14" x14ac:dyDescent="0.25">
      <c r="A462" t="s">
        <v>491</v>
      </c>
      <c r="B462" t="s">
        <v>20</v>
      </c>
      <c r="C462" t="s">
        <v>21</v>
      </c>
      <c r="D462" t="s">
        <v>22</v>
      </c>
      <c r="E462" t="s">
        <v>26</v>
      </c>
      <c r="F462" t="s">
        <v>39</v>
      </c>
      <c r="G462" t="str">
        <f t="shared" si="21"/>
        <v>Thursday</v>
      </c>
      <c r="H462" t="str">
        <f t="shared" si="22"/>
        <v>Feb</v>
      </c>
      <c r="I462" s="1">
        <v>43499</v>
      </c>
      <c r="J462" s="1" t="str">
        <f t="shared" si="23"/>
        <v>Afternoon</v>
      </c>
      <c r="K462" s="2">
        <v>0.6381944444444444</v>
      </c>
      <c r="L462" t="s">
        <v>24</v>
      </c>
      <c r="M462">
        <v>10.130000000000001</v>
      </c>
      <c r="N462">
        <v>4.5</v>
      </c>
    </row>
    <row r="463" spans="1:14" x14ac:dyDescent="0.25">
      <c r="A463" t="s">
        <v>492</v>
      </c>
      <c r="B463" t="s">
        <v>37</v>
      </c>
      <c r="C463" t="s">
        <v>38</v>
      </c>
      <c r="D463" t="s">
        <v>15</v>
      </c>
      <c r="E463" t="s">
        <v>16</v>
      </c>
      <c r="F463" t="s">
        <v>39</v>
      </c>
      <c r="G463" t="str">
        <f t="shared" si="21"/>
        <v>Monday</v>
      </c>
      <c r="H463" t="str">
        <f t="shared" si="22"/>
        <v>Mar</v>
      </c>
      <c r="I463" s="1">
        <v>43527</v>
      </c>
      <c r="J463" s="1" t="str">
        <f t="shared" si="23"/>
        <v>Afternoon</v>
      </c>
      <c r="K463" s="2">
        <v>0.51736111111111105</v>
      </c>
      <c r="L463" t="s">
        <v>28</v>
      </c>
      <c r="M463">
        <v>36.524999999999999</v>
      </c>
      <c r="N463">
        <v>8.6999999999999993</v>
      </c>
    </row>
    <row r="464" spans="1:14" x14ac:dyDescent="0.25">
      <c r="A464" t="s">
        <v>493</v>
      </c>
      <c r="B464" t="s">
        <v>20</v>
      </c>
      <c r="C464" t="s">
        <v>21</v>
      </c>
      <c r="D464" t="s">
        <v>22</v>
      </c>
      <c r="E464" t="s">
        <v>16</v>
      </c>
      <c r="F464" t="s">
        <v>31</v>
      </c>
      <c r="G464" t="str">
        <f t="shared" si="21"/>
        <v>Thursday</v>
      </c>
      <c r="H464" t="str">
        <f t="shared" si="22"/>
        <v>Feb</v>
      </c>
      <c r="I464" s="1">
        <v>43499</v>
      </c>
      <c r="J464" s="1" t="str">
        <f t="shared" si="23"/>
        <v>Morning</v>
      </c>
      <c r="K464" s="2">
        <v>0.41805555555555557</v>
      </c>
      <c r="L464" t="s">
        <v>24</v>
      </c>
      <c r="M464">
        <v>14.79</v>
      </c>
      <c r="N464">
        <v>6.1</v>
      </c>
    </row>
    <row r="465" spans="1:14" x14ac:dyDescent="0.25">
      <c r="A465" t="s">
        <v>494</v>
      </c>
      <c r="B465" t="s">
        <v>20</v>
      </c>
      <c r="C465" t="s">
        <v>21</v>
      </c>
      <c r="D465" t="s">
        <v>15</v>
      </c>
      <c r="E465" t="s">
        <v>16</v>
      </c>
      <c r="F465" t="s">
        <v>39</v>
      </c>
      <c r="G465" t="str">
        <f t="shared" si="21"/>
        <v>Wednesday</v>
      </c>
      <c r="H465" t="str">
        <f t="shared" si="22"/>
        <v>Mar</v>
      </c>
      <c r="I465" s="1">
        <v>43541</v>
      </c>
      <c r="J465" s="1" t="str">
        <f t="shared" si="23"/>
        <v>Evening</v>
      </c>
      <c r="K465" s="2">
        <v>0.79027777777777775</v>
      </c>
      <c r="L465" t="s">
        <v>24</v>
      </c>
      <c r="M465">
        <v>1.131</v>
      </c>
      <c r="N465">
        <v>6.4</v>
      </c>
    </row>
    <row r="466" spans="1:14" x14ac:dyDescent="0.25">
      <c r="A466" t="s">
        <v>495</v>
      </c>
      <c r="B466" t="s">
        <v>13</v>
      </c>
      <c r="C466" t="s">
        <v>14</v>
      </c>
      <c r="D466" t="s">
        <v>15</v>
      </c>
      <c r="E466" t="s">
        <v>26</v>
      </c>
      <c r="F466" t="s">
        <v>39</v>
      </c>
      <c r="G466" t="str">
        <f t="shared" si="21"/>
        <v>Thursday</v>
      </c>
      <c r="H466" t="str">
        <f t="shared" si="22"/>
        <v>Mar</v>
      </c>
      <c r="I466" s="1">
        <v>43552</v>
      </c>
      <c r="J466" s="1" t="str">
        <f t="shared" si="23"/>
        <v>Afternoon</v>
      </c>
      <c r="K466" s="2">
        <v>0.64652777777777781</v>
      </c>
      <c r="L466" t="s">
        <v>28</v>
      </c>
      <c r="M466">
        <v>12.835000000000001</v>
      </c>
      <c r="N466">
        <v>9.1</v>
      </c>
    </row>
    <row r="467" spans="1:14" x14ac:dyDescent="0.25">
      <c r="A467" t="s">
        <v>496</v>
      </c>
      <c r="B467" t="s">
        <v>20</v>
      </c>
      <c r="C467" t="s">
        <v>21</v>
      </c>
      <c r="D467" t="s">
        <v>15</v>
      </c>
      <c r="E467" t="s">
        <v>16</v>
      </c>
      <c r="F467" t="s">
        <v>31</v>
      </c>
      <c r="G467" t="str">
        <f t="shared" si="21"/>
        <v>Monday</v>
      </c>
      <c r="H467" t="str">
        <f t="shared" si="22"/>
        <v>Mar</v>
      </c>
      <c r="I467" s="1">
        <v>43526</v>
      </c>
      <c r="J467" s="1" t="str">
        <f t="shared" si="23"/>
        <v>Morning</v>
      </c>
      <c r="K467" s="2">
        <v>0.47361111111111115</v>
      </c>
      <c r="L467" t="s">
        <v>28</v>
      </c>
      <c r="M467">
        <v>27.274999999999999</v>
      </c>
      <c r="N467">
        <v>7.1</v>
      </c>
    </row>
    <row r="468" spans="1:14" x14ac:dyDescent="0.25">
      <c r="A468" t="s">
        <v>497</v>
      </c>
      <c r="B468" t="s">
        <v>20</v>
      </c>
      <c r="C468" t="s">
        <v>21</v>
      </c>
      <c r="D468" t="s">
        <v>15</v>
      </c>
      <c r="E468" t="s">
        <v>16</v>
      </c>
      <c r="F468" t="s">
        <v>17</v>
      </c>
      <c r="G468" t="str">
        <f t="shared" si="21"/>
        <v>Thursday</v>
      </c>
      <c r="H468" t="str">
        <f t="shared" si="22"/>
        <v>Feb</v>
      </c>
      <c r="I468" s="1">
        <v>43504</v>
      </c>
      <c r="J468" s="1" t="str">
        <f t="shared" si="23"/>
        <v>Afternoon</v>
      </c>
      <c r="K468" s="2">
        <v>0.54999999999999993</v>
      </c>
      <c r="L468" t="s">
        <v>28</v>
      </c>
      <c r="M468">
        <v>13.0025</v>
      </c>
      <c r="N468">
        <v>7.7</v>
      </c>
    </row>
    <row r="469" spans="1:14" x14ac:dyDescent="0.25">
      <c r="A469" t="s">
        <v>498</v>
      </c>
      <c r="B469" t="s">
        <v>37</v>
      </c>
      <c r="C469" t="s">
        <v>38</v>
      </c>
      <c r="D469" t="s">
        <v>22</v>
      </c>
      <c r="E469" t="s">
        <v>26</v>
      </c>
      <c r="F469" t="s">
        <v>31</v>
      </c>
      <c r="G469" t="str">
        <f t="shared" si="21"/>
        <v>Wednesday</v>
      </c>
      <c r="H469" t="str">
        <f t="shared" si="22"/>
        <v>Mar</v>
      </c>
      <c r="I469" s="1">
        <v>43546</v>
      </c>
      <c r="J469" s="1" t="str">
        <f t="shared" si="23"/>
        <v>Evening</v>
      </c>
      <c r="K469" s="2">
        <v>0.7729166666666667</v>
      </c>
      <c r="L469" t="s">
        <v>24</v>
      </c>
      <c r="M469">
        <v>11.106</v>
      </c>
      <c r="N469">
        <v>4.5</v>
      </c>
    </row>
    <row r="470" spans="1:14" x14ac:dyDescent="0.25">
      <c r="A470" t="s">
        <v>499</v>
      </c>
      <c r="B470" t="s">
        <v>20</v>
      </c>
      <c r="C470" t="s">
        <v>21</v>
      </c>
      <c r="D470" t="s">
        <v>22</v>
      </c>
      <c r="E470" t="s">
        <v>26</v>
      </c>
      <c r="F470" t="s">
        <v>39</v>
      </c>
      <c r="G470" t="str">
        <f t="shared" si="21"/>
        <v>Friday</v>
      </c>
      <c r="H470" t="str">
        <f t="shared" si="22"/>
        <v>Feb</v>
      </c>
      <c r="I470" s="1">
        <v>43505</v>
      </c>
      <c r="J470" s="1" t="str">
        <f t="shared" si="23"/>
        <v>Morning</v>
      </c>
      <c r="K470" s="2">
        <v>0.41805555555555557</v>
      </c>
      <c r="L470" t="s">
        <v>18</v>
      </c>
      <c r="M470">
        <v>1.079</v>
      </c>
      <c r="N470">
        <v>7.2</v>
      </c>
    </row>
    <row r="471" spans="1:14" x14ac:dyDescent="0.25">
      <c r="A471" t="s">
        <v>500</v>
      </c>
      <c r="B471" t="s">
        <v>20</v>
      </c>
      <c r="C471" t="s">
        <v>21</v>
      </c>
      <c r="D471" t="s">
        <v>15</v>
      </c>
      <c r="E471" t="s">
        <v>16</v>
      </c>
      <c r="F471" t="s">
        <v>23</v>
      </c>
      <c r="G471" t="str">
        <f t="shared" si="21"/>
        <v>Friday</v>
      </c>
      <c r="H471" t="str">
        <f t="shared" si="22"/>
        <v>Feb</v>
      </c>
      <c r="I471" s="1">
        <v>43511</v>
      </c>
      <c r="J471" s="1" t="str">
        <f t="shared" si="23"/>
        <v>Morning</v>
      </c>
      <c r="K471" s="2">
        <v>0.47291666666666665</v>
      </c>
      <c r="L471" t="s">
        <v>24</v>
      </c>
      <c r="M471">
        <v>4.9420000000000002</v>
      </c>
      <c r="N471">
        <v>8.4</v>
      </c>
    </row>
    <row r="472" spans="1:14" x14ac:dyDescent="0.25">
      <c r="A472" t="s">
        <v>501</v>
      </c>
      <c r="B472" t="s">
        <v>20</v>
      </c>
      <c r="C472" t="s">
        <v>21</v>
      </c>
      <c r="D472" t="s">
        <v>15</v>
      </c>
      <c r="E472" t="s">
        <v>16</v>
      </c>
      <c r="F472" t="s">
        <v>27</v>
      </c>
      <c r="G472" t="str">
        <f t="shared" si="21"/>
        <v>Tuesday</v>
      </c>
      <c r="H472" t="str">
        <f t="shared" si="22"/>
        <v>Jan</v>
      </c>
      <c r="I472" s="1">
        <v>43488</v>
      </c>
      <c r="J472" s="1" t="str">
        <f t="shared" si="23"/>
        <v>Afternoon</v>
      </c>
      <c r="K472" s="2">
        <v>0.50694444444444442</v>
      </c>
      <c r="L472" t="s">
        <v>18</v>
      </c>
      <c r="M472">
        <v>25.131</v>
      </c>
      <c r="N472">
        <v>5.4</v>
      </c>
    </row>
    <row r="473" spans="1:14" x14ac:dyDescent="0.25">
      <c r="A473" t="s">
        <v>502</v>
      </c>
      <c r="B473" t="s">
        <v>13</v>
      </c>
      <c r="C473" t="s">
        <v>14</v>
      </c>
      <c r="D473" t="s">
        <v>15</v>
      </c>
      <c r="E473" t="s">
        <v>16</v>
      </c>
      <c r="F473" t="s">
        <v>31</v>
      </c>
      <c r="G473" t="str">
        <f t="shared" si="21"/>
        <v>Tuesday</v>
      </c>
      <c r="H473" t="str">
        <f t="shared" si="22"/>
        <v>Jan</v>
      </c>
      <c r="I473" s="1">
        <v>43490</v>
      </c>
      <c r="J473" s="1" t="str">
        <f t="shared" si="23"/>
        <v>Morning</v>
      </c>
      <c r="K473" s="2">
        <v>0.4861111111111111</v>
      </c>
      <c r="L473" t="s">
        <v>24</v>
      </c>
      <c r="M473">
        <v>8.01</v>
      </c>
      <c r="N473">
        <v>9.6999999999999993</v>
      </c>
    </row>
    <row r="474" spans="1:14" x14ac:dyDescent="0.25">
      <c r="A474" t="s">
        <v>503</v>
      </c>
      <c r="B474" t="s">
        <v>13</v>
      </c>
      <c r="C474" t="s">
        <v>14</v>
      </c>
      <c r="D474" t="s">
        <v>15</v>
      </c>
      <c r="E474" t="s">
        <v>26</v>
      </c>
      <c r="F474" t="s">
        <v>41</v>
      </c>
      <c r="G474" t="str">
        <f t="shared" si="21"/>
        <v>Thursday</v>
      </c>
      <c r="H474" t="str">
        <f t="shared" si="22"/>
        <v>Feb</v>
      </c>
      <c r="I474" s="1">
        <v>43498</v>
      </c>
      <c r="J474" s="1" t="str">
        <f t="shared" si="23"/>
        <v>Evening</v>
      </c>
      <c r="K474" s="2">
        <v>0.7715277777777777</v>
      </c>
      <c r="L474" t="s">
        <v>28</v>
      </c>
      <c r="M474">
        <v>21.565000000000001</v>
      </c>
      <c r="N474">
        <v>5.5</v>
      </c>
    </row>
    <row r="475" spans="1:14" x14ac:dyDescent="0.25">
      <c r="A475" t="s">
        <v>504</v>
      </c>
      <c r="B475" t="s">
        <v>37</v>
      </c>
      <c r="C475" t="s">
        <v>38</v>
      </c>
      <c r="D475" t="s">
        <v>15</v>
      </c>
      <c r="E475" t="s">
        <v>26</v>
      </c>
      <c r="F475" t="s">
        <v>17</v>
      </c>
      <c r="G475" t="str">
        <f t="shared" si="21"/>
        <v>Friday</v>
      </c>
      <c r="H475" t="str">
        <f t="shared" si="22"/>
        <v>Mar</v>
      </c>
      <c r="I475" s="1">
        <v>43554</v>
      </c>
      <c r="J475" s="1" t="str">
        <f t="shared" si="23"/>
        <v>Evening</v>
      </c>
      <c r="K475" s="2">
        <v>0.74861111111111101</v>
      </c>
      <c r="L475" t="s">
        <v>24</v>
      </c>
      <c r="M475">
        <v>29.027999999999999</v>
      </c>
      <c r="N475">
        <v>4.5999999999999996</v>
      </c>
    </row>
    <row r="476" spans="1:14" x14ac:dyDescent="0.25">
      <c r="A476" t="s">
        <v>505</v>
      </c>
      <c r="B476" t="s">
        <v>13</v>
      </c>
      <c r="C476" t="s">
        <v>14</v>
      </c>
      <c r="D476" t="s">
        <v>15</v>
      </c>
      <c r="E476" t="s">
        <v>16</v>
      </c>
      <c r="F476" t="s">
        <v>23</v>
      </c>
      <c r="G476" t="str">
        <f t="shared" si="21"/>
        <v>Friday</v>
      </c>
      <c r="H476" t="str">
        <f t="shared" si="22"/>
        <v>Mar</v>
      </c>
      <c r="I476" s="1">
        <v>43554</v>
      </c>
      <c r="J476" s="1" t="str">
        <f t="shared" si="23"/>
        <v>Evening</v>
      </c>
      <c r="K476" s="2">
        <v>0.71111111111111114</v>
      </c>
      <c r="L476" t="s">
        <v>24</v>
      </c>
      <c r="M476">
        <v>16.11</v>
      </c>
      <c r="N476">
        <v>6.6</v>
      </c>
    </row>
    <row r="477" spans="1:14" x14ac:dyDescent="0.25">
      <c r="A477" t="s">
        <v>506</v>
      </c>
      <c r="B477" t="s">
        <v>13</v>
      </c>
      <c r="C477" t="s">
        <v>14</v>
      </c>
      <c r="D477" t="s">
        <v>22</v>
      </c>
      <c r="E477" t="s">
        <v>26</v>
      </c>
      <c r="F477" t="s">
        <v>17</v>
      </c>
      <c r="G477" t="str">
        <f t="shared" si="21"/>
        <v>Sunday</v>
      </c>
      <c r="H477" t="str">
        <f t="shared" si="22"/>
        <v>Feb</v>
      </c>
      <c r="I477" s="1">
        <v>43521</v>
      </c>
      <c r="J477" s="1" t="str">
        <f t="shared" si="23"/>
        <v>Evening</v>
      </c>
      <c r="K477" s="2">
        <v>0.85763888888888884</v>
      </c>
      <c r="L477" t="s">
        <v>28</v>
      </c>
      <c r="M477">
        <v>9.7769999999999992</v>
      </c>
      <c r="N477">
        <v>6.3</v>
      </c>
    </row>
    <row r="478" spans="1:14" x14ac:dyDescent="0.25">
      <c r="A478" t="s">
        <v>507</v>
      </c>
      <c r="B478" t="s">
        <v>13</v>
      </c>
      <c r="C478" t="s">
        <v>14</v>
      </c>
      <c r="D478" t="s">
        <v>22</v>
      </c>
      <c r="E478" t="s">
        <v>16</v>
      </c>
      <c r="F478" t="s">
        <v>31</v>
      </c>
      <c r="G478" t="str">
        <f t="shared" si="21"/>
        <v>Wednesday</v>
      </c>
      <c r="H478" t="str">
        <f t="shared" si="22"/>
        <v>Mar</v>
      </c>
      <c r="I478" s="1">
        <v>43542</v>
      </c>
      <c r="J478" s="1" t="str">
        <f t="shared" si="23"/>
        <v>Evening</v>
      </c>
      <c r="K478" s="2">
        <v>0.67361111111111116</v>
      </c>
      <c r="L478" t="s">
        <v>28</v>
      </c>
      <c r="M478">
        <v>8.3149999999999995</v>
      </c>
      <c r="N478">
        <v>4.2</v>
      </c>
    </row>
    <row r="479" spans="1:14" x14ac:dyDescent="0.25">
      <c r="A479" t="s">
        <v>508</v>
      </c>
      <c r="B479" t="s">
        <v>20</v>
      </c>
      <c r="C479" t="s">
        <v>21</v>
      </c>
      <c r="D479" t="s">
        <v>22</v>
      </c>
      <c r="E479" t="s">
        <v>26</v>
      </c>
      <c r="F479" t="s">
        <v>23</v>
      </c>
      <c r="G479" t="str">
        <f t="shared" si="21"/>
        <v>Monday</v>
      </c>
      <c r="H479" t="str">
        <f t="shared" si="22"/>
        <v>Mar</v>
      </c>
      <c r="I479" s="1">
        <v>43531</v>
      </c>
      <c r="J479" s="1" t="str">
        <f t="shared" si="23"/>
        <v>Evening</v>
      </c>
      <c r="K479" s="2">
        <v>0.70416666666666661</v>
      </c>
      <c r="L479" t="s">
        <v>18</v>
      </c>
      <c r="M479">
        <v>16.814</v>
      </c>
      <c r="N479">
        <v>4.4000000000000004</v>
      </c>
    </row>
    <row r="480" spans="1:14" x14ac:dyDescent="0.25">
      <c r="A480" t="s">
        <v>509</v>
      </c>
      <c r="B480" t="s">
        <v>37</v>
      </c>
      <c r="C480" t="s">
        <v>38</v>
      </c>
      <c r="D480" t="s">
        <v>22</v>
      </c>
      <c r="E480" t="s">
        <v>26</v>
      </c>
      <c r="F480" t="s">
        <v>31</v>
      </c>
      <c r="G480" t="str">
        <f t="shared" si="21"/>
        <v>Wednesday</v>
      </c>
      <c r="H480" t="str">
        <f t="shared" si="22"/>
        <v>Mar</v>
      </c>
      <c r="I480" s="1">
        <v>43540</v>
      </c>
      <c r="J480" s="1" t="str">
        <f t="shared" si="23"/>
        <v>Morning</v>
      </c>
      <c r="K480" s="2">
        <v>0.42430555555555555</v>
      </c>
      <c r="L480" t="s">
        <v>18</v>
      </c>
      <c r="M480">
        <v>17.184999999999999</v>
      </c>
      <c r="N480">
        <v>6.7</v>
      </c>
    </row>
    <row r="481" spans="1:14" x14ac:dyDescent="0.25">
      <c r="A481" t="s">
        <v>510</v>
      </c>
      <c r="B481" t="s">
        <v>13</v>
      </c>
      <c r="C481" t="s">
        <v>14</v>
      </c>
      <c r="D481" t="s">
        <v>22</v>
      </c>
      <c r="E481" t="s">
        <v>26</v>
      </c>
      <c r="F481" t="s">
        <v>23</v>
      </c>
      <c r="G481" t="str">
        <f t="shared" si="21"/>
        <v>Wednesday</v>
      </c>
      <c r="H481" t="str">
        <f t="shared" si="22"/>
        <v>Jan</v>
      </c>
      <c r="I481" s="1">
        <v>43494</v>
      </c>
      <c r="J481" s="1" t="str">
        <f t="shared" si="23"/>
        <v>Morning</v>
      </c>
      <c r="K481" s="2">
        <v>0.47638888888888892</v>
      </c>
      <c r="L481" t="s">
        <v>18</v>
      </c>
      <c r="M481">
        <v>1.93</v>
      </c>
      <c r="N481">
        <v>6.7</v>
      </c>
    </row>
    <row r="482" spans="1:14" x14ac:dyDescent="0.25">
      <c r="A482" t="s">
        <v>511</v>
      </c>
      <c r="B482" t="s">
        <v>20</v>
      </c>
      <c r="C482" t="s">
        <v>21</v>
      </c>
      <c r="D482" t="s">
        <v>22</v>
      </c>
      <c r="E482" t="s">
        <v>26</v>
      </c>
      <c r="F482" t="s">
        <v>39</v>
      </c>
      <c r="G482" t="str">
        <f t="shared" si="21"/>
        <v>Thursday</v>
      </c>
      <c r="H482" t="str">
        <f t="shared" si="22"/>
        <v>Feb</v>
      </c>
      <c r="I482" s="1">
        <v>43498</v>
      </c>
      <c r="J482" s="1" t="str">
        <f t="shared" si="23"/>
        <v>Evening</v>
      </c>
      <c r="K482" s="2">
        <v>0.8534722222222223</v>
      </c>
      <c r="L482" t="s">
        <v>24</v>
      </c>
      <c r="M482">
        <v>26.388000000000002</v>
      </c>
      <c r="N482">
        <v>8.4</v>
      </c>
    </row>
    <row r="483" spans="1:14" x14ac:dyDescent="0.25">
      <c r="A483" t="s">
        <v>512</v>
      </c>
      <c r="B483" t="s">
        <v>20</v>
      </c>
      <c r="C483" t="s">
        <v>21</v>
      </c>
      <c r="D483" t="s">
        <v>22</v>
      </c>
      <c r="E483" t="s">
        <v>16</v>
      </c>
      <c r="F483" t="s">
        <v>23</v>
      </c>
      <c r="G483" t="str">
        <f t="shared" si="21"/>
        <v>Friday</v>
      </c>
      <c r="H483" t="str">
        <f t="shared" si="22"/>
        <v>Feb</v>
      </c>
      <c r="I483" s="1">
        <v>43511</v>
      </c>
      <c r="J483" s="1" t="str">
        <f t="shared" si="23"/>
        <v>Afternoon</v>
      </c>
      <c r="K483" s="2">
        <v>0.5083333333333333</v>
      </c>
      <c r="L483" t="s">
        <v>24</v>
      </c>
      <c r="M483">
        <v>16.399999999999999</v>
      </c>
      <c r="N483">
        <v>6.2</v>
      </c>
    </row>
    <row r="484" spans="1:14" x14ac:dyDescent="0.25">
      <c r="A484" t="s">
        <v>513</v>
      </c>
      <c r="B484" t="s">
        <v>13</v>
      </c>
      <c r="C484" t="s">
        <v>14</v>
      </c>
      <c r="D484" t="s">
        <v>22</v>
      </c>
      <c r="E484" t="s">
        <v>26</v>
      </c>
      <c r="F484" t="s">
        <v>31</v>
      </c>
      <c r="G484" t="str">
        <f t="shared" si="21"/>
        <v>Sunday</v>
      </c>
      <c r="H484" t="str">
        <f t="shared" si="22"/>
        <v>Jan</v>
      </c>
      <c r="I484" s="1">
        <v>43473</v>
      </c>
      <c r="J484" s="1" t="str">
        <f t="shared" si="23"/>
        <v>Afternoon</v>
      </c>
      <c r="K484" s="2">
        <v>0.54513888888888895</v>
      </c>
      <c r="L484" t="s">
        <v>18</v>
      </c>
      <c r="M484">
        <v>9.2850000000000001</v>
      </c>
      <c r="N484">
        <v>5</v>
      </c>
    </row>
    <row r="485" spans="1:14" x14ac:dyDescent="0.25">
      <c r="A485" t="s">
        <v>514</v>
      </c>
      <c r="B485" t="s">
        <v>37</v>
      </c>
      <c r="C485" t="s">
        <v>38</v>
      </c>
      <c r="D485" t="s">
        <v>15</v>
      </c>
      <c r="E485" t="s">
        <v>26</v>
      </c>
      <c r="F485" t="s">
        <v>27</v>
      </c>
      <c r="G485" t="str">
        <f t="shared" si="21"/>
        <v>Friday</v>
      </c>
      <c r="H485" t="str">
        <f t="shared" si="22"/>
        <v>Feb</v>
      </c>
      <c r="I485" s="1">
        <v>43508</v>
      </c>
      <c r="J485" s="1" t="str">
        <f t="shared" si="23"/>
        <v>Evening</v>
      </c>
      <c r="K485" s="2">
        <v>0.67986111111111114</v>
      </c>
      <c r="L485" t="s">
        <v>24</v>
      </c>
      <c r="M485">
        <v>30.19</v>
      </c>
      <c r="N485">
        <v>6</v>
      </c>
    </row>
    <row r="486" spans="1:14" x14ac:dyDescent="0.25">
      <c r="A486" t="s">
        <v>515</v>
      </c>
      <c r="B486" t="s">
        <v>20</v>
      </c>
      <c r="C486" t="s">
        <v>21</v>
      </c>
      <c r="D486" t="s">
        <v>15</v>
      </c>
      <c r="E486" t="s">
        <v>16</v>
      </c>
      <c r="F486" t="s">
        <v>31</v>
      </c>
      <c r="G486" t="str">
        <f t="shared" si="21"/>
        <v>Saturday</v>
      </c>
      <c r="H486" t="str">
        <f t="shared" si="22"/>
        <v>Jan</v>
      </c>
      <c r="I486" s="1">
        <v>43466</v>
      </c>
      <c r="J486" s="1" t="str">
        <f t="shared" si="23"/>
        <v>Evening</v>
      </c>
      <c r="K486" s="2">
        <v>0.82500000000000007</v>
      </c>
      <c r="L486" t="s">
        <v>28</v>
      </c>
      <c r="M486">
        <v>18.489999999999998</v>
      </c>
      <c r="N486">
        <v>7</v>
      </c>
    </row>
    <row r="487" spans="1:14" x14ac:dyDescent="0.25">
      <c r="A487" t="s">
        <v>516</v>
      </c>
      <c r="B487" t="s">
        <v>37</v>
      </c>
      <c r="C487" t="s">
        <v>38</v>
      </c>
      <c r="D487" t="s">
        <v>15</v>
      </c>
      <c r="E487" t="s">
        <v>16</v>
      </c>
      <c r="F487" t="s">
        <v>31</v>
      </c>
      <c r="G487" t="str">
        <f t="shared" si="21"/>
        <v>Wednesday</v>
      </c>
      <c r="H487" t="str">
        <f t="shared" si="22"/>
        <v>Mar</v>
      </c>
      <c r="I487" s="1">
        <v>43545</v>
      </c>
      <c r="J487" s="1" t="str">
        <f t="shared" si="23"/>
        <v>Afternoon</v>
      </c>
      <c r="K487" s="2">
        <v>0.64236111111111105</v>
      </c>
      <c r="L487" t="s">
        <v>18</v>
      </c>
      <c r="M487">
        <v>9.8979999999999997</v>
      </c>
      <c r="N487">
        <v>6.6</v>
      </c>
    </row>
    <row r="488" spans="1:14" x14ac:dyDescent="0.25">
      <c r="A488" t="s">
        <v>517</v>
      </c>
      <c r="B488" t="s">
        <v>37</v>
      </c>
      <c r="C488" t="s">
        <v>38</v>
      </c>
      <c r="D488" t="s">
        <v>22</v>
      </c>
      <c r="E488" t="s">
        <v>16</v>
      </c>
      <c r="F488" t="s">
        <v>41</v>
      </c>
      <c r="G488" t="str">
        <f t="shared" si="21"/>
        <v>Sunday</v>
      </c>
      <c r="H488" t="str">
        <f t="shared" si="22"/>
        <v>Feb</v>
      </c>
      <c r="I488" s="1">
        <v>43524</v>
      </c>
      <c r="J488" s="1" t="str">
        <f t="shared" si="23"/>
        <v>Afternoon</v>
      </c>
      <c r="K488" s="2">
        <v>0.61249999999999993</v>
      </c>
      <c r="L488" t="s">
        <v>24</v>
      </c>
      <c r="M488">
        <v>20.545000000000002</v>
      </c>
      <c r="N488">
        <v>7.3</v>
      </c>
    </row>
    <row r="489" spans="1:14" x14ac:dyDescent="0.25">
      <c r="A489" t="s">
        <v>518</v>
      </c>
      <c r="B489" t="s">
        <v>13</v>
      </c>
      <c r="C489" t="s">
        <v>14</v>
      </c>
      <c r="D489" t="s">
        <v>22</v>
      </c>
      <c r="E489" t="s">
        <v>26</v>
      </c>
      <c r="F489" t="s">
        <v>41</v>
      </c>
      <c r="G489" t="str">
        <f t="shared" si="21"/>
        <v>Thursday</v>
      </c>
      <c r="H489" t="str">
        <f t="shared" si="22"/>
        <v>Mar</v>
      </c>
      <c r="I489" s="1">
        <v>43547</v>
      </c>
      <c r="J489" s="1" t="str">
        <f t="shared" si="23"/>
        <v>Evening</v>
      </c>
      <c r="K489" s="2">
        <v>0.7909722222222223</v>
      </c>
      <c r="L489" t="s">
        <v>18</v>
      </c>
      <c r="M489">
        <v>7.43</v>
      </c>
      <c r="N489">
        <v>8.3000000000000007</v>
      </c>
    </row>
    <row r="490" spans="1:14" x14ac:dyDescent="0.25">
      <c r="A490" t="s">
        <v>519</v>
      </c>
      <c r="B490" t="s">
        <v>20</v>
      </c>
      <c r="C490" t="s">
        <v>21</v>
      </c>
      <c r="D490" t="s">
        <v>22</v>
      </c>
      <c r="E490" t="s">
        <v>26</v>
      </c>
      <c r="F490" t="s">
        <v>27</v>
      </c>
      <c r="G490" t="str">
        <f t="shared" si="21"/>
        <v>Wednesday</v>
      </c>
      <c r="H490" t="str">
        <f t="shared" si="22"/>
        <v>Jan</v>
      </c>
      <c r="I490" s="1">
        <v>43495</v>
      </c>
      <c r="J490" s="1" t="str">
        <f t="shared" si="23"/>
        <v>Evening</v>
      </c>
      <c r="K490" s="2">
        <v>0.86597222222222225</v>
      </c>
      <c r="L490" t="s">
        <v>24</v>
      </c>
      <c r="M490">
        <v>1.1479999999999999</v>
      </c>
      <c r="N490">
        <v>4.3</v>
      </c>
    </row>
    <row r="491" spans="1:14" x14ac:dyDescent="0.25">
      <c r="A491" t="s">
        <v>520</v>
      </c>
      <c r="B491" t="s">
        <v>37</v>
      </c>
      <c r="C491" t="s">
        <v>38</v>
      </c>
      <c r="D491" t="s">
        <v>15</v>
      </c>
      <c r="E491" t="s">
        <v>16</v>
      </c>
      <c r="F491" t="s">
        <v>27</v>
      </c>
      <c r="G491" t="str">
        <f t="shared" si="21"/>
        <v>Thursday</v>
      </c>
      <c r="H491" t="str">
        <f t="shared" si="22"/>
        <v>Feb</v>
      </c>
      <c r="I491" s="1">
        <v>43500</v>
      </c>
      <c r="J491" s="1" t="str">
        <f t="shared" si="23"/>
        <v>Afternoon</v>
      </c>
      <c r="K491" s="2">
        <v>0.55625000000000002</v>
      </c>
      <c r="L491" t="s">
        <v>18</v>
      </c>
      <c r="M491">
        <v>34.956000000000003</v>
      </c>
      <c r="N491">
        <v>9.8000000000000007</v>
      </c>
    </row>
    <row r="492" spans="1:14" x14ac:dyDescent="0.25">
      <c r="A492" t="s">
        <v>521</v>
      </c>
      <c r="B492" t="s">
        <v>37</v>
      </c>
      <c r="C492" t="s">
        <v>38</v>
      </c>
      <c r="D492" t="s">
        <v>22</v>
      </c>
      <c r="E492" t="s">
        <v>16</v>
      </c>
      <c r="F492" t="s">
        <v>41</v>
      </c>
      <c r="G492" t="str">
        <f t="shared" si="21"/>
        <v>Tuesday</v>
      </c>
      <c r="H492" t="str">
        <f t="shared" si="22"/>
        <v>Mar</v>
      </c>
      <c r="I492" s="1">
        <v>43537</v>
      </c>
      <c r="J492" s="1" t="str">
        <f t="shared" si="23"/>
        <v>Evening</v>
      </c>
      <c r="K492" s="2">
        <v>0.82500000000000007</v>
      </c>
      <c r="L492" t="s">
        <v>18</v>
      </c>
      <c r="M492">
        <v>3.47</v>
      </c>
      <c r="N492">
        <v>8.1999999999999993</v>
      </c>
    </row>
    <row r="493" spans="1:14" x14ac:dyDescent="0.25">
      <c r="A493" t="s">
        <v>522</v>
      </c>
      <c r="B493" t="s">
        <v>13</v>
      </c>
      <c r="C493" t="s">
        <v>14</v>
      </c>
      <c r="D493" t="s">
        <v>15</v>
      </c>
      <c r="E493" t="s">
        <v>16</v>
      </c>
      <c r="F493" t="s">
        <v>41</v>
      </c>
      <c r="G493" t="str">
        <f t="shared" si="21"/>
        <v>Tuesday</v>
      </c>
      <c r="H493" t="str">
        <f t="shared" si="22"/>
        <v>Mar</v>
      </c>
      <c r="I493" s="1">
        <v>43539</v>
      </c>
      <c r="J493" s="1" t="str">
        <f t="shared" si="23"/>
        <v>Evening</v>
      </c>
      <c r="K493" s="2">
        <v>0.76388888888888884</v>
      </c>
      <c r="L493" t="s">
        <v>28</v>
      </c>
      <c r="M493">
        <v>9.83</v>
      </c>
      <c r="N493">
        <v>7.2</v>
      </c>
    </row>
    <row r="494" spans="1:14" x14ac:dyDescent="0.25">
      <c r="A494" t="s">
        <v>523</v>
      </c>
      <c r="B494" t="s">
        <v>37</v>
      </c>
      <c r="C494" t="s">
        <v>38</v>
      </c>
      <c r="D494" t="s">
        <v>15</v>
      </c>
      <c r="E494" t="s">
        <v>16</v>
      </c>
      <c r="F494" t="s">
        <v>17</v>
      </c>
      <c r="G494" t="str">
        <f t="shared" si="21"/>
        <v>Monday</v>
      </c>
      <c r="H494" t="str">
        <f t="shared" si="22"/>
        <v>Mar</v>
      </c>
      <c r="I494" s="1">
        <v>43529</v>
      </c>
      <c r="J494" s="1" t="str">
        <f t="shared" si="23"/>
        <v>Evening</v>
      </c>
      <c r="K494" s="2">
        <v>0.85</v>
      </c>
      <c r="L494" t="s">
        <v>18</v>
      </c>
      <c r="M494">
        <v>10.128</v>
      </c>
      <c r="N494">
        <v>8.6999999999999993</v>
      </c>
    </row>
    <row r="495" spans="1:14" x14ac:dyDescent="0.25">
      <c r="A495" t="s">
        <v>524</v>
      </c>
      <c r="B495" t="s">
        <v>20</v>
      </c>
      <c r="C495" t="s">
        <v>21</v>
      </c>
      <c r="D495" t="s">
        <v>15</v>
      </c>
      <c r="E495" t="s">
        <v>16</v>
      </c>
      <c r="F495" t="s">
        <v>27</v>
      </c>
      <c r="G495" t="str">
        <f t="shared" si="21"/>
        <v>Monday</v>
      </c>
      <c r="H495" t="str">
        <f t="shared" si="22"/>
        <v>Mar</v>
      </c>
      <c r="I495" s="1">
        <v>43529</v>
      </c>
      <c r="J495" s="1" t="str">
        <f t="shared" si="23"/>
        <v>Afternoon</v>
      </c>
      <c r="K495" s="2">
        <v>0.57222222222222219</v>
      </c>
      <c r="L495" t="s">
        <v>28</v>
      </c>
      <c r="M495">
        <v>6.06</v>
      </c>
      <c r="N495">
        <v>8.4</v>
      </c>
    </row>
    <row r="496" spans="1:14" x14ac:dyDescent="0.25">
      <c r="A496" t="s">
        <v>525</v>
      </c>
      <c r="B496" t="s">
        <v>37</v>
      </c>
      <c r="C496" t="s">
        <v>38</v>
      </c>
      <c r="D496" t="s">
        <v>22</v>
      </c>
      <c r="E496" t="s">
        <v>26</v>
      </c>
      <c r="F496" t="s">
        <v>41</v>
      </c>
      <c r="G496" t="str">
        <f t="shared" si="21"/>
        <v>Sunday</v>
      </c>
      <c r="H496" t="str">
        <f t="shared" si="22"/>
        <v>Feb</v>
      </c>
      <c r="I496" s="1">
        <v>43522</v>
      </c>
      <c r="J496" s="1" t="str">
        <f t="shared" si="23"/>
        <v>Morning</v>
      </c>
      <c r="K496" s="2">
        <v>0.4916666666666667</v>
      </c>
      <c r="L496" t="s">
        <v>18</v>
      </c>
      <c r="M496">
        <v>9.9890000000000008</v>
      </c>
      <c r="N496">
        <v>7.1</v>
      </c>
    </row>
    <row r="497" spans="1:14" x14ac:dyDescent="0.25">
      <c r="A497" t="s">
        <v>526</v>
      </c>
      <c r="B497" t="s">
        <v>37</v>
      </c>
      <c r="C497" t="s">
        <v>38</v>
      </c>
      <c r="D497" t="s">
        <v>22</v>
      </c>
      <c r="E497" t="s">
        <v>26</v>
      </c>
      <c r="F497" t="s">
        <v>31</v>
      </c>
      <c r="G497" t="str">
        <f t="shared" si="21"/>
        <v>Wednesday</v>
      </c>
      <c r="H497" t="str">
        <f t="shared" si="22"/>
        <v>Mar</v>
      </c>
      <c r="I497" s="1">
        <v>43544</v>
      </c>
      <c r="J497" s="1" t="str">
        <f t="shared" si="23"/>
        <v>Afternoon</v>
      </c>
      <c r="K497" s="2">
        <v>0.59305555555555556</v>
      </c>
      <c r="L497" t="s">
        <v>24</v>
      </c>
      <c r="M497">
        <v>30.367999999999999</v>
      </c>
      <c r="N497">
        <v>5.5</v>
      </c>
    </row>
    <row r="498" spans="1:14" x14ac:dyDescent="0.25">
      <c r="A498" t="s">
        <v>527</v>
      </c>
      <c r="B498" t="s">
        <v>20</v>
      </c>
      <c r="C498" t="s">
        <v>21</v>
      </c>
      <c r="D498" t="s">
        <v>22</v>
      </c>
      <c r="E498" t="s">
        <v>16</v>
      </c>
      <c r="F498" t="s">
        <v>23</v>
      </c>
      <c r="G498" t="str">
        <f t="shared" si="21"/>
        <v>Saturday</v>
      </c>
      <c r="H498" t="str">
        <f t="shared" si="22"/>
        <v>Jan</v>
      </c>
      <c r="I498" s="1">
        <v>43466</v>
      </c>
      <c r="J498" s="1" t="str">
        <f t="shared" si="23"/>
        <v>Afternoon</v>
      </c>
      <c r="K498" s="2">
        <v>0.66041666666666665</v>
      </c>
      <c r="L498" t="s">
        <v>24</v>
      </c>
      <c r="M498">
        <v>6.3220000000000001</v>
      </c>
      <c r="N498">
        <v>8.5</v>
      </c>
    </row>
    <row r="499" spans="1:14" x14ac:dyDescent="0.25">
      <c r="A499" t="s">
        <v>528</v>
      </c>
      <c r="B499" t="s">
        <v>20</v>
      </c>
      <c r="C499" t="s">
        <v>21</v>
      </c>
      <c r="D499" t="s">
        <v>22</v>
      </c>
      <c r="E499" t="s">
        <v>16</v>
      </c>
      <c r="F499" t="s">
        <v>39</v>
      </c>
      <c r="G499" t="str">
        <f t="shared" si="21"/>
        <v>Wednesday</v>
      </c>
      <c r="H499" t="str">
        <f t="shared" si="22"/>
        <v>Jan</v>
      </c>
      <c r="I499" s="1">
        <v>43492</v>
      </c>
      <c r="J499" s="1" t="str">
        <f t="shared" si="23"/>
        <v>Morning</v>
      </c>
      <c r="K499" s="2">
        <v>0.47013888888888888</v>
      </c>
      <c r="L499" t="s">
        <v>24</v>
      </c>
      <c r="M499">
        <v>27.071999999999999</v>
      </c>
      <c r="N499">
        <v>6.2</v>
      </c>
    </row>
    <row r="500" spans="1:14" x14ac:dyDescent="0.25">
      <c r="A500" t="s">
        <v>529</v>
      </c>
      <c r="B500" t="s">
        <v>37</v>
      </c>
      <c r="C500" t="s">
        <v>38</v>
      </c>
      <c r="D500" t="s">
        <v>15</v>
      </c>
      <c r="E500" t="s">
        <v>16</v>
      </c>
      <c r="F500" t="s">
        <v>31</v>
      </c>
      <c r="G500" t="str">
        <f t="shared" si="21"/>
        <v>Tuesday</v>
      </c>
      <c r="H500" t="str">
        <f t="shared" si="22"/>
        <v>Jan</v>
      </c>
      <c r="I500" s="1">
        <v>43486</v>
      </c>
      <c r="J500" s="1" t="str">
        <f t="shared" si="23"/>
        <v>Evening</v>
      </c>
      <c r="K500" s="2">
        <v>0.73333333333333339</v>
      </c>
      <c r="L500" t="s">
        <v>24</v>
      </c>
      <c r="M500">
        <v>4.9065000000000003</v>
      </c>
      <c r="N500">
        <v>8.9</v>
      </c>
    </row>
    <row r="501" spans="1:14" x14ac:dyDescent="0.25">
      <c r="A501" t="s">
        <v>530</v>
      </c>
      <c r="B501" t="s">
        <v>13</v>
      </c>
      <c r="C501" t="s">
        <v>14</v>
      </c>
      <c r="D501" t="s">
        <v>15</v>
      </c>
      <c r="E501" t="s">
        <v>16</v>
      </c>
      <c r="F501" t="s">
        <v>31</v>
      </c>
      <c r="G501" t="str">
        <f t="shared" si="21"/>
        <v>Thursday</v>
      </c>
      <c r="H501" t="str">
        <f t="shared" si="22"/>
        <v>Feb</v>
      </c>
      <c r="I501" s="1">
        <v>43498</v>
      </c>
      <c r="J501" s="1" t="str">
        <f t="shared" si="23"/>
        <v>Afternoon</v>
      </c>
      <c r="K501" s="2">
        <v>0.65763888888888888</v>
      </c>
      <c r="L501" t="s">
        <v>24</v>
      </c>
      <c r="M501">
        <v>20.608000000000001</v>
      </c>
      <c r="N501">
        <v>9.6</v>
      </c>
    </row>
    <row r="502" spans="1:14" x14ac:dyDescent="0.25">
      <c r="A502" t="s">
        <v>531</v>
      </c>
      <c r="B502" t="s">
        <v>37</v>
      </c>
      <c r="C502" t="s">
        <v>38</v>
      </c>
      <c r="D502" t="s">
        <v>15</v>
      </c>
      <c r="E502" t="s">
        <v>26</v>
      </c>
      <c r="F502" t="s">
        <v>31</v>
      </c>
      <c r="G502" t="str">
        <f t="shared" si="21"/>
        <v>Thursday</v>
      </c>
      <c r="H502" t="str">
        <f t="shared" si="22"/>
        <v>Feb</v>
      </c>
      <c r="I502" s="1">
        <v>43499</v>
      </c>
      <c r="J502" s="1" t="str">
        <f t="shared" si="23"/>
        <v>Afternoon</v>
      </c>
      <c r="K502" s="2">
        <v>0.66180555555555554</v>
      </c>
      <c r="L502" t="s">
        <v>28</v>
      </c>
      <c r="M502">
        <v>3.6985000000000001</v>
      </c>
      <c r="N502">
        <v>5.4</v>
      </c>
    </row>
    <row r="503" spans="1:14" x14ac:dyDescent="0.25">
      <c r="A503" t="s">
        <v>532</v>
      </c>
      <c r="B503" t="s">
        <v>20</v>
      </c>
      <c r="C503" t="s">
        <v>21</v>
      </c>
      <c r="D503" t="s">
        <v>15</v>
      </c>
      <c r="E503" t="s">
        <v>16</v>
      </c>
      <c r="F503" t="s">
        <v>41</v>
      </c>
      <c r="G503" t="str">
        <f t="shared" si="21"/>
        <v>Sunday</v>
      </c>
      <c r="H503" t="str">
        <f t="shared" si="22"/>
        <v>Jan</v>
      </c>
      <c r="I503" s="1">
        <v>43470</v>
      </c>
      <c r="J503" s="1" t="str">
        <f t="shared" si="23"/>
        <v>Afternoon</v>
      </c>
      <c r="K503" s="2">
        <v>0.52777777777777779</v>
      </c>
      <c r="L503" t="s">
        <v>18</v>
      </c>
      <c r="M503">
        <v>1.595</v>
      </c>
      <c r="N503">
        <v>9.1</v>
      </c>
    </row>
    <row r="504" spans="1:14" x14ac:dyDescent="0.25">
      <c r="A504" t="s">
        <v>533</v>
      </c>
      <c r="B504" t="s">
        <v>20</v>
      </c>
      <c r="C504" t="s">
        <v>21</v>
      </c>
      <c r="D504" t="s">
        <v>22</v>
      </c>
      <c r="E504" t="s">
        <v>26</v>
      </c>
      <c r="F504" t="s">
        <v>27</v>
      </c>
      <c r="G504" t="str">
        <f t="shared" si="21"/>
        <v>Wednesday</v>
      </c>
      <c r="H504" t="str">
        <f t="shared" si="22"/>
        <v>Jan</v>
      </c>
      <c r="I504" s="1">
        <v>43492</v>
      </c>
      <c r="J504" s="1" t="str">
        <f t="shared" si="23"/>
        <v>Evening</v>
      </c>
      <c r="K504" s="2">
        <v>0.82500000000000007</v>
      </c>
      <c r="L504" t="s">
        <v>18</v>
      </c>
      <c r="M504">
        <v>6.94</v>
      </c>
      <c r="N504">
        <v>9</v>
      </c>
    </row>
    <row r="505" spans="1:14" x14ac:dyDescent="0.25">
      <c r="A505" t="s">
        <v>534</v>
      </c>
      <c r="B505" t="s">
        <v>37</v>
      </c>
      <c r="C505" t="s">
        <v>38</v>
      </c>
      <c r="D505" t="s">
        <v>22</v>
      </c>
      <c r="E505" t="s">
        <v>16</v>
      </c>
      <c r="F505" t="s">
        <v>31</v>
      </c>
      <c r="G505" t="str">
        <f t="shared" si="21"/>
        <v>Thursday</v>
      </c>
      <c r="H505" t="str">
        <f t="shared" si="22"/>
        <v>Mar</v>
      </c>
      <c r="I505" s="1">
        <v>43549</v>
      </c>
      <c r="J505" s="1" t="str">
        <f t="shared" si="23"/>
        <v>Evening</v>
      </c>
      <c r="K505" s="2">
        <v>0.74513888888888891</v>
      </c>
      <c r="L505" t="s">
        <v>24</v>
      </c>
      <c r="M505">
        <v>9.3309999999999995</v>
      </c>
      <c r="N505">
        <v>6.3</v>
      </c>
    </row>
    <row r="506" spans="1:14" x14ac:dyDescent="0.25">
      <c r="A506" t="s">
        <v>535</v>
      </c>
      <c r="B506" t="s">
        <v>37</v>
      </c>
      <c r="C506" t="s">
        <v>38</v>
      </c>
      <c r="D506" t="s">
        <v>22</v>
      </c>
      <c r="E506" t="s">
        <v>26</v>
      </c>
      <c r="F506" t="s">
        <v>31</v>
      </c>
      <c r="G506" t="str">
        <f t="shared" si="21"/>
        <v>Sunday</v>
      </c>
      <c r="H506" t="str">
        <f t="shared" si="22"/>
        <v>Feb</v>
      </c>
      <c r="I506" s="1">
        <v>43521</v>
      </c>
      <c r="J506" s="1" t="str">
        <f t="shared" si="23"/>
        <v>Evening</v>
      </c>
      <c r="K506" s="2">
        <v>0.69166666666666676</v>
      </c>
      <c r="L506" t="s">
        <v>28</v>
      </c>
      <c r="M506">
        <v>4.4225000000000003</v>
      </c>
      <c r="N506">
        <v>9.5</v>
      </c>
    </row>
    <row r="507" spans="1:14" x14ac:dyDescent="0.25">
      <c r="A507" t="s">
        <v>536</v>
      </c>
      <c r="B507" t="s">
        <v>13</v>
      </c>
      <c r="C507" t="s">
        <v>14</v>
      </c>
      <c r="D507" t="s">
        <v>15</v>
      </c>
      <c r="E507" t="s">
        <v>26</v>
      </c>
      <c r="F507" t="s">
        <v>23</v>
      </c>
      <c r="G507" t="str">
        <f t="shared" si="21"/>
        <v>Wednesday</v>
      </c>
      <c r="H507" t="str">
        <f t="shared" si="22"/>
        <v>Jan</v>
      </c>
      <c r="I507" s="1">
        <v>43493</v>
      </c>
      <c r="J507" s="1" t="str">
        <f t="shared" si="23"/>
        <v>Evening</v>
      </c>
      <c r="K507" s="2">
        <v>0.87083333333333324</v>
      </c>
      <c r="L507" t="s">
        <v>18</v>
      </c>
      <c r="M507">
        <v>9.6720000000000006</v>
      </c>
      <c r="N507">
        <v>9.8000000000000007</v>
      </c>
    </row>
    <row r="508" spans="1:14" x14ac:dyDescent="0.25">
      <c r="A508" t="s">
        <v>537</v>
      </c>
      <c r="B508" t="s">
        <v>37</v>
      </c>
      <c r="C508" t="s">
        <v>38</v>
      </c>
      <c r="D508" t="s">
        <v>15</v>
      </c>
      <c r="E508" t="s">
        <v>16</v>
      </c>
      <c r="F508" t="s">
        <v>31</v>
      </c>
      <c r="G508" t="str">
        <f t="shared" si="21"/>
        <v>Sunday</v>
      </c>
      <c r="H508" t="str">
        <f t="shared" si="22"/>
        <v>Jan</v>
      </c>
      <c r="I508" s="1">
        <v>43473</v>
      </c>
      <c r="J508" s="1" t="str">
        <f t="shared" si="23"/>
        <v>Afternoon</v>
      </c>
      <c r="K508" s="2">
        <v>0.53472222222222221</v>
      </c>
      <c r="L508" t="s">
        <v>24</v>
      </c>
      <c r="M508">
        <v>7.2750000000000004</v>
      </c>
      <c r="N508">
        <v>6.7</v>
      </c>
    </row>
    <row r="509" spans="1:14" x14ac:dyDescent="0.25">
      <c r="A509" t="s">
        <v>538</v>
      </c>
      <c r="B509" t="s">
        <v>37</v>
      </c>
      <c r="C509" t="s">
        <v>38</v>
      </c>
      <c r="D509" t="s">
        <v>22</v>
      </c>
      <c r="E509" t="s">
        <v>16</v>
      </c>
      <c r="F509" t="s">
        <v>39</v>
      </c>
      <c r="G509" t="str">
        <f t="shared" si="21"/>
        <v>Wednesday</v>
      </c>
      <c r="H509" t="str">
        <f t="shared" si="22"/>
        <v>Jan</v>
      </c>
      <c r="I509" s="1">
        <v>43494</v>
      </c>
      <c r="J509" s="1" t="str">
        <f t="shared" si="23"/>
        <v>Morning</v>
      </c>
      <c r="K509" s="2">
        <v>0.45</v>
      </c>
      <c r="L509" t="s">
        <v>28</v>
      </c>
      <c r="M509">
        <v>25.215</v>
      </c>
      <c r="N509">
        <v>7.7</v>
      </c>
    </row>
    <row r="510" spans="1:14" x14ac:dyDescent="0.25">
      <c r="A510" t="s">
        <v>539</v>
      </c>
      <c r="B510" t="s">
        <v>37</v>
      </c>
      <c r="C510" t="s">
        <v>38</v>
      </c>
      <c r="D510" t="s">
        <v>15</v>
      </c>
      <c r="E510" t="s">
        <v>26</v>
      </c>
      <c r="F510" t="s">
        <v>17</v>
      </c>
      <c r="G510" t="str">
        <f t="shared" si="21"/>
        <v>Thursday</v>
      </c>
      <c r="H510" t="str">
        <f t="shared" si="22"/>
        <v>Mar</v>
      </c>
      <c r="I510" s="1">
        <v>43553</v>
      </c>
      <c r="J510" s="1" t="str">
        <f t="shared" si="23"/>
        <v>Afternoon</v>
      </c>
      <c r="K510" s="2">
        <v>0.60277777777777775</v>
      </c>
      <c r="L510" t="s">
        <v>24</v>
      </c>
      <c r="M510">
        <v>15.3225</v>
      </c>
      <c r="N510">
        <v>7</v>
      </c>
    </row>
    <row r="511" spans="1:14" x14ac:dyDescent="0.25">
      <c r="A511" t="s">
        <v>540</v>
      </c>
      <c r="B511" t="s">
        <v>20</v>
      </c>
      <c r="C511" t="s">
        <v>21</v>
      </c>
      <c r="D511" t="s">
        <v>15</v>
      </c>
      <c r="E511" t="s">
        <v>16</v>
      </c>
      <c r="F511" t="s">
        <v>27</v>
      </c>
      <c r="G511" t="str">
        <f t="shared" si="21"/>
        <v>Friday</v>
      </c>
      <c r="H511" t="str">
        <f t="shared" si="22"/>
        <v>Feb</v>
      </c>
      <c r="I511" s="1">
        <v>43505</v>
      </c>
      <c r="J511" s="1" t="str">
        <f t="shared" si="23"/>
        <v>Evening</v>
      </c>
      <c r="K511" s="2">
        <v>0.71875</v>
      </c>
      <c r="L511" t="s">
        <v>28</v>
      </c>
      <c r="M511">
        <v>4.7850000000000001</v>
      </c>
      <c r="N511">
        <v>5.0999999999999996</v>
      </c>
    </row>
    <row r="512" spans="1:14" x14ac:dyDescent="0.25">
      <c r="A512" t="s">
        <v>541</v>
      </c>
      <c r="B512" t="s">
        <v>37</v>
      </c>
      <c r="C512" t="s">
        <v>38</v>
      </c>
      <c r="D512" t="s">
        <v>15</v>
      </c>
      <c r="E512" t="s">
        <v>16</v>
      </c>
      <c r="F512" t="s">
        <v>31</v>
      </c>
      <c r="G512" t="str">
        <f t="shared" si="21"/>
        <v>Monday</v>
      </c>
      <c r="H512" t="str">
        <f t="shared" si="22"/>
        <v>Jan</v>
      </c>
      <c r="I512" s="1">
        <v>43481</v>
      </c>
      <c r="J512" s="1" t="str">
        <f t="shared" si="23"/>
        <v>Evening</v>
      </c>
      <c r="K512" s="2">
        <v>0.75208333333333333</v>
      </c>
      <c r="L512" t="s">
        <v>28</v>
      </c>
      <c r="M512">
        <v>31.759</v>
      </c>
      <c r="N512">
        <v>6.2</v>
      </c>
    </row>
    <row r="513" spans="1:14" x14ac:dyDescent="0.25">
      <c r="A513" t="s">
        <v>542</v>
      </c>
      <c r="B513" t="s">
        <v>13</v>
      </c>
      <c r="C513" t="s">
        <v>14</v>
      </c>
      <c r="D513" t="s">
        <v>22</v>
      </c>
      <c r="E513" t="s">
        <v>16</v>
      </c>
      <c r="F513" t="s">
        <v>27</v>
      </c>
      <c r="G513" t="str">
        <f t="shared" si="21"/>
        <v>Sunday</v>
      </c>
      <c r="H513" t="str">
        <f t="shared" si="22"/>
        <v>Jan</v>
      </c>
      <c r="I513" s="1">
        <v>43470</v>
      </c>
      <c r="J513" s="1" t="str">
        <f t="shared" si="23"/>
        <v>Evening</v>
      </c>
      <c r="K513" s="2">
        <v>0.7284722222222223</v>
      </c>
      <c r="L513" t="s">
        <v>18</v>
      </c>
      <c r="M513">
        <v>10.727499999999999</v>
      </c>
      <c r="N513">
        <v>6.1</v>
      </c>
    </row>
    <row r="514" spans="1:14" x14ac:dyDescent="0.25">
      <c r="A514" t="s">
        <v>543</v>
      </c>
      <c r="B514" t="s">
        <v>13</v>
      </c>
      <c r="C514" t="s">
        <v>14</v>
      </c>
      <c r="D514" t="s">
        <v>22</v>
      </c>
      <c r="E514" t="s">
        <v>16</v>
      </c>
      <c r="F514" t="s">
        <v>41</v>
      </c>
      <c r="G514" t="str">
        <f t="shared" si="21"/>
        <v>Wednesday</v>
      </c>
      <c r="H514" t="str">
        <f t="shared" si="22"/>
        <v>Jan</v>
      </c>
      <c r="I514" s="1">
        <v>43492</v>
      </c>
      <c r="J514" s="1" t="str">
        <f t="shared" si="23"/>
        <v>Evening</v>
      </c>
      <c r="K514" s="2">
        <v>0.75347222222222221</v>
      </c>
      <c r="L514" t="s">
        <v>18</v>
      </c>
      <c r="M514">
        <v>18.998000000000001</v>
      </c>
      <c r="N514">
        <v>9.3000000000000007</v>
      </c>
    </row>
    <row r="515" spans="1:14" x14ac:dyDescent="0.25">
      <c r="A515" t="s">
        <v>544</v>
      </c>
      <c r="B515" t="s">
        <v>13</v>
      </c>
      <c r="C515" t="s">
        <v>14</v>
      </c>
      <c r="D515" t="s">
        <v>22</v>
      </c>
      <c r="E515" t="s">
        <v>26</v>
      </c>
      <c r="F515" t="s">
        <v>23</v>
      </c>
      <c r="G515" t="str">
        <f t="shared" ref="G515:G578" si="24">TEXT(I515/7,"dddd")</f>
        <v>Tuesday</v>
      </c>
      <c r="H515" t="str">
        <f t="shared" ref="H515:H578" si="25">TEXT(I515,"mmm")</f>
        <v>Mar</v>
      </c>
      <c r="I515" s="1">
        <v>43538</v>
      </c>
      <c r="J515" s="1" t="str">
        <f t="shared" ref="J515:J578" si="26">IF(AND(K515&gt;=TIME(9,0,0),K515&lt;TIME(12,0,0)),"Morning",IF(AND(K515&gt;=TIME(12,0,0),K515&lt;TIME(16,0,0)),"Afternoon","Evening"))</f>
        <v>Afternoon</v>
      </c>
      <c r="K515" s="2">
        <v>0.50486111111111109</v>
      </c>
      <c r="L515" t="s">
        <v>24</v>
      </c>
      <c r="M515">
        <v>34.842500000000001</v>
      </c>
      <c r="N515">
        <v>7.6</v>
      </c>
    </row>
    <row r="516" spans="1:14" x14ac:dyDescent="0.25">
      <c r="A516" t="s">
        <v>545</v>
      </c>
      <c r="B516" t="s">
        <v>20</v>
      </c>
      <c r="C516" t="s">
        <v>21</v>
      </c>
      <c r="D516" t="s">
        <v>15</v>
      </c>
      <c r="E516" t="s">
        <v>26</v>
      </c>
      <c r="F516" t="s">
        <v>31</v>
      </c>
      <c r="G516" t="str">
        <f t="shared" si="24"/>
        <v>Sunday</v>
      </c>
      <c r="H516" t="str">
        <f t="shared" si="25"/>
        <v>Feb</v>
      </c>
      <c r="I516" s="1">
        <v>43519</v>
      </c>
      <c r="J516" s="1" t="str">
        <f t="shared" si="26"/>
        <v>Evening</v>
      </c>
      <c r="K516" s="2">
        <v>0.8256944444444444</v>
      </c>
      <c r="L516" t="s">
        <v>28</v>
      </c>
      <c r="M516">
        <v>20.436499999999999</v>
      </c>
      <c r="N516">
        <v>8.1999999999999993</v>
      </c>
    </row>
    <row r="517" spans="1:14" x14ac:dyDescent="0.25">
      <c r="A517" t="s">
        <v>546</v>
      </c>
      <c r="B517" t="s">
        <v>20</v>
      </c>
      <c r="C517" t="s">
        <v>21</v>
      </c>
      <c r="D517" t="s">
        <v>15</v>
      </c>
      <c r="E517" t="s">
        <v>16</v>
      </c>
      <c r="F517" t="s">
        <v>41</v>
      </c>
      <c r="G517" t="str">
        <f t="shared" si="24"/>
        <v>Wednesday</v>
      </c>
      <c r="H517" t="str">
        <f t="shared" si="25"/>
        <v>Mar</v>
      </c>
      <c r="I517" s="1">
        <v>43542</v>
      </c>
      <c r="J517" s="1" t="str">
        <f t="shared" si="26"/>
        <v>Afternoon</v>
      </c>
      <c r="K517" s="2">
        <v>0.66111111111111109</v>
      </c>
      <c r="L517" t="s">
        <v>18</v>
      </c>
      <c r="M517">
        <v>2.5735000000000001</v>
      </c>
      <c r="N517">
        <v>8.5</v>
      </c>
    </row>
    <row r="518" spans="1:14" x14ac:dyDescent="0.25">
      <c r="A518" t="s">
        <v>547</v>
      </c>
      <c r="B518" t="s">
        <v>37</v>
      </c>
      <c r="C518" t="s">
        <v>38</v>
      </c>
      <c r="D518" t="s">
        <v>15</v>
      </c>
      <c r="E518" t="s">
        <v>26</v>
      </c>
      <c r="F518" t="s">
        <v>17</v>
      </c>
      <c r="G518" t="str">
        <f t="shared" si="24"/>
        <v>Thursday</v>
      </c>
      <c r="H518" t="str">
        <f t="shared" si="25"/>
        <v>Mar</v>
      </c>
      <c r="I518" s="1">
        <v>43553</v>
      </c>
      <c r="J518" s="1" t="str">
        <f t="shared" si="26"/>
        <v>Evening</v>
      </c>
      <c r="K518" s="2">
        <v>0.70000000000000007</v>
      </c>
      <c r="L518" t="s">
        <v>18</v>
      </c>
      <c r="M518">
        <v>13.715</v>
      </c>
      <c r="N518">
        <v>9.8000000000000007</v>
      </c>
    </row>
    <row r="519" spans="1:14" x14ac:dyDescent="0.25">
      <c r="A519" t="s">
        <v>548</v>
      </c>
      <c r="B519" t="s">
        <v>20</v>
      </c>
      <c r="C519" t="s">
        <v>21</v>
      </c>
      <c r="D519" t="s">
        <v>15</v>
      </c>
      <c r="E519" t="s">
        <v>26</v>
      </c>
      <c r="F519" t="s">
        <v>27</v>
      </c>
      <c r="G519" t="str">
        <f t="shared" si="24"/>
        <v>Tuesday</v>
      </c>
      <c r="H519" t="str">
        <f t="shared" si="25"/>
        <v>Jan</v>
      </c>
      <c r="I519" s="1">
        <v>43487</v>
      </c>
      <c r="J519" s="1" t="str">
        <f t="shared" si="26"/>
        <v>Evening</v>
      </c>
      <c r="K519" s="2">
        <v>0.8652777777777777</v>
      </c>
      <c r="L519" t="s">
        <v>28</v>
      </c>
      <c r="M519">
        <v>9.8475000000000001</v>
      </c>
      <c r="N519">
        <v>8.6999999999999993</v>
      </c>
    </row>
    <row r="520" spans="1:14" x14ac:dyDescent="0.25">
      <c r="A520" t="s">
        <v>549</v>
      </c>
      <c r="B520" t="s">
        <v>13</v>
      </c>
      <c r="C520" t="s">
        <v>14</v>
      </c>
      <c r="D520" t="s">
        <v>22</v>
      </c>
      <c r="E520" t="s">
        <v>26</v>
      </c>
      <c r="F520" t="s">
        <v>27</v>
      </c>
      <c r="G520" t="str">
        <f t="shared" si="24"/>
        <v>Sunday</v>
      </c>
      <c r="H520" t="str">
        <f t="shared" si="25"/>
        <v>Mar</v>
      </c>
      <c r="I520" s="1">
        <v>43525</v>
      </c>
      <c r="J520" s="1" t="str">
        <f t="shared" si="26"/>
        <v>Evening</v>
      </c>
      <c r="K520" s="2">
        <v>0.7597222222222223</v>
      </c>
      <c r="L520" t="s">
        <v>18</v>
      </c>
      <c r="M520">
        <v>3.4729999999999999</v>
      </c>
      <c r="N520">
        <v>9.6999999999999993</v>
      </c>
    </row>
    <row r="521" spans="1:14" x14ac:dyDescent="0.25">
      <c r="A521" t="s">
        <v>550</v>
      </c>
      <c r="B521" t="s">
        <v>20</v>
      </c>
      <c r="C521" t="s">
        <v>21</v>
      </c>
      <c r="D521" t="s">
        <v>15</v>
      </c>
      <c r="E521" t="s">
        <v>26</v>
      </c>
      <c r="F521" t="s">
        <v>31</v>
      </c>
      <c r="G521" t="str">
        <f t="shared" si="24"/>
        <v>Monday</v>
      </c>
      <c r="H521" t="str">
        <f t="shared" si="25"/>
        <v>Jan</v>
      </c>
      <c r="I521" s="1">
        <v>43482</v>
      </c>
      <c r="J521" s="1" t="str">
        <f t="shared" si="26"/>
        <v>Afternoon</v>
      </c>
      <c r="K521" s="2">
        <v>0.62847222222222221</v>
      </c>
      <c r="L521" t="s">
        <v>28</v>
      </c>
      <c r="M521">
        <v>17.98</v>
      </c>
      <c r="N521">
        <v>4.3</v>
      </c>
    </row>
    <row r="522" spans="1:14" x14ac:dyDescent="0.25">
      <c r="A522" t="s">
        <v>551</v>
      </c>
      <c r="B522" t="s">
        <v>37</v>
      </c>
      <c r="C522" t="s">
        <v>38</v>
      </c>
      <c r="D522" t="s">
        <v>22</v>
      </c>
      <c r="E522" t="s">
        <v>16</v>
      </c>
      <c r="F522" t="s">
        <v>23</v>
      </c>
      <c r="G522" t="str">
        <f t="shared" si="24"/>
        <v>Thursday</v>
      </c>
      <c r="H522" t="str">
        <f t="shared" si="25"/>
        <v>Mar</v>
      </c>
      <c r="I522" s="1">
        <v>43550</v>
      </c>
      <c r="J522" s="1" t="str">
        <f t="shared" si="26"/>
        <v>Morning</v>
      </c>
      <c r="K522" s="2">
        <v>0.44027777777777777</v>
      </c>
      <c r="L522" t="s">
        <v>28</v>
      </c>
      <c r="M522">
        <v>6.8564999999999996</v>
      </c>
      <c r="N522">
        <v>7.7</v>
      </c>
    </row>
    <row r="523" spans="1:14" x14ac:dyDescent="0.25">
      <c r="A523" t="s">
        <v>552</v>
      </c>
      <c r="B523" t="s">
        <v>20</v>
      </c>
      <c r="C523" t="s">
        <v>21</v>
      </c>
      <c r="D523" t="s">
        <v>15</v>
      </c>
      <c r="E523" t="s">
        <v>16</v>
      </c>
      <c r="F523" t="s">
        <v>27</v>
      </c>
      <c r="G523" t="str">
        <f t="shared" si="24"/>
        <v>Wednesday</v>
      </c>
      <c r="H523" t="str">
        <f t="shared" si="25"/>
        <v>Mar</v>
      </c>
      <c r="I523" s="1">
        <v>43544</v>
      </c>
      <c r="J523" s="1" t="str">
        <f t="shared" si="26"/>
        <v>Morning</v>
      </c>
      <c r="K523" s="2">
        <v>0.47430555555555554</v>
      </c>
      <c r="L523" t="s">
        <v>24</v>
      </c>
      <c r="M523">
        <v>24.951000000000001</v>
      </c>
      <c r="N523">
        <v>7.3</v>
      </c>
    </row>
    <row r="524" spans="1:14" x14ac:dyDescent="0.25">
      <c r="A524" t="s">
        <v>553</v>
      </c>
      <c r="B524" t="s">
        <v>13</v>
      </c>
      <c r="C524" t="s">
        <v>14</v>
      </c>
      <c r="D524" t="s">
        <v>15</v>
      </c>
      <c r="E524" t="s">
        <v>16</v>
      </c>
      <c r="F524" t="s">
        <v>27</v>
      </c>
      <c r="G524" t="str">
        <f t="shared" si="24"/>
        <v>Thursday</v>
      </c>
      <c r="H524" t="str">
        <f t="shared" si="25"/>
        <v>Feb</v>
      </c>
      <c r="I524" s="1">
        <v>43502</v>
      </c>
      <c r="J524" s="1" t="str">
        <f t="shared" si="26"/>
        <v>Afternoon</v>
      </c>
      <c r="K524" s="2">
        <v>0.57986111111111105</v>
      </c>
      <c r="L524" t="s">
        <v>28</v>
      </c>
      <c r="M524">
        <v>11.231999999999999</v>
      </c>
      <c r="N524">
        <v>5.9</v>
      </c>
    </row>
    <row r="525" spans="1:14" x14ac:dyDescent="0.25">
      <c r="A525" t="s">
        <v>554</v>
      </c>
      <c r="B525" t="s">
        <v>20</v>
      </c>
      <c r="C525" t="s">
        <v>21</v>
      </c>
      <c r="D525" t="s">
        <v>22</v>
      </c>
      <c r="E525" t="s">
        <v>26</v>
      </c>
      <c r="F525" t="s">
        <v>17</v>
      </c>
      <c r="G525" t="str">
        <f t="shared" si="24"/>
        <v>Saturday</v>
      </c>
      <c r="H525" t="str">
        <f t="shared" si="25"/>
        <v>Jan</v>
      </c>
      <c r="I525" s="1">
        <v>43466</v>
      </c>
      <c r="J525" s="1" t="str">
        <f t="shared" si="26"/>
        <v>Morning</v>
      </c>
      <c r="K525" s="2">
        <v>0.48819444444444443</v>
      </c>
      <c r="L525" t="s">
        <v>24</v>
      </c>
      <c r="M525">
        <v>6.2869999999999999</v>
      </c>
      <c r="N525">
        <v>5</v>
      </c>
    </row>
    <row r="526" spans="1:14" x14ac:dyDescent="0.25">
      <c r="A526" t="s">
        <v>555</v>
      </c>
      <c r="B526" t="s">
        <v>13</v>
      </c>
      <c r="C526" t="s">
        <v>14</v>
      </c>
      <c r="D526" t="s">
        <v>22</v>
      </c>
      <c r="E526" t="s">
        <v>26</v>
      </c>
      <c r="F526" t="s">
        <v>39</v>
      </c>
      <c r="G526" t="str">
        <f t="shared" si="24"/>
        <v>Wednesday</v>
      </c>
      <c r="H526" t="str">
        <f t="shared" si="25"/>
        <v>Jan</v>
      </c>
      <c r="I526" s="1">
        <v>43492</v>
      </c>
      <c r="J526" s="1" t="str">
        <f t="shared" si="26"/>
        <v>Afternoon</v>
      </c>
      <c r="K526" s="2">
        <v>0.60833333333333328</v>
      </c>
      <c r="L526" t="s">
        <v>28</v>
      </c>
      <c r="M526">
        <v>24.513000000000002</v>
      </c>
      <c r="N526">
        <v>8</v>
      </c>
    </row>
    <row r="527" spans="1:14" x14ac:dyDescent="0.25">
      <c r="A527" t="s">
        <v>556</v>
      </c>
      <c r="B527" t="s">
        <v>13</v>
      </c>
      <c r="C527" t="s">
        <v>14</v>
      </c>
      <c r="D527" t="s">
        <v>15</v>
      </c>
      <c r="E527" t="s">
        <v>16</v>
      </c>
      <c r="F527" t="s">
        <v>31</v>
      </c>
      <c r="G527" t="str">
        <f t="shared" si="24"/>
        <v>Sunday</v>
      </c>
      <c r="H527" t="str">
        <f t="shared" si="25"/>
        <v>Feb</v>
      </c>
      <c r="I527" s="1">
        <v>43521</v>
      </c>
      <c r="J527" s="1" t="str">
        <f t="shared" si="26"/>
        <v>Evening</v>
      </c>
      <c r="K527" s="2">
        <v>0.66875000000000007</v>
      </c>
      <c r="L527" t="s">
        <v>18</v>
      </c>
      <c r="M527">
        <v>22.852499999999999</v>
      </c>
      <c r="N527">
        <v>7.1</v>
      </c>
    </row>
    <row r="528" spans="1:14" x14ac:dyDescent="0.25">
      <c r="A528" t="s">
        <v>557</v>
      </c>
      <c r="B528" t="s">
        <v>37</v>
      </c>
      <c r="C528" t="s">
        <v>38</v>
      </c>
      <c r="D528" t="s">
        <v>22</v>
      </c>
      <c r="E528" t="s">
        <v>26</v>
      </c>
      <c r="F528" t="s">
        <v>41</v>
      </c>
      <c r="G528" t="str">
        <f t="shared" si="24"/>
        <v>Monday</v>
      </c>
      <c r="H528" t="str">
        <f t="shared" si="25"/>
        <v>Jan</v>
      </c>
      <c r="I528" s="1">
        <v>43481</v>
      </c>
      <c r="J528" s="1" t="str">
        <f t="shared" si="26"/>
        <v>Evening</v>
      </c>
      <c r="K528" s="2">
        <v>0.8354166666666667</v>
      </c>
      <c r="L528" t="s">
        <v>28</v>
      </c>
      <c r="M528">
        <v>7.8419999999999996</v>
      </c>
      <c r="N528">
        <v>9</v>
      </c>
    </row>
    <row r="529" spans="1:14" x14ac:dyDescent="0.25">
      <c r="A529" t="s">
        <v>558</v>
      </c>
      <c r="B529" t="s">
        <v>37</v>
      </c>
      <c r="C529" t="s">
        <v>38</v>
      </c>
      <c r="D529" t="s">
        <v>15</v>
      </c>
      <c r="E529" t="s">
        <v>26</v>
      </c>
      <c r="F529" t="s">
        <v>41</v>
      </c>
      <c r="G529" t="str">
        <f t="shared" si="24"/>
        <v>Monday</v>
      </c>
      <c r="H529" t="str">
        <f t="shared" si="25"/>
        <v>Jan</v>
      </c>
      <c r="I529" s="1">
        <v>43478</v>
      </c>
      <c r="J529" s="1" t="str">
        <f t="shared" si="26"/>
        <v>Afternoon</v>
      </c>
      <c r="K529" s="2">
        <v>0.62152777777777779</v>
      </c>
      <c r="L529" t="s">
        <v>18</v>
      </c>
      <c r="M529">
        <v>5.9859999999999998</v>
      </c>
      <c r="N529">
        <v>6.7</v>
      </c>
    </row>
    <row r="530" spans="1:14" x14ac:dyDescent="0.25">
      <c r="A530" t="s">
        <v>559</v>
      </c>
      <c r="B530" t="s">
        <v>37</v>
      </c>
      <c r="C530" t="s">
        <v>38</v>
      </c>
      <c r="D530" t="s">
        <v>15</v>
      </c>
      <c r="E530" t="s">
        <v>16</v>
      </c>
      <c r="F530" t="s">
        <v>39</v>
      </c>
      <c r="G530" t="str">
        <f t="shared" si="24"/>
        <v>Thursday</v>
      </c>
      <c r="H530" t="str">
        <f t="shared" si="25"/>
        <v>Feb</v>
      </c>
      <c r="I530" s="1">
        <v>43503</v>
      </c>
      <c r="J530" s="1" t="str">
        <f t="shared" si="26"/>
        <v>Morning</v>
      </c>
      <c r="K530" s="2">
        <v>0.4777777777777778</v>
      </c>
      <c r="L530" t="s">
        <v>28</v>
      </c>
      <c r="M530">
        <v>27.18</v>
      </c>
      <c r="N530">
        <v>6.1</v>
      </c>
    </row>
    <row r="531" spans="1:14" x14ac:dyDescent="0.25">
      <c r="A531" t="s">
        <v>560</v>
      </c>
      <c r="B531" t="s">
        <v>13</v>
      </c>
      <c r="C531" t="s">
        <v>14</v>
      </c>
      <c r="D531" t="s">
        <v>22</v>
      </c>
      <c r="E531" t="s">
        <v>26</v>
      </c>
      <c r="F531" t="s">
        <v>31</v>
      </c>
      <c r="G531" t="str">
        <f t="shared" si="24"/>
        <v>Saturday</v>
      </c>
      <c r="H531" t="str">
        <f t="shared" si="25"/>
        <v>Feb</v>
      </c>
      <c r="I531" s="1">
        <v>43513</v>
      </c>
      <c r="J531" s="1" t="str">
        <f t="shared" si="26"/>
        <v>Evening</v>
      </c>
      <c r="K531" s="2">
        <v>0.82013888888888886</v>
      </c>
      <c r="L531" t="s">
        <v>24</v>
      </c>
      <c r="M531">
        <v>44.140500000000003</v>
      </c>
      <c r="N531">
        <v>9.3000000000000007</v>
      </c>
    </row>
    <row r="532" spans="1:14" x14ac:dyDescent="0.25">
      <c r="A532" t="s">
        <v>561</v>
      </c>
      <c r="B532" t="s">
        <v>13</v>
      </c>
      <c r="C532" t="s">
        <v>14</v>
      </c>
      <c r="D532" t="s">
        <v>22</v>
      </c>
      <c r="E532" t="s">
        <v>26</v>
      </c>
      <c r="F532" t="s">
        <v>17</v>
      </c>
      <c r="G532" t="str">
        <f t="shared" si="24"/>
        <v>Friday</v>
      </c>
      <c r="H532" t="str">
        <f t="shared" si="25"/>
        <v>Feb</v>
      </c>
      <c r="I532" s="1">
        <v>43508</v>
      </c>
      <c r="J532" s="1" t="str">
        <f t="shared" si="26"/>
        <v>Evening</v>
      </c>
      <c r="K532" s="2">
        <v>0.79236111111111107</v>
      </c>
      <c r="L532" t="s">
        <v>18</v>
      </c>
      <c r="M532">
        <v>7.6289999999999996</v>
      </c>
      <c r="N532">
        <v>7</v>
      </c>
    </row>
    <row r="533" spans="1:14" x14ac:dyDescent="0.25">
      <c r="A533" t="s">
        <v>562</v>
      </c>
      <c r="B533" t="s">
        <v>13</v>
      </c>
      <c r="C533" t="s">
        <v>14</v>
      </c>
      <c r="D533" t="s">
        <v>15</v>
      </c>
      <c r="E533" t="s">
        <v>26</v>
      </c>
      <c r="F533" t="s">
        <v>41</v>
      </c>
      <c r="G533" t="str">
        <f t="shared" si="24"/>
        <v>Tuesday</v>
      </c>
      <c r="H533" t="str">
        <f t="shared" si="25"/>
        <v>Jan</v>
      </c>
      <c r="I533" s="1">
        <v>43489</v>
      </c>
      <c r="J533" s="1" t="str">
        <f t="shared" si="26"/>
        <v>Evening</v>
      </c>
      <c r="K533" s="2">
        <v>0.75277777777777777</v>
      </c>
      <c r="L533" t="s">
        <v>28</v>
      </c>
      <c r="M533">
        <v>34.671999999999997</v>
      </c>
      <c r="N533">
        <v>7.2</v>
      </c>
    </row>
    <row r="534" spans="1:14" x14ac:dyDescent="0.25">
      <c r="A534" t="s">
        <v>563</v>
      </c>
      <c r="B534" t="s">
        <v>37</v>
      </c>
      <c r="C534" t="s">
        <v>38</v>
      </c>
      <c r="D534" t="s">
        <v>22</v>
      </c>
      <c r="E534" t="s">
        <v>26</v>
      </c>
      <c r="F534" t="s">
        <v>23</v>
      </c>
      <c r="G534" t="str">
        <f t="shared" si="24"/>
        <v>Thursday</v>
      </c>
      <c r="H534" t="str">
        <f t="shared" si="25"/>
        <v>Feb</v>
      </c>
      <c r="I534" s="1">
        <v>43502</v>
      </c>
      <c r="J534" s="1" t="str">
        <f t="shared" si="26"/>
        <v>Evening</v>
      </c>
      <c r="K534" s="2">
        <v>0.80555555555555547</v>
      </c>
      <c r="L534" t="s">
        <v>18</v>
      </c>
      <c r="M534">
        <v>11.475</v>
      </c>
      <c r="N534">
        <v>8.1999999999999993</v>
      </c>
    </row>
    <row r="535" spans="1:14" x14ac:dyDescent="0.25">
      <c r="A535" t="s">
        <v>564</v>
      </c>
      <c r="B535" t="s">
        <v>20</v>
      </c>
      <c r="C535" t="s">
        <v>21</v>
      </c>
      <c r="D535" t="s">
        <v>22</v>
      </c>
      <c r="E535" t="s">
        <v>16</v>
      </c>
      <c r="F535" t="s">
        <v>39</v>
      </c>
      <c r="G535" t="str">
        <f t="shared" si="24"/>
        <v>Thursday</v>
      </c>
      <c r="H535" t="str">
        <f t="shared" si="25"/>
        <v>Mar</v>
      </c>
      <c r="I535" s="1">
        <v>43550</v>
      </c>
      <c r="J535" s="1" t="str">
        <f t="shared" si="26"/>
        <v>Morning</v>
      </c>
      <c r="K535" s="2">
        <v>0.4381944444444445</v>
      </c>
      <c r="L535" t="s">
        <v>18</v>
      </c>
      <c r="M535">
        <v>7.3395000000000001</v>
      </c>
      <c r="N535">
        <v>8.4</v>
      </c>
    </row>
    <row r="536" spans="1:14" x14ac:dyDescent="0.25">
      <c r="A536" t="s">
        <v>565</v>
      </c>
      <c r="B536" t="s">
        <v>13</v>
      </c>
      <c r="C536" t="s">
        <v>14</v>
      </c>
      <c r="D536" t="s">
        <v>22</v>
      </c>
      <c r="E536" t="s">
        <v>16</v>
      </c>
      <c r="F536" t="s">
        <v>27</v>
      </c>
      <c r="G536" t="str">
        <f t="shared" si="24"/>
        <v>Tuesday</v>
      </c>
      <c r="H536" t="str">
        <f t="shared" si="25"/>
        <v>Mar</v>
      </c>
      <c r="I536" s="1">
        <v>43535</v>
      </c>
      <c r="J536" s="1" t="str">
        <f t="shared" si="26"/>
        <v>Afternoon</v>
      </c>
      <c r="K536" s="2">
        <v>0.56111111111111112</v>
      </c>
      <c r="L536" t="s">
        <v>18</v>
      </c>
      <c r="M536">
        <v>7.08</v>
      </c>
      <c r="N536">
        <v>6.2</v>
      </c>
    </row>
    <row r="537" spans="1:14" x14ac:dyDescent="0.25">
      <c r="A537" t="s">
        <v>566</v>
      </c>
      <c r="B537" t="s">
        <v>20</v>
      </c>
      <c r="C537" t="s">
        <v>21</v>
      </c>
      <c r="D537" t="s">
        <v>22</v>
      </c>
      <c r="E537" t="s">
        <v>26</v>
      </c>
      <c r="F537" t="s">
        <v>27</v>
      </c>
      <c r="G537" t="str">
        <f t="shared" si="24"/>
        <v>Thursday</v>
      </c>
      <c r="H537" t="str">
        <f t="shared" si="25"/>
        <v>Feb</v>
      </c>
      <c r="I537" s="1">
        <v>43503</v>
      </c>
      <c r="J537" s="1" t="str">
        <f t="shared" si="26"/>
        <v>Morning</v>
      </c>
      <c r="K537" s="2">
        <v>0.48333333333333334</v>
      </c>
      <c r="L537" t="s">
        <v>18</v>
      </c>
      <c r="M537">
        <v>5.8345000000000002</v>
      </c>
      <c r="N537">
        <v>7.4</v>
      </c>
    </row>
    <row r="538" spans="1:14" x14ac:dyDescent="0.25">
      <c r="A538" t="s">
        <v>567</v>
      </c>
      <c r="B538" t="s">
        <v>37</v>
      </c>
      <c r="C538" t="s">
        <v>38</v>
      </c>
      <c r="D538" t="s">
        <v>15</v>
      </c>
      <c r="E538" t="s">
        <v>16</v>
      </c>
      <c r="F538" t="s">
        <v>41</v>
      </c>
      <c r="G538" t="str">
        <f t="shared" si="24"/>
        <v>Sunday</v>
      </c>
      <c r="H538" t="str">
        <f t="shared" si="25"/>
        <v>Jan</v>
      </c>
      <c r="I538" s="1">
        <v>43470</v>
      </c>
      <c r="J538" s="1" t="str">
        <f t="shared" si="26"/>
        <v>Morning</v>
      </c>
      <c r="K538" s="2">
        <v>0.48055555555555557</v>
      </c>
      <c r="L538" t="s">
        <v>28</v>
      </c>
      <c r="M538">
        <v>3.698</v>
      </c>
      <c r="N538">
        <v>5</v>
      </c>
    </row>
    <row r="539" spans="1:14" x14ac:dyDescent="0.25">
      <c r="A539" t="s">
        <v>568</v>
      </c>
      <c r="B539" t="s">
        <v>13</v>
      </c>
      <c r="C539" t="s">
        <v>14</v>
      </c>
      <c r="D539" t="s">
        <v>22</v>
      </c>
      <c r="E539" t="s">
        <v>26</v>
      </c>
      <c r="F539" t="s">
        <v>27</v>
      </c>
      <c r="G539" t="str">
        <f t="shared" si="24"/>
        <v>Monday</v>
      </c>
      <c r="H539" t="str">
        <f t="shared" si="25"/>
        <v>Mar</v>
      </c>
      <c r="I539" s="1">
        <v>43531</v>
      </c>
      <c r="J539" s="1" t="str">
        <f t="shared" si="26"/>
        <v>Morning</v>
      </c>
      <c r="K539" s="2">
        <v>0.48888888888888887</v>
      </c>
      <c r="L539" t="s">
        <v>18</v>
      </c>
      <c r="M539">
        <v>4.8970000000000002</v>
      </c>
      <c r="N539">
        <v>6.9</v>
      </c>
    </row>
    <row r="540" spans="1:14" x14ac:dyDescent="0.25">
      <c r="A540" t="s">
        <v>569</v>
      </c>
      <c r="B540" t="s">
        <v>13</v>
      </c>
      <c r="C540" t="s">
        <v>14</v>
      </c>
      <c r="D540" t="s">
        <v>22</v>
      </c>
      <c r="E540" t="s">
        <v>16</v>
      </c>
      <c r="F540" t="s">
        <v>41</v>
      </c>
      <c r="G540" t="str">
        <f t="shared" si="24"/>
        <v>Sunday</v>
      </c>
      <c r="H540" t="str">
        <f t="shared" si="25"/>
        <v>Feb</v>
      </c>
      <c r="I540" s="1">
        <v>43521</v>
      </c>
      <c r="J540" s="1" t="str">
        <f t="shared" si="26"/>
        <v>Evening</v>
      </c>
      <c r="K540" s="2">
        <v>0.71944444444444444</v>
      </c>
      <c r="L540" t="s">
        <v>28</v>
      </c>
      <c r="M540">
        <v>14.61</v>
      </c>
      <c r="N540">
        <v>4.9000000000000004</v>
      </c>
    </row>
    <row r="541" spans="1:14" x14ac:dyDescent="0.25">
      <c r="A541" t="s">
        <v>570</v>
      </c>
      <c r="B541" t="s">
        <v>20</v>
      </c>
      <c r="C541" t="s">
        <v>21</v>
      </c>
      <c r="D541" t="s">
        <v>15</v>
      </c>
      <c r="E541" t="s">
        <v>16</v>
      </c>
      <c r="F541" t="s">
        <v>39</v>
      </c>
      <c r="G541" t="str">
        <f t="shared" si="24"/>
        <v>Wednesday</v>
      </c>
      <c r="H541" t="str">
        <f t="shared" si="25"/>
        <v>Feb</v>
      </c>
      <c r="I541" s="1">
        <v>43497</v>
      </c>
      <c r="J541" s="1" t="str">
        <f t="shared" si="26"/>
        <v>Evening</v>
      </c>
      <c r="K541" s="2">
        <v>0.77986111111111101</v>
      </c>
      <c r="L541" t="s">
        <v>18</v>
      </c>
      <c r="M541">
        <v>26.244</v>
      </c>
      <c r="N541">
        <v>5.0999999999999996</v>
      </c>
    </row>
    <row r="542" spans="1:14" x14ac:dyDescent="0.25">
      <c r="A542" t="s">
        <v>571</v>
      </c>
      <c r="B542" t="s">
        <v>13</v>
      </c>
      <c r="C542" t="s">
        <v>14</v>
      </c>
      <c r="D542" t="s">
        <v>22</v>
      </c>
      <c r="E542" t="s">
        <v>26</v>
      </c>
      <c r="F542" t="s">
        <v>27</v>
      </c>
      <c r="G542" t="str">
        <f t="shared" si="24"/>
        <v>Tuesday</v>
      </c>
      <c r="H542" t="str">
        <f t="shared" si="25"/>
        <v>Jan</v>
      </c>
      <c r="I542" s="1">
        <v>43487</v>
      </c>
      <c r="J542" s="1" t="str">
        <f t="shared" si="26"/>
        <v>Morning</v>
      </c>
      <c r="K542" s="2">
        <v>0.45833333333333331</v>
      </c>
      <c r="L542" t="s">
        <v>18</v>
      </c>
      <c r="M542">
        <v>4.6020000000000003</v>
      </c>
      <c r="N542">
        <v>9.1</v>
      </c>
    </row>
    <row r="543" spans="1:14" x14ac:dyDescent="0.25">
      <c r="A543" t="s">
        <v>572</v>
      </c>
      <c r="B543" t="s">
        <v>20</v>
      </c>
      <c r="C543" t="s">
        <v>21</v>
      </c>
      <c r="D543" t="s">
        <v>15</v>
      </c>
      <c r="E543" t="s">
        <v>26</v>
      </c>
      <c r="F543" t="s">
        <v>17</v>
      </c>
      <c r="G543" t="str">
        <f t="shared" si="24"/>
        <v>Saturday</v>
      </c>
      <c r="H543" t="str">
        <f t="shared" si="25"/>
        <v>Jan</v>
      </c>
      <c r="I543" s="1">
        <v>43468</v>
      </c>
      <c r="J543" s="1" t="str">
        <f t="shared" si="26"/>
        <v>Morning</v>
      </c>
      <c r="K543" s="2">
        <v>0.4375</v>
      </c>
      <c r="L543" t="s">
        <v>28</v>
      </c>
      <c r="M543">
        <v>3.794</v>
      </c>
      <c r="N543">
        <v>7.1</v>
      </c>
    </row>
    <row r="544" spans="1:14" x14ac:dyDescent="0.25">
      <c r="A544" t="s">
        <v>573</v>
      </c>
      <c r="B544" t="s">
        <v>37</v>
      </c>
      <c r="C544" t="s">
        <v>38</v>
      </c>
      <c r="D544" t="s">
        <v>15</v>
      </c>
      <c r="E544" t="s">
        <v>16</v>
      </c>
      <c r="F544" t="s">
        <v>31</v>
      </c>
      <c r="G544" t="str">
        <f t="shared" si="24"/>
        <v>Friday</v>
      </c>
      <c r="H544" t="str">
        <f t="shared" si="25"/>
        <v>Feb</v>
      </c>
      <c r="I544" s="1">
        <v>43509</v>
      </c>
      <c r="J544" s="1" t="str">
        <f t="shared" si="26"/>
        <v>Afternoon</v>
      </c>
      <c r="K544" s="2">
        <v>0.50972222222222219</v>
      </c>
      <c r="L544" t="s">
        <v>28</v>
      </c>
      <c r="M544">
        <v>4.0359999999999996</v>
      </c>
      <c r="N544">
        <v>5</v>
      </c>
    </row>
    <row r="545" spans="1:14" x14ac:dyDescent="0.25">
      <c r="A545" t="s">
        <v>574</v>
      </c>
      <c r="B545" t="s">
        <v>20</v>
      </c>
      <c r="C545" t="s">
        <v>21</v>
      </c>
      <c r="D545" t="s">
        <v>15</v>
      </c>
      <c r="E545" t="s">
        <v>26</v>
      </c>
      <c r="F545" t="s">
        <v>23</v>
      </c>
      <c r="G545" t="str">
        <f t="shared" si="24"/>
        <v>Wednesday</v>
      </c>
      <c r="H545" t="str">
        <f t="shared" si="25"/>
        <v>Jan</v>
      </c>
      <c r="I545" s="1">
        <v>43493</v>
      </c>
      <c r="J545" s="1" t="str">
        <f t="shared" si="26"/>
        <v>Evening</v>
      </c>
      <c r="K545" s="2">
        <v>0.69652777777777775</v>
      </c>
      <c r="L545" t="s">
        <v>28</v>
      </c>
      <c r="M545">
        <v>5.6310000000000002</v>
      </c>
      <c r="N545">
        <v>5.5</v>
      </c>
    </row>
    <row r="546" spans="1:14" x14ac:dyDescent="0.25">
      <c r="A546" t="s">
        <v>575</v>
      </c>
      <c r="B546" t="s">
        <v>37</v>
      </c>
      <c r="C546" t="s">
        <v>38</v>
      </c>
      <c r="D546" t="s">
        <v>22</v>
      </c>
      <c r="E546" t="s">
        <v>16</v>
      </c>
      <c r="F546" t="s">
        <v>39</v>
      </c>
      <c r="G546" t="str">
        <f t="shared" si="24"/>
        <v>Sunday</v>
      </c>
      <c r="H546" t="str">
        <f t="shared" si="25"/>
        <v>Jan</v>
      </c>
      <c r="I546" s="1">
        <v>43470</v>
      </c>
      <c r="J546" s="1" t="str">
        <f t="shared" si="26"/>
        <v>Evening</v>
      </c>
      <c r="K546" s="2">
        <v>0.86111111111111116</v>
      </c>
      <c r="L546" t="s">
        <v>28</v>
      </c>
      <c r="M546">
        <v>3.56</v>
      </c>
      <c r="N546">
        <v>9.1999999999999993</v>
      </c>
    </row>
    <row r="547" spans="1:14" x14ac:dyDescent="0.25">
      <c r="A547" t="s">
        <v>576</v>
      </c>
      <c r="B547" t="s">
        <v>37</v>
      </c>
      <c r="C547" t="s">
        <v>38</v>
      </c>
      <c r="D547" t="s">
        <v>15</v>
      </c>
      <c r="E547" t="s">
        <v>26</v>
      </c>
      <c r="F547" t="s">
        <v>27</v>
      </c>
      <c r="G547" t="str">
        <f t="shared" si="24"/>
        <v>Wednesday</v>
      </c>
      <c r="H547" t="str">
        <f t="shared" si="25"/>
        <v>Mar</v>
      </c>
      <c r="I547" s="1">
        <v>43543</v>
      </c>
      <c r="J547" s="1" t="str">
        <f t="shared" si="26"/>
        <v>Afternoon</v>
      </c>
      <c r="K547" s="2">
        <v>0.56944444444444442</v>
      </c>
      <c r="L547" t="s">
        <v>18</v>
      </c>
      <c r="M547">
        <v>7.7619999999999996</v>
      </c>
      <c r="N547">
        <v>4.9000000000000004</v>
      </c>
    </row>
    <row r="548" spans="1:14" x14ac:dyDescent="0.25">
      <c r="A548" t="s">
        <v>577</v>
      </c>
      <c r="B548" t="s">
        <v>13</v>
      </c>
      <c r="C548" t="s">
        <v>14</v>
      </c>
      <c r="D548" t="s">
        <v>22</v>
      </c>
      <c r="E548" t="s">
        <v>16</v>
      </c>
      <c r="F548" t="s">
        <v>41</v>
      </c>
      <c r="G548" t="str">
        <f t="shared" si="24"/>
        <v>Monday</v>
      </c>
      <c r="H548" t="str">
        <f t="shared" si="25"/>
        <v>Jan</v>
      </c>
      <c r="I548" s="1">
        <v>43477</v>
      </c>
      <c r="J548" s="1" t="str">
        <f t="shared" si="26"/>
        <v>Evening</v>
      </c>
      <c r="K548" s="2">
        <v>0.68263888888888891</v>
      </c>
      <c r="L548" t="s">
        <v>18</v>
      </c>
      <c r="M548">
        <v>14.71</v>
      </c>
      <c r="N548">
        <v>8.9</v>
      </c>
    </row>
    <row r="549" spans="1:14" x14ac:dyDescent="0.25">
      <c r="A549" t="s">
        <v>578</v>
      </c>
      <c r="B549" t="s">
        <v>13</v>
      </c>
      <c r="C549" t="s">
        <v>14</v>
      </c>
      <c r="D549" t="s">
        <v>22</v>
      </c>
      <c r="E549" t="s">
        <v>26</v>
      </c>
      <c r="F549" t="s">
        <v>31</v>
      </c>
      <c r="G549" t="str">
        <f t="shared" si="24"/>
        <v>Sunday</v>
      </c>
      <c r="H549" t="str">
        <f t="shared" si="25"/>
        <v>Jan</v>
      </c>
      <c r="I549" s="1">
        <v>43472</v>
      </c>
      <c r="J549" s="1" t="str">
        <f t="shared" si="26"/>
        <v>Afternoon</v>
      </c>
      <c r="K549" s="2">
        <v>0.50555555555555554</v>
      </c>
      <c r="L549" t="s">
        <v>28</v>
      </c>
      <c r="M549">
        <v>27.427499999999998</v>
      </c>
      <c r="N549">
        <v>6</v>
      </c>
    </row>
    <row r="550" spans="1:14" x14ac:dyDescent="0.25">
      <c r="A550" t="s">
        <v>579</v>
      </c>
      <c r="B550" t="s">
        <v>37</v>
      </c>
      <c r="C550" t="s">
        <v>38</v>
      </c>
      <c r="D550" t="s">
        <v>22</v>
      </c>
      <c r="E550" t="s">
        <v>16</v>
      </c>
      <c r="F550" t="s">
        <v>31</v>
      </c>
      <c r="G550" t="str">
        <f t="shared" si="24"/>
        <v>Wednesday</v>
      </c>
      <c r="H550" t="str">
        <f t="shared" si="25"/>
        <v>Jan</v>
      </c>
      <c r="I550" s="1">
        <v>43491</v>
      </c>
      <c r="J550" s="1" t="str">
        <f t="shared" si="26"/>
        <v>Evening</v>
      </c>
      <c r="K550" s="2">
        <v>0.73958333333333337</v>
      </c>
      <c r="L550" t="s">
        <v>24</v>
      </c>
      <c r="M550">
        <v>12.885</v>
      </c>
      <c r="N550">
        <v>4.2</v>
      </c>
    </row>
    <row r="551" spans="1:14" x14ac:dyDescent="0.25">
      <c r="A551" t="s">
        <v>580</v>
      </c>
      <c r="B551" t="s">
        <v>13</v>
      </c>
      <c r="C551" t="s">
        <v>14</v>
      </c>
      <c r="D551" t="s">
        <v>22</v>
      </c>
      <c r="E551" t="s">
        <v>16</v>
      </c>
      <c r="F551" t="s">
        <v>23</v>
      </c>
      <c r="G551" t="str">
        <f t="shared" si="24"/>
        <v>Tuesday</v>
      </c>
      <c r="H551" t="str">
        <f t="shared" si="25"/>
        <v>Jan</v>
      </c>
      <c r="I551" s="1">
        <v>43488</v>
      </c>
      <c r="J551" s="1" t="str">
        <f t="shared" si="26"/>
        <v>Morning</v>
      </c>
      <c r="K551" s="2">
        <v>0.43611111111111112</v>
      </c>
      <c r="L551" t="s">
        <v>24</v>
      </c>
      <c r="M551">
        <v>19.818000000000001</v>
      </c>
      <c r="N551">
        <v>7.3</v>
      </c>
    </row>
    <row r="552" spans="1:14" x14ac:dyDescent="0.25">
      <c r="A552" t="s">
        <v>581</v>
      </c>
      <c r="B552" t="s">
        <v>37</v>
      </c>
      <c r="C552" t="s">
        <v>38</v>
      </c>
      <c r="D552" t="s">
        <v>22</v>
      </c>
      <c r="E552" t="s">
        <v>26</v>
      </c>
      <c r="F552" t="s">
        <v>41</v>
      </c>
      <c r="G552" t="str">
        <f t="shared" si="24"/>
        <v>Friday</v>
      </c>
      <c r="H552" t="str">
        <f t="shared" si="25"/>
        <v>Feb</v>
      </c>
      <c r="I552" s="1">
        <v>43505</v>
      </c>
      <c r="J552" s="1" t="str">
        <f t="shared" si="26"/>
        <v>Evening</v>
      </c>
      <c r="K552" s="2">
        <v>0.85486111111111107</v>
      </c>
      <c r="L552" t="s">
        <v>18</v>
      </c>
      <c r="M552">
        <v>8.5905000000000005</v>
      </c>
      <c r="N552">
        <v>6.5</v>
      </c>
    </row>
    <row r="553" spans="1:14" x14ac:dyDescent="0.25">
      <c r="A553" t="s">
        <v>582</v>
      </c>
      <c r="B553" t="s">
        <v>37</v>
      </c>
      <c r="C553" t="s">
        <v>38</v>
      </c>
      <c r="D553" t="s">
        <v>22</v>
      </c>
      <c r="E553" t="s">
        <v>16</v>
      </c>
      <c r="F553" t="s">
        <v>41</v>
      </c>
      <c r="G553" t="str">
        <f t="shared" si="24"/>
        <v>Saturday</v>
      </c>
      <c r="H553" t="str">
        <f t="shared" si="25"/>
        <v>Feb</v>
      </c>
      <c r="I553" s="1">
        <v>43518</v>
      </c>
      <c r="J553" s="1" t="str">
        <f t="shared" si="26"/>
        <v>Morning</v>
      </c>
      <c r="K553" s="2">
        <v>0.45069444444444445</v>
      </c>
      <c r="L553" t="s">
        <v>24</v>
      </c>
      <c r="M553">
        <v>24.439499999999999</v>
      </c>
      <c r="N553">
        <v>8.9</v>
      </c>
    </row>
    <row r="554" spans="1:14" x14ac:dyDescent="0.25">
      <c r="A554" t="s">
        <v>583</v>
      </c>
      <c r="B554" t="s">
        <v>37</v>
      </c>
      <c r="C554" t="s">
        <v>38</v>
      </c>
      <c r="D554" t="s">
        <v>22</v>
      </c>
      <c r="E554" t="s">
        <v>16</v>
      </c>
      <c r="F554" t="s">
        <v>17</v>
      </c>
      <c r="G554" t="str">
        <f t="shared" si="24"/>
        <v>Thursday</v>
      </c>
      <c r="H554" t="str">
        <f t="shared" si="25"/>
        <v>Feb</v>
      </c>
      <c r="I554" s="1">
        <v>43501</v>
      </c>
      <c r="J554" s="1" t="str">
        <f t="shared" si="26"/>
        <v>Afternoon</v>
      </c>
      <c r="K554" s="2">
        <v>0.52361111111111114</v>
      </c>
      <c r="L554" t="s">
        <v>24</v>
      </c>
      <c r="M554">
        <v>26.207999999999998</v>
      </c>
      <c r="N554">
        <v>9.6999999999999993</v>
      </c>
    </row>
    <row r="555" spans="1:14" x14ac:dyDescent="0.25">
      <c r="A555" t="s">
        <v>584</v>
      </c>
      <c r="B555" t="s">
        <v>20</v>
      </c>
      <c r="C555" t="s">
        <v>21</v>
      </c>
      <c r="D555" t="s">
        <v>22</v>
      </c>
      <c r="E555" t="s">
        <v>26</v>
      </c>
      <c r="F555" t="s">
        <v>23</v>
      </c>
      <c r="G555" t="str">
        <f t="shared" si="24"/>
        <v>Monday</v>
      </c>
      <c r="H555" t="str">
        <f t="shared" si="25"/>
        <v>Mar</v>
      </c>
      <c r="I555" s="1">
        <v>43531</v>
      </c>
      <c r="J555" s="1" t="str">
        <f t="shared" si="26"/>
        <v>Morning</v>
      </c>
      <c r="K555" s="2">
        <v>0.43263888888888885</v>
      </c>
      <c r="L555" t="s">
        <v>28</v>
      </c>
      <c r="M555">
        <v>6.6630000000000003</v>
      </c>
      <c r="N555">
        <v>8.6</v>
      </c>
    </row>
    <row r="556" spans="1:14" x14ac:dyDescent="0.25">
      <c r="A556" t="s">
        <v>585</v>
      </c>
      <c r="B556" t="s">
        <v>13</v>
      </c>
      <c r="C556" t="s">
        <v>14</v>
      </c>
      <c r="D556" t="s">
        <v>15</v>
      </c>
      <c r="E556" t="s">
        <v>26</v>
      </c>
      <c r="F556" t="s">
        <v>23</v>
      </c>
      <c r="G556" t="str">
        <f t="shared" si="24"/>
        <v>Thursday</v>
      </c>
      <c r="H556" t="str">
        <f t="shared" si="25"/>
        <v>Mar</v>
      </c>
      <c r="I556" s="1">
        <v>43549</v>
      </c>
      <c r="J556" s="1" t="str">
        <f t="shared" si="26"/>
        <v>Evening</v>
      </c>
      <c r="K556" s="2">
        <v>0.78541666666666676</v>
      </c>
      <c r="L556" t="s">
        <v>24</v>
      </c>
      <c r="M556">
        <v>6.7619999999999996</v>
      </c>
      <c r="N556">
        <v>6.9</v>
      </c>
    </row>
    <row r="557" spans="1:14" x14ac:dyDescent="0.25">
      <c r="A557" t="s">
        <v>586</v>
      </c>
      <c r="B557" t="s">
        <v>37</v>
      </c>
      <c r="C557" t="s">
        <v>38</v>
      </c>
      <c r="D557" t="s">
        <v>22</v>
      </c>
      <c r="E557" t="s">
        <v>26</v>
      </c>
      <c r="F557" t="s">
        <v>27</v>
      </c>
      <c r="G557" t="str">
        <f t="shared" si="24"/>
        <v>Tuesday</v>
      </c>
      <c r="H557" t="str">
        <f t="shared" si="25"/>
        <v>Jan</v>
      </c>
      <c r="I557" s="1">
        <v>43485</v>
      </c>
      <c r="J557" s="1" t="str">
        <f t="shared" si="26"/>
        <v>Afternoon</v>
      </c>
      <c r="K557" s="2">
        <v>0.57291666666666663</v>
      </c>
      <c r="L557" t="s">
        <v>28</v>
      </c>
      <c r="M557">
        <v>5.6219999999999999</v>
      </c>
      <c r="N557">
        <v>7.7</v>
      </c>
    </row>
    <row r="558" spans="1:14" x14ac:dyDescent="0.25">
      <c r="A558" t="s">
        <v>587</v>
      </c>
      <c r="B558" t="s">
        <v>37</v>
      </c>
      <c r="C558" t="s">
        <v>38</v>
      </c>
      <c r="D558" t="s">
        <v>15</v>
      </c>
      <c r="E558" t="s">
        <v>16</v>
      </c>
      <c r="F558" t="s">
        <v>41</v>
      </c>
      <c r="G558" t="str">
        <f t="shared" si="24"/>
        <v>Thursday</v>
      </c>
      <c r="H558" t="str">
        <f t="shared" si="25"/>
        <v>Feb</v>
      </c>
      <c r="I558" s="1">
        <v>43500</v>
      </c>
      <c r="J558" s="1" t="str">
        <f t="shared" si="26"/>
        <v>Evening</v>
      </c>
      <c r="K558" s="2">
        <v>0.81805555555555554</v>
      </c>
      <c r="L558" t="s">
        <v>24</v>
      </c>
      <c r="M558">
        <v>7.2039999999999997</v>
      </c>
      <c r="N558">
        <v>9.5</v>
      </c>
    </row>
    <row r="559" spans="1:14" x14ac:dyDescent="0.25">
      <c r="A559" t="s">
        <v>588</v>
      </c>
      <c r="B559" t="s">
        <v>20</v>
      </c>
      <c r="C559" t="s">
        <v>21</v>
      </c>
      <c r="D559" t="s">
        <v>15</v>
      </c>
      <c r="E559" t="s">
        <v>16</v>
      </c>
      <c r="F559" t="s">
        <v>39</v>
      </c>
      <c r="G559" t="str">
        <f t="shared" si="24"/>
        <v>Wednesday</v>
      </c>
      <c r="H559" t="str">
        <f t="shared" si="25"/>
        <v>Jan</v>
      </c>
      <c r="I559" s="1">
        <v>43495</v>
      </c>
      <c r="J559" s="1" t="str">
        <f t="shared" si="26"/>
        <v>Evening</v>
      </c>
      <c r="K559" s="2">
        <v>0.84930555555555554</v>
      </c>
      <c r="L559" t="s">
        <v>18</v>
      </c>
      <c r="M559">
        <v>49.26</v>
      </c>
      <c r="N559">
        <v>4.5</v>
      </c>
    </row>
    <row r="560" spans="1:14" x14ac:dyDescent="0.25">
      <c r="A560" t="s">
        <v>589</v>
      </c>
      <c r="B560" t="s">
        <v>13</v>
      </c>
      <c r="C560" t="s">
        <v>14</v>
      </c>
      <c r="D560" t="s">
        <v>15</v>
      </c>
      <c r="E560" t="s">
        <v>26</v>
      </c>
      <c r="F560" t="s">
        <v>39</v>
      </c>
      <c r="G560" t="str">
        <f t="shared" si="24"/>
        <v>Saturday</v>
      </c>
      <c r="H560" t="str">
        <f t="shared" si="25"/>
        <v>Jan</v>
      </c>
      <c r="I560" s="1">
        <v>43467</v>
      </c>
      <c r="J560" s="1" t="str">
        <f t="shared" si="26"/>
        <v>Afternoon</v>
      </c>
      <c r="K560" s="2">
        <v>0.64166666666666672</v>
      </c>
      <c r="L560" t="s">
        <v>18</v>
      </c>
      <c r="M560">
        <v>12.497999999999999</v>
      </c>
      <c r="N560">
        <v>5.6</v>
      </c>
    </row>
    <row r="561" spans="1:14" x14ac:dyDescent="0.25">
      <c r="A561" t="s">
        <v>590</v>
      </c>
      <c r="B561" t="s">
        <v>13</v>
      </c>
      <c r="C561" t="s">
        <v>14</v>
      </c>
      <c r="D561" t="s">
        <v>15</v>
      </c>
      <c r="E561" t="s">
        <v>16</v>
      </c>
      <c r="F561" t="s">
        <v>27</v>
      </c>
      <c r="G561" t="str">
        <f t="shared" si="24"/>
        <v>Thursday</v>
      </c>
      <c r="H561" t="str">
        <f t="shared" si="25"/>
        <v>Mar</v>
      </c>
      <c r="I561" s="1">
        <v>43553</v>
      </c>
      <c r="J561" s="1" t="str">
        <f t="shared" si="26"/>
        <v>Evening</v>
      </c>
      <c r="K561" s="2">
        <v>0.70416666666666661</v>
      </c>
      <c r="L561" t="s">
        <v>18</v>
      </c>
      <c r="M561">
        <v>10.863</v>
      </c>
      <c r="N561">
        <v>8.1999999999999993</v>
      </c>
    </row>
    <row r="562" spans="1:14" x14ac:dyDescent="0.25">
      <c r="A562" t="s">
        <v>591</v>
      </c>
      <c r="B562" t="s">
        <v>37</v>
      </c>
      <c r="C562" t="s">
        <v>38</v>
      </c>
      <c r="D562" t="s">
        <v>22</v>
      </c>
      <c r="E562" t="s">
        <v>26</v>
      </c>
      <c r="F562" t="s">
        <v>23</v>
      </c>
      <c r="G562" t="str">
        <f t="shared" si="24"/>
        <v>Tuesday</v>
      </c>
      <c r="H562" t="str">
        <f t="shared" si="25"/>
        <v>Mar</v>
      </c>
      <c r="I562" s="1">
        <v>43538</v>
      </c>
      <c r="J562" s="1" t="str">
        <f t="shared" si="26"/>
        <v>Afternoon</v>
      </c>
      <c r="K562" s="2">
        <v>0.52222222222222225</v>
      </c>
      <c r="L562" t="s">
        <v>24</v>
      </c>
      <c r="M562">
        <v>9.7110000000000003</v>
      </c>
      <c r="N562">
        <v>7.3</v>
      </c>
    </row>
    <row r="563" spans="1:14" x14ac:dyDescent="0.25">
      <c r="A563" t="s">
        <v>592</v>
      </c>
      <c r="B563" t="s">
        <v>20</v>
      </c>
      <c r="C563" t="s">
        <v>21</v>
      </c>
      <c r="D563" t="s">
        <v>22</v>
      </c>
      <c r="E563" t="s">
        <v>26</v>
      </c>
      <c r="F563" t="s">
        <v>39</v>
      </c>
      <c r="G563" t="str">
        <f t="shared" si="24"/>
        <v>Friday</v>
      </c>
      <c r="H563" t="str">
        <f t="shared" si="25"/>
        <v>Feb</v>
      </c>
      <c r="I563" s="1">
        <v>43507</v>
      </c>
      <c r="J563" s="1" t="str">
        <f t="shared" si="26"/>
        <v>Afternoon</v>
      </c>
      <c r="K563" s="2">
        <v>0.65416666666666667</v>
      </c>
      <c r="L563" t="s">
        <v>28</v>
      </c>
      <c r="M563">
        <v>44.6</v>
      </c>
      <c r="N563">
        <v>4.4000000000000004</v>
      </c>
    </row>
    <row r="564" spans="1:14" x14ac:dyDescent="0.25">
      <c r="A564" t="s">
        <v>593</v>
      </c>
      <c r="B564" t="s">
        <v>37</v>
      </c>
      <c r="C564" t="s">
        <v>38</v>
      </c>
      <c r="D564" t="s">
        <v>22</v>
      </c>
      <c r="E564" t="s">
        <v>16</v>
      </c>
      <c r="F564" t="s">
        <v>23</v>
      </c>
      <c r="G564" t="str">
        <f t="shared" si="24"/>
        <v>Wednesday</v>
      </c>
      <c r="H564" t="str">
        <f t="shared" si="25"/>
        <v>Jan</v>
      </c>
      <c r="I564" s="1">
        <v>43495</v>
      </c>
      <c r="J564" s="1" t="str">
        <f t="shared" si="26"/>
        <v>Afternoon</v>
      </c>
      <c r="K564" s="2">
        <v>0.58194444444444449</v>
      </c>
      <c r="L564" t="s">
        <v>18</v>
      </c>
      <c r="M564">
        <v>16.968</v>
      </c>
      <c r="N564">
        <v>5.7</v>
      </c>
    </row>
    <row r="565" spans="1:14" x14ac:dyDescent="0.25">
      <c r="A565" t="s">
        <v>594</v>
      </c>
      <c r="B565" t="s">
        <v>13</v>
      </c>
      <c r="C565" t="s">
        <v>14</v>
      </c>
      <c r="D565" t="s">
        <v>15</v>
      </c>
      <c r="E565" t="s">
        <v>26</v>
      </c>
      <c r="F565" t="s">
        <v>23</v>
      </c>
      <c r="G565" t="str">
        <f t="shared" si="24"/>
        <v>Wednesday</v>
      </c>
      <c r="H565" t="str">
        <f t="shared" si="25"/>
        <v>Mar</v>
      </c>
      <c r="I565" s="1">
        <v>43544</v>
      </c>
      <c r="J565" s="1" t="str">
        <f t="shared" si="26"/>
        <v>Afternoon</v>
      </c>
      <c r="K565" s="2">
        <v>0.63055555555555554</v>
      </c>
      <c r="L565" t="s">
        <v>18</v>
      </c>
      <c r="M565">
        <v>22.353000000000002</v>
      </c>
      <c r="N565">
        <v>5</v>
      </c>
    </row>
    <row r="566" spans="1:14" x14ac:dyDescent="0.25">
      <c r="A566" t="s">
        <v>595</v>
      </c>
      <c r="B566" t="s">
        <v>37</v>
      </c>
      <c r="C566" t="s">
        <v>38</v>
      </c>
      <c r="D566" t="s">
        <v>22</v>
      </c>
      <c r="E566" t="s">
        <v>26</v>
      </c>
      <c r="F566" t="s">
        <v>41</v>
      </c>
      <c r="G566" t="str">
        <f t="shared" si="24"/>
        <v>Wednesday</v>
      </c>
      <c r="H566" t="str">
        <f t="shared" si="25"/>
        <v>Mar</v>
      </c>
      <c r="I566" s="1">
        <v>43544</v>
      </c>
      <c r="J566" s="1" t="str">
        <f t="shared" si="26"/>
        <v>Afternoon</v>
      </c>
      <c r="K566" s="2">
        <v>0.54305555555555551</v>
      </c>
      <c r="L566" t="s">
        <v>24</v>
      </c>
      <c r="M566">
        <v>9.9250000000000007</v>
      </c>
      <c r="N566">
        <v>9</v>
      </c>
    </row>
    <row r="567" spans="1:14" x14ac:dyDescent="0.25">
      <c r="A567" t="s">
        <v>596</v>
      </c>
      <c r="B567" t="s">
        <v>13</v>
      </c>
      <c r="C567" t="s">
        <v>14</v>
      </c>
      <c r="D567" t="s">
        <v>22</v>
      </c>
      <c r="E567" t="s">
        <v>16</v>
      </c>
      <c r="F567" t="s">
        <v>39</v>
      </c>
      <c r="G567" t="str">
        <f t="shared" si="24"/>
        <v>Monday</v>
      </c>
      <c r="H567" t="str">
        <f t="shared" si="25"/>
        <v>Jan</v>
      </c>
      <c r="I567" s="1">
        <v>43482</v>
      </c>
      <c r="J567" s="1" t="str">
        <f t="shared" si="26"/>
        <v>Afternoon</v>
      </c>
      <c r="K567" s="2">
        <v>0.54236111111111118</v>
      </c>
      <c r="L567" t="s">
        <v>28</v>
      </c>
      <c r="M567">
        <v>40.604999999999997</v>
      </c>
      <c r="N567">
        <v>6.3</v>
      </c>
    </row>
    <row r="568" spans="1:14" x14ac:dyDescent="0.25">
      <c r="A568" t="s">
        <v>597</v>
      </c>
      <c r="B568" t="s">
        <v>20</v>
      </c>
      <c r="C568" t="s">
        <v>21</v>
      </c>
      <c r="D568" t="s">
        <v>22</v>
      </c>
      <c r="E568" t="s">
        <v>16</v>
      </c>
      <c r="F568" t="s">
        <v>31</v>
      </c>
      <c r="G568" t="str">
        <f t="shared" si="24"/>
        <v>Thursday</v>
      </c>
      <c r="H568" t="str">
        <f t="shared" si="25"/>
        <v>Feb</v>
      </c>
      <c r="I568" s="1">
        <v>43499</v>
      </c>
      <c r="J568" s="1" t="str">
        <f t="shared" si="26"/>
        <v>Evening</v>
      </c>
      <c r="K568" s="2">
        <v>0.69444444444444453</v>
      </c>
      <c r="L568" t="s">
        <v>28</v>
      </c>
      <c r="M568">
        <v>24.664999999999999</v>
      </c>
      <c r="N568">
        <v>9.4</v>
      </c>
    </row>
    <row r="569" spans="1:14" x14ac:dyDescent="0.25">
      <c r="A569" t="s">
        <v>598</v>
      </c>
      <c r="B569" t="s">
        <v>13</v>
      </c>
      <c r="C569" t="s">
        <v>14</v>
      </c>
      <c r="D569" t="s">
        <v>22</v>
      </c>
      <c r="E569" t="s">
        <v>16</v>
      </c>
      <c r="F569" t="s">
        <v>41</v>
      </c>
      <c r="G569" t="str">
        <f t="shared" si="24"/>
        <v>Saturday</v>
      </c>
      <c r="H569" t="str">
        <f t="shared" si="25"/>
        <v>Jan</v>
      </c>
      <c r="I569" s="1">
        <v>43466</v>
      </c>
      <c r="J569" s="1" t="str">
        <f t="shared" si="26"/>
        <v>Afternoon</v>
      </c>
      <c r="K569" s="2">
        <v>0.57986111111111105</v>
      </c>
      <c r="L569" t="s">
        <v>24</v>
      </c>
      <c r="M569">
        <v>29.582999999999998</v>
      </c>
      <c r="N569">
        <v>7.7</v>
      </c>
    </row>
    <row r="570" spans="1:14" x14ac:dyDescent="0.25">
      <c r="A570" t="s">
        <v>599</v>
      </c>
      <c r="B570" t="s">
        <v>37</v>
      </c>
      <c r="C570" t="s">
        <v>38</v>
      </c>
      <c r="D570" t="s">
        <v>22</v>
      </c>
      <c r="E570" t="s">
        <v>16</v>
      </c>
      <c r="F570" t="s">
        <v>41</v>
      </c>
      <c r="G570" t="str">
        <f t="shared" si="24"/>
        <v>Sunday</v>
      </c>
      <c r="H570" t="str">
        <f t="shared" si="25"/>
        <v>Jan</v>
      </c>
      <c r="I570" s="1">
        <v>43475</v>
      </c>
      <c r="J570" s="1" t="str">
        <f t="shared" si="26"/>
        <v>Morning</v>
      </c>
      <c r="K570" s="2">
        <v>0.43958333333333338</v>
      </c>
      <c r="L570" t="s">
        <v>28</v>
      </c>
      <c r="M570">
        <v>27.951000000000001</v>
      </c>
      <c r="N570">
        <v>5.5</v>
      </c>
    </row>
    <row r="571" spans="1:14" x14ac:dyDescent="0.25">
      <c r="A571" t="s">
        <v>600</v>
      </c>
      <c r="B571" t="s">
        <v>20</v>
      </c>
      <c r="C571" t="s">
        <v>21</v>
      </c>
      <c r="D571" t="s">
        <v>22</v>
      </c>
      <c r="E571" t="s">
        <v>16</v>
      </c>
      <c r="F571" t="s">
        <v>31</v>
      </c>
      <c r="G571" t="str">
        <f t="shared" si="24"/>
        <v>Monday</v>
      </c>
      <c r="H571" t="str">
        <f t="shared" si="25"/>
        <v>Mar</v>
      </c>
      <c r="I571" s="1">
        <v>43526</v>
      </c>
      <c r="J571" s="1" t="str">
        <f t="shared" si="26"/>
        <v>Evening</v>
      </c>
      <c r="K571" s="2">
        <v>0.6958333333333333</v>
      </c>
      <c r="L571" t="s">
        <v>18</v>
      </c>
      <c r="M571">
        <v>25.893000000000001</v>
      </c>
      <c r="N571">
        <v>4.0999999999999996</v>
      </c>
    </row>
    <row r="572" spans="1:14" x14ac:dyDescent="0.25">
      <c r="A572" t="s">
        <v>601</v>
      </c>
      <c r="B572" t="s">
        <v>37</v>
      </c>
      <c r="C572" t="s">
        <v>38</v>
      </c>
      <c r="D572" t="s">
        <v>15</v>
      </c>
      <c r="E572" t="s">
        <v>16</v>
      </c>
      <c r="F572" t="s">
        <v>27</v>
      </c>
      <c r="G572" t="str">
        <f t="shared" si="24"/>
        <v>Sunday</v>
      </c>
      <c r="H572" t="str">
        <f t="shared" si="25"/>
        <v>Feb</v>
      </c>
      <c r="I572" s="1">
        <v>43521</v>
      </c>
      <c r="J572" s="1" t="str">
        <f t="shared" si="26"/>
        <v>Evening</v>
      </c>
      <c r="K572" s="2">
        <v>0.71944444444444444</v>
      </c>
      <c r="L572" t="s">
        <v>28</v>
      </c>
      <c r="M572">
        <v>20.51</v>
      </c>
      <c r="N572">
        <v>7.6</v>
      </c>
    </row>
    <row r="573" spans="1:14" x14ac:dyDescent="0.25">
      <c r="A573" t="s">
        <v>602</v>
      </c>
      <c r="B573" t="s">
        <v>37</v>
      </c>
      <c r="C573" t="s">
        <v>38</v>
      </c>
      <c r="D573" t="s">
        <v>15</v>
      </c>
      <c r="E573" t="s">
        <v>26</v>
      </c>
      <c r="F573" t="s">
        <v>31</v>
      </c>
      <c r="G573" t="str">
        <f t="shared" si="24"/>
        <v>Wednesday</v>
      </c>
      <c r="H573" t="str">
        <f t="shared" si="25"/>
        <v>Jan</v>
      </c>
      <c r="I573" s="1">
        <v>43494</v>
      </c>
      <c r="J573" s="1" t="str">
        <f t="shared" si="26"/>
        <v>Morning</v>
      </c>
      <c r="K573" s="2">
        <v>0.4916666666666667</v>
      </c>
      <c r="L573" t="s">
        <v>24</v>
      </c>
      <c r="M573">
        <v>13.335000000000001</v>
      </c>
      <c r="N573">
        <v>8.6</v>
      </c>
    </row>
    <row r="574" spans="1:14" x14ac:dyDescent="0.25">
      <c r="A574" t="s">
        <v>603</v>
      </c>
      <c r="B574" t="s">
        <v>13</v>
      </c>
      <c r="C574" t="s">
        <v>14</v>
      </c>
      <c r="D574" t="s">
        <v>15</v>
      </c>
      <c r="E574" t="s">
        <v>26</v>
      </c>
      <c r="F574" t="s">
        <v>39</v>
      </c>
      <c r="G574" t="str">
        <f t="shared" si="24"/>
        <v>Tuesday</v>
      </c>
      <c r="H574" t="str">
        <f t="shared" si="25"/>
        <v>Mar</v>
      </c>
      <c r="I574" s="1">
        <v>43534</v>
      </c>
      <c r="J574" s="1" t="str">
        <f t="shared" si="26"/>
        <v>Evening</v>
      </c>
      <c r="K574" s="2">
        <v>0.81597222222222221</v>
      </c>
      <c r="L574" t="s">
        <v>18</v>
      </c>
      <c r="M574">
        <v>3.5455000000000001</v>
      </c>
      <c r="N574">
        <v>8.3000000000000007</v>
      </c>
    </row>
    <row r="575" spans="1:14" x14ac:dyDescent="0.25">
      <c r="A575" t="s">
        <v>604</v>
      </c>
      <c r="B575" t="s">
        <v>37</v>
      </c>
      <c r="C575" t="s">
        <v>38</v>
      </c>
      <c r="D575" t="s">
        <v>22</v>
      </c>
      <c r="E575" t="s">
        <v>26</v>
      </c>
      <c r="F575" t="s">
        <v>39</v>
      </c>
      <c r="G575" t="str">
        <f t="shared" si="24"/>
        <v>Monday</v>
      </c>
      <c r="H575" t="str">
        <f t="shared" si="25"/>
        <v>Jan</v>
      </c>
      <c r="I575" s="1">
        <v>43478</v>
      </c>
      <c r="J575" s="1" t="str">
        <f t="shared" si="26"/>
        <v>Evening</v>
      </c>
      <c r="K575" s="2">
        <v>0.82986111111111116</v>
      </c>
      <c r="L575" t="s">
        <v>28</v>
      </c>
      <c r="M575">
        <v>7.2389999999999999</v>
      </c>
      <c r="N575">
        <v>8.1</v>
      </c>
    </row>
    <row r="576" spans="1:14" x14ac:dyDescent="0.25">
      <c r="A576" t="s">
        <v>605</v>
      </c>
      <c r="B576" t="s">
        <v>13</v>
      </c>
      <c r="C576" t="s">
        <v>14</v>
      </c>
      <c r="D576" t="s">
        <v>22</v>
      </c>
      <c r="E576" t="s">
        <v>26</v>
      </c>
      <c r="F576" t="s">
        <v>31</v>
      </c>
      <c r="G576" t="str">
        <f t="shared" si="24"/>
        <v>Wednesday</v>
      </c>
      <c r="H576" t="str">
        <f t="shared" si="25"/>
        <v>Mar</v>
      </c>
      <c r="I576" s="1">
        <v>43546</v>
      </c>
      <c r="J576" s="1" t="str">
        <f t="shared" si="26"/>
        <v>Afternoon</v>
      </c>
      <c r="K576" s="2">
        <v>0.60625000000000007</v>
      </c>
      <c r="L576" t="s">
        <v>28</v>
      </c>
      <c r="M576">
        <v>21.477499999999999</v>
      </c>
      <c r="N576">
        <v>8.6</v>
      </c>
    </row>
    <row r="577" spans="1:14" x14ac:dyDescent="0.25">
      <c r="A577" t="s">
        <v>606</v>
      </c>
      <c r="B577" t="s">
        <v>37</v>
      </c>
      <c r="C577" t="s">
        <v>38</v>
      </c>
      <c r="D577" t="s">
        <v>15</v>
      </c>
      <c r="E577" t="s">
        <v>26</v>
      </c>
      <c r="F577" t="s">
        <v>41</v>
      </c>
      <c r="G577" t="str">
        <f t="shared" si="24"/>
        <v>Sunday</v>
      </c>
      <c r="H577" t="str">
        <f t="shared" si="25"/>
        <v>Mar</v>
      </c>
      <c r="I577" s="1">
        <v>43525</v>
      </c>
      <c r="J577" s="1" t="str">
        <f t="shared" si="26"/>
        <v>Evening</v>
      </c>
      <c r="K577" s="2">
        <v>0.8256944444444444</v>
      </c>
      <c r="L577" t="s">
        <v>18</v>
      </c>
      <c r="M577">
        <v>28.458500000000001</v>
      </c>
      <c r="N577">
        <v>6.3</v>
      </c>
    </row>
    <row r="578" spans="1:14" x14ac:dyDescent="0.25">
      <c r="A578" t="s">
        <v>607</v>
      </c>
      <c r="B578" t="s">
        <v>37</v>
      </c>
      <c r="C578" t="s">
        <v>38</v>
      </c>
      <c r="D578" t="s">
        <v>22</v>
      </c>
      <c r="E578" t="s">
        <v>26</v>
      </c>
      <c r="F578" t="s">
        <v>39</v>
      </c>
      <c r="G578" t="str">
        <f t="shared" si="24"/>
        <v>Saturday</v>
      </c>
      <c r="H578" t="str">
        <f t="shared" si="25"/>
        <v>Feb</v>
      </c>
      <c r="I578" s="1">
        <v>43516</v>
      </c>
      <c r="J578" s="1" t="str">
        <f t="shared" si="26"/>
        <v>Evening</v>
      </c>
      <c r="K578" s="2">
        <v>0.77986111111111101</v>
      </c>
      <c r="L578" t="s">
        <v>24</v>
      </c>
      <c r="M578">
        <v>12.06</v>
      </c>
      <c r="N578">
        <v>5.8</v>
      </c>
    </row>
    <row r="579" spans="1:14" x14ac:dyDescent="0.25">
      <c r="A579" t="s">
        <v>608</v>
      </c>
      <c r="B579" t="s">
        <v>20</v>
      </c>
      <c r="C579" t="s">
        <v>21</v>
      </c>
      <c r="D579" t="s">
        <v>22</v>
      </c>
      <c r="E579" t="s">
        <v>26</v>
      </c>
      <c r="F579" t="s">
        <v>39</v>
      </c>
      <c r="G579" t="str">
        <f t="shared" ref="G579:G642" si="27">TEXT(I579/7,"dddd")</f>
        <v>Monday</v>
      </c>
      <c r="H579" t="str">
        <f t="shared" ref="H579:H642" si="28">TEXT(I579,"mmm")</f>
        <v>Jan</v>
      </c>
      <c r="I579" s="1">
        <v>43479</v>
      </c>
      <c r="J579" s="1" t="str">
        <f t="shared" ref="J579:J642" si="29">IF(AND(K579&gt;=TIME(9,0,0),K579&lt;TIME(12,0,0)),"Morning",IF(AND(K579&gt;=TIME(12,0,0),K579&lt;TIME(16,0,0)),"Afternoon","Evening"))</f>
        <v>Afternoon</v>
      </c>
      <c r="K579" s="2">
        <v>0.61319444444444449</v>
      </c>
      <c r="L579" t="s">
        <v>18</v>
      </c>
      <c r="M579">
        <v>6.3540000000000001</v>
      </c>
      <c r="N579">
        <v>6.2</v>
      </c>
    </row>
    <row r="580" spans="1:14" x14ac:dyDescent="0.25">
      <c r="A580" t="s">
        <v>609</v>
      </c>
      <c r="B580" t="s">
        <v>13</v>
      </c>
      <c r="C580" t="s">
        <v>14</v>
      </c>
      <c r="D580" t="s">
        <v>22</v>
      </c>
      <c r="E580" t="s">
        <v>16</v>
      </c>
      <c r="F580" t="s">
        <v>17</v>
      </c>
      <c r="G580" t="str">
        <f t="shared" si="27"/>
        <v>Thursday</v>
      </c>
      <c r="H580" t="str">
        <f t="shared" si="28"/>
        <v>Mar</v>
      </c>
      <c r="I580" s="1">
        <v>43550</v>
      </c>
      <c r="J580" s="1" t="str">
        <f t="shared" si="29"/>
        <v>Afternoon</v>
      </c>
      <c r="K580" s="2">
        <v>0.57916666666666672</v>
      </c>
      <c r="L580" t="s">
        <v>24</v>
      </c>
      <c r="M580">
        <v>12.853999999999999</v>
      </c>
      <c r="N580">
        <v>7.7</v>
      </c>
    </row>
    <row r="581" spans="1:14" x14ac:dyDescent="0.25">
      <c r="A581" t="s">
        <v>610</v>
      </c>
      <c r="B581" t="s">
        <v>37</v>
      </c>
      <c r="C581" t="s">
        <v>38</v>
      </c>
      <c r="D581" t="s">
        <v>22</v>
      </c>
      <c r="E581" t="s">
        <v>26</v>
      </c>
      <c r="F581" t="s">
        <v>17</v>
      </c>
      <c r="G581" t="str">
        <f t="shared" si="27"/>
        <v>Sunday</v>
      </c>
      <c r="H581" t="str">
        <f t="shared" si="28"/>
        <v>Mar</v>
      </c>
      <c r="I581" s="1">
        <v>43525</v>
      </c>
      <c r="J581" s="1" t="str">
        <f t="shared" si="29"/>
        <v>Afternoon</v>
      </c>
      <c r="K581" s="2">
        <v>0.51041666666666663</v>
      </c>
      <c r="L581" t="s">
        <v>18</v>
      </c>
      <c r="M581">
        <v>6.9509999999999996</v>
      </c>
      <c r="N581">
        <v>8.1</v>
      </c>
    </row>
    <row r="582" spans="1:14" x14ac:dyDescent="0.25">
      <c r="A582" t="s">
        <v>611</v>
      </c>
      <c r="B582" t="s">
        <v>20</v>
      </c>
      <c r="C582" t="s">
        <v>21</v>
      </c>
      <c r="D582" t="s">
        <v>22</v>
      </c>
      <c r="E582" t="s">
        <v>26</v>
      </c>
      <c r="F582" t="s">
        <v>39</v>
      </c>
      <c r="G582" t="str">
        <f t="shared" si="27"/>
        <v>Sunday</v>
      </c>
      <c r="H582" t="str">
        <f t="shared" si="28"/>
        <v>Jan</v>
      </c>
      <c r="I582" s="1">
        <v>43472</v>
      </c>
      <c r="J582" s="1" t="str">
        <f t="shared" si="29"/>
        <v>Afternoon</v>
      </c>
      <c r="K582" s="2">
        <v>0.52569444444444446</v>
      </c>
      <c r="L582" t="s">
        <v>24</v>
      </c>
      <c r="M582">
        <v>4.0830000000000002</v>
      </c>
      <c r="N582">
        <v>7.3</v>
      </c>
    </row>
    <row r="583" spans="1:14" x14ac:dyDescent="0.25">
      <c r="A583" t="s">
        <v>612</v>
      </c>
      <c r="B583" t="s">
        <v>13</v>
      </c>
      <c r="C583" t="s">
        <v>14</v>
      </c>
      <c r="D583" t="s">
        <v>15</v>
      </c>
      <c r="E583" t="s">
        <v>16</v>
      </c>
      <c r="F583" t="s">
        <v>17</v>
      </c>
      <c r="G583" t="str">
        <f t="shared" si="27"/>
        <v>Wednesday</v>
      </c>
      <c r="H583" t="str">
        <f t="shared" si="28"/>
        <v>Feb</v>
      </c>
      <c r="I583" s="1">
        <v>43497</v>
      </c>
      <c r="J583" s="1" t="str">
        <f t="shared" si="29"/>
        <v>Evening</v>
      </c>
      <c r="K583" s="2">
        <v>0.82916666666666661</v>
      </c>
      <c r="L583" t="s">
        <v>24</v>
      </c>
      <c r="M583">
        <v>15.536</v>
      </c>
      <c r="N583">
        <v>8.4</v>
      </c>
    </row>
    <row r="584" spans="1:14" x14ac:dyDescent="0.25">
      <c r="A584" t="s">
        <v>613</v>
      </c>
      <c r="B584" t="s">
        <v>20</v>
      </c>
      <c r="C584" t="s">
        <v>21</v>
      </c>
      <c r="D584" t="s">
        <v>15</v>
      </c>
      <c r="E584" t="s">
        <v>16</v>
      </c>
      <c r="F584" t="s">
        <v>41</v>
      </c>
      <c r="G584" t="str">
        <f t="shared" si="27"/>
        <v>Friday</v>
      </c>
      <c r="H584" t="str">
        <f t="shared" si="28"/>
        <v>Feb</v>
      </c>
      <c r="I584" s="1">
        <v>43509</v>
      </c>
      <c r="J584" s="1" t="str">
        <f t="shared" si="29"/>
        <v>Afternoon</v>
      </c>
      <c r="K584" s="2">
        <v>0.62916666666666665</v>
      </c>
      <c r="L584" t="s">
        <v>28</v>
      </c>
      <c r="M584">
        <v>9.298</v>
      </c>
      <c r="N584">
        <v>8</v>
      </c>
    </row>
    <row r="585" spans="1:14" x14ac:dyDescent="0.25">
      <c r="A585" t="s">
        <v>614</v>
      </c>
      <c r="B585" t="s">
        <v>37</v>
      </c>
      <c r="C585" t="s">
        <v>38</v>
      </c>
      <c r="D585" t="s">
        <v>15</v>
      </c>
      <c r="E585" t="s">
        <v>16</v>
      </c>
      <c r="F585" t="s">
        <v>41</v>
      </c>
      <c r="G585" t="str">
        <f t="shared" si="27"/>
        <v>Monday</v>
      </c>
      <c r="H585" t="str">
        <f t="shared" si="28"/>
        <v>Jan</v>
      </c>
      <c r="I585" s="1">
        <v>43479</v>
      </c>
      <c r="J585" s="1" t="str">
        <f t="shared" si="29"/>
        <v>Evening</v>
      </c>
      <c r="K585" s="2">
        <v>0.75208333333333333</v>
      </c>
      <c r="L585" t="s">
        <v>28</v>
      </c>
      <c r="M585">
        <v>3.6160000000000001</v>
      </c>
      <c r="N585">
        <v>9.5</v>
      </c>
    </row>
    <row r="586" spans="1:14" x14ac:dyDescent="0.25">
      <c r="A586" t="s">
        <v>615</v>
      </c>
      <c r="B586" t="s">
        <v>37</v>
      </c>
      <c r="C586" t="s">
        <v>38</v>
      </c>
      <c r="D586" t="s">
        <v>22</v>
      </c>
      <c r="E586" t="s">
        <v>26</v>
      </c>
      <c r="F586" t="s">
        <v>31</v>
      </c>
      <c r="G586" t="str">
        <f t="shared" si="27"/>
        <v>Tuesday</v>
      </c>
      <c r="H586" t="str">
        <f t="shared" si="28"/>
        <v>Jan</v>
      </c>
      <c r="I586" s="1">
        <v>43484</v>
      </c>
      <c r="J586" s="1" t="str">
        <f t="shared" si="29"/>
        <v>Afternoon</v>
      </c>
      <c r="K586" s="2">
        <v>0.66527777777777775</v>
      </c>
      <c r="L586" t="s">
        <v>18</v>
      </c>
      <c r="M586">
        <v>9.4589999999999996</v>
      </c>
      <c r="N586">
        <v>7</v>
      </c>
    </row>
    <row r="587" spans="1:14" x14ac:dyDescent="0.25">
      <c r="A587" t="s">
        <v>616</v>
      </c>
      <c r="B587" t="s">
        <v>13</v>
      </c>
      <c r="C587" t="s">
        <v>14</v>
      </c>
      <c r="D587" t="s">
        <v>22</v>
      </c>
      <c r="E587" t="s">
        <v>26</v>
      </c>
      <c r="F587" t="s">
        <v>17</v>
      </c>
      <c r="G587" t="str">
        <f t="shared" si="27"/>
        <v>Tuesday</v>
      </c>
      <c r="H587" t="str">
        <f t="shared" si="28"/>
        <v>Mar</v>
      </c>
      <c r="I587" s="1">
        <v>43533</v>
      </c>
      <c r="J587" s="1" t="str">
        <f t="shared" si="29"/>
        <v>Afternoon</v>
      </c>
      <c r="K587" s="2">
        <v>0.57847222222222217</v>
      </c>
      <c r="L587" t="s">
        <v>28</v>
      </c>
      <c r="M587">
        <v>10.342000000000001</v>
      </c>
      <c r="N587">
        <v>9.8000000000000007</v>
      </c>
    </row>
    <row r="588" spans="1:14" x14ac:dyDescent="0.25">
      <c r="A588" t="s">
        <v>617</v>
      </c>
      <c r="B588" t="s">
        <v>13</v>
      </c>
      <c r="C588" t="s">
        <v>14</v>
      </c>
      <c r="D588" t="s">
        <v>22</v>
      </c>
      <c r="E588" t="s">
        <v>16</v>
      </c>
      <c r="F588" t="s">
        <v>39</v>
      </c>
      <c r="G588" t="str">
        <f t="shared" si="27"/>
        <v>Thursday</v>
      </c>
      <c r="H588" t="str">
        <f t="shared" si="28"/>
        <v>Mar</v>
      </c>
      <c r="I588" s="1">
        <v>43551</v>
      </c>
      <c r="J588" s="1" t="str">
        <f t="shared" si="29"/>
        <v>Afternoon</v>
      </c>
      <c r="K588" s="2">
        <v>0.5854166666666667</v>
      </c>
      <c r="L588" t="s">
        <v>24</v>
      </c>
      <c r="M588">
        <v>7.851</v>
      </c>
      <c r="N588">
        <v>9.1999999999999993</v>
      </c>
    </row>
    <row r="589" spans="1:14" x14ac:dyDescent="0.25">
      <c r="A589" t="s">
        <v>618</v>
      </c>
      <c r="B589" t="s">
        <v>13</v>
      </c>
      <c r="C589" t="s">
        <v>14</v>
      </c>
      <c r="D589" t="s">
        <v>22</v>
      </c>
      <c r="E589" t="s">
        <v>16</v>
      </c>
      <c r="F589" t="s">
        <v>31</v>
      </c>
      <c r="G589" t="str">
        <f t="shared" si="27"/>
        <v>Thursday</v>
      </c>
      <c r="H589" t="str">
        <f t="shared" si="28"/>
        <v>Feb</v>
      </c>
      <c r="I589" s="1">
        <v>43500</v>
      </c>
      <c r="J589" s="1" t="str">
        <f t="shared" si="29"/>
        <v>Evening</v>
      </c>
      <c r="K589" s="2">
        <v>0.69305555555555554</v>
      </c>
      <c r="L589" t="s">
        <v>18</v>
      </c>
      <c r="M589">
        <v>10.765000000000001</v>
      </c>
      <c r="N589">
        <v>7.7</v>
      </c>
    </row>
    <row r="590" spans="1:14" x14ac:dyDescent="0.25">
      <c r="A590" t="s">
        <v>619</v>
      </c>
      <c r="B590" t="s">
        <v>20</v>
      </c>
      <c r="C590" t="s">
        <v>21</v>
      </c>
      <c r="D590" t="s">
        <v>22</v>
      </c>
      <c r="E590" t="s">
        <v>26</v>
      </c>
      <c r="F590" t="s">
        <v>41</v>
      </c>
      <c r="G590" t="str">
        <f t="shared" si="27"/>
        <v>Tuesday</v>
      </c>
      <c r="H590" t="str">
        <f t="shared" si="28"/>
        <v>Mar</v>
      </c>
      <c r="I590" s="1">
        <v>43538</v>
      </c>
      <c r="J590" s="1" t="str">
        <f t="shared" si="29"/>
        <v>Morning</v>
      </c>
      <c r="K590" s="2">
        <v>0.46319444444444446</v>
      </c>
      <c r="L590" t="s">
        <v>24</v>
      </c>
      <c r="M590">
        <v>29.805</v>
      </c>
      <c r="N590">
        <v>5.3</v>
      </c>
    </row>
    <row r="591" spans="1:14" x14ac:dyDescent="0.25">
      <c r="A591" t="s">
        <v>620</v>
      </c>
      <c r="B591" t="s">
        <v>13</v>
      </c>
      <c r="C591" t="s">
        <v>14</v>
      </c>
      <c r="D591" t="s">
        <v>22</v>
      </c>
      <c r="E591" t="s">
        <v>26</v>
      </c>
      <c r="F591" t="s">
        <v>17</v>
      </c>
      <c r="G591" t="str">
        <f t="shared" si="27"/>
        <v>Monday</v>
      </c>
      <c r="H591" t="str">
        <f t="shared" si="28"/>
        <v>Mar</v>
      </c>
      <c r="I591" s="1">
        <v>43528</v>
      </c>
      <c r="J591" s="1" t="str">
        <f t="shared" si="29"/>
        <v>Afternoon</v>
      </c>
      <c r="K591" s="2">
        <v>0.51597222222222217</v>
      </c>
      <c r="L591" t="s">
        <v>24</v>
      </c>
      <c r="M591">
        <v>3.6549999999999998</v>
      </c>
      <c r="N591">
        <v>4.4000000000000004</v>
      </c>
    </row>
    <row r="592" spans="1:14" x14ac:dyDescent="0.25">
      <c r="A592" t="s">
        <v>621</v>
      </c>
      <c r="B592" t="s">
        <v>20</v>
      </c>
      <c r="C592" t="s">
        <v>21</v>
      </c>
      <c r="D592" t="s">
        <v>15</v>
      </c>
      <c r="E592" t="s">
        <v>26</v>
      </c>
      <c r="F592" t="s">
        <v>17</v>
      </c>
      <c r="G592" t="str">
        <f t="shared" si="27"/>
        <v>Monday</v>
      </c>
      <c r="H592" t="str">
        <f t="shared" si="28"/>
        <v>Mar</v>
      </c>
      <c r="I592" s="1">
        <v>43527</v>
      </c>
      <c r="J592" s="1" t="str">
        <f t="shared" si="29"/>
        <v>Morning</v>
      </c>
      <c r="K592" s="2">
        <v>0.45416666666666666</v>
      </c>
      <c r="L592" t="s">
        <v>28</v>
      </c>
      <c r="M592">
        <v>13.959</v>
      </c>
      <c r="N592">
        <v>4.3</v>
      </c>
    </row>
    <row r="593" spans="1:14" x14ac:dyDescent="0.25">
      <c r="A593" t="s">
        <v>622</v>
      </c>
      <c r="B593" t="s">
        <v>20</v>
      </c>
      <c r="C593" t="s">
        <v>21</v>
      </c>
      <c r="D593" t="s">
        <v>15</v>
      </c>
      <c r="E593" t="s">
        <v>16</v>
      </c>
      <c r="F593" t="s">
        <v>27</v>
      </c>
      <c r="G593" t="str">
        <f t="shared" si="27"/>
        <v>Wednesday</v>
      </c>
      <c r="H593" t="str">
        <f t="shared" si="28"/>
        <v>Jan</v>
      </c>
      <c r="I593" s="1">
        <v>43492</v>
      </c>
      <c r="J593" s="1" t="str">
        <f t="shared" si="29"/>
        <v>Evening</v>
      </c>
      <c r="K593" s="2">
        <v>0.73472222222222217</v>
      </c>
      <c r="L593" t="s">
        <v>18</v>
      </c>
      <c r="M593">
        <v>8.484</v>
      </c>
      <c r="N593">
        <v>9.4</v>
      </c>
    </row>
    <row r="594" spans="1:14" x14ac:dyDescent="0.25">
      <c r="A594" t="s">
        <v>623</v>
      </c>
      <c r="B594" t="s">
        <v>13</v>
      </c>
      <c r="C594" t="s">
        <v>14</v>
      </c>
      <c r="D594" t="s">
        <v>15</v>
      </c>
      <c r="E594" t="s">
        <v>16</v>
      </c>
      <c r="F594" t="s">
        <v>31</v>
      </c>
      <c r="G594" t="str">
        <f t="shared" si="27"/>
        <v>Thursday</v>
      </c>
      <c r="H594" t="str">
        <f t="shared" si="28"/>
        <v>Feb</v>
      </c>
      <c r="I594" s="1">
        <v>43503</v>
      </c>
      <c r="J594" s="1" t="str">
        <f t="shared" si="29"/>
        <v>Afternoon</v>
      </c>
      <c r="K594" s="2">
        <v>0.59236111111111112</v>
      </c>
      <c r="L594" t="s">
        <v>24</v>
      </c>
      <c r="M594">
        <v>2.2789999999999999</v>
      </c>
      <c r="N594">
        <v>9.8000000000000007</v>
      </c>
    </row>
    <row r="595" spans="1:14" x14ac:dyDescent="0.25">
      <c r="A595" t="s">
        <v>624</v>
      </c>
      <c r="B595" t="s">
        <v>13</v>
      </c>
      <c r="C595" t="s">
        <v>14</v>
      </c>
      <c r="D595" t="s">
        <v>15</v>
      </c>
      <c r="E595" t="s">
        <v>16</v>
      </c>
      <c r="F595" t="s">
        <v>31</v>
      </c>
      <c r="G595" t="str">
        <f t="shared" si="27"/>
        <v>Thursday</v>
      </c>
      <c r="H595" t="str">
        <f t="shared" si="28"/>
        <v>Feb</v>
      </c>
      <c r="I595" s="1">
        <v>43501</v>
      </c>
      <c r="J595" s="1" t="str">
        <f t="shared" si="29"/>
        <v>Morning</v>
      </c>
      <c r="K595" s="2">
        <v>0.49374999999999997</v>
      </c>
      <c r="L595" t="s">
        <v>18</v>
      </c>
      <c r="M595">
        <v>11.28</v>
      </c>
      <c r="N595">
        <v>4.8</v>
      </c>
    </row>
    <row r="596" spans="1:14" x14ac:dyDescent="0.25">
      <c r="A596" t="s">
        <v>625</v>
      </c>
      <c r="B596" t="s">
        <v>37</v>
      </c>
      <c r="C596" t="s">
        <v>38</v>
      </c>
      <c r="D596" t="s">
        <v>15</v>
      </c>
      <c r="E596" t="s">
        <v>26</v>
      </c>
      <c r="F596" t="s">
        <v>31</v>
      </c>
      <c r="G596" t="str">
        <f t="shared" si="27"/>
        <v>Tuesday</v>
      </c>
      <c r="H596" t="str">
        <f t="shared" si="28"/>
        <v>Mar</v>
      </c>
      <c r="I596" s="1">
        <v>43539</v>
      </c>
      <c r="J596" s="1" t="str">
        <f t="shared" si="29"/>
        <v>Afternoon</v>
      </c>
      <c r="K596" s="2">
        <v>0.54513888888888895</v>
      </c>
      <c r="L596" t="s">
        <v>24</v>
      </c>
      <c r="M596">
        <v>14.52</v>
      </c>
      <c r="N596">
        <v>5.3</v>
      </c>
    </row>
    <row r="597" spans="1:14" x14ac:dyDescent="0.25">
      <c r="A597" t="s">
        <v>626</v>
      </c>
      <c r="B597" t="s">
        <v>37</v>
      </c>
      <c r="C597" t="s">
        <v>38</v>
      </c>
      <c r="D597" t="s">
        <v>22</v>
      </c>
      <c r="E597" t="s">
        <v>26</v>
      </c>
      <c r="F597" t="s">
        <v>17</v>
      </c>
      <c r="G597" t="str">
        <f t="shared" si="27"/>
        <v>Sunday</v>
      </c>
      <c r="H597" t="str">
        <f t="shared" si="28"/>
        <v>Mar</v>
      </c>
      <c r="I597" s="1">
        <v>43525</v>
      </c>
      <c r="J597" s="1" t="str">
        <f t="shared" si="29"/>
        <v>Morning</v>
      </c>
      <c r="K597" s="2">
        <v>0.47916666666666669</v>
      </c>
      <c r="L597" t="s">
        <v>28</v>
      </c>
      <c r="M597">
        <v>2.2229999999999999</v>
      </c>
      <c r="N597">
        <v>8.6999999999999993</v>
      </c>
    </row>
    <row r="598" spans="1:14" x14ac:dyDescent="0.25">
      <c r="A598" t="s">
        <v>627</v>
      </c>
      <c r="B598" t="s">
        <v>13</v>
      </c>
      <c r="C598" t="s">
        <v>14</v>
      </c>
      <c r="D598" t="s">
        <v>22</v>
      </c>
      <c r="E598" t="s">
        <v>26</v>
      </c>
      <c r="F598" t="s">
        <v>39</v>
      </c>
      <c r="G598" t="str">
        <f t="shared" si="27"/>
        <v>Friday</v>
      </c>
      <c r="H598" t="str">
        <f t="shared" si="28"/>
        <v>Feb</v>
      </c>
      <c r="I598" s="1">
        <v>43511</v>
      </c>
      <c r="J598" s="1" t="str">
        <f t="shared" si="29"/>
        <v>Afternoon</v>
      </c>
      <c r="K598" s="2">
        <v>0.5625</v>
      </c>
      <c r="L598" t="s">
        <v>28</v>
      </c>
      <c r="M598">
        <v>7.83</v>
      </c>
      <c r="N598">
        <v>9.5</v>
      </c>
    </row>
    <row r="599" spans="1:14" x14ac:dyDescent="0.25">
      <c r="A599" t="s">
        <v>628</v>
      </c>
      <c r="B599" t="s">
        <v>20</v>
      </c>
      <c r="C599" t="s">
        <v>21</v>
      </c>
      <c r="D599" t="s">
        <v>22</v>
      </c>
      <c r="E599" t="s">
        <v>16</v>
      </c>
      <c r="F599" t="s">
        <v>31</v>
      </c>
      <c r="G599" t="str">
        <f t="shared" si="27"/>
        <v>Saturday</v>
      </c>
      <c r="H599" t="str">
        <f t="shared" si="28"/>
        <v>Feb</v>
      </c>
      <c r="I599" s="1">
        <v>43513</v>
      </c>
      <c r="J599" s="1" t="str">
        <f t="shared" si="29"/>
        <v>Evening</v>
      </c>
      <c r="K599" s="2">
        <v>0.7993055555555556</v>
      </c>
      <c r="L599" t="s">
        <v>18</v>
      </c>
      <c r="M599">
        <v>20.997</v>
      </c>
      <c r="N599">
        <v>5.3</v>
      </c>
    </row>
    <row r="600" spans="1:14" x14ac:dyDescent="0.25">
      <c r="A600" t="s">
        <v>629</v>
      </c>
      <c r="B600" t="s">
        <v>20</v>
      </c>
      <c r="C600" t="s">
        <v>21</v>
      </c>
      <c r="D600" t="s">
        <v>22</v>
      </c>
      <c r="E600" t="s">
        <v>16</v>
      </c>
      <c r="F600" t="s">
        <v>41</v>
      </c>
      <c r="G600" t="str">
        <f t="shared" si="27"/>
        <v>Wednesday</v>
      </c>
      <c r="H600" t="str">
        <f t="shared" si="28"/>
        <v>Jan</v>
      </c>
      <c r="I600" s="1">
        <v>43491</v>
      </c>
      <c r="J600" s="1" t="str">
        <f t="shared" si="29"/>
        <v>Evening</v>
      </c>
      <c r="K600" s="2">
        <v>0.78680555555555554</v>
      </c>
      <c r="L600" t="s">
        <v>24</v>
      </c>
      <c r="M600">
        <v>9.2125000000000004</v>
      </c>
      <c r="N600">
        <v>9.1999999999999993</v>
      </c>
    </row>
    <row r="601" spans="1:14" x14ac:dyDescent="0.25">
      <c r="A601" t="s">
        <v>630</v>
      </c>
      <c r="B601" t="s">
        <v>13</v>
      </c>
      <c r="C601" t="s">
        <v>14</v>
      </c>
      <c r="D601" t="s">
        <v>15</v>
      </c>
      <c r="E601" t="s">
        <v>16</v>
      </c>
      <c r="F601" t="s">
        <v>27</v>
      </c>
      <c r="G601" t="str">
        <f t="shared" si="27"/>
        <v>Thursday</v>
      </c>
      <c r="H601" t="str">
        <f t="shared" si="28"/>
        <v>Mar</v>
      </c>
      <c r="I601" s="1">
        <v>43548</v>
      </c>
      <c r="J601" s="1" t="str">
        <f t="shared" si="29"/>
        <v>Afternoon</v>
      </c>
      <c r="K601" s="2">
        <v>0.59861111111111109</v>
      </c>
      <c r="L601" t="s">
        <v>18</v>
      </c>
      <c r="M601">
        <v>7.032</v>
      </c>
      <c r="N601">
        <v>9.6</v>
      </c>
    </row>
    <row r="602" spans="1:14" x14ac:dyDescent="0.25">
      <c r="A602" t="s">
        <v>631</v>
      </c>
      <c r="B602" t="s">
        <v>20</v>
      </c>
      <c r="C602" t="s">
        <v>21</v>
      </c>
      <c r="D602" t="s">
        <v>22</v>
      </c>
      <c r="E602" t="s">
        <v>26</v>
      </c>
      <c r="F602" t="s">
        <v>23</v>
      </c>
      <c r="G602" t="str">
        <f t="shared" si="27"/>
        <v>Tuesday</v>
      </c>
      <c r="H602" t="str">
        <f t="shared" si="28"/>
        <v>Jan</v>
      </c>
      <c r="I602" s="1">
        <v>43488</v>
      </c>
      <c r="J602" s="1" t="str">
        <f t="shared" si="29"/>
        <v>Evening</v>
      </c>
      <c r="K602" s="2">
        <v>0.71944444444444444</v>
      </c>
      <c r="L602" t="s">
        <v>18</v>
      </c>
      <c r="M602">
        <v>4.1539999999999999</v>
      </c>
      <c r="N602">
        <v>6.4</v>
      </c>
    </row>
    <row r="603" spans="1:14" x14ac:dyDescent="0.25">
      <c r="A603" t="s">
        <v>632</v>
      </c>
      <c r="B603" t="s">
        <v>20</v>
      </c>
      <c r="C603" t="s">
        <v>21</v>
      </c>
      <c r="D603" t="s">
        <v>22</v>
      </c>
      <c r="E603" t="s">
        <v>16</v>
      </c>
      <c r="F603" t="s">
        <v>41</v>
      </c>
      <c r="G603" t="str">
        <f t="shared" si="27"/>
        <v>Wednesday</v>
      </c>
      <c r="H603" t="str">
        <f t="shared" si="28"/>
        <v>Jan</v>
      </c>
      <c r="I603" s="1">
        <v>43491</v>
      </c>
      <c r="J603" s="1" t="str">
        <f t="shared" si="29"/>
        <v>Morning</v>
      </c>
      <c r="K603" s="2">
        <v>0.42083333333333334</v>
      </c>
      <c r="L603" t="s">
        <v>28</v>
      </c>
      <c r="M603">
        <v>3.2494999999999998</v>
      </c>
      <c r="N603">
        <v>4.5</v>
      </c>
    </row>
    <row r="604" spans="1:14" x14ac:dyDescent="0.25">
      <c r="A604" t="s">
        <v>633</v>
      </c>
      <c r="B604" t="s">
        <v>20</v>
      </c>
      <c r="C604" t="s">
        <v>21</v>
      </c>
      <c r="D604" t="s">
        <v>22</v>
      </c>
      <c r="E604" t="s">
        <v>26</v>
      </c>
      <c r="F604" t="s">
        <v>39</v>
      </c>
      <c r="G604" t="str">
        <f t="shared" si="27"/>
        <v>Tuesday</v>
      </c>
      <c r="H604" t="str">
        <f t="shared" si="28"/>
        <v>Mar</v>
      </c>
      <c r="I604" s="1">
        <v>43538</v>
      </c>
      <c r="J604" s="1" t="str">
        <f t="shared" si="29"/>
        <v>Evening</v>
      </c>
      <c r="K604" s="2">
        <v>0.85763888888888884</v>
      </c>
      <c r="L604" t="s">
        <v>18</v>
      </c>
      <c r="M604">
        <v>38.78</v>
      </c>
      <c r="N604">
        <v>6.9</v>
      </c>
    </row>
    <row r="605" spans="1:14" x14ac:dyDescent="0.25">
      <c r="A605" t="s">
        <v>634</v>
      </c>
      <c r="B605" t="s">
        <v>37</v>
      </c>
      <c r="C605" t="s">
        <v>38</v>
      </c>
      <c r="D605" t="s">
        <v>22</v>
      </c>
      <c r="E605" t="s">
        <v>16</v>
      </c>
      <c r="F605" t="s">
        <v>31</v>
      </c>
      <c r="G605" t="str">
        <f t="shared" si="27"/>
        <v>Wednesday</v>
      </c>
      <c r="H605" t="str">
        <f t="shared" si="28"/>
        <v>Mar</v>
      </c>
      <c r="I605" s="1">
        <v>43541</v>
      </c>
      <c r="J605" s="1" t="str">
        <f t="shared" si="29"/>
        <v>Afternoon</v>
      </c>
      <c r="K605" s="2">
        <v>0.57916666666666672</v>
      </c>
      <c r="L605" t="s">
        <v>18</v>
      </c>
      <c r="M605">
        <v>16.353000000000002</v>
      </c>
      <c r="N605">
        <v>7.8</v>
      </c>
    </row>
    <row r="606" spans="1:14" x14ac:dyDescent="0.25">
      <c r="A606" t="s">
        <v>635</v>
      </c>
      <c r="B606" t="s">
        <v>20</v>
      </c>
      <c r="C606" t="s">
        <v>21</v>
      </c>
      <c r="D606" t="s">
        <v>15</v>
      </c>
      <c r="E606" t="s">
        <v>16</v>
      </c>
      <c r="F606" t="s">
        <v>41</v>
      </c>
      <c r="G606" t="str">
        <f t="shared" si="27"/>
        <v>Sunday</v>
      </c>
      <c r="H606" t="str">
        <f t="shared" si="28"/>
        <v>Jan</v>
      </c>
      <c r="I606" s="1">
        <v>43473</v>
      </c>
      <c r="J606" s="1" t="str">
        <f t="shared" si="29"/>
        <v>Evening</v>
      </c>
      <c r="K606" s="2">
        <v>0.83888888888888891</v>
      </c>
      <c r="L606" t="s">
        <v>24</v>
      </c>
      <c r="M606">
        <v>18.1615</v>
      </c>
      <c r="N606">
        <v>4.5</v>
      </c>
    </row>
    <row r="607" spans="1:14" x14ac:dyDescent="0.25">
      <c r="A607" t="s">
        <v>636</v>
      </c>
      <c r="B607" t="s">
        <v>37</v>
      </c>
      <c r="C607" t="s">
        <v>38</v>
      </c>
      <c r="D607" t="s">
        <v>22</v>
      </c>
      <c r="E607" t="s">
        <v>26</v>
      </c>
      <c r="F607" t="s">
        <v>27</v>
      </c>
      <c r="G607" t="str">
        <f t="shared" si="27"/>
        <v>Thursday</v>
      </c>
      <c r="H607" t="str">
        <f t="shared" si="28"/>
        <v>Feb</v>
      </c>
      <c r="I607" s="1">
        <v>43504</v>
      </c>
      <c r="J607" s="1" t="str">
        <f t="shared" si="29"/>
        <v>Afternoon</v>
      </c>
      <c r="K607" s="2">
        <v>0.6430555555555556</v>
      </c>
      <c r="L607" t="s">
        <v>24</v>
      </c>
      <c r="M607">
        <v>6.35</v>
      </c>
      <c r="N607">
        <v>8.6</v>
      </c>
    </row>
    <row r="608" spans="1:14" x14ac:dyDescent="0.25">
      <c r="A608" t="s">
        <v>637</v>
      </c>
      <c r="B608" t="s">
        <v>13</v>
      </c>
      <c r="C608" t="s">
        <v>14</v>
      </c>
      <c r="D608" t="s">
        <v>15</v>
      </c>
      <c r="E608" t="s">
        <v>16</v>
      </c>
      <c r="F608" t="s">
        <v>41</v>
      </c>
      <c r="G608" t="str">
        <f t="shared" si="27"/>
        <v>Friday</v>
      </c>
      <c r="H608" t="str">
        <f t="shared" si="28"/>
        <v>Feb</v>
      </c>
      <c r="I608" s="1">
        <v>43506</v>
      </c>
      <c r="J608" s="1" t="str">
        <f t="shared" si="29"/>
        <v>Afternoon</v>
      </c>
      <c r="K608" s="2">
        <v>0.53888888888888886</v>
      </c>
      <c r="L608" t="s">
        <v>18</v>
      </c>
      <c r="M608">
        <v>18.7775</v>
      </c>
      <c r="N608">
        <v>5.2</v>
      </c>
    </row>
    <row r="609" spans="1:14" x14ac:dyDescent="0.25">
      <c r="A609" t="s">
        <v>638</v>
      </c>
      <c r="B609" t="s">
        <v>20</v>
      </c>
      <c r="C609" t="s">
        <v>21</v>
      </c>
      <c r="D609" t="s">
        <v>15</v>
      </c>
      <c r="E609" t="s">
        <v>16</v>
      </c>
      <c r="F609" t="s">
        <v>39</v>
      </c>
      <c r="G609" t="str">
        <f t="shared" si="27"/>
        <v>Thursday</v>
      </c>
      <c r="H609" t="str">
        <f t="shared" si="28"/>
        <v>Mar</v>
      </c>
      <c r="I609" s="1">
        <v>43552</v>
      </c>
      <c r="J609" s="1" t="str">
        <f t="shared" si="29"/>
        <v>Evening</v>
      </c>
      <c r="K609" s="2">
        <v>0.8027777777777777</v>
      </c>
      <c r="L609" t="s">
        <v>28</v>
      </c>
      <c r="M609">
        <v>9.9580000000000002</v>
      </c>
      <c r="N609">
        <v>6.4</v>
      </c>
    </row>
    <row r="610" spans="1:14" x14ac:dyDescent="0.25">
      <c r="A610" t="s">
        <v>639</v>
      </c>
      <c r="B610" t="s">
        <v>13</v>
      </c>
      <c r="C610" t="s">
        <v>14</v>
      </c>
      <c r="D610" t="s">
        <v>22</v>
      </c>
      <c r="E610" t="s">
        <v>26</v>
      </c>
      <c r="F610" t="s">
        <v>41</v>
      </c>
      <c r="G610" t="str">
        <f t="shared" si="27"/>
        <v>Tuesday</v>
      </c>
      <c r="H610" t="str">
        <f t="shared" si="28"/>
        <v>Jan</v>
      </c>
      <c r="I610" s="1">
        <v>43488</v>
      </c>
      <c r="J610" s="1" t="str">
        <f t="shared" si="29"/>
        <v>Afternoon</v>
      </c>
      <c r="K610" s="2">
        <v>0.51388888888888895</v>
      </c>
      <c r="L610" t="s">
        <v>18</v>
      </c>
      <c r="M610">
        <v>1.5305</v>
      </c>
      <c r="N610">
        <v>5.2</v>
      </c>
    </row>
    <row r="611" spans="1:14" x14ac:dyDescent="0.25">
      <c r="A611" t="s">
        <v>640</v>
      </c>
      <c r="B611" t="s">
        <v>37</v>
      </c>
      <c r="C611" t="s">
        <v>38</v>
      </c>
      <c r="D611" t="s">
        <v>15</v>
      </c>
      <c r="E611" t="s">
        <v>26</v>
      </c>
      <c r="F611" t="s">
        <v>39</v>
      </c>
      <c r="G611" t="str">
        <f t="shared" si="27"/>
        <v>Monday</v>
      </c>
      <c r="H611" t="str">
        <f t="shared" si="28"/>
        <v>Jan</v>
      </c>
      <c r="I611" s="1">
        <v>43482</v>
      </c>
      <c r="J611" s="1" t="str">
        <f t="shared" si="29"/>
        <v>Morning</v>
      </c>
      <c r="K611" s="2">
        <v>0.44236111111111115</v>
      </c>
      <c r="L611" t="s">
        <v>18</v>
      </c>
      <c r="M611">
        <v>5.7889999999999997</v>
      </c>
      <c r="N611">
        <v>8.9</v>
      </c>
    </row>
    <row r="612" spans="1:14" x14ac:dyDescent="0.25">
      <c r="A612" t="s">
        <v>641</v>
      </c>
      <c r="B612" t="s">
        <v>13</v>
      </c>
      <c r="C612" t="s">
        <v>14</v>
      </c>
      <c r="D612" t="s">
        <v>22</v>
      </c>
      <c r="E612" t="s">
        <v>16</v>
      </c>
      <c r="F612" t="s">
        <v>23</v>
      </c>
      <c r="G612" t="str">
        <f t="shared" si="27"/>
        <v>Thursday</v>
      </c>
      <c r="H612" t="str">
        <f t="shared" si="28"/>
        <v>Feb</v>
      </c>
      <c r="I612" s="1">
        <v>43503</v>
      </c>
      <c r="J612" s="1" t="str">
        <f t="shared" si="29"/>
        <v>Morning</v>
      </c>
      <c r="K612" s="2">
        <v>0.4291666666666667</v>
      </c>
      <c r="L612" t="s">
        <v>28</v>
      </c>
      <c r="M612">
        <v>1.448</v>
      </c>
      <c r="N612">
        <v>6.2</v>
      </c>
    </row>
    <row r="613" spans="1:14" x14ac:dyDescent="0.25">
      <c r="A613" t="s">
        <v>642</v>
      </c>
      <c r="B613" t="s">
        <v>20</v>
      </c>
      <c r="C613" t="s">
        <v>21</v>
      </c>
      <c r="D613" t="s">
        <v>15</v>
      </c>
      <c r="E613" t="s">
        <v>16</v>
      </c>
      <c r="F613" t="s">
        <v>39</v>
      </c>
      <c r="G613" t="str">
        <f t="shared" si="27"/>
        <v>Tuesday</v>
      </c>
      <c r="H613" t="str">
        <f t="shared" si="28"/>
        <v>Mar</v>
      </c>
      <c r="I613" s="1">
        <v>43533</v>
      </c>
      <c r="J613" s="1" t="str">
        <f t="shared" si="29"/>
        <v>Morning</v>
      </c>
      <c r="K613" s="2">
        <v>0.47430555555555554</v>
      </c>
      <c r="L613" t="s">
        <v>24</v>
      </c>
      <c r="M613">
        <v>44.536499999999997</v>
      </c>
      <c r="N613">
        <v>6.7</v>
      </c>
    </row>
    <row r="614" spans="1:14" x14ac:dyDescent="0.25">
      <c r="A614" t="s">
        <v>643</v>
      </c>
      <c r="B614" t="s">
        <v>37</v>
      </c>
      <c r="C614" t="s">
        <v>38</v>
      </c>
      <c r="D614" t="s">
        <v>15</v>
      </c>
      <c r="E614" t="s">
        <v>26</v>
      </c>
      <c r="F614" t="s">
        <v>41</v>
      </c>
      <c r="G614" t="str">
        <f t="shared" si="27"/>
        <v>Tuesday</v>
      </c>
      <c r="H614" t="str">
        <f t="shared" si="28"/>
        <v>Jan</v>
      </c>
      <c r="I614" s="1">
        <v>43489</v>
      </c>
      <c r="J614" s="1" t="str">
        <f t="shared" si="29"/>
        <v>Morning</v>
      </c>
      <c r="K614" s="2">
        <v>0.48958333333333331</v>
      </c>
      <c r="L614" t="s">
        <v>24</v>
      </c>
      <c r="M614">
        <v>13.983000000000001</v>
      </c>
      <c r="N614">
        <v>7.2</v>
      </c>
    </row>
    <row r="615" spans="1:14" x14ac:dyDescent="0.25">
      <c r="A615" t="s">
        <v>644</v>
      </c>
      <c r="B615" t="s">
        <v>20</v>
      </c>
      <c r="C615" t="s">
        <v>21</v>
      </c>
      <c r="D615" t="s">
        <v>15</v>
      </c>
      <c r="E615" t="s">
        <v>26</v>
      </c>
      <c r="F615" t="s">
        <v>31</v>
      </c>
      <c r="G615" t="str">
        <f t="shared" si="27"/>
        <v>Tuesday</v>
      </c>
      <c r="H615" t="str">
        <f t="shared" si="28"/>
        <v>Jan</v>
      </c>
      <c r="I615" s="1">
        <v>43484</v>
      </c>
      <c r="J615" s="1" t="str">
        <f t="shared" si="29"/>
        <v>Evening</v>
      </c>
      <c r="K615" s="2">
        <v>0.67222222222222217</v>
      </c>
      <c r="L615" t="s">
        <v>28</v>
      </c>
      <c r="M615">
        <v>4.0465</v>
      </c>
      <c r="N615">
        <v>9</v>
      </c>
    </row>
    <row r="616" spans="1:14" x14ac:dyDescent="0.25">
      <c r="A616" t="s">
        <v>645</v>
      </c>
      <c r="B616" t="s">
        <v>13</v>
      </c>
      <c r="C616" t="s">
        <v>14</v>
      </c>
      <c r="D616" t="s">
        <v>15</v>
      </c>
      <c r="E616" t="s">
        <v>26</v>
      </c>
      <c r="F616" t="s">
        <v>39</v>
      </c>
      <c r="G616" t="str">
        <f t="shared" si="27"/>
        <v>Thursday</v>
      </c>
      <c r="H616" t="str">
        <f t="shared" si="28"/>
        <v>Feb</v>
      </c>
      <c r="I616" s="1">
        <v>43499</v>
      </c>
      <c r="J616" s="1" t="str">
        <f t="shared" si="29"/>
        <v>Morning</v>
      </c>
      <c r="K616" s="2">
        <v>0.47569444444444442</v>
      </c>
      <c r="L616" t="s">
        <v>18</v>
      </c>
      <c r="M616">
        <v>33.725000000000001</v>
      </c>
      <c r="N616">
        <v>4.2</v>
      </c>
    </row>
    <row r="617" spans="1:14" x14ac:dyDescent="0.25">
      <c r="A617" t="s">
        <v>646</v>
      </c>
      <c r="B617" t="s">
        <v>13</v>
      </c>
      <c r="C617" t="s">
        <v>14</v>
      </c>
      <c r="D617" t="s">
        <v>15</v>
      </c>
      <c r="E617" t="s">
        <v>16</v>
      </c>
      <c r="F617" t="s">
        <v>31</v>
      </c>
      <c r="G617" t="str">
        <f t="shared" si="27"/>
        <v>Wednesday</v>
      </c>
      <c r="H617" t="str">
        <f t="shared" si="28"/>
        <v>Mar</v>
      </c>
      <c r="I617" s="1">
        <v>43544</v>
      </c>
      <c r="J617" s="1" t="str">
        <f t="shared" si="29"/>
        <v>Afternoon</v>
      </c>
      <c r="K617" s="2">
        <v>0.51666666666666672</v>
      </c>
      <c r="L617" t="s">
        <v>18</v>
      </c>
      <c r="M617">
        <v>17.423999999999999</v>
      </c>
      <c r="N617">
        <v>4.2</v>
      </c>
    </row>
    <row r="618" spans="1:14" x14ac:dyDescent="0.25">
      <c r="A618" t="s">
        <v>647</v>
      </c>
      <c r="B618" t="s">
        <v>37</v>
      </c>
      <c r="C618" t="s">
        <v>38</v>
      </c>
      <c r="D618" t="s">
        <v>15</v>
      </c>
      <c r="E618" t="s">
        <v>26</v>
      </c>
      <c r="F618" t="s">
        <v>31</v>
      </c>
      <c r="G618" t="str">
        <f t="shared" si="27"/>
        <v>Monday</v>
      </c>
      <c r="H618" t="str">
        <f t="shared" si="28"/>
        <v>Jan</v>
      </c>
      <c r="I618" s="1">
        <v>43478</v>
      </c>
      <c r="J618" s="1" t="str">
        <f t="shared" si="29"/>
        <v>Evening</v>
      </c>
      <c r="K618" s="2">
        <v>0.82708333333333339</v>
      </c>
      <c r="L618" t="s">
        <v>24</v>
      </c>
      <c r="M618">
        <v>21.78</v>
      </c>
      <c r="N618">
        <v>6.9</v>
      </c>
    </row>
    <row r="619" spans="1:14" x14ac:dyDescent="0.25">
      <c r="A619" t="s">
        <v>648</v>
      </c>
      <c r="B619" t="s">
        <v>20</v>
      </c>
      <c r="C619" t="s">
        <v>21</v>
      </c>
      <c r="D619" t="s">
        <v>15</v>
      </c>
      <c r="E619" t="s">
        <v>26</v>
      </c>
      <c r="F619" t="s">
        <v>23</v>
      </c>
      <c r="G619" t="str">
        <f t="shared" si="27"/>
        <v>Tuesday</v>
      </c>
      <c r="H619" t="str">
        <f t="shared" si="28"/>
        <v>Mar</v>
      </c>
      <c r="I619" s="1">
        <v>43538</v>
      </c>
      <c r="J619" s="1" t="str">
        <f t="shared" si="29"/>
        <v>Evening</v>
      </c>
      <c r="K619" s="2">
        <v>0.75694444444444453</v>
      </c>
      <c r="L619" t="s">
        <v>18</v>
      </c>
      <c r="M619">
        <v>21.977499999999999</v>
      </c>
      <c r="N619">
        <v>4.4000000000000004</v>
      </c>
    </row>
    <row r="620" spans="1:14" x14ac:dyDescent="0.25">
      <c r="A620" t="s">
        <v>649</v>
      </c>
      <c r="B620" t="s">
        <v>13</v>
      </c>
      <c r="C620" t="s">
        <v>14</v>
      </c>
      <c r="D620" t="s">
        <v>15</v>
      </c>
      <c r="E620" t="s">
        <v>26</v>
      </c>
      <c r="F620" t="s">
        <v>39</v>
      </c>
      <c r="G620" t="str">
        <f t="shared" si="27"/>
        <v>Tuesday</v>
      </c>
      <c r="H620" t="str">
        <f t="shared" si="28"/>
        <v>Jan</v>
      </c>
      <c r="I620" s="1">
        <v>43488</v>
      </c>
      <c r="J620" s="1" t="str">
        <f t="shared" si="29"/>
        <v>Morning</v>
      </c>
      <c r="K620" s="2">
        <v>0.47361111111111115</v>
      </c>
      <c r="L620" t="s">
        <v>28</v>
      </c>
      <c r="M620">
        <v>29.559000000000001</v>
      </c>
      <c r="N620">
        <v>4</v>
      </c>
    </row>
    <row r="621" spans="1:14" x14ac:dyDescent="0.25">
      <c r="A621" t="s">
        <v>650</v>
      </c>
      <c r="B621" t="s">
        <v>20</v>
      </c>
      <c r="C621" t="s">
        <v>21</v>
      </c>
      <c r="D621" t="s">
        <v>15</v>
      </c>
      <c r="E621" t="s">
        <v>16</v>
      </c>
      <c r="F621" t="s">
        <v>41</v>
      </c>
      <c r="G621" t="str">
        <f t="shared" si="27"/>
        <v>Thursday</v>
      </c>
      <c r="H621" t="str">
        <f t="shared" si="28"/>
        <v>Feb</v>
      </c>
      <c r="I621" s="1">
        <v>43503</v>
      </c>
      <c r="J621" s="1" t="str">
        <f t="shared" si="29"/>
        <v>Evening</v>
      </c>
      <c r="K621" s="2">
        <v>0.74652777777777779</v>
      </c>
      <c r="L621" t="s">
        <v>18</v>
      </c>
      <c r="M621">
        <v>13.038</v>
      </c>
      <c r="N621">
        <v>8.5</v>
      </c>
    </row>
    <row r="622" spans="1:14" x14ac:dyDescent="0.25">
      <c r="A622" t="s">
        <v>651</v>
      </c>
      <c r="B622" t="s">
        <v>13</v>
      </c>
      <c r="C622" t="s">
        <v>14</v>
      </c>
      <c r="D622" t="s">
        <v>22</v>
      </c>
      <c r="E622" t="s">
        <v>16</v>
      </c>
      <c r="F622" t="s">
        <v>39</v>
      </c>
      <c r="G622" t="str">
        <f t="shared" si="27"/>
        <v>Thursday</v>
      </c>
      <c r="H622" t="str">
        <f t="shared" si="28"/>
        <v>Mar</v>
      </c>
      <c r="I622" s="1">
        <v>43552</v>
      </c>
      <c r="J622" s="1" t="str">
        <f t="shared" si="29"/>
        <v>Afternoon</v>
      </c>
      <c r="K622" s="2">
        <v>0.64583333333333337</v>
      </c>
      <c r="L622" t="s">
        <v>28</v>
      </c>
      <c r="M622">
        <v>10.752000000000001</v>
      </c>
      <c r="N622">
        <v>9.1999999999999993</v>
      </c>
    </row>
    <row r="623" spans="1:14" x14ac:dyDescent="0.25">
      <c r="A623" t="s">
        <v>652</v>
      </c>
      <c r="B623" t="s">
        <v>13</v>
      </c>
      <c r="C623" t="s">
        <v>14</v>
      </c>
      <c r="D623" t="s">
        <v>15</v>
      </c>
      <c r="E623" t="s">
        <v>16</v>
      </c>
      <c r="F623" t="s">
        <v>39</v>
      </c>
      <c r="G623" t="str">
        <f t="shared" si="27"/>
        <v>Wednesday</v>
      </c>
      <c r="H623" t="str">
        <f t="shared" si="28"/>
        <v>Mar</v>
      </c>
      <c r="I623" s="1">
        <v>43544</v>
      </c>
      <c r="J623" s="1" t="str">
        <f t="shared" si="29"/>
        <v>Evening</v>
      </c>
      <c r="K623" s="2">
        <v>0.8222222222222223</v>
      </c>
      <c r="L623" t="s">
        <v>24</v>
      </c>
      <c r="M623">
        <v>4.5804999999999998</v>
      </c>
      <c r="N623">
        <v>9.8000000000000007</v>
      </c>
    </row>
    <row r="624" spans="1:14" x14ac:dyDescent="0.25">
      <c r="A624" t="s">
        <v>653</v>
      </c>
      <c r="B624" t="s">
        <v>37</v>
      </c>
      <c r="C624" t="s">
        <v>38</v>
      </c>
      <c r="D624" t="s">
        <v>15</v>
      </c>
      <c r="E624" t="s">
        <v>16</v>
      </c>
      <c r="F624" t="s">
        <v>27</v>
      </c>
      <c r="G624" t="str">
        <f t="shared" si="27"/>
        <v>Monday</v>
      </c>
      <c r="H624" t="str">
        <f t="shared" si="28"/>
        <v>Jan</v>
      </c>
      <c r="I624" s="1">
        <v>43482</v>
      </c>
      <c r="J624" s="1" t="str">
        <f t="shared" si="29"/>
        <v>Afternoon</v>
      </c>
      <c r="K624" s="2">
        <v>0.64374999999999993</v>
      </c>
      <c r="L624" t="s">
        <v>28</v>
      </c>
      <c r="M624">
        <v>33.106499999999997</v>
      </c>
      <c r="N624">
        <v>4.9000000000000004</v>
      </c>
    </row>
    <row r="625" spans="1:14" x14ac:dyDescent="0.25">
      <c r="A625" t="s">
        <v>654</v>
      </c>
      <c r="B625" t="s">
        <v>37</v>
      </c>
      <c r="C625" t="s">
        <v>38</v>
      </c>
      <c r="D625" t="s">
        <v>22</v>
      </c>
      <c r="E625" t="s">
        <v>16</v>
      </c>
      <c r="F625" t="s">
        <v>41</v>
      </c>
      <c r="G625" t="str">
        <f t="shared" si="27"/>
        <v>Monday</v>
      </c>
      <c r="H625" t="str">
        <f t="shared" si="28"/>
        <v>Jan</v>
      </c>
      <c r="I625" s="1">
        <v>43477</v>
      </c>
      <c r="J625" s="1" t="str">
        <f t="shared" si="29"/>
        <v>Morning</v>
      </c>
      <c r="K625" s="2">
        <v>0.47569444444444442</v>
      </c>
      <c r="L625" t="s">
        <v>28</v>
      </c>
      <c r="M625">
        <v>41.625</v>
      </c>
      <c r="N625">
        <v>4.4000000000000004</v>
      </c>
    </row>
    <row r="626" spans="1:14" x14ac:dyDescent="0.25">
      <c r="A626" t="s">
        <v>655</v>
      </c>
      <c r="B626" t="s">
        <v>37</v>
      </c>
      <c r="C626" t="s">
        <v>38</v>
      </c>
      <c r="D626" t="s">
        <v>15</v>
      </c>
      <c r="E626" t="s">
        <v>26</v>
      </c>
      <c r="F626" t="s">
        <v>41</v>
      </c>
      <c r="G626" t="str">
        <f t="shared" si="27"/>
        <v>Saturday</v>
      </c>
      <c r="H626" t="str">
        <f t="shared" si="28"/>
        <v>Feb</v>
      </c>
      <c r="I626" s="1">
        <v>43512</v>
      </c>
      <c r="J626" s="1" t="str">
        <f t="shared" si="29"/>
        <v>Afternoon</v>
      </c>
      <c r="K626" s="2">
        <v>0.65416666666666667</v>
      </c>
      <c r="L626" t="s">
        <v>24</v>
      </c>
      <c r="M626">
        <v>4.5674999999999999</v>
      </c>
      <c r="N626">
        <v>6.8</v>
      </c>
    </row>
    <row r="627" spans="1:14" x14ac:dyDescent="0.25">
      <c r="A627" t="s">
        <v>656</v>
      </c>
      <c r="B627" t="s">
        <v>37</v>
      </c>
      <c r="C627" t="s">
        <v>38</v>
      </c>
      <c r="D627" t="s">
        <v>15</v>
      </c>
      <c r="E627" t="s">
        <v>16</v>
      </c>
      <c r="F627" t="s">
        <v>39</v>
      </c>
      <c r="G627" t="str">
        <f t="shared" si="27"/>
        <v>Wednesday</v>
      </c>
      <c r="H627" t="str">
        <f t="shared" si="28"/>
        <v>Jan</v>
      </c>
      <c r="I627" s="1">
        <v>43491</v>
      </c>
      <c r="J627" s="1" t="str">
        <f t="shared" si="29"/>
        <v>Evening</v>
      </c>
      <c r="K627" s="2">
        <v>0.6694444444444444</v>
      </c>
      <c r="L627" t="s">
        <v>24</v>
      </c>
      <c r="M627">
        <v>7.8879999999999999</v>
      </c>
      <c r="N627">
        <v>9.1</v>
      </c>
    </row>
    <row r="628" spans="1:14" x14ac:dyDescent="0.25">
      <c r="A628" t="s">
        <v>657</v>
      </c>
      <c r="B628" t="s">
        <v>13</v>
      </c>
      <c r="C628" t="s">
        <v>14</v>
      </c>
      <c r="D628" t="s">
        <v>22</v>
      </c>
      <c r="E628" t="s">
        <v>26</v>
      </c>
      <c r="F628" t="s">
        <v>31</v>
      </c>
      <c r="G628" t="str">
        <f t="shared" si="27"/>
        <v>Tuesday</v>
      </c>
      <c r="H628" t="str">
        <f t="shared" si="28"/>
        <v>Mar</v>
      </c>
      <c r="I628" s="1">
        <v>43533</v>
      </c>
      <c r="J628" s="1" t="str">
        <f t="shared" si="29"/>
        <v>Afternoon</v>
      </c>
      <c r="K628" s="2">
        <v>0.52569444444444446</v>
      </c>
      <c r="L628" t="s">
        <v>18</v>
      </c>
      <c r="M628">
        <v>6.0869999999999997</v>
      </c>
      <c r="N628">
        <v>8.6999999999999993</v>
      </c>
    </row>
    <row r="629" spans="1:14" x14ac:dyDescent="0.25">
      <c r="A629" t="s">
        <v>658</v>
      </c>
      <c r="B629" t="s">
        <v>37</v>
      </c>
      <c r="C629" t="s">
        <v>38</v>
      </c>
      <c r="D629" t="s">
        <v>15</v>
      </c>
      <c r="E629" t="s">
        <v>26</v>
      </c>
      <c r="F629" t="s">
        <v>17</v>
      </c>
      <c r="G629" t="str">
        <f t="shared" si="27"/>
        <v>Tuesday</v>
      </c>
      <c r="H629" t="str">
        <f t="shared" si="28"/>
        <v>Mar</v>
      </c>
      <c r="I629" s="1">
        <v>43538</v>
      </c>
      <c r="J629" s="1" t="str">
        <f t="shared" si="29"/>
        <v>Afternoon</v>
      </c>
      <c r="K629" s="2">
        <v>0.6118055555555556</v>
      </c>
      <c r="L629" t="s">
        <v>24</v>
      </c>
      <c r="M629">
        <v>41.29</v>
      </c>
      <c r="N629">
        <v>5</v>
      </c>
    </row>
    <row r="630" spans="1:14" x14ac:dyDescent="0.25">
      <c r="A630" t="s">
        <v>659</v>
      </c>
      <c r="B630" t="s">
        <v>13</v>
      </c>
      <c r="C630" t="s">
        <v>14</v>
      </c>
      <c r="D630" t="s">
        <v>15</v>
      </c>
      <c r="E630" t="s">
        <v>26</v>
      </c>
      <c r="F630" t="s">
        <v>27</v>
      </c>
      <c r="G630" t="str">
        <f t="shared" si="27"/>
        <v>Tuesday</v>
      </c>
      <c r="H630" t="str">
        <f t="shared" si="28"/>
        <v>Jan</v>
      </c>
      <c r="I630" s="1">
        <v>43490</v>
      </c>
      <c r="J630" s="1" t="str">
        <f t="shared" si="29"/>
        <v>Afternoon</v>
      </c>
      <c r="K630" s="2">
        <v>0.59652777777777777</v>
      </c>
      <c r="L630" t="s">
        <v>18</v>
      </c>
      <c r="M630">
        <v>7.9950000000000001</v>
      </c>
      <c r="N630">
        <v>7.5</v>
      </c>
    </row>
    <row r="631" spans="1:14" x14ac:dyDescent="0.25">
      <c r="A631" t="s">
        <v>660</v>
      </c>
      <c r="B631" t="s">
        <v>13</v>
      </c>
      <c r="C631" t="s">
        <v>14</v>
      </c>
      <c r="D631" t="s">
        <v>22</v>
      </c>
      <c r="E631" t="s">
        <v>16</v>
      </c>
      <c r="F631" t="s">
        <v>41</v>
      </c>
      <c r="G631" t="str">
        <f t="shared" si="27"/>
        <v>Wednesday</v>
      </c>
      <c r="H631" t="str">
        <f t="shared" si="28"/>
        <v>Jan</v>
      </c>
      <c r="I631" s="1">
        <v>43491</v>
      </c>
      <c r="J631" s="1" t="str">
        <f t="shared" si="29"/>
        <v>Evening</v>
      </c>
      <c r="K631" s="2">
        <v>0.7631944444444444</v>
      </c>
      <c r="L631" t="s">
        <v>28</v>
      </c>
      <c r="M631">
        <v>0.60450000000000004</v>
      </c>
      <c r="N631">
        <v>8.1999999999999993</v>
      </c>
    </row>
    <row r="632" spans="1:14" x14ac:dyDescent="0.25">
      <c r="A632" t="s">
        <v>661</v>
      </c>
      <c r="B632" t="s">
        <v>13</v>
      </c>
      <c r="C632" t="s">
        <v>14</v>
      </c>
      <c r="D632" t="s">
        <v>22</v>
      </c>
      <c r="E632" t="s">
        <v>26</v>
      </c>
      <c r="F632" t="s">
        <v>31</v>
      </c>
      <c r="G632" t="str">
        <f t="shared" si="27"/>
        <v>Tuesday</v>
      </c>
      <c r="H632" t="str">
        <f t="shared" si="28"/>
        <v>Jan</v>
      </c>
      <c r="I632" s="1">
        <v>43484</v>
      </c>
      <c r="J632" s="1" t="str">
        <f t="shared" si="29"/>
        <v>Afternoon</v>
      </c>
      <c r="K632" s="2">
        <v>0.58888888888888891</v>
      </c>
      <c r="L632" t="s">
        <v>28</v>
      </c>
      <c r="M632">
        <v>32.094999999999999</v>
      </c>
      <c r="N632">
        <v>6.7</v>
      </c>
    </row>
    <row r="633" spans="1:14" x14ac:dyDescent="0.25">
      <c r="A633" t="s">
        <v>662</v>
      </c>
      <c r="B633" t="s">
        <v>13</v>
      </c>
      <c r="C633" t="s">
        <v>14</v>
      </c>
      <c r="D633" t="s">
        <v>22</v>
      </c>
      <c r="E633" t="s">
        <v>26</v>
      </c>
      <c r="F633" t="s">
        <v>23</v>
      </c>
      <c r="G633" t="str">
        <f t="shared" si="27"/>
        <v>Monday</v>
      </c>
      <c r="H633" t="str">
        <f t="shared" si="28"/>
        <v>Mar</v>
      </c>
      <c r="I633" s="1">
        <v>43529</v>
      </c>
      <c r="J633" s="1" t="str">
        <f t="shared" si="29"/>
        <v>Evening</v>
      </c>
      <c r="K633" s="2">
        <v>0.69305555555555554</v>
      </c>
      <c r="L633" t="s">
        <v>18</v>
      </c>
      <c r="M633">
        <v>11.746499999999999</v>
      </c>
      <c r="N633">
        <v>5.4</v>
      </c>
    </row>
    <row r="634" spans="1:14" x14ac:dyDescent="0.25">
      <c r="A634" t="s">
        <v>663</v>
      </c>
      <c r="B634" t="s">
        <v>13</v>
      </c>
      <c r="C634" t="s">
        <v>14</v>
      </c>
      <c r="D634" t="s">
        <v>15</v>
      </c>
      <c r="E634" t="s">
        <v>26</v>
      </c>
      <c r="F634" t="s">
        <v>39</v>
      </c>
      <c r="G634" t="str">
        <f t="shared" si="27"/>
        <v>Monday</v>
      </c>
      <c r="H634" t="str">
        <f t="shared" si="28"/>
        <v>Jan</v>
      </c>
      <c r="I634" s="1">
        <v>43480</v>
      </c>
      <c r="J634" s="1" t="str">
        <f t="shared" si="29"/>
        <v>Morning</v>
      </c>
      <c r="K634" s="2">
        <v>0.45416666666666666</v>
      </c>
      <c r="L634" t="s">
        <v>28</v>
      </c>
      <c r="M634">
        <v>8.3770000000000007</v>
      </c>
      <c r="N634">
        <v>7</v>
      </c>
    </row>
    <row r="635" spans="1:14" x14ac:dyDescent="0.25">
      <c r="A635" t="s">
        <v>664</v>
      </c>
      <c r="B635" t="s">
        <v>37</v>
      </c>
      <c r="C635" t="s">
        <v>38</v>
      </c>
      <c r="D635" t="s">
        <v>22</v>
      </c>
      <c r="E635" t="s">
        <v>26</v>
      </c>
      <c r="F635" t="s">
        <v>27</v>
      </c>
      <c r="G635" t="str">
        <f t="shared" si="27"/>
        <v>Wednesday</v>
      </c>
      <c r="H635" t="str">
        <f t="shared" si="28"/>
        <v>Mar</v>
      </c>
      <c r="I635" s="1">
        <v>43542</v>
      </c>
      <c r="J635" s="1" t="str">
        <f t="shared" si="29"/>
        <v>Morning</v>
      </c>
      <c r="K635" s="2">
        <v>0.47847222222222219</v>
      </c>
      <c r="L635" t="s">
        <v>18</v>
      </c>
      <c r="M635">
        <v>14.955</v>
      </c>
      <c r="N635">
        <v>4.7</v>
      </c>
    </row>
    <row r="636" spans="1:14" x14ac:dyDescent="0.25">
      <c r="A636" t="s">
        <v>665</v>
      </c>
      <c r="B636" t="s">
        <v>37</v>
      </c>
      <c r="C636" t="s">
        <v>38</v>
      </c>
      <c r="D636" t="s">
        <v>15</v>
      </c>
      <c r="E636" t="s">
        <v>26</v>
      </c>
      <c r="F636" t="s">
        <v>39</v>
      </c>
      <c r="G636" t="str">
        <f t="shared" si="27"/>
        <v>Wednesday</v>
      </c>
      <c r="H636" t="str">
        <f t="shared" si="28"/>
        <v>Mar</v>
      </c>
      <c r="I636" s="1">
        <v>43544</v>
      </c>
      <c r="J636" s="1" t="str">
        <f t="shared" si="29"/>
        <v>Evening</v>
      </c>
      <c r="K636" s="2">
        <v>0.81111111111111101</v>
      </c>
      <c r="L636" t="s">
        <v>28</v>
      </c>
      <c r="M636">
        <v>11.986499999999999</v>
      </c>
      <c r="N636">
        <v>5</v>
      </c>
    </row>
    <row r="637" spans="1:14" x14ac:dyDescent="0.25">
      <c r="A637" t="s">
        <v>666</v>
      </c>
      <c r="B637" t="s">
        <v>37</v>
      </c>
      <c r="C637" t="s">
        <v>38</v>
      </c>
      <c r="D637" t="s">
        <v>15</v>
      </c>
      <c r="E637" t="s">
        <v>26</v>
      </c>
      <c r="F637" t="s">
        <v>17</v>
      </c>
      <c r="G637" t="str">
        <f t="shared" si="27"/>
        <v>Monday</v>
      </c>
      <c r="H637" t="str">
        <f t="shared" si="28"/>
        <v>Jan</v>
      </c>
      <c r="I637" s="1">
        <v>43480</v>
      </c>
      <c r="J637" s="1" t="str">
        <f t="shared" si="29"/>
        <v>Afternoon</v>
      </c>
      <c r="K637" s="2">
        <v>0.62569444444444444</v>
      </c>
      <c r="L637" t="s">
        <v>28</v>
      </c>
      <c r="M637">
        <v>33.234999999999999</v>
      </c>
      <c r="N637">
        <v>5</v>
      </c>
    </row>
    <row r="638" spans="1:14" x14ac:dyDescent="0.25">
      <c r="A638" t="s">
        <v>667</v>
      </c>
      <c r="B638" t="s">
        <v>13</v>
      </c>
      <c r="C638" t="s">
        <v>14</v>
      </c>
      <c r="D638" t="s">
        <v>22</v>
      </c>
      <c r="E638" t="s">
        <v>26</v>
      </c>
      <c r="F638" t="s">
        <v>17</v>
      </c>
      <c r="G638" t="str">
        <f t="shared" si="27"/>
        <v>Monday</v>
      </c>
      <c r="H638" t="str">
        <f t="shared" si="28"/>
        <v>Mar</v>
      </c>
      <c r="I638" s="1">
        <v>43527</v>
      </c>
      <c r="J638" s="1" t="str">
        <f t="shared" si="29"/>
        <v>Evening</v>
      </c>
      <c r="K638" s="2">
        <v>0.85486111111111107</v>
      </c>
      <c r="L638" t="s">
        <v>28</v>
      </c>
      <c r="M638">
        <v>10.1325</v>
      </c>
      <c r="N638">
        <v>6</v>
      </c>
    </row>
    <row r="639" spans="1:14" x14ac:dyDescent="0.25">
      <c r="A639" t="s">
        <v>668</v>
      </c>
      <c r="B639" t="s">
        <v>20</v>
      </c>
      <c r="C639" t="s">
        <v>21</v>
      </c>
      <c r="D639" t="s">
        <v>22</v>
      </c>
      <c r="E639" t="s">
        <v>16</v>
      </c>
      <c r="F639" t="s">
        <v>23</v>
      </c>
      <c r="G639" t="str">
        <f t="shared" si="27"/>
        <v>Wednesday</v>
      </c>
      <c r="H639" t="str">
        <f t="shared" si="28"/>
        <v>Mar</v>
      </c>
      <c r="I639" s="1">
        <v>43543</v>
      </c>
      <c r="J639" s="1" t="str">
        <f t="shared" si="29"/>
        <v>Afternoon</v>
      </c>
      <c r="K639" s="2">
        <v>0.51111111111111118</v>
      </c>
      <c r="L639" t="s">
        <v>24</v>
      </c>
      <c r="M639">
        <v>2.31</v>
      </c>
      <c r="N639">
        <v>6.3</v>
      </c>
    </row>
    <row r="640" spans="1:14" x14ac:dyDescent="0.25">
      <c r="A640" t="s">
        <v>669</v>
      </c>
      <c r="B640" t="s">
        <v>37</v>
      </c>
      <c r="C640" t="s">
        <v>38</v>
      </c>
      <c r="D640" t="s">
        <v>15</v>
      </c>
      <c r="E640" t="s">
        <v>16</v>
      </c>
      <c r="F640" t="s">
        <v>39</v>
      </c>
      <c r="G640" t="str">
        <f t="shared" si="27"/>
        <v>Monday</v>
      </c>
      <c r="H640" t="str">
        <f t="shared" si="28"/>
        <v>Mar</v>
      </c>
      <c r="I640" s="1">
        <v>43532</v>
      </c>
      <c r="J640" s="1" t="str">
        <f t="shared" si="29"/>
        <v>Afternoon</v>
      </c>
      <c r="K640" s="2">
        <v>0.64374999999999993</v>
      </c>
      <c r="L640" t="s">
        <v>24</v>
      </c>
      <c r="M640">
        <v>4.4074999999999998</v>
      </c>
      <c r="N640">
        <v>8.5</v>
      </c>
    </row>
    <row r="641" spans="1:14" x14ac:dyDescent="0.25">
      <c r="A641" t="s">
        <v>670</v>
      </c>
      <c r="B641" t="s">
        <v>37</v>
      </c>
      <c r="C641" t="s">
        <v>38</v>
      </c>
      <c r="D641" t="s">
        <v>22</v>
      </c>
      <c r="E641" t="s">
        <v>26</v>
      </c>
      <c r="F641" t="s">
        <v>41</v>
      </c>
      <c r="G641" t="str">
        <f t="shared" si="27"/>
        <v>Sunday</v>
      </c>
      <c r="H641" t="str">
        <f t="shared" si="28"/>
        <v>Feb</v>
      </c>
      <c r="I641" s="1">
        <v>43523</v>
      </c>
      <c r="J641" s="1" t="str">
        <f t="shared" si="29"/>
        <v>Evening</v>
      </c>
      <c r="K641" s="2">
        <v>0.73333333333333339</v>
      </c>
      <c r="L641" t="s">
        <v>18</v>
      </c>
      <c r="M641">
        <v>7.8630000000000004</v>
      </c>
      <c r="N641">
        <v>7.5</v>
      </c>
    </row>
    <row r="642" spans="1:14" x14ac:dyDescent="0.25">
      <c r="A642" t="s">
        <v>671</v>
      </c>
      <c r="B642" t="s">
        <v>37</v>
      </c>
      <c r="C642" t="s">
        <v>38</v>
      </c>
      <c r="D642" t="s">
        <v>15</v>
      </c>
      <c r="E642" t="s">
        <v>16</v>
      </c>
      <c r="F642" t="s">
        <v>39</v>
      </c>
      <c r="G642" t="str">
        <f t="shared" si="27"/>
        <v>Sunday</v>
      </c>
      <c r="H642" t="str">
        <f t="shared" si="28"/>
        <v>Feb</v>
      </c>
      <c r="I642" s="1">
        <v>43519</v>
      </c>
      <c r="J642" s="1" t="str">
        <f t="shared" si="29"/>
        <v>Evening</v>
      </c>
      <c r="K642" s="2">
        <v>0.83333333333333337</v>
      </c>
      <c r="L642" t="s">
        <v>18</v>
      </c>
      <c r="M642">
        <v>14.8185</v>
      </c>
      <c r="N642">
        <v>6.4</v>
      </c>
    </row>
    <row r="643" spans="1:14" x14ac:dyDescent="0.25">
      <c r="A643" t="s">
        <v>672</v>
      </c>
      <c r="B643" t="s">
        <v>20</v>
      </c>
      <c r="C643" t="s">
        <v>21</v>
      </c>
      <c r="D643" t="s">
        <v>15</v>
      </c>
      <c r="E643" t="s">
        <v>16</v>
      </c>
      <c r="F643" t="s">
        <v>23</v>
      </c>
      <c r="G643" t="str">
        <f t="shared" ref="G643:G706" si="30">TEXT(I643/7,"dddd")</f>
        <v>Wednesday</v>
      </c>
      <c r="H643" t="str">
        <f t="shared" ref="H643:H706" si="31">TEXT(I643,"mmm")</f>
        <v>Mar</v>
      </c>
      <c r="I643" s="1">
        <v>43543</v>
      </c>
      <c r="J643" s="1" t="str">
        <f t="shared" ref="J643:J706" si="32">IF(AND(K643&gt;=TIME(9,0,0),K643&lt;TIME(12,0,0)),"Morning",IF(AND(K643&gt;=TIME(12,0,0),K643&lt;TIME(16,0,0)),"Afternoon","Evening"))</f>
        <v>Afternoon</v>
      </c>
      <c r="K643" s="2">
        <v>0.64513888888888882</v>
      </c>
      <c r="L643" t="s">
        <v>18</v>
      </c>
      <c r="M643">
        <v>35.42</v>
      </c>
      <c r="N643">
        <v>4.7</v>
      </c>
    </row>
    <row r="644" spans="1:14" x14ac:dyDescent="0.25">
      <c r="A644" t="s">
        <v>673</v>
      </c>
      <c r="B644" t="s">
        <v>37</v>
      </c>
      <c r="C644" t="s">
        <v>38</v>
      </c>
      <c r="D644" t="s">
        <v>15</v>
      </c>
      <c r="E644" t="s">
        <v>26</v>
      </c>
      <c r="F644" t="s">
        <v>23</v>
      </c>
      <c r="G644" t="str">
        <f t="shared" si="30"/>
        <v>Thursday</v>
      </c>
      <c r="H644" t="str">
        <f t="shared" si="31"/>
        <v>Mar</v>
      </c>
      <c r="I644" s="1">
        <v>43551</v>
      </c>
      <c r="J644" s="1" t="str">
        <f t="shared" si="32"/>
        <v>Afternoon</v>
      </c>
      <c r="K644" s="2">
        <v>0.63055555555555554</v>
      </c>
      <c r="L644" t="s">
        <v>18</v>
      </c>
      <c r="M644">
        <v>5.5670000000000002</v>
      </c>
      <c r="N644">
        <v>6</v>
      </c>
    </row>
    <row r="645" spans="1:14" x14ac:dyDescent="0.25">
      <c r="A645" t="s">
        <v>674</v>
      </c>
      <c r="B645" t="s">
        <v>20</v>
      </c>
      <c r="C645" t="s">
        <v>21</v>
      </c>
      <c r="D645" t="s">
        <v>15</v>
      </c>
      <c r="E645" t="s">
        <v>16</v>
      </c>
      <c r="F645" t="s">
        <v>39</v>
      </c>
      <c r="G645" t="str">
        <f t="shared" si="30"/>
        <v>Friday</v>
      </c>
      <c r="H645" t="str">
        <f t="shared" si="31"/>
        <v>Mar</v>
      </c>
      <c r="I645" s="1">
        <v>43554</v>
      </c>
      <c r="J645" s="1" t="str">
        <f t="shared" si="32"/>
        <v>Evening</v>
      </c>
      <c r="K645" s="2">
        <v>0.80972222222222223</v>
      </c>
      <c r="L645" t="s">
        <v>28</v>
      </c>
      <c r="M645">
        <v>29.007999999999999</v>
      </c>
      <c r="N645">
        <v>4</v>
      </c>
    </row>
    <row r="646" spans="1:14" x14ac:dyDescent="0.25">
      <c r="A646" t="s">
        <v>675</v>
      </c>
      <c r="B646" t="s">
        <v>20</v>
      </c>
      <c r="C646" t="s">
        <v>21</v>
      </c>
      <c r="D646" t="s">
        <v>15</v>
      </c>
      <c r="E646" t="s">
        <v>26</v>
      </c>
      <c r="F646" t="s">
        <v>23</v>
      </c>
      <c r="G646" t="str">
        <f t="shared" si="30"/>
        <v>Saturday</v>
      </c>
      <c r="H646" t="str">
        <f t="shared" si="31"/>
        <v>Feb</v>
      </c>
      <c r="I646" s="1">
        <v>43512</v>
      </c>
      <c r="J646" s="1" t="str">
        <f t="shared" si="32"/>
        <v>Afternoon</v>
      </c>
      <c r="K646" s="2">
        <v>0.66180555555555554</v>
      </c>
      <c r="L646" t="s">
        <v>18</v>
      </c>
      <c r="M646">
        <v>3.0125000000000002</v>
      </c>
      <c r="N646">
        <v>5.5</v>
      </c>
    </row>
    <row r="647" spans="1:14" x14ac:dyDescent="0.25">
      <c r="A647" t="s">
        <v>676</v>
      </c>
      <c r="B647" t="s">
        <v>13</v>
      </c>
      <c r="C647" t="s">
        <v>14</v>
      </c>
      <c r="D647" t="s">
        <v>15</v>
      </c>
      <c r="E647" t="s">
        <v>26</v>
      </c>
      <c r="F647" t="s">
        <v>27</v>
      </c>
      <c r="G647" t="str">
        <f t="shared" si="30"/>
        <v>Monday</v>
      </c>
      <c r="H647" t="str">
        <f t="shared" si="31"/>
        <v>Jan</v>
      </c>
      <c r="I647" s="1">
        <v>43483</v>
      </c>
      <c r="J647" s="1" t="str">
        <f t="shared" si="32"/>
        <v>Evening</v>
      </c>
      <c r="K647" s="2">
        <v>0.77986111111111101</v>
      </c>
      <c r="L647" t="s">
        <v>18</v>
      </c>
      <c r="M647">
        <v>8.7119999999999997</v>
      </c>
      <c r="N647">
        <v>8.6999999999999993</v>
      </c>
    </row>
    <row r="648" spans="1:14" x14ac:dyDescent="0.25">
      <c r="A648" t="s">
        <v>677</v>
      </c>
      <c r="B648" t="s">
        <v>20</v>
      </c>
      <c r="C648" t="s">
        <v>21</v>
      </c>
      <c r="D648" t="s">
        <v>22</v>
      </c>
      <c r="E648" t="s">
        <v>26</v>
      </c>
      <c r="F648" t="s">
        <v>17</v>
      </c>
      <c r="G648" t="str">
        <f t="shared" si="30"/>
        <v>Friday</v>
      </c>
      <c r="H648" t="str">
        <f t="shared" si="31"/>
        <v>Mar</v>
      </c>
      <c r="I648" s="1">
        <v>43554</v>
      </c>
      <c r="J648" s="1" t="str">
        <f t="shared" si="32"/>
        <v>Afternoon</v>
      </c>
      <c r="K648" s="2">
        <v>0.62361111111111112</v>
      </c>
      <c r="L648" t="s">
        <v>24</v>
      </c>
      <c r="M648">
        <v>21.062999999999999</v>
      </c>
      <c r="N648">
        <v>7.4</v>
      </c>
    </row>
    <row r="649" spans="1:14" x14ac:dyDescent="0.25">
      <c r="A649" t="s">
        <v>678</v>
      </c>
      <c r="B649" t="s">
        <v>37</v>
      </c>
      <c r="C649" t="s">
        <v>38</v>
      </c>
      <c r="D649" t="s">
        <v>15</v>
      </c>
      <c r="E649" t="s">
        <v>26</v>
      </c>
      <c r="F649" t="s">
        <v>41</v>
      </c>
      <c r="G649" t="str">
        <f t="shared" si="30"/>
        <v>Wednesday</v>
      </c>
      <c r="H649" t="str">
        <f t="shared" si="31"/>
        <v>Mar</v>
      </c>
      <c r="I649" s="1">
        <v>43544</v>
      </c>
      <c r="J649" s="1" t="str">
        <f t="shared" si="32"/>
        <v>Evening</v>
      </c>
      <c r="K649" s="2">
        <v>0.82986111111111116</v>
      </c>
      <c r="L649" t="s">
        <v>24</v>
      </c>
      <c r="M649">
        <v>1.6815</v>
      </c>
      <c r="N649">
        <v>5.6</v>
      </c>
    </row>
    <row r="650" spans="1:14" x14ac:dyDescent="0.25">
      <c r="A650" t="s">
        <v>679</v>
      </c>
      <c r="B650" t="s">
        <v>20</v>
      </c>
      <c r="C650" t="s">
        <v>21</v>
      </c>
      <c r="D650" t="s">
        <v>15</v>
      </c>
      <c r="E650" t="s">
        <v>16</v>
      </c>
      <c r="F650" t="s">
        <v>31</v>
      </c>
      <c r="G650" t="str">
        <f t="shared" si="30"/>
        <v>Monday</v>
      </c>
      <c r="H650" t="str">
        <f t="shared" si="31"/>
        <v>Jan</v>
      </c>
      <c r="I650" s="1">
        <v>43481</v>
      </c>
      <c r="J650" s="1" t="str">
        <f t="shared" si="32"/>
        <v>Afternoon</v>
      </c>
      <c r="K650" s="2">
        <v>0.63194444444444442</v>
      </c>
      <c r="L650" t="s">
        <v>24</v>
      </c>
      <c r="M650">
        <v>1.5489999999999999</v>
      </c>
      <c r="N650">
        <v>6.3</v>
      </c>
    </row>
    <row r="651" spans="1:14" x14ac:dyDescent="0.25">
      <c r="A651" t="s">
        <v>680</v>
      </c>
      <c r="B651" t="s">
        <v>20</v>
      </c>
      <c r="C651" t="s">
        <v>21</v>
      </c>
      <c r="D651" t="s">
        <v>22</v>
      </c>
      <c r="E651" t="s">
        <v>26</v>
      </c>
      <c r="F651" t="s">
        <v>23</v>
      </c>
      <c r="G651" t="str">
        <f t="shared" si="30"/>
        <v>Sunday</v>
      </c>
      <c r="H651" t="str">
        <f t="shared" si="31"/>
        <v>Feb</v>
      </c>
      <c r="I651" s="1">
        <v>43520</v>
      </c>
      <c r="J651" s="1" t="str">
        <f t="shared" si="32"/>
        <v>Evening</v>
      </c>
      <c r="K651" s="2">
        <v>0.6972222222222223</v>
      </c>
      <c r="L651" t="s">
        <v>24</v>
      </c>
      <c r="M651">
        <v>12.37</v>
      </c>
      <c r="N651">
        <v>7.1</v>
      </c>
    </row>
    <row r="652" spans="1:14" x14ac:dyDescent="0.25">
      <c r="A652" t="s">
        <v>681</v>
      </c>
      <c r="B652" t="s">
        <v>37</v>
      </c>
      <c r="C652" t="s">
        <v>38</v>
      </c>
      <c r="D652" t="s">
        <v>22</v>
      </c>
      <c r="E652" t="s">
        <v>26</v>
      </c>
      <c r="F652" t="s">
        <v>23</v>
      </c>
      <c r="G652" t="str">
        <f t="shared" si="30"/>
        <v>Monday</v>
      </c>
      <c r="H652" t="str">
        <f t="shared" si="31"/>
        <v>Jan</v>
      </c>
      <c r="I652" s="1">
        <v>43480</v>
      </c>
      <c r="J652" s="1" t="str">
        <f t="shared" si="32"/>
        <v>Evening</v>
      </c>
      <c r="K652" s="2">
        <v>0.76527777777777783</v>
      </c>
      <c r="L652" t="s">
        <v>18</v>
      </c>
      <c r="M652">
        <v>18.914999999999999</v>
      </c>
      <c r="N652">
        <v>7.8</v>
      </c>
    </row>
    <row r="653" spans="1:14" x14ac:dyDescent="0.25">
      <c r="A653" t="s">
        <v>682</v>
      </c>
      <c r="B653" t="s">
        <v>37</v>
      </c>
      <c r="C653" t="s">
        <v>38</v>
      </c>
      <c r="D653" t="s">
        <v>22</v>
      </c>
      <c r="E653" t="s">
        <v>16</v>
      </c>
      <c r="F653" t="s">
        <v>17</v>
      </c>
      <c r="G653" t="str">
        <f t="shared" si="30"/>
        <v>Tuesday</v>
      </c>
      <c r="H653" t="str">
        <f t="shared" si="31"/>
        <v>Jan</v>
      </c>
      <c r="I653" s="1">
        <v>43487</v>
      </c>
      <c r="J653" s="1" t="str">
        <f t="shared" si="32"/>
        <v>Morning</v>
      </c>
      <c r="K653" s="2">
        <v>0.49444444444444446</v>
      </c>
      <c r="L653" t="s">
        <v>24</v>
      </c>
      <c r="M653">
        <v>16.742999999999999</v>
      </c>
      <c r="N653">
        <v>9.9</v>
      </c>
    </row>
    <row r="654" spans="1:14" x14ac:dyDescent="0.25">
      <c r="A654" t="s">
        <v>683</v>
      </c>
      <c r="B654" t="s">
        <v>13</v>
      </c>
      <c r="C654" t="s">
        <v>14</v>
      </c>
      <c r="D654" t="s">
        <v>15</v>
      </c>
      <c r="E654" t="s">
        <v>26</v>
      </c>
      <c r="F654" t="s">
        <v>27</v>
      </c>
      <c r="G654" t="str">
        <f t="shared" si="30"/>
        <v>Thursday</v>
      </c>
      <c r="H654" t="str">
        <f t="shared" si="31"/>
        <v>Feb</v>
      </c>
      <c r="I654" s="1">
        <v>43499</v>
      </c>
      <c r="J654" s="1" t="str">
        <f t="shared" si="32"/>
        <v>Evening</v>
      </c>
      <c r="K654" s="2">
        <v>0.72499999999999998</v>
      </c>
      <c r="L654" t="s">
        <v>24</v>
      </c>
      <c r="M654">
        <v>36.39</v>
      </c>
      <c r="N654">
        <v>7.3</v>
      </c>
    </row>
    <row r="655" spans="1:14" x14ac:dyDescent="0.25">
      <c r="A655" t="s">
        <v>684</v>
      </c>
      <c r="B655" t="s">
        <v>37</v>
      </c>
      <c r="C655" t="s">
        <v>38</v>
      </c>
      <c r="D655" t="s">
        <v>15</v>
      </c>
      <c r="E655" t="s">
        <v>26</v>
      </c>
      <c r="F655" t="s">
        <v>31</v>
      </c>
      <c r="G655" t="str">
        <f t="shared" si="30"/>
        <v>Monday</v>
      </c>
      <c r="H655" t="str">
        <f t="shared" si="31"/>
        <v>Mar</v>
      </c>
      <c r="I655" s="1">
        <v>43530</v>
      </c>
      <c r="J655" s="1" t="str">
        <f t="shared" si="32"/>
        <v>Afternoon</v>
      </c>
      <c r="K655" s="2">
        <v>0.64652777777777781</v>
      </c>
      <c r="L655" t="s">
        <v>18</v>
      </c>
      <c r="M655">
        <v>16.794</v>
      </c>
      <c r="N655">
        <v>5.0999999999999996</v>
      </c>
    </row>
    <row r="656" spans="1:14" x14ac:dyDescent="0.25">
      <c r="A656" t="s">
        <v>685</v>
      </c>
      <c r="B656" t="s">
        <v>37</v>
      </c>
      <c r="C656" t="s">
        <v>38</v>
      </c>
      <c r="D656" t="s">
        <v>15</v>
      </c>
      <c r="E656" t="s">
        <v>26</v>
      </c>
      <c r="F656" t="s">
        <v>41</v>
      </c>
      <c r="G656" t="str">
        <f t="shared" si="30"/>
        <v>Saturday</v>
      </c>
      <c r="H656" t="str">
        <f t="shared" si="31"/>
        <v>Feb</v>
      </c>
      <c r="I656" s="1">
        <v>43512</v>
      </c>
      <c r="J656" s="1" t="str">
        <f t="shared" si="32"/>
        <v>Evening</v>
      </c>
      <c r="K656" s="2">
        <v>0.75277777777777777</v>
      </c>
      <c r="L656" t="s">
        <v>28</v>
      </c>
      <c r="M656">
        <v>12.036</v>
      </c>
      <c r="N656">
        <v>9.4</v>
      </c>
    </row>
    <row r="657" spans="1:14" x14ac:dyDescent="0.25">
      <c r="A657" t="s">
        <v>686</v>
      </c>
      <c r="B657" t="s">
        <v>13</v>
      </c>
      <c r="C657" t="s">
        <v>14</v>
      </c>
      <c r="D657" t="s">
        <v>22</v>
      </c>
      <c r="E657" t="s">
        <v>16</v>
      </c>
      <c r="F657" t="s">
        <v>23</v>
      </c>
      <c r="G657" t="str">
        <f t="shared" si="30"/>
        <v>Tuesday</v>
      </c>
      <c r="H657" t="str">
        <f t="shared" si="31"/>
        <v>Mar</v>
      </c>
      <c r="I657" s="1">
        <v>43538</v>
      </c>
      <c r="J657" s="1" t="str">
        <f t="shared" si="32"/>
        <v>Afternoon</v>
      </c>
      <c r="K657" s="2">
        <v>0.59236111111111112</v>
      </c>
      <c r="L657" t="s">
        <v>28</v>
      </c>
      <c r="M657">
        <v>2.3534999999999999</v>
      </c>
      <c r="N657">
        <v>5.8</v>
      </c>
    </row>
    <row r="658" spans="1:14" x14ac:dyDescent="0.25">
      <c r="A658" t="s">
        <v>687</v>
      </c>
      <c r="B658" t="s">
        <v>20</v>
      </c>
      <c r="C658" t="s">
        <v>21</v>
      </c>
      <c r="D658" t="s">
        <v>22</v>
      </c>
      <c r="E658" t="s">
        <v>16</v>
      </c>
      <c r="F658" t="s">
        <v>23</v>
      </c>
      <c r="G658" t="str">
        <f t="shared" si="30"/>
        <v>Sunday</v>
      </c>
      <c r="H658" t="str">
        <f t="shared" si="31"/>
        <v>Feb</v>
      </c>
      <c r="I658" s="1">
        <v>43523</v>
      </c>
      <c r="J658" s="1" t="str">
        <f t="shared" si="32"/>
        <v>Morning</v>
      </c>
      <c r="K658" s="2">
        <v>0.43263888888888885</v>
      </c>
      <c r="L658" t="s">
        <v>28</v>
      </c>
      <c r="M658">
        <v>4.9844999999999997</v>
      </c>
      <c r="N658">
        <v>8</v>
      </c>
    </row>
    <row r="659" spans="1:14" x14ac:dyDescent="0.25">
      <c r="A659" t="s">
        <v>688</v>
      </c>
      <c r="B659" t="s">
        <v>13</v>
      </c>
      <c r="C659" t="s">
        <v>14</v>
      </c>
      <c r="D659" t="s">
        <v>15</v>
      </c>
      <c r="E659" t="s">
        <v>16</v>
      </c>
      <c r="F659" t="s">
        <v>41</v>
      </c>
      <c r="G659" t="str">
        <f t="shared" si="30"/>
        <v>Monday</v>
      </c>
      <c r="H659" t="str">
        <f t="shared" si="31"/>
        <v>Jan</v>
      </c>
      <c r="I659" s="1">
        <v>43483</v>
      </c>
      <c r="J659" s="1" t="str">
        <f t="shared" si="32"/>
        <v>Morning</v>
      </c>
      <c r="K659" s="2">
        <v>0.42430555555555555</v>
      </c>
      <c r="L659" t="s">
        <v>18</v>
      </c>
      <c r="M659">
        <v>13.2225</v>
      </c>
      <c r="N659">
        <v>7.9</v>
      </c>
    </row>
    <row r="660" spans="1:14" x14ac:dyDescent="0.25">
      <c r="A660" t="s">
        <v>689</v>
      </c>
      <c r="B660" t="s">
        <v>13</v>
      </c>
      <c r="C660" t="s">
        <v>14</v>
      </c>
      <c r="D660" t="s">
        <v>15</v>
      </c>
      <c r="E660" t="s">
        <v>16</v>
      </c>
      <c r="F660" t="s">
        <v>31</v>
      </c>
      <c r="G660" t="str">
        <f t="shared" si="30"/>
        <v>Wednesday</v>
      </c>
      <c r="H660" t="str">
        <f t="shared" si="31"/>
        <v>Jan</v>
      </c>
      <c r="I660" s="1">
        <v>43494</v>
      </c>
      <c r="J660" s="1" t="str">
        <f t="shared" si="32"/>
        <v>Afternoon</v>
      </c>
      <c r="K660" s="2">
        <v>0.65833333333333333</v>
      </c>
      <c r="L660" t="s">
        <v>24</v>
      </c>
      <c r="M660">
        <v>6.9824999999999999</v>
      </c>
      <c r="N660">
        <v>5.9</v>
      </c>
    </row>
    <row r="661" spans="1:14" x14ac:dyDescent="0.25">
      <c r="A661" t="s">
        <v>690</v>
      </c>
      <c r="B661" t="s">
        <v>13</v>
      </c>
      <c r="C661" t="s">
        <v>14</v>
      </c>
      <c r="D661" t="s">
        <v>15</v>
      </c>
      <c r="E661" t="s">
        <v>26</v>
      </c>
      <c r="F661" t="s">
        <v>41</v>
      </c>
      <c r="G661" t="str">
        <f t="shared" si="30"/>
        <v>Sunday</v>
      </c>
      <c r="H661" t="str">
        <f t="shared" si="31"/>
        <v>Feb</v>
      </c>
      <c r="I661" s="1">
        <v>43522</v>
      </c>
      <c r="J661" s="1" t="str">
        <f t="shared" si="32"/>
        <v>Evening</v>
      </c>
      <c r="K661" s="2">
        <v>0.7402777777777777</v>
      </c>
      <c r="L661" t="s">
        <v>28</v>
      </c>
      <c r="M661">
        <v>2.7725</v>
      </c>
      <c r="N661">
        <v>4.9000000000000004</v>
      </c>
    </row>
    <row r="662" spans="1:14" x14ac:dyDescent="0.25">
      <c r="A662" t="s">
        <v>691</v>
      </c>
      <c r="B662" t="s">
        <v>37</v>
      </c>
      <c r="C662" t="s">
        <v>38</v>
      </c>
      <c r="D662" t="s">
        <v>22</v>
      </c>
      <c r="E662" t="s">
        <v>16</v>
      </c>
      <c r="F662" t="s">
        <v>31</v>
      </c>
      <c r="G662" t="str">
        <f t="shared" si="30"/>
        <v>Thursday</v>
      </c>
      <c r="H662" t="str">
        <f t="shared" si="31"/>
        <v>Feb</v>
      </c>
      <c r="I662" s="1">
        <v>43499</v>
      </c>
      <c r="J662" s="1" t="str">
        <f t="shared" si="32"/>
        <v>Morning</v>
      </c>
      <c r="K662" s="2">
        <v>0.49027777777777781</v>
      </c>
      <c r="L662" t="s">
        <v>24</v>
      </c>
      <c r="M662">
        <v>6.4455</v>
      </c>
      <c r="N662">
        <v>9.3000000000000007</v>
      </c>
    </row>
    <row r="663" spans="1:14" x14ac:dyDescent="0.25">
      <c r="A663" t="s">
        <v>692</v>
      </c>
      <c r="B663" t="s">
        <v>20</v>
      </c>
      <c r="C663" t="s">
        <v>21</v>
      </c>
      <c r="D663" t="s">
        <v>15</v>
      </c>
      <c r="E663" t="s">
        <v>26</v>
      </c>
      <c r="F663" t="s">
        <v>31</v>
      </c>
      <c r="G663" t="str">
        <f t="shared" si="30"/>
        <v>Monday</v>
      </c>
      <c r="H663" t="str">
        <f t="shared" si="31"/>
        <v>Jan</v>
      </c>
      <c r="I663" s="1">
        <v>43481</v>
      </c>
      <c r="J663" s="1" t="str">
        <f t="shared" si="32"/>
        <v>Afternoon</v>
      </c>
      <c r="K663" s="2">
        <v>0.50486111111111109</v>
      </c>
      <c r="L663" t="s">
        <v>28</v>
      </c>
      <c r="M663">
        <v>5.9989999999999997</v>
      </c>
      <c r="N663">
        <v>7.9</v>
      </c>
    </row>
    <row r="664" spans="1:14" x14ac:dyDescent="0.25">
      <c r="A664" t="s">
        <v>693</v>
      </c>
      <c r="B664" t="s">
        <v>37</v>
      </c>
      <c r="C664" t="s">
        <v>38</v>
      </c>
      <c r="D664" t="s">
        <v>15</v>
      </c>
      <c r="E664" t="s">
        <v>16</v>
      </c>
      <c r="F664" t="s">
        <v>41</v>
      </c>
      <c r="G664" t="str">
        <f t="shared" si="30"/>
        <v>Thursday</v>
      </c>
      <c r="H664" t="str">
        <f t="shared" si="31"/>
        <v>Mar</v>
      </c>
      <c r="I664" s="1">
        <v>43548</v>
      </c>
      <c r="J664" s="1" t="str">
        <f t="shared" si="32"/>
        <v>Evening</v>
      </c>
      <c r="K664" s="2">
        <v>0.7597222222222223</v>
      </c>
      <c r="L664" t="s">
        <v>28</v>
      </c>
      <c r="M664">
        <v>17.625</v>
      </c>
      <c r="N664">
        <v>5.9</v>
      </c>
    </row>
    <row r="665" spans="1:14" x14ac:dyDescent="0.25">
      <c r="A665" t="s">
        <v>694</v>
      </c>
      <c r="B665" t="s">
        <v>20</v>
      </c>
      <c r="C665" t="s">
        <v>21</v>
      </c>
      <c r="D665" t="s">
        <v>15</v>
      </c>
      <c r="E665" t="s">
        <v>16</v>
      </c>
      <c r="F665" t="s">
        <v>39</v>
      </c>
      <c r="G665" t="str">
        <f t="shared" si="30"/>
        <v>Friday</v>
      </c>
      <c r="H665" t="str">
        <f t="shared" si="31"/>
        <v>Feb</v>
      </c>
      <c r="I665" s="1">
        <v>43508</v>
      </c>
      <c r="J665" s="1" t="str">
        <f t="shared" si="32"/>
        <v>Afternoon</v>
      </c>
      <c r="K665" s="2">
        <v>0.61458333333333337</v>
      </c>
      <c r="L665" t="s">
        <v>28</v>
      </c>
      <c r="M665">
        <v>43.55</v>
      </c>
      <c r="N665">
        <v>9.9</v>
      </c>
    </row>
    <row r="666" spans="1:14" x14ac:dyDescent="0.25">
      <c r="A666" t="s">
        <v>695</v>
      </c>
      <c r="B666" t="s">
        <v>20</v>
      </c>
      <c r="C666" t="s">
        <v>21</v>
      </c>
      <c r="D666" t="s">
        <v>22</v>
      </c>
      <c r="E666" t="s">
        <v>16</v>
      </c>
      <c r="F666" t="s">
        <v>31</v>
      </c>
      <c r="G666" t="str">
        <f t="shared" si="30"/>
        <v>Saturday</v>
      </c>
      <c r="H666" t="str">
        <f t="shared" si="31"/>
        <v>Feb</v>
      </c>
      <c r="I666" s="1">
        <v>43517</v>
      </c>
      <c r="J666" s="1" t="str">
        <f t="shared" si="32"/>
        <v>Morning</v>
      </c>
      <c r="K666" s="2">
        <v>0.48541666666666666</v>
      </c>
      <c r="L666" t="s">
        <v>24</v>
      </c>
      <c r="M666">
        <v>9.8800000000000008</v>
      </c>
      <c r="N666">
        <v>7.7</v>
      </c>
    </row>
    <row r="667" spans="1:14" x14ac:dyDescent="0.25">
      <c r="A667" t="s">
        <v>696</v>
      </c>
      <c r="B667" t="s">
        <v>13</v>
      </c>
      <c r="C667" t="s">
        <v>14</v>
      </c>
      <c r="D667" t="s">
        <v>22</v>
      </c>
      <c r="E667" t="s">
        <v>16</v>
      </c>
      <c r="F667" t="s">
        <v>41</v>
      </c>
      <c r="G667" t="str">
        <f t="shared" si="30"/>
        <v>Thursday</v>
      </c>
      <c r="H667" t="str">
        <f t="shared" si="31"/>
        <v>Feb</v>
      </c>
      <c r="I667" s="1">
        <v>43500</v>
      </c>
      <c r="J667" s="1" t="str">
        <f t="shared" si="32"/>
        <v>Afternoon</v>
      </c>
      <c r="K667" s="2">
        <v>0.65555555555555556</v>
      </c>
      <c r="L667" t="s">
        <v>18</v>
      </c>
      <c r="M667">
        <v>9.7260000000000009</v>
      </c>
      <c r="N667">
        <v>7.6</v>
      </c>
    </row>
    <row r="668" spans="1:14" x14ac:dyDescent="0.25">
      <c r="A668" t="s">
        <v>697</v>
      </c>
      <c r="B668" t="s">
        <v>37</v>
      </c>
      <c r="C668" t="s">
        <v>38</v>
      </c>
      <c r="D668" t="s">
        <v>15</v>
      </c>
      <c r="E668" t="s">
        <v>26</v>
      </c>
      <c r="F668" t="s">
        <v>39</v>
      </c>
      <c r="G668" t="str">
        <f t="shared" si="30"/>
        <v>Saturday</v>
      </c>
      <c r="H668" t="str">
        <f t="shared" si="31"/>
        <v>Feb</v>
      </c>
      <c r="I668" s="1">
        <v>43516</v>
      </c>
      <c r="J668" s="1" t="str">
        <f t="shared" si="32"/>
        <v>Afternoon</v>
      </c>
      <c r="K668" s="2">
        <v>0.54583333333333328</v>
      </c>
      <c r="L668" t="s">
        <v>18</v>
      </c>
      <c r="M668">
        <v>8.6609999999999996</v>
      </c>
      <c r="N668">
        <v>7.7</v>
      </c>
    </row>
    <row r="669" spans="1:14" x14ac:dyDescent="0.25">
      <c r="A669" t="s">
        <v>698</v>
      </c>
      <c r="B669" t="s">
        <v>37</v>
      </c>
      <c r="C669" t="s">
        <v>38</v>
      </c>
      <c r="D669" t="s">
        <v>22</v>
      </c>
      <c r="E669" t="s">
        <v>16</v>
      </c>
      <c r="F669" t="s">
        <v>17</v>
      </c>
      <c r="G669" t="str">
        <f t="shared" si="30"/>
        <v>Sunday</v>
      </c>
      <c r="H669" t="str">
        <f t="shared" si="31"/>
        <v>Feb</v>
      </c>
      <c r="I669" s="1">
        <v>43519</v>
      </c>
      <c r="J669" s="1" t="str">
        <f t="shared" si="32"/>
        <v>Evening</v>
      </c>
      <c r="K669" s="2">
        <v>0.86319444444444438</v>
      </c>
      <c r="L669" t="s">
        <v>18</v>
      </c>
      <c r="M669">
        <v>3.5939999999999999</v>
      </c>
      <c r="N669">
        <v>6.4</v>
      </c>
    </row>
    <row r="670" spans="1:14" x14ac:dyDescent="0.25">
      <c r="A670" t="s">
        <v>699</v>
      </c>
      <c r="B670" t="s">
        <v>20</v>
      </c>
      <c r="C670" t="s">
        <v>21</v>
      </c>
      <c r="D670" t="s">
        <v>15</v>
      </c>
      <c r="E670" t="s">
        <v>16</v>
      </c>
      <c r="F670" t="s">
        <v>17</v>
      </c>
      <c r="G670" t="str">
        <f t="shared" si="30"/>
        <v>Saturday</v>
      </c>
      <c r="H670" t="str">
        <f t="shared" si="31"/>
        <v>Feb</v>
      </c>
      <c r="I670" s="1">
        <v>43512</v>
      </c>
      <c r="J670" s="1" t="str">
        <f t="shared" si="32"/>
        <v>Afternoon</v>
      </c>
      <c r="K670" s="2">
        <v>0.59652777777777777</v>
      </c>
      <c r="L670" t="s">
        <v>18</v>
      </c>
      <c r="M670">
        <v>14.313000000000001</v>
      </c>
      <c r="N670">
        <v>4.4000000000000004</v>
      </c>
    </row>
    <row r="671" spans="1:14" x14ac:dyDescent="0.25">
      <c r="A671" t="s">
        <v>700</v>
      </c>
      <c r="B671" t="s">
        <v>37</v>
      </c>
      <c r="C671" t="s">
        <v>38</v>
      </c>
      <c r="D671" t="s">
        <v>22</v>
      </c>
      <c r="E671" t="s">
        <v>16</v>
      </c>
      <c r="F671" t="s">
        <v>31</v>
      </c>
      <c r="G671" t="str">
        <f t="shared" si="30"/>
        <v>Monday</v>
      </c>
      <c r="H671" t="str">
        <f t="shared" si="31"/>
        <v>Jan</v>
      </c>
      <c r="I671" s="1">
        <v>43482</v>
      </c>
      <c r="J671" s="1" t="str">
        <f t="shared" si="32"/>
        <v>Morning</v>
      </c>
      <c r="K671" s="2">
        <v>0.41736111111111113</v>
      </c>
      <c r="L671" t="s">
        <v>28</v>
      </c>
      <c r="M671">
        <v>4.0620000000000003</v>
      </c>
      <c r="N671">
        <v>4.0999999999999996</v>
      </c>
    </row>
    <row r="672" spans="1:14" x14ac:dyDescent="0.25">
      <c r="A672" t="s">
        <v>701</v>
      </c>
      <c r="B672" t="s">
        <v>13</v>
      </c>
      <c r="C672" t="s">
        <v>14</v>
      </c>
      <c r="D672" t="s">
        <v>15</v>
      </c>
      <c r="E672" t="s">
        <v>26</v>
      </c>
      <c r="F672" t="s">
        <v>41</v>
      </c>
      <c r="G672" t="str">
        <f t="shared" si="30"/>
        <v>Monday</v>
      </c>
      <c r="H672" t="str">
        <f t="shared" si="31"/>
        <v>Jan</v>
      </c>
      <c r="I672" s="1">
        <v>43479</v>
      </c>
      <c r="J672" s="1" t="str">
        <f t="shared" si="32"/>
        <v>Evening</v>
      </c>
      <c r="K672" s="2">
        <v>0.8125</v>
      </c>
      <c r="L672" t="s">
        <v>18</v>
      </c>
      <c r="M672">
        <v>28.02</v>
      </c>
      <c r="N672">
        <v>4.4000000000000004</v>
      </c>
    </row>
    <row r="673" spans="1:14" x14ac:dyDescent="0.25">
      <c r="A673" t="s">
        <v>702</v>
      </c>
      <c r="B673" t="s">
        <v>37</v>
      </c>
      <c r="C673" t="s">
        <v>38</v>
      </c>
      <c r="D673" t="s">
        <v>15</v>
      </c>
      <c r="E673" t="s">
        <v>26</v>
      </c>
      <c r="F673" t="s">
        <v>39</v>
      </c>
      <c r="G673" t="str">
        <f t="shared" si="30"/>
        <v>Friday</v>
      </c>
      <c r="H673" t="str">
        <f t="shared" si="31"/>
        <v>Mar</v>
      </c>
      <c r="I673" s="1">
        <v>43554</v>
      </c>
      <c r="J673" s="1" t="str">
        <f t="shared" si="32"/>
        <v>Evening</v>
      </c>
      <c r="K673" s="2">
        <v>0.69027777777777777</v>
      </c>
      <c r="L673" t="s">
        <v>24</v>
      </c>
      <c r="M673">
        <v>9.34</v>
      </c>
      <c r="N673">
        <v>5.5</v>
      </c>
    </row>
    <row r="674" spans="1:14" x14ac:dyDescent="0.25">
      <c r="A674" t="s">
        <v>703</v>
      </c>
      <c r="B674" t="s">
        <v>37</v>
      </c>
      <c r="C674" t="s">
        <v>38</v>
      </c>
      <c r="D674" t="s">
        <v>22</v>
      </c>
      <c r="E674" t="s">
        <v>16</v>
      </c>
      <c r="F674" t="s">
        <v>17</v>
      </c>
      <c r="G674" t="str">
        <f t="shared" si="30"/>
        <v>Monday</v>
      </c>
      <c r="H674" t="str">
        <f t="shared" si="31"/>
        <v>Mar</v>
      </c>
      <c r="I674" s="1">
        <v>43526</v>
      </c>
      <c r="J674" s="1" t="str">
        <f t="shared" si="32"/>
        <v>Afternoon</v>
      </c>
      <c r="K674" s="2">
        <v>0.54861111111111105</v>
      </c>
      <c r="L674" t="s">
        <v>18</v>
      </c>
      <c r="M674">
        <v>11.0115</v>
      </c>
      <c r="N674">
        <v>4</v>
      </c>
    </row>
    <row r="675" spans="1:14" x14ac:dyDescent="0.25">
      <c r="A675" t="s">
        <v>704</v>
      </c>
      <c r="B675" t="s">
        <v>20</v>
      </c>
      <c r="C675" t="s">
        <v>21</v>
      </c>
      <c r="D675" t="s">
        <v>22</v>
      </c>
      <c r="E675" t="s">
        <v>26</v>
      </c>
      <c r="F675" t="s">
        <v>17</v>
      </c>
      <c r="G675" t="str">
        <f t="shared" si="30"/>
        <v>Friday</v>
      </c>
      <c r="H675" t="str">
        <f t="shared" si="31"/>
        <v>Feb</v>
      </c>
      <c r="I675" s="1">
        <v>43511</v>
      </c>
      <c r="J675" s="1" t="str">
        <f t="shared" si="32"/>
        <v>Evening</v>
      </c>
      <c r="K675" s="2">
        <v>0.71527777777777779</v>
      </c>
      <c r="L675" t="s">
        <v>28</v>
      </c>
      <c r="M675">
        <v>13.456</v>
      </c>
      <c r="N675">
        <v>9.3000000000000007</v>
      </c>
    </row>
    <row r="676" spans="1:14" x14ac:dyDescent="0.25">
      <c r="A676" t="s">
        <v>705</v>
      </c>
      <c r="B676" t="s">
        <v>13</v>
      </c>
      <c r="C676" t="s">
        <v>14</v>
      </c>
      <c r="D676" t="s">
        <v>22</v>
      </c>
      <c r="E676" t="s">
        <v>16</v>
      </c>
      <c r="F676" t="s">
        <v>23</v>
      </c>
      <c r="G676" t="str">
        <f t="shared" si="30"/>
        <v>Sunday</v>
      </c>
      <c r="H676" t="str">
        <f t="shared" si="31"/>
        <v>Mar</v>
      </c>
      <c r="I676" s="1">
        <v>43525</v>
      </c>
      <c r="J676" s="1" t="str">
        <f t="shared" si="32"/>
        <v>Morning</v>
      </c>
      <c r="K676" s="2">
        <v>0.43194444444444446</v>
      </c>
      <c r="L676" t="s">
        <v>28</v>
      </c>
      <c r="M676">
        <v>22.74</v>
      </c>
      <c r="N676">
        <v>4.8</v>
      </c>
    </row>
    <row r="677" spans="1:14" x14ac:dyDescent="0.25">
      <c r="A677" t="s">
        <v>706</v>
      </c>
      <c r="B677" t="s">
        <v>37</v>
      </c>
      <c r="C677" t="s">
        <v>38</v>
      </c>
      <c r="D677" t="s">
        <v>15</v>
      </c>
      <c r="E677" t="s">
        <v>26</v>
      </c>
      <c r="F677" t="s">
        <v>41</v>
      </c>
      <c r="G677" t="str">
        <f t="shared" si="30"/>
        <v>Sunday</v>
      </c>
      <c r="H677" t="str">
        <f t="shared" si="31"/>
        <v>Feb</v>
      </c>
      <c r="I677" s="1">
        <v>43520</v>
      </c>
      <c r="J677" s="1" t="str">
        <f t="shared" si="32"/>
        <v>Evening</v>
      </c>
      <c r="K677" s="2">
        <v>0.83124999999999993</v>
      </c>
      <c r="L677" t="s">
        <v>24</v>
      </c>
      <c r="M677">
        <v>8.3770000000000007</v>
      </c>
      <c r="N677">
        <v>4.5999999999999996</v>
      </c>
    </row>
    <row r="678" spans="1:14" x14ac:dyDescent="0.25">
      <c r="A678" t="s">
        <v>707</v>
      </c>
      <c r="B678" t="s">
        <v>37</v>
      </c>
      <c r="C678" t="s">
        <v>38</v>
      </c>
      <c r="D678" t="s">
        <v>15</v>
      </c>
      <c r="E678" t="s">
        <v>16</v>
      </c>
      <c r="F678" t="s">
        <v>31</v>
      </c>
      <c r="G678" t="str">
        <f t="shared" si="30"/>
        <v>Saturday</v>
      </c>
      <c r="H678" t="str">
        <f t="shared" si="31"/>
        <v>Feb</v>
      </c>
      <c r="I678" s="1">
        <v>43515</v>
      </c>
      <c r="J678" s="1" t="str">
        <f t="shared" si="32"/>
        <v>Evening</v>
      </c>
      <c r="K678" s="2">
        <v>0.81180555555555556</v>
      </c>
      <c r="L678" t="s">
        <v>28</v>
      </c>
      <c r="M678">
        <v>22.428000000000001</v>
      </c>
      <c r="N678">
        <v>7.3</v>
      </c>
    </row>
    <row r="679" spans="1:14" x14ac:dyDescent="0.25">
      <c r="A679" t="s">
        <v>708</v>
      </c>
      <c r="B679" t="s">
        <v>13</v>
      </c>
      <c r="C679" t="s">
        <v>14</v>
      </c>
      <c r="D679" t="s">
        <v>15</v>
      </c>
      <c r="E679" t="s">
        <v>16</v>
      </c>
      <c r="F679" t="s">
        <v>39</v>
      </c>
      <c r="G679" t="str">
        <f t="shared" si="30"/>
        <v>Sunday</v>
      </c>
      <c r="H679" t="str">
        <f t="shared" si="31"/>
        <v>Feb</v>
      </c>
      <c r="I679" s="1">
        <v>43519</v>
      </c>
      <c r="J679" s="1" t="str">
        <f t="shared" si="32"/>
        <v>Evening</v>
      </c>
      <c r="K679" s="2">
        <v>0.77083333333333337</v>
      </c>
      <c r="L679" t="s">
        <v>24</v>
      </c>
      <c r="M679">
        <v>14.694000000000001</v>
      </c>
      <c r="N679">
        <v>6</v>
      </c>
    </row>
    <row r="680" spans="1:14" x14ac:dyDescent="0.25">
      <c r="A680" t="s">
        <v>709</v>
      </c>
      <c r="B680" t="s">
        <v>20</v>
      </c>
      <c r="C680" t="s">
        <v>21</v>
      </c>
      <c r="D680" t="s">
        <v>22</v>
      </c>
      <c r="E680" t="s">
        <v>26</v>
      </c>
      <c r="F680" t="s">
        <v>17</v>
      </c>
      <c r="G680" t="str">
        <f t="shared" si="30"/>
        <v>Thursday</v>
      </c>
      <c r="H680" t="str">
        <f t="shared" si="31"/>
        <v>Feb</v>
      </c>
      <c r="I680" s="1">
        <v>43503</v>
      </c>
      <c r="J680" s="1" t="str">
        <f t="shared" si="32"/>
        <v>Afternoon</v>
      </c>
      <c r="K680" s="2">
        <v>0.6020833333333333</v>
      </c>
      <c r="L680" t="s">
        <v>18</v>
      </c>
      <c r="M680">
        <v>29.475000000000001</v>
      </c>
      <c r="N680">
        <v>8.1</v>
      </c>
    </row>
    <row r="681" spans="1:14" x14ac:dyDescent="0.25">
      <c r="A681" t="s">
        <v>710</v>
      </c>
      <c r="B681" t="s">
        <v>13</v>
      </c>
      <c r="C681" t="s">
        <v>14</v>
      </c>
      <c r="D681" t="s">
        <v>15</v>
      </c>
      <c r="E681" t="s">
        <v>26</v>
      </c>
      <c r="F681" t="s">
        <v>39</v>
      </c>
      <c r="G681" t="str">
        <f t="shared" si="30"/>
        <v>Sunday</v>
      </c>
      <c r="H681" t="str">
        <f t="shared" si="31"/>
        <v>Jan</v>
      </c>
      <c r="I681" s="1">
        <v>43476</v>
      </c>
      <c r="J681" s="1" t="str">
        <f t="shared" si="32"/>
        <v>Afternoon</v>
      </c>
      <c r="K681" s="2">
        <v>0.58124999999999993</v>
      </c>
      <c r="L681" t="s">
        <v>18</v>
      </c>
      <c r="M681">
        <v>14.55</v>
      </c>
      <c r="N681">
        <v>9.4</v>
      </c>
    </row>
    <row r="682" spans="1:14" x14ac:dyDescent="0.25">
      <c r="A682" t="s">
        <v>711</v>
      </c>
      <c r="B682" t="s">
        <v>37</v>
      </c>
      <c r="C682" t="s">
        <v>38</v>
      </c>
      <c r="D682" t="s">
        <v>15</v>
      </c>
      <c r="E682" t="s">
        <v>16</v>
      </c>
      <c r="F682" t="s">
        <v>23</v>
      </c>
      <c r="G682" t="str">
        <f t="shared" si="30"/>
        <v>Friday</v>
      </c>
      <c r="H682" t="str">
        <f t="shared" si="31"/>
        <v>Feb</v>
      </c>
      <c r="I682" s="1">
        <v>43508</v>
      </c>
      <c r="J682" s="1" t="str">
        <f t="shared" si="32"/>
        <v>Evening</v>
      </c>
      <c r="K682" s="2">
        <v>0.82152777777777775</v>
      </c>
      <c r="L682" t="s">
        <v>24</v>
      </c>
      <c r="M682">
        <v>1.974</v>
      </c>
      <c r="N682">
        <v>6.5</v>
      </c>
    </row>
    <row r="683" spans="1:14" x14ac:dyDescent="0.25">
      <c r="A683" t="s">
        <v>712</v>
      </c>
      <c r="B683" t="s">
        <v>37</v>
      </c>
      <c r="C683" t="s">
        <v>38</v>
      </c>
      <c r="D683" t="s">
        <v>22</v>
      </c>
      <c r="E683" t="s">
        <v>16</v>
      </c>
      <c r="F683" t="s">
        <v>31</v>
      </c>
      <c r="G683" t="str">
        <f t="shared" si="30"/>
        <v>Monday</v>
      </c>
      <c r="H683" t="str">
        <f t="shared" si="31"/>
        <v>Jan</v>
      </c>
      <c r="I683" s="1">
        <v>43479</v>
      </c>
      <c r="J683" s="1" t="str">
        <f t="shared" si="32"/>
        <v>Morning</v>
      </c>
      <c r="K683" s="2">
        <v>0.42430555555555555</v>
      </c>
      <c r="L683" t="s">
        <v>28</v>
      </c>
      <c r="M683">
        <v>1.7404999999999999</v>
      </c>
      <c r="N683">
        <v>7</v>
      </c>
    </row>
    <row r="684" spans="1:14" x14ac:dyDescent="0.25">
      <c r="A684" t="s">
        <v>713</v>
      </c>
      <c r="B684" t="s">
        <v>20</v>
      </c>
      <c r="C684" t="s">
        <v>21</v>
      </c>
      <c r="D684" t="s">
        <v>22</v>
      </c>
      <c r="E684" t="s">
        <v>16</v>
      </c>
      <c r="F684" t="s">
        <v>41</v>
      </c>
      <c r="G684" t="str">
        <f t="shared" si="30"/>
        <v>Sunday</v>
      </c>
      <c r="H684" t="str">
        <f t="shared" si="31"/>
        <v>Jan</v>
      </c>
      <c r="I684" s="1">
        <v>43474</v>
      </c>
      <c r="J684" s="1" t="str">
        <f t="shared" si="32"/>
        <v>Afternoon</v>
      </c>
      <c r="K684" s="2">
        <v>0.57361111111111118</v>
      </c>
      <c r="L684" t="s">
        <v>18</v>
      </c>
      <c r="M684">
        <v>14.795999999999999</v>
      </c>
      <c r="N684">
        <v>7.1</v>
      </c>
    </row>
    <row r="685" spans="1:14" x14ac:dyDescent="0.25">
      <c r="A685" t="s">
        <v>714</v>
      </c>
      <c r="B685" t="s">
        <v>13</v>
      </c>
      <c r="C685" t="s">
        <v>14</v>
      </c>
      <c r="D685" t="s">
        <v>15</v>
      </c>
      <c r="E685" t="s">
        <v>26</v>
      </c>
      <c r="F685" t="s">
        <v>41</v>
      </c>
      <c r="G685" t="str">
        <f t="shared" si="30"/>
        <v>Sunday</v>
      </c>
      <c r="H685" t="str">
        <f t="shared" si="31"/>
        <v>Feb</v>
      </c>
      <c r="I685" s="1">
        <v>43523</v>
      </c>
      <c r="J685" s="1" t="str">
        <f t="shared" si="32"/>
        <v>Afternoon</v>
      </c>
      <c r="K685" s="2">
        <v>0.51527777777777783</v>
      </c>
      <c r="L685" t="s">
        <v>18</v>
      </c>
      <c r="M685">
        <v>2.1480000000000001</v>
      </c>
      <c r="N685">
        <v>6.6</v>
      </c>
    </row>
    <row r="686" spans="1:14" x14ac:dyDescent="0.25">
      <c r="A686" t="s">
        <v>715</v>
      </c>
      <c r="B686" t="s">
        <v>37</v>
      </c>
      <c r="C686" t="s">
        <v>38</v>
      </c>
      <c r="D686" t="s">
        <v>15</v>
      </c>
      <c r="E686" t="s">
        <v>16</v>
      </c>
      <c r="F686" t="s">
        <v>31</v>
      </c>
      <c r="G686" t="str">
        <f t="shared" si="30"/>
        <v>Tuesday</v>
      </c>
      <c r="H686" t="str">
        <f t="shared" si="31"/>
        <v>Jan</v>
      </c>
      <c r="I686" s="1">
        <v>43489</v>
      </c>
      <c r="J686" s="1" t="str">
        <f t="shared" si="32"/>
        <v>Evening</v>
      </c>
      <c r="K686" s="2">
        <v>0.80555555555555547</v>
      </c>
      <c r="L686" t="s">
        <v>18</v>
      </c>
      <c r="M686">
        <v>6.9240000000000004</v>
      </c>
      <c r="N686">
        <v>4.9000000000000004</v>
      </c>
    </row>
    <row r="687" spans="1:14" x14ac:dyDescent="0.25">
      <c r="A687" t="s">
        <v>716</v>
      </c>
      <c r="B687" t="s">
        <v>37</v>
      </c>
      <c r="C687" t="s">
        <v>38</v>
      </c>
      <c r="D687" t="s">
        <v>15</v>
      </c>
      <c r="E687" t="s">
        <v>16</v>
      </c>
      <c r="F687" t="s">
        <v>27</v>
      </c>
      <c r="G687" t="str">
        <f t="shared" si="30"/>
        <v>Sunday</v>
      </c>
      <c r="H687" t="str">
        <f t="shared" si="31"/>
        <v>Jan</v>
      </c>
      <c r="I687" s="1">
        <v>43473</v>
      </c>
      <c r="J687" s="1" t="str">
        <f t="shared" si="32"/>
        <v>Afternoon</v>
      </c>
      <c r="K687" s="2">
        <v>0.54027777777777775</v>
      </c>
      <c r="L687" t="s">
        <v>28</v>
      </c>
      <c r="M687">
        <v>4.91</v>
      </c>
      <c r="N687">
        <v>6.4</v>
      </c>
    </row>
    <row r="688" spans="1:14" x14ac:dyDescent="0.25">
      <c r="A688" t="s">
        <v>717</v>
      </c>
      <c r="B688" t="s">
        <v>37</v>
      </c>
      <c r="C688" t="s">
        <v>38</v>
      </c>
      <c r="D688" t="s">
        <v>15</v>
      </c>
      <c r="E688" t="s">
        <v>16</v>
      </c>
      <c r="F688" t="s">
        <v>31</v>
      </c>
      <c r="G688" t="str">
        <f t="shared" si="30"/>
        <v>Sunday</v>
      </c>
      <c r="H688" t="str">
        <f t="shared" si="31"/>
        <v>Jan</v>
      </c>
      <c r="I688" s="1">
        <v>43473</v>
      </c>
      <c r="J688" s="1" t="str">
        <f t="shared" si="32"/>
        <v>Morning</v>
      </c>
      <c r="K688" s="2">
        <v>0.4993055555555555</v>
      </c>
      <c r="L688" t="s">
        <v>28</v>
      </c>
      <c r="M688">
        <v>6.4829999999999997</v>
      </c>
      <c r="N688">
        <v>8</v>
      </c>
    </row>
    <row r="689" spans="1:14" x14ac:dyDescent="0.25">
      <c r="A689" t="s">
        <v>718</v>
      </c>
      <c r="B689" t="s">
        <v>13</v>
      </c>
      <c r="C689" t="s">
        <v>14</v>
      </c>
      <c r="D689" t="s">
        <v>15</v>
      </c>
      <c r="E689" t="s">
        <v>26</v>
      </c>
      <c r="F689" t="s">
        <v>27</v>
      </c>
      <c r="G689" t="str">
        <f t="shared" si="30"/>
        <v>Monday</v>
      </c>
      <c r="H689" t="str">
        <f t="shared" si="31"/>
        <v>Jan</v>
      </c>
      <c r="I689" s="1">
        <v>43481</v>
      </c>
      <c r="J689" s="1" t="str">
        <f t="shared" si="32"/>
        <v>Evening</v>
      </c>
      <c r="K689" s="2">
        <v>0.74930555555555556</v>
      </c>
      <c r="L689" t="s">
        <v>24</v>
      </c>
      <c r="M689">
        <v>31.78</v>
      </c>
      <c r="N689">
        <v>4.3</v>
      </c>
    </row>
    <row r="690" spans="1:14" x14ac:dyDescent="0.25">
      <c r="A690" t="s">
        <v>719</v>
      </c>
      <c r="B690" t="s">
        <v>20</v>
      </c>
      <c r="C690" t="s">
        <v>21</v>
      </c>
      <c r="D690" t="s">
        <v>15</v>
      </c>
      <c r="E690" t="s">
        <v>26</v>
      </c>
      <c r="F690" t="s">
        <v>31</v>
      </c>
      <c r="G690" t="str">
        <f t="shared" si="30"/>
        <v>Tuesday</v>
      </c>
      <c r="H690" t="str">
        <f t="shared" si="31"/>
        <v>Mar</v>
      </c>
      <c r="I690" s="1">
        <v>43537</v>
      </c>
      <c r="J690" s="1" t="str">
        <f t="shared" si="32"/>
        <v>Afternoon</v>
      </c>
      <c r="K690" s="2">
        <v>0.53541666666666665</v>
      </c>
      <c r="L690" t="s">
        <v>24</v>
      </c>
      <c r="M690">
        <v>7.2880000000000003</v>
      </c>
      <c r="N690">
        <v>6.1</v>
      </c>
    </row>
    <row r="691" spans="1:14" x14ac:dyDescent="0.25">
      <c r="A691" t="s">
        <v>720</v>
      </c>
      <c r="B691" t="s">
        <v>13</v>
      </c>
      <c r="C691" t="s">
        <v>14</v>
      </c>
      <c r="D691" t="s">
        <v>22</v>
      </c>
      <c r="E691" t="s">
        <v>16</v>
      </c>
      <c r="F691" t="s">
        <v>39</v>
      </c>
      <c r="G691" t="str">
        <f t="shared" si="30"/>
        <v>Friday</v>
      </c>
      <c r="H691" t="str">
        <f t="shared" si="31"/>
        <v>Feb</v>
      </c>
      <c r="I691" s="1">
        <v>43511</v>
      </c>
      <c r="J691" s="1" t="str">
        <f t="shared" si="32"/>
        <v>Morning</v>
      </c>
      <c r="K691" s="2">
        <v>0.44166666666666665</v>
      </c>
      <c r="L691" t="s">
        <v>24</v>
      </c>
      <c r="M691">
        <v>10.065</v>
      </c>
      <c r="N691">
        <v>7.5</v>
      </c>
    </row>
    <row r="692" spans="1:14" x14ac:dyDescent="0.25">
      <c r="A692" t="s">
        <v>721</v>
      </c>
      <c r="B692" t="s">
        <v>20</v>
      </c>
      <c r="C692" t="s">
        <v>21</v>
      </c>
      <c r="D692" t="s">
        <v>15</v>
      </c>
      <c r="E692" t="s">
        <v>16</v>
      </c>
      <c r="F692" t="s">
        <v>31</v>
      </c>
      <c r="G692" t="str">
        <f t="shared" si="30"/>
        <v>Tuesday</v>
      </c>
      <c r="H692" t="str">
        <f t="shared" si="31"/>
        <v>Jan</v>
      </c>
      <c r="I692" s="1">
        <v>43490</v>
      </c>
      <c r="J692" s="1" t="str">
        <f t="shared" si="32"/>
        <v>Afternoon</v>
      </c>
      <c r="K692" s="2">
        <v>0.56805555555555554</v>
      </c>
      <c r="L692" t="s">
        <v>24</v>
      </c>
      <c r="M692">
        <v>31.5855</v>
      </c>
      <c r="N692">
        <v>6.7</v>
      </c>
    </row>
    <row r="693" spans="1:14" x14ac:dyDescent="0.25">
      <c r="A693" t="s">
        <v>722</v>
      </c>
      <c r="B693" t="s">
        <v>20</v>
      </c>
      <c r="C693" t="s">
        <v>21</v>
      </c>
      <c r="D693" t="s">
        <v>15</v>
      </c>
      <c r="E693" t="s">
        <v>26</v>
      </c>
      <c r="F693" t="s">
        <v>39</v>
      </c>
      <c r="G693" t="str">
        <f t="shared" si="30"/>
        <v>Tuesday</v>
      </c>
      <c r="H693" t="str">
        <f t="shared" si="31"/>
        <v>Mar</v>
      </c>
      <c r="I693" s="1">
        <v>43536</v>
      </c>
      <c r="J693" s="1" t="str">
        <f t="shared" si="32"/>
        <v>Evening</v>
      </c>
      <c r="K693" s="2">
        <v>0.81874999999999998</v>
      </c>
      <c r="L693" t="s">
        <v>18</v>
      </c>
      <c r="M693">
        <v>19.263999999999999</v>
      </c>
      <c r="N693">
        <v>5.2</v>
      </c>
    </row>
    <row r="694" spans="1:14" x14ac:dyDescent="0.25">
      <c r="A694" t="s">
        <v>723</v>
      </c>
      <c r="B694" t="s">
        <v>13</v>
      </c>
      <c r="C694" t="s">
        <v>14</v>
      </c>
      <c r="D694" t="s">
        <v>15</v>
      </c>
      <c r="E694" t="s">
        <v>26</v>
      </c>
      <c r="F694" t="s">
        <v>17</v>
      </c>
      <c r="G694" t="str">
        <f t="shared" si="30"/>
        <v>Monday</v>
      </c>
      <c r="H694" t="str">
        <f t="shared" si="31"/>
        <v>Mar</v>
      </c>
      <c r="I694" s="1">
        <v>43528</v>
      </c>
      <c r="J694" s="1" t="str">
        <f t="shared" si="32"/>
        <v>Afternoon</v>
      </c>
      <c r="K694" s="2">
        <v>0.53055555555555556</v>
      </c>
      <c r="L694" t="s">
        <v>24</v>
      </c>
      <c r="M694">
        <v>24.315000000000001</v>
      </c>
      <c r="N694">
        <v>8.8000000000000007</v>
      </c>
    </row>
    <row r="695" spans="1:14" x14ac:dyDescent="0.25">
      <c r="A695" t="s">
        <v>724</v>
      </c>
      <c r="B695" t="s">
        <v>20</v>
      </c>
      <c r="C695" t="s">
        <v>21</v>
      </c>
      <c r="D695" t="s">
        <v>15</v>
      </c>
      <c r="E695" t="s">
        <v>16</v>
      </c>
      <c r="F695" t="s">
        <v>41</v>
      </c>
      <c r="G695" t="str">
        <f t="shared" si="30"/>
        <v>Friday</v>
      </c>
      <c r="H695" t="str">
        <f t="shared" si="31"/>
        <v>Feb</v>
      </c>
      <c r="I695" s="1">
        <v>43506</v>
      </c>
      <c r="J695" s="1" t="str">
        <f t="shared" si="32"/>
        <v>Afternoon</v>
      </c>
      <c r="K695" s="2">
        <v>0.5805555555555556</v>
      </c>
      <c r="L695" t="s">
        <v>24</v>
      </c>
      <c r="M695">
        <v>25.683</v>
      </c>
      <c r="N695">
        <v>9.5</v>
      </c>
    </row>
    <row r="696" spans="1:14" x14ac:dyDescent="0.25">
      <c r="A696" t="s">
        <v>725</v>
      </c>
      <c r="B696" t="s">
        <v>20</v>
      </c>
      <c r="C696" t="s">
        <v>21</v>
      </c>
      <c r="D696" t="s">
        <v>22</v>
      </c>
      <c r="E696" t="s">
        <v>16</v>
      </c>
      <c r="F696" t="s">
        <v>39</v>
      </c>
      <c r="G696" t="str">
        <f t="shared" si="30"/>
        <v>Monday</v>
      </c>
      <c r="H696" t="str">
        <f t="shared" si="31"/>
        <v>Jan</v>
      </c>
      <c r="I696" s="1">
        <v>43481</v>
      </c>
      <c r="J696" s="1" t="str">
        <f t="shared" si="32"/>
        <v>Afternoon</v>
      </c>
      <c r="K696" s="2">
        <v>0.61249999999999993</v>
      </c>
      <c r="L696" t="s">
        <v>24</v>
      </c>
      <c r="M696">
        <v>23.67</v>
      </c>
      <c r="N696">
        <v>7.6</v>
      </c>
    </row>
    <row r="697" spans="1:14" x14ac:dyDescent="0.25">
      <c r="A697" t="s">
        <v>726</v>
      </c>
      <c r="B697" t="s">
        <v>13</v>
      </c>
      <c r="C697" t="s">
        <v>14</v>
      </c>
      <c r="D697" t="s">
        <v>15</v>
      </c>
      <c r="E697" t="s">
        <v>16</v>
      </c>
      <c r="F697" t="s">
        <v>27</v>
      </c>
      <c r="G697" t="str">
        <f t="shared" si="30"/>
        <v>Wednesday</v>
      </c>
      <c r="H697" t="str">
        <f t="shared" si="31"/>
        <v>Jan</v>
      </c>
      <c r="I697" s="1">
        <v>43494</v>
      </c>
      <c r="J697" s="1" t="str">
        <f t="shared" si="32"/>
        <v>Evening</v>
      </c>
      <c r="K697" s="2">
        <v>0.82291666666666663</v>
      </c>
      <c r="L697" t="s">
        <v>24</v>
      </c>
      <c r="M697">
        <v>21.842500000000001</v>
      </c>
      <c r="N697">
        <v>6.6</v>
      </c>
    </row>
    <row r="698" spans="1:14" x14ac:dyDescent="0.25">
      <c r="A698" t="s">
        <v>727</v>
      </c>
      <c r="B698" t="s">
        <v>13</v>
      </c>
      <c r="C698" t="s">
        <v>14</v>
      </c>
      <c r="D698" t="s">
        <v>15</v>
      </c>
      <c r="E698" t="s">
        <v>16</v>
      </c>
      <c r="F698" t="s">
        <v>31</v>
      </c>
      <c r="G698" t="str">
        <f t="shared" si="30"/>
        <v>Saturday</v>
      </c>
      <c r="H698" t="str">
        <f t="shared" si="31"/>
        <v>Jan</v>
      </c>
      <c r="I698" s="1">
        <v>43466</v>
      </c>
      <c r="J698" s="1" t="str">
        <f t="shared" si="32"/>
        <v>Evening</v>
      </c>
      <c r="K698" s="2">
        <v>0.85138888888888886</v>
      </c>
      <c r="L698" t="s">
        <v>18</v>
      </c>
      <c r="M698">
        <v>5.4080000000000004</v>
      </c>
      <c r="N698">
        <v>6.9</v>
      </c>
    </row>
    <row r="699" spans="1:14" x14ac:dyDescent="0.25">
      <c r="A699" t="s">
        <v>728</v>
      </c>
      <c r="B699" t="s">
        <v>37</v>
      </c>
      <c r="C699" t="s">
        <v>38</v>
      </c>
      <c r="D699" t="s">
        <v>22</v>
      </c>
      <c r="E699" t="s">
        <v>26</v>
      </c>
      <c r="F699" t="s">
        <v>27</v>
      </c>
      <c r="G699" t="str">
        <f t="shared" si="30"/>
        <v>Sunday</v>
      </c>
      <c r="H699" t="str">
        <f t="shared" si="31"/>
        <v>Jan</v>
      </c>
      <c r="I699" s="1">
        <v>43471</v>
      </c>
      <c r="J699" s="1" t="str">
        <f t="shared" si="32"/>
        <v>Evening</v>
      </c>
      <c r="K699" s="2">
        <v>0.82361111111111107</v>
      </c>
      <c r="L699" t="s">
        <v>18</v>
      </c>
      <c r="M699">
        <v>12.438000000000001</v>
      </c>
      <c r="N699">
        <v>4.3</v>
      </c>
    </row>
    <row r="700" spans="1:14" x14ac:dyDescent="0.25">
      <c r="A700" t="s">
        <v>729</v>
      </c>
      <c r="B700" t="s">
        <v>13</v>
      </c>
      <c r="C700" t="s">
        <v>14</v>
      </c>
      <c r="D700" t="s">
        <v>15</v>
      </c>
      <c r="E700" t="s">
        <v>26</v>
      </c>
      <c r="F700" t="s">
        <v>23</v>
      </c>
      <c r="G700" t="str">
        <f t="shared" si="30"/>
        <v>Saturday</v>
      </c>
      <c r="H700" t="str">
        <f t="shared" si="31"/>
        <v>Feb</v>
      </c>
      <c r="I700" s="1">
        <v>43515</v>
      </c>
      <c r="J700" s="1" t="str">
        <f t="shared" si="32"/>
        <v>Evening</v>
      </c>
      <c r="K700" s="2">
        <v>0.81805555555555554</v>
      </c>
      <c r="L700" t="s">
        <v>28</v>
      </c>
      <c r="M700">
        <v>31.311</v>
      </c>
      <c r="N700">
        <v>7.8</v>
      </c>
    </row>
    <row r="701" spans="1:14" x14ac:dyDescent="0.25">
      <c r="A701" t="s">
        <v>730</v>
      </c>
      <c r="B701" t="s">
        <v>20</v>
      </c>
      <c r="C701" t="s">
        <v>21</v>
      </c>
      <c r="D701" t="s">
        <v>22</v>
      </c>
      <c r="E701" t="s">
        <v>26</v>
      </c>
      <c r="F701" t="s">
        <v>27</v>
      </c>
      <c r="G701" t="str">
        <f t="shared" si="30"/>
        <v>Monday</v>
      </c>
      <c r="H701" t="str">
        <f t="shared" si="31"/>
        <v>Jan</v>
      </c>
      <c r="I701" s="1">
        <v>43477</v>
      </c>
      <c r="J701" s="1" t="str">
        <f t="shared" si="32"/>
        <v>Evening</v>
      </c>
      <c r="K701" s="2">
        <v>0.6791666666666667</v>
      </c>
      <c r="L701" t="s">
        <v>18</v>
      </c>
      <c r="M701">
        <v>48.75</v>
      </c>
      <c r="N701">
        <v>8</v>
      </c>
    </row>
    <row r="702" spans="1:14" x14ac:dyDescent="0.25">
      <c r="A702" t="s">
        <v>731</v>
      </c>
      <c r="B702" t="s">
        <v>20</v>
      </c>
      <c r="C702" t="s">
        <v>21</v>
      </c>
      <c r="D702" t="s">
        <v>22</v>
      </c>
      <c r="E702" t="s">
        <v>16</v>
      </c>
      <c r="F702" t="s">
        <v>41</v>
      </c>
      <c r="G702" t="str">
        <f t="shared" si="30"/>
        <v>Thursday</v>
      </c>
      <c r="H702" t="str">
        <f t="shared" si="31"/>
        <v>Feb</v>
      </c>
      <c r="I702" s="1">
        <v>43503</v>
      </c>
      <c r="J702" s="1" t="str">
        <f t="shared" si="32"/>
        <v>Afternoon</v>
      </c>
      <c r="K702" s="2">
        <v>0.51597222222222217</v>
      </c>
      <c r="L702" t="s">
        <v>18</v>
      </c>
      <c r="M702">
        <v>24.164000000000001</v>
      </c>
      <c r="N702">
        <v>9.6</v>
      </c>
    </row>
    <row r="703" spans="1:14" x14ac:dyDescent="0.25">
      <c r="A703" t="s">
        <v>732</v>
      </c>
      <c r="B703" t="s">
        <v>37</v>
      </c>
      <c r="C703" t="s">
        <v>38</v>
      </c>
      <c r="D703" t="s">
        <v>22</v>
      </c>
      <c r="E703" t="s">
        <v>26</v>
      </c>
      <c r="F703" t="s">
        <v>39</v>
      </c>
      <c r="G703" t="str">
        <f t="shared" si="30"/>
        <v>Thursday</v>
      </c>
      <c r="H703" t="str">
        <f t="shared" si="31"/>
        <v>Mar</v>
      </c>
      <c r="I703" s="1">
        <v>43551</v>
      </c>
      <c r="J703" s="1" t="str">
        <f t="shared" si="32"/>
        <v>Evening</v>
      </c>
      <c r="K703" s="2">
        <v>0.7993055555555556</v>
      </c>
      <c r="L703" t="s">
        <v>28</v>
      </c>
      <c r="M703">
        <v>4.8479999999999999</v>
      </c>
      <c r="N703">
        <v>4.3</v>
      </c>
    </row>
    <row r="704" spans="1:14" x14ac:dyDescent="0.25">
      <c r="A704" t="s">
        <v>733</v>
      </c>
      <c r="B704" t="s">
        <v>37</v>
      </c>
      <c r="C704" t="s">
        <v>38</v>
      </c>
      <c r="D704" t="s">
        <v>15</v>
      </c>
      <c r="E704" t="s">
        <v>16</v>
      </c>
      <c r="F704" t="s">
        <v>41</v>
      </c>
      <c r="G704" t="str">
        <f t="shared" si="30"/>
        <v>Sunday</v>
      </c>
      <c r="H704" t="str">
        <f t="shared" si="31"/>
        <v>Feb</v>
      </c>
      <c r="I704" s="1">
        <v>43523</v>
      </c>
      <c r="J704" s="1" t="str">
        <f t="shared" si="32"/>
        <v>Evening</v>
      </c>
      <c r="K704" s="2">
        <v>0.7895833333333333</v>
      </c>
      <c r="L704" t="s">
        <v>28</v>
      </c>
      <c r="M704">
        <v>9.8849999999999998</v>
      </c>
      <c r="N704">
        <v>5</v>
      </c>
    </row>
    <row r="705" spans="1:14" x14ac:dyDescent="0.25">
      <c r="A705" t="s">
        <v>734</v>
      </c>
      <c r="B705" t="s">
        <v>37</v>
      </c>
      <c r="C705" t="s">
        <v>38</v>
      </c>
      <c r="D705" t="s">
        <v>15</v>
      </c>
      <c r="E705" t="s">
        <v>26</v>
      </c>
      <c r="F705" t="s">
        <v>17</v>
      </c>
      <c r="G705" t="str">
        <f t="shared" si="30"/>
        <v>Sunday</v>
      </c>
      <c r="H705" t="str">
        <f t="shared" si="31"/>
        <v>Jan</v>
      </c>
      <c r="I705" s="1">
        <v>43471</v>
      </c>
      <c r="J705" s="1" t="str">
        <f t="shared" si="32"/>
        <v>Morning</v>
      </c>
      <c r="K705" s="2">
        <v>0.47083333333333338</v>
      </c>
      <c r="L705" t="s">
        <v>24</v>
      </c>
      <c r="M705">
        <v>36.211500000000001</v>
      </c>
      <c r="N705">
        <v>9.1999999999999993</v>
      </c>
    </row>
    <row r="706" spans="1:14" x14ac:dyDescent="0.25">
      <c r="A706" t="s">
        <v>735</v>
      </c>
      <c r="B706" t="s">
        <v>37</v>
      </c>
      <c r="C706" t="s">
        <v>38</v>
      </c>
      <c r="D706" t="s">
        <v>15</v>
      </c>
      <c r="E706" t="s">
        <v>16</v>
      </c>
      <c r="F706" t="s">
        <v>27</v>
      </c>
      <c r="G706" t="str">
        <f t="shared" si="30"/>
        <v>Monday</v>
      </c>
      <c r="H706" t="str">
        <f t="shared" si="31"/>
        <v>Mar</v>
      </c>
      <c r="I706" s="1">
        <v>43526</v>
      </c>
      <c r="J706" s="1" t="str">
        <f t="shared" si="32"/>
        <v>Afternoon</v>
      </c>
      <c r="K706" s="2">
        <v>0.52777777777777779</v>
      </c>
      <c r="L706" t="s">
        <v>24</v>
      </c>
      <c r="M706">
        <v>39.775500000000001</v>
      </c>
      <c r="N706">
        <v>6.3</v>
      </c>
    </row>
    <row r="707" spans="1:14" x14ac:dyDescent="0.25">
      <c r="A707" t="s">
        <v>736</v>
      </c>
      <c r="B707" t="s">
        <v>37</v>
      </c>
      <c r="C707" t="s">
        <v>38</v>
      </c>
      <c r="D707" t="s">
        <v>22</v>
      </c>
      <c r="E707" t="s">
        <v>26</v>
      </c>
      <c r="F707" t="s">
        <v>17</v>
      </c>
      <c r="G707" t="str">
        <f t="shared" ref="G707:G770" si="33">TEXT(I707/7,"dddd")</f>
        <v>Thursday</v>
      </c>
      <c r="H707" t="str">
        <f t="shared" ref="H707:H770" si="34">TEXT(I707,"mmm")</f>
        <v>Mar</v>
      </c>
      <c r="I707" s="1">
        <v>43553</v>
      </c>
      <c r="J707" s="1" t="str">
        <f t="shared" ref="J707:J770" si="35">IF(AND(K707&gt;=TIME(9,0,0),K707&lt;TIME(12,0,0)),"Morning",IF(AND(K707&gt;=TIME(12,0,0),K707&lt;TIME(16,0,0)),"Afternoon","Evening"))</f>
        <v>Afternoon</v>
      </c>
      <c r="K707" s="2">
        <v>0.58750000000000002</v>
      </c>
      <c r="L707" t="s">
        <v>24</v>
      </c>
      <c r="M707">
        <v>25.119499999999999</v>
      </c>
      <c r="N707">
        <v>8.9</v>
      </c>
    </row>
    <row r="708" spans="1:14" x14ac:dyDescent="0.25">
      <c r="A708" t="s">
        <v>737</v>
      </c>
      <c r="B708" t="s">
        <v>37</v>
      </c>
      <c r="C708" t="s">
        <v>38</v>
      </c>
      <c r="D708" t="s">
        <v>22</v>
      </c>
      <c r="E708" t="s">
        <v>16</v>
      </c>
      <c r="F708" t="s">
        <v>23</v>
      </c>
      <c r="G708" t="str">
        <f t="shared" si="33"/>
        <v>Wednesday</v>
      </c>
      <c r="H708" t="str">
        <f t="shared" si="34"/>
        <v>Jan</v>
      </c>
      <c r="I708" s="1">
        <v>43496</v>
      </c>
      <c r="J708" s="1" t="str">
        <f t="shared" si="35"/>
        <v>Evening</v>
      </c>
      <c r="K708" s="2">
        <v>0.8666666666666667</v>
      </c>
      <c r="L708" t="s">
        <v>18</v>
      </c>
      <c r="M708">
        <v>8.6</v>
      </c>
      <c r="N708">
        <v>7.6</v>
      </c>
    </row>
    <row r="709" spans="1:14" x14ac:dyDescent="0.25">
      <c r="A709" t="s">
        <v>738</v>
      </c>
      <c r="B709" t="s">
        <v>20</v>
      </c>
      <c r="C709" t="s">
        <v>21</v>
      </c>
      <c r="D709" t="s">
        <v>15</v>
      </c>
      <c r="E709" t="s">
        <v>26</v>
      </c>
      <c r="F709" t="s">
        <v>39</v>
      </c>
      <c r="G709" t="str">
        <f t="shared" si="33"/>
        <v>Tuesday</v>
      </c>
      <c r="H709" t="str">
        <f t="shared" si="34"/>
        <v>Jan</v>
      </c>
      <c r="I709" s="1">
        <v>43486</v>
      </c>
      <c r="J709" s="1" t="str">
        <f t="shared" si="35"/>
        <v>Evening</v>
      </c>
      <c r="K709" s="2">
        <v>0.84236111111111101</v>
      </c>
      <c r="L709" t="s">
        <v>24</v>
      </c>
      <c r="M709">
        <v>3.4489999999999998</v>
      </c>
      <c r="N709">
        <v>4.8</v>
      </c>
    </row>
    <row r="710" spans="1:14" x14ac:dyDescent="0.25">
      <c r="A710" t="s">
        <v>739</v>
      </c>
      <c r="B710" t="s">
        <v>20</v>
      </c>
      <c r="C710" t="s">
        <v>21</v>
      </c>
      <c r="D710" t="s">
        <v>22</v>
      </c>
      <c r="E710" t="s">
        <v>26</v>
      </c>
      <c r="F710" t="s">
        <v>41</v>
      </c>
      <c r="G710" t="str">
        <f t="shared" si="33"/>
        <v>Tuesday</v>
      </c>
      <c r="H710" t="str">
        <f t="shared" si="34"/>
        <v>Jan</v>
      </c>
      <c r="I710" s="1">
        <v>43485</v>
      </c>
      <c r="J710" s="1" t="str">
        <f t="shared" si="35"/>
        <v>Evening</v>
      </c>
      <c r="K710" s="2">
        <v>0.85902777777777783</v>
      </c>
      <c r="L710" t="s">
        <v>18</v>
      </c>
      <c r="M710">
        <v>6.2480000000000002</v>
      </c>
      <c r="N710">
        <v>9.1</v>
      </c>
    </row>
    <row r="711" spans="1:14" x14ac:dyDescent="0.25">
      <c r="A711" t="s">
        <v>740</v>
      </c>
      <c r="B711" t="s">
        <v>13</v>
      </c>
      <c r="C711" t="s">
        <v>14</v>
      </c>
      <c r="D711" t="s">
        <v>22</v>
      </c>
      <c r="E711" t="s">
        <v>26</v>
      </c>
      <c r="F711" t="s">
        <v>31</v>
      </c>
      <c r="G711" t="str">
        <f t="shared" si="33"/>
        <v>Monday</v>
      </c>
      <c r="H711" t="str">
        <f t="shared" si="34"/>
        <v>Jan</v>
      </c>
      <c r="I711" s="1">
        <v>43482</v>
      </c>
      <c r="J711" s="1" t="str">
        <f t="shared" si="35"/>
        <v>Evening</v>
      </c>
      <c r="K711" s="2">
        <v>0.74930555555555556</v>
      </c>
      <c r="L711" t="s">
        <v>18</v>
      </c>
      <c r="M711">
        <v>3.855</v>
      </c>
      <c r="N711">
        <v>6.1</v>
      </c>
    </row>
    <row r="712" spans="1:14" x14ac:dyDescent="0.25">
      <c r="A712" t="s">
        <v>741</v>
      </c>
      <c r="B712" t="s">
        <v>13</v>
      </c>
      <c r="C712" t="s">
        <v>14</v>
      </c>
      <c r="D712" t="s">
        <v>15</v>
      </c>
      <c r="E712" t="s">
        <v>26</v>
      </c>
      <c r="F712" t="s">
        <v>39</v>
      </c>
      <c r="G712" t="str">
        <f t="shared" si="33"/>
        <v>Sunday</v>
      </c>
      <c r="H712" t="str">
        <f t="shared" si="34"/>
        <v>Feb</v>
      </c>
      <c r="I712" s="1">
        <v>43524</v>
      </c>
      <c r="J712" s="1" t="str">
        <f t="shared" si="35"/>
        <v>Evening</v>
      </c>
      <c r="K712" s="2">
        <v>0.84583333333333333</v>
      </c>
      <c r="L712" t="s">
        <v>24</v>
      </c>
      <c r="M712">
        <v>24.186</v>
      </c>
      <c r="N712">
        <v>9.1</v>
      </c>
    </row>
    <row r="713" spans="1:14" x14ac:dyDescent="0.25">
      <c r="A713" t="s">
        <v>742</v>
      </c>
      <c r="B713" t="s">
        <v>20</v>
      </c>
      <c r="C713" t="s">
        <v>21</v>
      </c>
      <c r="D713" t="s">
        <v>15</v>
      </c>
      <c r="E713" t="s">
        <v>16</v>
      </c>
      <c r="F713" t="s">
        <v>27</v>
      </c>
      <c r="G713" t="str">
        <f t="shared" si="33"/>
        <v>Wednesday</v>
      </c>
      <c r="H713" t="str">
        <f t="shared" si="34"/>
        <v>Mar</v>
      </c>
      <c r="I713" s="1">
        <v>43543</v>
      </c>
      <c r="J713" s="1" t="str">
        <f t="shared" si="35"/>
        <v>Afternoon</v>
      </c>
      <c r="K713" s="2">
        <v>0.66111111111111109</v>
      </c>
      <c r="L713" t="s">
        <v>18</v>
      </c>
      <c r="M713">
        <v>15.106</v>
      </c>
      <c r="N713">
        <v>8.3000000000000007</v>
      </c>
    </row>
    <row r="714" spans="1:14" x14ac:dyDescent="0.25">
      <c r="A714" t="s">
        <v>743</v>
      </c>
      <c r="B714" t="s">
        <v>20</v>
      </c>
      <c r="C714" t="s">
        <v>21</v>
      </c>
      <c r="D714" t="s">
        <v>22</v>
      </c>
      <c r="E714" t="s">
        <v>16</v>
      </c>
      <c r="F714" t="s">
        <v>23</v>
      </c>
      <c r="G714" t="str">
        <f t="shared" si="33"/>
        <v>Saturday</v>
      </c>
      <c r="H714" t="str">
        <f t="shared" si="34"/>
        <v>Feb</v>
      </c>
      <c r="I714" s="1">
        <v>43515</v>
      </c>
      <c r="J714" s="1" t="str">
        <f t="shared" si="35"/>
        <v>Afternoon</v>
      </c>
      <c r="K714" s="2">
        <v>0.63472222222222219</v>
      </c>
      <c r="L714" t="s">
        <v>18</v>
      </c>
      <c r="M714">
        <v>34.933500000000002</v>
      </c>
      <c r="N714">
        <v>7.2</v>
      </c>
    </row>
    <row r="715" spans="1:14" x14ac:dyDescent="0.25">
      <c r="A715" t="s">
        <v>744</v>
      </c>
      <c r="B715" t="s">
        <v>20</v>
      </c>
      <c r="C715" t="s">
        <v>21</v>
      </c>
      <c r="D715" t="s">
        <v>22</v>
      </c>
      <c r="E715" t="s">
        <v>16</v>
      </c>
      <c r="F715" t="s">
        <v>17</v>
      </c>
      <c r="G715" t="str">
        <f t="shared" si="33"/>
        <v>Thursday</v>
      </c>
      <c r="H715" t="str">
        <f t="shared" si="34"/>
        <v>Feb</v>
      </c>
      <c r="I715" s="1">
        <v>43500</v>
      </c>
      <c r="J715" s="1" t="str">
        <f t="shared" si="35"/>
        <v>Afternoon</v>
      </c>
      <c r="K715" s="2">
        <v>0.53472222222222221</v>
      </c>
      <c r="L715" t="s">
        <v>18</v>
      </c>
      <c r="M715">
        <v>6.2324999999999999</v>
      </c>
      <c r="N715">
        <v>6</v>
      </c>
    </row>
    <row r="716" spans="1:14" x14ac:dyDescent="0.25">
      <c r="A716" t="s">
        <v>745</v>
      </c>
      <c r="B716" t="s">
        <v>20</v>
      </c>
      <c r="C716" t="s">
        <v>21</v>
      </c>
      <c r="D716" t="s">
        <v>15</v>
      </c>
      <c r="E716" t="s">
        <v>26</v>
      </c>
      <c r="F716" t="s">
        <v>41</v>
      </c>
      <c r="G716" t="str">
        <f t="shared" si="33"/>
        <v>Wednesday</v>
      </c>
      <c r="H716" t="str">
        <f t="shared" si="34"/>
        <v>Jan</v>
      </c>
      <c r="I716" s="1">
        <v>43496</v>
      </c>
      <c r="J716" s="1" t="str">
        <f t="shared" si="35"/>
        <v>Morning</v>
      </c>
      <c r="K716" s="2">
        <v>0.44166666666666665</v>
      </c>
      <c r="L716" t="s">
        <v>18</v>
      </c>
      <c r="M716">
        <v>39.479999999999997</v>
      </c>
      <c r="N716">
        <v>8.5</v>
      </c>
    </row>
    <row r="717" spans="1:14" x14ac:dyDescent="0.25">
      <c r="A717" t="s">
        <v>746</v>
      </c>
      <c r="B717" t="s">
        <v>13</v>
      </c>
      <c r="C717" t="s">
        <v>14</v>
      </c>
      <c r="D717" t="s">
        <v>22</v>
      </c>
      <c r="E717" t="s">
        <v>16</v>
      </c>
      <c r="F717" t="s">
        <v>17</v>
      </c>
      <c r="G717" t="str">
        <f t="shared" si="33"/>
        <v>Thursday</v>
      </c>
      <c r="H717" t="str">
        <f t="shared" si="34"/>
        <v>Feb</v>
      </c>
      <c r="I717" s="1">
        <v>43502</v>
      </c>
      <c r="J717" s="1" t="str">
        <f t="shared" si="35"/>
        <v>Evening</v>
      </c>
      <c r="K717" s="2">
        <v>0.7729166666666667</v>
      </c>
      <c r="L717" t="s">
        <v>28</v>
      </c>
      <c r="M717">
        <v>8.92</v>
      </c>
      <c r="N717">
        <v>6.6</v>
      </c>
    </row>
    <row r="718" spans="1:14" x14ac:dyDescent="0.25">
      <c r="A718" t="s">
        <v>747</v>
      </c>
      <c r="B718" t="s">
        <v>13</v>
      </c>
      <c r="C718" t="s">
        <v>14</v>
      </c>
      <c r="D718" t="s">
        <v>15</v>
      </c>
      <c r="E718" t="s">
        <v>16</v>
      </c>
      <c r="F718" t="s">
        <v>41</v>
      </c>
      <c r="G718" t="str">
        <f t="shared" si="33"/>
        <v>Thursday</v>
      </c>
      <c r="H718" t="str">
        <f t="shared" si="34"/>
        <v>Mar</v>
      </c>
      <c r="I718" s="1">
        <v>43552</v>
      </c>
      <c r="J718" s="1" t="str">
        <f t="shared" si="35"/>
        <v>Evening</v>
      </c>
      <c r="K718" s="2">
        <v>0.67083333333333339</v>
      </c>
      <c r="L718" t="s">
        <v>18</v>
      </c>
      <c r="M718">
        <v>25.010999999999999</v>
      </c>
      <c r="N718">
        <v>4.5</v>
      </c>
    </row>
    <row r="719" spans="1:14" x14ac:dyDescent="0.25">
      <c r="A719" t="s">
        <v>748</v>
      </c>
      <c r="B719" t="s">
        <v>13</v>
      </c>
      <c r="C719" t="s">
        <v>14</v>
      </c>
      <c r="D719" t="s">
        <v>15</v>
      </c>
      <c r="E719" t="s">
        <v>26</v>
      </c>
      <c r="F719" t="s">
        <v>23</v>
      </c>
      <c r="G719" t="str">
        <f t="shared" si="33"/>
        <v>Tuesday</v>
      </c>
      <c r="H719" t="str">
        <f t="shared" si="34"/>
        <v>Jan</v>
      </c>
      <c r="I719" s="1">
        <v>43484</v>
      </c>
      <c r="J719" s="1" t="str">
        <f t="shared" si="35"/>
        <v>Afternoon</v>
      </c>
      <c r="K719" s="2">
        <v>0.53263888888888888</v>
      </c>
      <c r="L719" t="s">
        <v>28</v>
      </c>
      <c r="M719">
        <v>1.7909999999999999</v>
      </c>
      <c r="N719">
        <v>8.1</v>
      </c>
    </row>
    <row r="720" spans="1:14" x14ac:dyDescent="0.25">
      <c r="A720" t="s">
        <v>749</v>
      </c>
      <c r="B720" t="s">
        <v>13</v>
      </c>
      <c r="C720" t="s">
        <v>14</v>
      </c>
      <c r="D720" t="s">
        <v>22</v>
      </c>
      <c r="E720" t="s">
        <v>26</v>
      </c>
      <c r="F720" t="s">
        <v>41</v>
      </c>
      <c r="G720" t="str">
        <f t="shared" si="33"/>
        <v>Saturday</v>
      </c>
      <c r="H720" t="str">
        <f t="shared" si="34"/>
        <v>Feb</v>
      </c>
      <c r="I720" s="1">
        <v>43513</v>
      </c>
      <c r="J720" s="1" t="str">
        <f t="shared" si="35"/>
        <v>Afternoon</v>
      </c>
      <c r="K720" s="2">
        <v>0.56527777777777777</v>
      </c>
      <c r="L720" t="s">
        <v>28</v>
      </c>
      <c r="M720">
        <v>6.8070000000000004</v>
      </c>
      <c r="N720">
        <v>7.2</v>
      </c>
    </row>
    <row r="721" spans="1:14" x14ac:dyDescent="0.25">
      <c r="A721" t="s">
        <v>750</v>
      </c>
      <c r="B721" t="s">
        <v>37</v>
      </c>
      <c r="C721" t="s">
        <v>38</v>
      </c>
      <c r="D721" t="s">
        <v>15</v>
      </c>
      <c r="E721" t="s">
        <v>16</v>
      </c>
      <c r="F721" t="s">
        <v>41</v>
      </c>
      <c r="G721" t="str">
        <f t="shared" si="33"/>
        <v>Monday</v>
      </c>
      <c r="H721" t="str">
        <f t="shared" si="34"/>
        <v>Jan</v>
      </c>
      <c r="I721" s="1">
        <v>43483</v>
      </c>
      <c r="J721" s="1" t="str">
        <f t="shared" si="35"/>
        <v>Afternoon</v>
      </c>
      <c r="K721" s="2">
        <v>0.62777777777777777</v>
      </c>
      <c r="L721" t="s">
        <v>28</v>
      </c>
      <c r="M721">
        <v>5.2439999999999998</v>
      </c>
      <c r="N721">
        <v>6.1</v>
      </c>
    </row>
    <row r="722" spans="1:14" x14ac:dyDescent="0.25">
      <c r="A722" t="s">
        <v>751</v>
      </c>
      <c r="B722" t="s">
        <v>37</v>
      </c>
      <c r="C722" t="s">
        <v>38</v>
      </c>
      <c r="D722" t="s">
        <v>22</v>
      </c>
      <c r="E722" t="s">
        <v>16</v>
      </c>
      <c r="F722" t="s">
        <v>41</v>
      </c>
      <c r="G722" t="str">
        <f t="shared" si="33"/>
        <v>Thursday</v>
      </c>
      <c r="H722" t="str">
        <f t="shared" si="34"/>
        <v>Feb</v>
      </c>
      <c r="I722" s="1">
        <v>43498</v>
      </c>
      <c r="J722" s="1" t="str">
        <f t="shared" si="35"/>
        <v>Evening</v>
      </c>
      <c r="K722" s="2">
        <v>0.86249999999999993</v>
      </c>
      <c r="L722" t="s">
        <v>24</v>
      </c>
      <c r="M722">
        <v>8.9459999999999997</v>
      </c>
      <c r="N722">
        <v>7.1</v>
      </c>
    </row>
    <row r="723" spans="1:14" x14ac:dyDescent="0.25">
      <c r="A723" t="s">
        <v>752</v>
      </c>
      <c r="B723" t="s">
        <v>20</v>
      </c>
      <c r="C723" t="s">
        <v>21</v>
      </c>
      <c r="D723" t="s">
        <v>15</v>
      </c>
      <c r="E723" t="s">
        <v>16</v>
      </c>
      <c r="F723" t="s">
        <v>31</v>
      </c>
      <c r="G723" t="str">
        <f t="shared" si="33"/>
        <v>Monday</v>
      </c>
      <c r="H723" t="str">
        <f t="shared" si="34"/>
        <v>Jan</v>
      </c>
      <c r="I723" s="1">
        <v>43483</v>
      </c>
      <c r="J723" s="1" t="str">
        <f t="shared" si="35"/>
        <v>Afternoon</v>
      </c>
      <c r="K723" s="2">
        <v>0.64444444444444449</v>
      </c>
      <c r="L723" t="s">
        <v>24</v>
      </c>
      <c r="M723">
        <v>40.783499999999997</v>
      </c>
      <c r="N723">
        <v>5.0999999999999996</v>
      </c>
    </row>
    <row r="724" spans="1:14" x14ac:dyDescent="0.25">
      <c r="A724" t="s">
        <v>753</v>
      </c>
      <c r="B724" t="s">
        <v>37</v>
      </c>
      <c r="C724" t="s">
        <v>38</v>
      </c>
      <c r="D724" t="s">
        <v>22</v>
      </c>
      <c r="E724" t="s">
        <v>26</v>
      </c>
      <c r="F724" t="s">
        <v>27</v>
      </c>
      <c r="G724" t="str">
        <f t="shared" si="33"/>
        <v>Wednesday</v>
      </c>
      <c r="H724" t="str">
        <f t="shared" si="34"/>
        <v>Mar</v>
      </c>
      <c r="I724" s="1">
        <v>43542</v>
      </c>
      <c r="J724" s="1" t="str">
        <f t="shared" si="35"/>
        <v>Afternoon</v>
      </c>
      <c r="K724" s="2">
        <v>0.57291666666666663</v>
      </c>
      <c r="L724" t="s">
        <v>28</v>
      </c>
      <c r="M724">
        <v>6.6180000000000003</v>
      </c>
      <c r="N724">
        <v>7.9</v>
      </c>
    </row>
    <row r="725" spans="1:14" x14ac:dyDescent="0.25">
      <c r="A725" t="s">
        <v>754</v>
      </c>
      <c r="B725" t="s">
        <v>20</v>
      </c>
      <c r="C725" t="s">
        <v>21</v>
      </c>
      <c r="D725" t="s">
        <v>15</v>
      </c>
      <c r="E725" t="s">
        <v>16</v>
      </c>
      <c r="F725" t="s">
        <v>39</v>
      </c>
      <c r="G725" t="str">
        <f t="shared" si="33"/>
        <v>Sunday</v>
      </c>
      <c r="H725" t="str">
        <f t="shared" si="34"/>
        <v>Jan</v>
      </c>
      <c r="I725" s="1">
        <v>43476</v>
      </c>
      <c r="J725" s="1" t="str">
        <f t="shared" si="35"/>
        <v>Evening</v>
      </c>
      <c r="K725" s="2">
        <v>0.84027777777777779</v>
      </c>
      <c r="L725" t="s">
        <v>24</v>
      </c>
      <c r="M725">
        <v>12.8695</v>
      </c>
      <c r="N725">
        <v>7.4</v>
      </c>
    </row>
    <row r="726" spans="1:14" x14ac:dyDescent="0.25">
      <c r="A726" t="s">
        <v>755</v>
      </c>
      <c r="B726" t="s">
        <v>37</v>
      </c>
      <c r="C726" t="s">
        <v>38</v>
      </c>
      <c r="D726" t="s">
        <v>15</v>
      </c>
      <c r="E726" t="s">
        <v>26</v>
      </c>
      <c r="F726" t="s">
        <v>39</v>
      </c>
      <c r="G726" t="str">
        <f t="shared" si="33"/>
        <v>Thursday</v>
      </c>
      <c r="H726" t="str">
        <f t="shared" si="34"/>
        <v>Feb</v>
      </c>
      <c r="I726" s="1">
        <v>43500</v>
      </c>
      <c r="J726" s="1" t="str">
        <f t="shared" si="35"/>
        <v>Evening</v>
      </c>
      <c r="K726" s="2">
        <v>0.78680555555555554</v>
      </c>
      <c r="L726" t="s">
        <v>18</v>
      </c>
      <c r="M726">
        <v>4.6680000000000001</v>
      </c>
      <c r="N726">
        <v>7.4</v>
      </c>
    </row>
    <row r="727" spans="1:14" x14ac:dyDescent="0.25">
      <c r="A727" t="s">
        <v>756</v>
      </c>
      <c r="B727" t="s">
        <v>20</v>
      </c>
      <c r="C727" t="s">
        <v>21</v>
      </c>
      <c r="D727" t="s">
        <v>15</v>
      </c>
      <c r="E727" t="s">
        <v>16</v>
      </c>
      <c r="F727" t="s">
        <v>17</v>
      </c>
      <c r="G727" t="str">
        <f t="shared" si="33"/>
        <v>Thursday</v>
      </c>
      <c r="H727" t="str">
        <f t="shared" si="34"/>
        <v>Feb</v>
      </c>
      <c r="I727" s="1">
        <v>43502</v>
      </c>
      <c r="J727" s="1" t="str">
        <f t="shared" si="35"/>
        <v>Afternoon</v>
      </c>
      <c r="K727" s="2">
        <v>0.6</v>
      </c>
      <c r="L727" t="s">
        <v>24</v>
      </c>
      <c r="M727">
        <v>11.4</v>
      </c>
      <c r="N727">
        <v>6.6</v>
      </c>
    </row>
    <row r="728" spans="1:14" x14ac:dyDescent="0.25">
      <c r="A728" t="s">
        <v>757</v>
      </c>
      <c r="B728" t="s">
        <v>20</v>
      </c>
      <c r="C728" t="s">
        <v>21</v>
      </c>
      <c r="D728" t="s">
        <v>15</v>
      </c>
      <c r="E728" t="s">
        <v>26</v>
      </c>
      <c r="F728" t="s">
        <v>27</v>
      </c>
      <c r="G728" t="str">
        <f t="shared" si="33"/>
        <v>Sunday</v>
      </c>
      <c r="H728" t="str">
        <f t="shared" si="34"/>
        <v>Jan</v>
      </c>
      <c r="I728" s="1">
        <v>43473</v>
      </c>
      <c r="J728" s="1" t="str">
        <f t="shared" si="35"/>
        <v>Morning</v>
      </c>
      <c r="K728" s="2">
        <v>0.48749999999999999</v>
      </c>
      <c r="L728" t="s">
        <v>28</v>
      </c>
      <c r="M728">
        <v>8.3354999999999997</v>
      </c>
      <c r="N728">
        <v>5.9</v>
      </c>
    </row>
    <row r="729" spans="1:14" x14ac:dyDescent="0.25">
      <c r="A729" t="s">
        <v>758</v>
      </c>
      <c r="B729" t="s">
        <v>37</v>
      </c>
      <c r="C729" t="s">
        <v>38</v>
      </c>
      <c r="D729" t="s">
        <v>22</v>
      </c>
      <c r="E729" t="s">
        <v>26</v>
      </c>
      <c r="F729" t="s">
        <v>31</v>
      </c>
      <c r="G729" t="str">
        <f t="shared" si="33"/>
        <v>Monday</v>
      </c>
      <c r="H729" t="str">
        <f t="shared" si="34"/>
        <v>Mar</v>
      </c>
      <c r="I729" s="1">
        <v>43529</v>
      </c>
      <c r="J729" s="1" t="str">
        <f t="shared" si="35"/>
        <v>Evening</v>
      </c>
      <c r="K729" s="2">
        <v>0.74236111111111114</v>
      </c>
      <c r="L729" t="s">
        <v>28</v>
      </c>
      <c r="M729">
        <v>34.869999999999997</v>
      </c>
      <c r="N729">
        <v>8.9</v>
      </c>
    </row>
    <row r="730" spans="1:14" x14ac:dyDescent="0.25">
      <c r="A730" t="s">
        <v>759</v>
      </c>
      <c r="B730" t="s">
        <v>20</v>
      </c>
      <c r="C730" t="s">
        <v>21</v>
      </c>
      <c r="D730" t="s">
        <v>22</v>
      </c>
      <c r="E730" t="s">
        <v>26</v>
      </c>
      <c r="F730" t="s">
        <v>41</v>
      </c>
      <c r="G730" t="str">
        <f t="shared" si="33"/>
        <v>Wednesday</v>
      </c>
      <c r="H730" t="str">
        <f t="shared" si="34"/>
        <v>Mar</v>
      </c>
      <c r="I730" s="1">
        <v>43540</v>
      </c>
      <c r="J730" s="1" t="str">
        <f t="shared" si="35"/>
        <v>Afternoon</v>
      </c>
      <c r="K730" s="2">
        <v>0.6479166666666667</v>
      </c>
      <c r="L730" t="s">
        <v>18</v>
      </c>
      <c r="M730">
        <v>19.452000000000002</v>
      </c>
      <c r="N730">
        <v>6.8</v>
      </c>
    </row>
    <row r="731" spans="1:14" x14ac:dyDescent="0.25">
      <c r="A731" t="s">
        <v>760</v>
      </c>
      <c r="B731" t="s">
        <v>37</v>
      </c>
      <c r="C731" t="s">
        <v>38</v>
      </c>
      <c r="D731" t="s">
        <v>15</v>
      </c>
      <c r="E731" t="s">
        <v>16</v>
      </c>
      <c r="F731" t="s">
        <v>27</v>
      </c>
      <c r="G731" t="str">
        <f t="shared" si="33"/>
        <v>Tuesday</v>
      </c>
      <c r="H731" t="str">
        <f t="shared" si="34"/>
        <v>Mar</v>
      </c>
      <c r="I731" s="1">
        <v>43533</v>
      </c>
      <c r="J731" s="1" t="str">
        <f t="shared" si="35"/>
        <v>Morning</v>
      </c>
      <c r="K731" s="2">
        <v>0.45416666666666666</v>
      </c>
      <c r="L731" t="s">
        <v>24</v>
      </c>
      <c r="M731">
        <v>18.263000000000002</v>
      </c>
      <c r="N731">
        <v>9.3000000000000007</v>
      </c>
    </row>
    <row r="732" spans="1:14" x14ac:dyDescent="0.25">
      <c r="A732" t="s">
        <v>761</v>
      </c>
      <c r="B732" t="s">
        <v>13</v>
      </c>
      <c r="C732" t="s">
        <v>14</v>
      </c>
      <c r="D732" t="s">
        <v>15</v>
      </c>
      <c r="E732" t="s">
        <v>16</v>
      </c>
      <c r="F732" t="s">
        <v>41</v>
      </c>
      <c r="G732" t="str">
        <f t="shared" si="33"/>
        <v>Sunday</v>
      </c>
      <c r="H732" t="str">
        <f t="shared" si="34"/>
        <v>Mar</v>
      </c>
      <c r="I732" s="1">
        <v>43525</v>
      </c>
      <c r="J732" s="1" t="str">
        <f t="shared" si="35"/>
        <v>Evening</v>
      </c>
      <c r="K732" s="2">
        <v>0.68263888888888891</v>
      </c>
      <c r="L732" t="s">
        <v>28</v>
      </c>
      <c r="M732">
        <v>4.4640000000000004</v>
      </c>
      <c r="N732">
        <v>4.4000000000000004</v>
      </c>
    </row>
    <row r="733" spans="1:14" x14ac:dyDescent="0.25">
      <c r="A733" t="s">
        <v>762</v>
      </c>
      <c r="B733" t="s">
        <v>13</v>
      </c>
      <c r="C733" t="s">
        <v>14</v>
      </c>
      <c r="D733" t="s">
        <v>22</v>
      </c>
      <c r="E733" t="s">
        <v>26</v>
      </c>
      <c r="F733" t="s">
        <v>17</v>
      </c>
      <c r="G733" t="str">
        <f t="shared" si="33"/>
        <v>Sunday</v>
      </c>
      <c r="H733" t="str">
        <f t="shared" si="34"/>
        <v>Feb</v>
      </c>
      <c r="I733" s="1">
        <v>43524</v>
      </c>
      <c r="J733" s="1" t="str">
        <f t="shared" si="35"/>
        <v>Evening</v>
      </c>
      <c r="K733" s="2">
        <v>0.81458333333333333</v>
      </c>
      <c r="L733" t="s">
        <v>18</v>
      </c>
      <c r="M733">
        <v>8.4</v>
      </c>
      <c r="N733">
        <v>4.8</v>
      </c>
    </row>
    <row r="734" spans="1:14" x14ac:dyDescent="0.25">
      <c r="A734" t="s">
        <v>763</v>
      </c>
      <c r="B734" t="s">
        <v>13</v>
      </c>
      <c r="C734" t="s">
        <v>14</v>
      </c>
      <c r="D734" t="s">
        <v>15</v>
      </c>
      <c r="E734" t="s">
        <v>26</v>
      </c>
      <c r="F734" t="s">
        <v>41</v>
      </c>
      <c r="G734" t="str">
        <f t="shared" si="33"/>
        <v>Thursday</v>
      </c>
      <c r="H734" t="str">
        <f t="shared" si="34"/>
        <v>Feb</v>
      </c>
      <c r="I734" s="1">
        <v>43504</v>
      </c>
      <c r="J734" s="1" t="str">
        <f t="shared" si="35"/>
        <v>Morning</v>
      </c>
      <c r="K734" s="2">
        <v>0.48541666666666666</v>
      </c>
      <c r="L734" t="s">
        <v>18</v>
      </c>
      <c r="M734">
        <v>0.98499999999999999</v>
      </c>
      <c r="N734">
        <v>9.5</v>
      </c>
    </row>
    <row r="735" spans="1:14" x14ac:dyDescent="0.25">
      <c r="A735" t="s">
        <v>764</v>
      </c>
      <c r="B735" t="s">
        <v>37</v>
      </c>
      <c r="C735" t="s">
        <v>38</v>
      </c>
      <c r="D735" t="s">
        <v>22</v>
      </c>
      <c r="E735" t="s">
        <v>26</v>
      </c>
      <c r="F735" t="s">
        <v>23</v>
      </c>
      <c r="G735" t="str">
        <f t="shared" si="33"/>
        <v>Tuesday</v>
      </c>
      <c r="H735" t="str">
        <f t="shared" si="34"/>
        <v>Jan</v>
      </c>
      <c r="I735" s="1">
        <v>43489</v>
      </c>
      <c r="J735" s="1" t="str">
        <f t="shared" si="35"/>
        <v>Morning</v>
      </c>
      <c r="K735" s="2">
        <v>0.44305555555555554</v>
      </c>
      <c r="L735" t="s">
        <v>18</v>
      </c>
      <c r="M735">
        <v>26.558</v>
      </c>
      <c r="N735">
        <v>8.9</v>
      </c>
    </row>
    <row r="736" spans="1:14" x14ac:dyDescent="0.25">
      <c r="A736" t="s">
        <v>765</v>
      </c>
      <c r="B736" t="s">
        <v>37</v>
      </c>
      <c r="C736" t="s">
        <v>38</v>
      </c>
      <c r="D736" t="s">
        <v>15</v>
      </c>
      <c r="E736" t="s">
        <v>26</v>
      </c>
      <c r="F736" t="s">
        <v>39</v>
      </c>
      <c r="G736" t="str">
        <f t="shared" si="33"/>
        <v>Sunday</v>
      </c>
      <c r="H736" t="str">
        <f t="shared" si="34"/>
        <v>Mar</v>
      </c>
      <c r="I736" s="1">
        <v>43525</v>
      </c>
      <c r="J736" s="1" t="str">
        <f t="shared" si="35"/>
        <v>Evening</v>
      </c>
      <c r="K736" s="2">
        <v>0.8354166666666667</v>
      </c>
      <c r="L736" t="s">
        <v>18</v>
      </c>
      <c r="M736">
        <v>2.6859999999999999</v>
      </c>
      <c r="N736">
        <v>6.4</v>
      </c>
    </row>
    <row r="737" spans="1:14" x14ac:dyDescent="0.25">
      <c r="A737" t="s">
        <v>766</v>
      </c>
      <c r="B737" t="s">
        <v>20</v>
      </c>
      <c r="C737" t="s">
        <v>21</v>
      </c>
      <c r="D737" t="s">
        <v>15</v>
      </c>
      <c r="E737" t="s">
        <v>26</v>
      </c>
      <c r="F737" t="s">
        <v>17</v>
      </c>
      <c r="G737" t="str">
        <f t="shared" si="33"/>
        <v>Tuesday</v>
      </c>
      <c r="H737" t="str">
        <f t="shared" si="34"/>
        <v>Mar</v>
      </c>
      <c r="I737" s="1">
        <v>43534</v>
      </c>
      <c r="J737" s="1" t="str">
        <f t="shared" si="35"/>
        <v>Afternoon</v>
      </c>
      <c r="K737" s="2">
        <v>0.52708333333333335</v>
      </c>
      <c r="L737" t="s">
        <v>28</v>
      </c>
      <c r="M737">
        <v>40.975000000000001</v>
      </c>
      <c r="N737">
        <v>6</v>
      </c>
    </row>
    <row r="738" spans="1:14" x14ac:dyDescent="0.25">
      <c r="A738" t="s">
        <v>767</v>
      </c>
      <c r="B738" t="s">
        <v>20</v>
      </c>
      <c r="C738" t="s">
        <v>21</v>
      </c>
      <c r="D738" t="s">
        <v>15</v>
      </c>
      <c r="E738" t="s">
        <v>16</v>
      </c>
      <c r="F738" t="s">
        <v>27</v>
      </c>
      <c r="G738" t="str">
        <f t="shared" si="33"/>
        <v>Thursday</v>
      </c>
      <c r="H738" t="str">
        <f t="shared" si="34"/>
        <v>Mar</v>
      </c>
      <c r="I738" s="1">
        <v>43547</v>
      </c>
      <c r="J738" s="1" t="str">
        <f t="shared" si="35"/>
        <v>Afternoon</v>
      </c>
      <c r="K738" s="2">
        <v>0.66597222222222219</v>
      </c>
      <c r="L738" t="s">
        <v>28</v>
      </c>
      <c r="M738">
        <v>28.42</v>
      </c>
      <c r="N738">
        <v>8.1</v>
      </c>
    </row>
    <row r="739" spans="1:14" x14ac:dyDescent="0.25">
      <c r="A739" t="s">
        <v>768</v>
      </c>
      <c r="B739" t="s">
        <v>20</v>
      </c>
      <c r="C739" t="s">
        <v>21</v>
      </c>
      <c r="D739" t="s">
        <v>22</v>
      </c>
      <c r="E739" t="s">
        <v>26</v>
      </c>
      <c r="F739" t="s">
        <v>23</v>
      </c>
      <c r="G739" t="str">
        <f t="shared" si="33"/>
        <v>Wednesday</v>
      </c>
      <c r="H739" t="str">
        <f t="shared" si="34"/>
        <v>Jan</v>
      </c>
      <c r="I739" s="1">
        <v>43494</v>
      </c>
      <c r="J739" s="1" t="str">
        <f t="shared" si="35"/>
        <v>Afternoon</v>
      </c>
      <c r="K739" s="2">
        <v>0.60138888888888886</v>
      </c>
      <c r="L739" t="s">
        <v>18</v>
      </c>
      <c r="M739">
        <v>29.38</v>
      </c>
      <c r="N739">
        <v>9</v>
      </c>
    </row>
    <row r="740" spans="1:14" x14ac:dyDescent="0.25">
      <c r="A740" t="s">
        <v>769</v>
      </c>
      <c r="B740" t="s">
        <v>37</v>
      </c>
      <c r="C740" t="s">
        <v>38</v>
      </c>
      <c r="D740" t="s">
        <v>15</v>
      </c>
      <c r="E740" t="s">
        <v>26</v>
      </c>
      <c r="F740" t="s">
        <v>23</v>
      </c>
      <c r="G740" t="str">
        <f t="shared" si="33"/>
        <v>Monday</v>
      </c>
      <c r="H740" t="str">
        <f t="shared" si="34"/>
        <v>Jan</v>
      </c>
      <c r="I740" s="1">
        <v>43477</v>
      </c>
      <c r="J740" s="1" t="str">
        <f t="shared" si="35"/>
        <v>Evening</v>
      </c>
      <c r="K740" s="2">
        <v>0.76527777777777783</v>
      </c>
      <c r="L740" t="s">
        <v>18</v>
      </c>
      <c r="M740">
        <v>36.624000000000002</v>
      </c>
      <c r="N740">
        <v>6</v>
      </c>
    </row>
    <row r="741" spans="1:14" x14ac:dyDescent="0.25">
      <c r="A741" t="s">
        <v>770</v>
      </c>
      <c r="B741" t="s">
        <v>13</v>
      </c>
      <c r="C741" t="s">
        <v>14</v>
      </c>
      <c r="D741" t="s">
        <v>22</v>
      </c>
      <c r="E741" t="s">
        <v>26</v>
      </c>
      <c r="F741" t="s">
        <v>27</v>
      </c>
      <c r="G741" t="str">
        <f t="shared" si="33"/>
        <v>Wednesday</v>
      </c>
      <c r="H741" t="str">
        <f t="shared" si="34"/>
        <v>Mar</v>
      </c>
      <c r="I741" s="1">
        <v>43544</v>
      </c>
      <c r="J741" s="1" t="str">
        <f t="shared" si="35"/>
        <v>Morning</v>
      </c>
      <c r="K741" s="2">
        <v>0.48055555555555557</v>
      </c>
      <c r="L741" t="s">
        <v>24</v>
      </c>
      <c r="M741">
        <v>42.281999999999996</v>
      </c>
      <c r="N741">
        <v>9.8000000000000007</v>
      </c>
    </row>
    <row r="742" spans="1:14" x14ac:dyDescent="0.25">
      <c r="A742" t="s">
        <v>771</v>
      </c>
      <c r="B742" t="s">
        <v>20</v>
      </c>
      <c r="C742" t="s">
        <v>21</v>
      </c>
      <c r="D742" t="s">
        <v>22</v>
      </c>
      <c r="E742" t="s">
        <v>26</v>
      </c>
      <c r="F742" t="s">
        <v>27</v>
      </c>
      <c r="G742" t="str">
        <f t="shared" si="33"/>
        <v>Thursday</v>
      </c>
      <c r="H742" t="str">
        <f t="shared" si="34"/>
        <v>Mar</v>
      </c>
      <c r="I742" s="1">
        <v>43547</v>
      </c>
      <c r="J742" s="1" t="str">
        <f t="shared" si="35"/>
        <v>Afternoon</v>
      </c>
      <c r="K742" s="2">
        <v>0.52847222222222223</v>
      </c>
      <c r="L742" t="s">
        <v>24</v>
      </c>
      <c r="M742">
        <v>19.4635</v>
      </c>
      <c r="N742">
        <v>8.5</v>
      </c>
    </row>
    <row r="743" spans="1:14" x14ac:dyDescent="0.25">
      <c r="A743" t="s">
        <v>772</v>
      </c>
      <c r="B743" t="s">
        <v>20</v>
      </c>
      <c r="C743" t="s">
        <v>21</v>
      </c>
      <c r="D743" t="s">
        <v>22</v>
      </c>
      <c r="E743" t="s">
        <v>26</v>
      </c>
      <c r="F743" t="s">
        <v>39</v>
      </c>
      <c r="G743" t="str">
        <f t="shared" si="33"/>
        <v>Monday</v>
      </c>
      <c r="H743" t="str">
        <f t="shared" si="34"/>
        <v>Jan</v>
      </c>
      <c r="I743" s="1">
        <v>43479</v>
      </c>
      <c r="J743" s="1" t="str">
        <f t="shared" si="35"/>
        <v>Afternoon</v>
      </c>
      <c r="K743" s="2">
        <v>0.63888888888888895</v>
      </c>
      <c r="L743" t="s">
        <v>18</v>
      </c>
      <c r="M743">
        <v>4.2415000000000003</v>
      </c>
      <c r="N743">
        <v>8.8000000000000007</v>
      </c>
    </row>
    <row r="744" spans="1:14" x14ac:dyDescent="0.25">
      <c r="A744" t="s">
        <v>773</v>
      </c>
      <c r="B744" t="s">
        <v>13</v>
      </c>
      <c r="C744" t="s">
        <v>14</v>
      </c>
      <c r="D744" t="s">
        <v>15</v>
      </c>
      <c r="E744" t="s">
        <v>16</v>
      </c>
      <c r="F744" t="s">
        <v>31</v>
      </c>
      <c r="G744" t="str">
        <f t="shared" si="33"/>
        <v>Friday</v>
      </c>
      <c r="H744" t="str">
        <f t="shared" si="34"/>
        <v>Feb</v>
      </c>
      <c r="I744" s="1">
        <v>43508</v>
      </c>
      <c r="J744" s="1" t="str">
        <f t="shared" si="35"/>
        <v>Afternoon</v>
      </c>
      <c r="K744" s="2">
        <v>0.60625000000000007</v>
      </c>
      <c r="L744" t="s">
        <v>18</v>
      </c>
      <c r="M744">
        <v>7.1630000000000003</v>
      </c>
      <c r="N744">
        <v>8.8000000000000007</v>
      </c>
    </row>
    <row r="745" spans="1:14" x14ac:dyDescent="0.25">
      <c r="A745" t="s">
        <v>774</v>
      </c>
      <c r="B745" t="s">
        <v>13</v>
      </c>
      <c r="C745" t="s">
        <v>14</v>
      </c>
      <c r="D745" t="s">
        <v>15</v>
      </c>
      <c r="E745" t="s">
        <v>26</v>
      </c>
      <c r="F745" t="s">
        <v>27</v>
      </c>
      <c r="G745" t="str">
        <f t="shared" si="33"/>
        <v>Saturday</v>
      </c>
      <c r="H745" t="str">
        <f t="shared" si="34"/>
        <v>Feb</v>
      </c>
      <c r="I745" s="1">
        <v>43516</v>
      </c>
      <c r="J745" s="1" t="str">
        <f t="shared" si="35"/>
        <v>Afternoon</v>
      </c>
      <c r="K745" s="2">
        <v>0.64513888888888882</v>
      </c>
      <c r="L745" t="s">
        <v>18</v>
      </c>
      <c r="M745">
        <v>3.7690000000000001</v>
      </c>
      <c r="N745">
        <v>9.5</v>
      </c>
    </row>
    <row r="746" spans="1:14" x14ac:dyDescent="0.25">
      <c r="A746" t="s">
        <v>775</v>
      </c>
      <c r="B746" t="s">
        <v>20</v>
      </c>
      <c r="C746" t="s">
        <v>21</v>
      </c>
      <c r="D746" t="s">
        <v>15</v>
      </c>
      <c r="E746" t="s">
        <v>16</v>
      </c>
      <c r="F746" t="s">
        <v>31</v>
      </c>
      <c r="G746" t="str">
        <f t="shared" si="33"/>
        <v>Saturday</v>
      </c>
      <c r="H746" t="str">
        <f t="shared" si="34"/>
        <v>Jan</v>
      </c>
      <c r="I746" s="1">
        <v>43467</v>
      </c>
      <c r="J746" s="1" t="str">
        <f t="shared" si="35"/>
        <v>Evening</v>
      </c>
      <c r="K746" s="2">
        <v>0.67986111111111114</v>
      </c>
      <c r="L746" t="s">
        <v>28</v>
      </c>
      <c r="M746">
        <v>12.667999999999999</v>
      </c>
      <c r="N746">
        <v>5.6</v>
      </c>
    </row>
    <row r="747" spans="1:14" x14ac:dyDescent="0.25">
      <c r="A747" t="s">
        <v>776</v>
      </c>
      <c r="B747" t="s">
        <v>20</v>
      </c>
      <c r="C747" t="s">
        <v>21</v>
      </c>
      <c r="D747" t="s">
        <v>15</v>
      </c>
      <c r="E747" t="s">
        <v>16</v>
      </c>
      <c r="F747" t="s">
        <v>39</v>
      </c>
      <c r="G747" t="str">
        <f t="shared" si="33"/>
        <v>Thursday</v>
      </c>
      <c r="H747" t="str">
        <f t="shared" si="34"/>
        <v>Feb</v>
      </c>
      <c r="I747" s="1">
        <v>43498</v>
      </c>
      <c r="J747" s="1" t="str">
        <f t="shared" si="35"/>
        <v>Evening</v>
      </c>
      <c r="K747" s="2">
        <v>0.68958333333333333</v>
      </c>
      <c r="L747" t="s">
        <v>24</v>
      </c>
      <c r="M747">
        <v>1.921</v>
      </c>
      <c r="N747">
        <v>8.6</v>
      </c>
    </row>
    <row r="748" spans="1:14" x14ac:dyDescent="0.25">
      <c r="A748" t="s">
        <v>777</v>
      </c>
      <c r="B748" t="s">
        <v>37</v>
      </c>
      <c r="C748" t="s">
        <v>38</v>
      </c>
      <c r="D748" t="s">
        <v>15</v>
      </c>
      <c r="E748" t="s">
        <v>26</v>
      </c>
      <c r="F748" t="s">
        <v>41</v>
      </c>
      <c r="G748" t="str">
        <f t="shared" si="33"/>
        <v>Sunday</v>
      </c>
      <c r="H748" t="str">
        <f t="shared" si="34"/>
        <v>Jan</v>
      </c>
      <c r="I748" s="1">
        <v>43473</v>
      </c>
      <c r="J748" s="1" t="str">
        <f t="shared" si="35"/>
        <v>Evening</v>
      </c>
      <c r="K748" s="2">
        <v>0.79652777777777783</v>
      </c>
      <c r="L748" t="s">
        <v>28</v>
      </c>
      <c r="M748">
        <v>32.615000000000002</v>
      </c>
      <c r="N748">
        <v>5.2</v>
      </c>
    </row>
    <row r="749" spans="1:14" x14ac:dyDescent="0.25">
      <c r="A749" t="s">
        <v>778</v>
      </c>
      <c r="B749" t="s">
        <v>20</v>
      </c>
      <c r="C749" t="s">
        <v>21</v>
      </c>
      <c r="D749" t="s">
        <v>15</v>
      </c>
      <c r="E749" t="s">
        <v>16</v>
      </c>
      <c r="F749" t="s">
        <v>27</v>
      </c>
      <c r="G749" t="str">
        <f t="shared" si="33"/>
        <v>Wednesday</v>
      </c>
      <c r="H749" t="str">
        <f t="shared" si="34"/>
        <v>Jan</v>
      </c>
      <c r="I749" s="1">
        <v>43495</v>
      </c>
      <c r="J749" s="1" t="str">
        <f t="shared" si="35"/>
        <v>Afternoon</v>
      </c>
      <c r="K749" s="2">
        <v>0.61319444444444449</v>
      </c>
      <c r="L749" t="s">
        <v>28</v>
      </c>
      <c r="M749">
        <v>2.6324999999999998</v>
      </c>
      <c r="N749">
        <v>5.8</v>
      </c>
    </row>
    <row r="750" spans="1:14" x14ac:dyDescent="0.25">
      <c r="A750" t="s">
        <v>779</v>
      </c>
      <c r="B750" t="s">
        <v>37</v>
      </c>
      <c r="C750" t="s">
        <v>38</v>
      </c>
      <c r="D750" t="s">
        <v>15</v>
      </c>
      <c r="E750" t="s">
        <v>16</v>
      </c>
      <c r="F750" t="s">
        <v>27</v>
      </c>
      <c r="G750" t="str">
        <f t="shared" si="33"/>
        <v>Thursday</v>
      </c>
      <c r="H750" t="str">
        <f t="shared" si="34"/>
        <v>Mar</v>
      </c>
      <c r="I750" s="1">
        <v>43550</v>
      </c>
      <c r="J750" s="1" t="str">
        <f t="shared" si="35"/>
        <v>Evening</v>
      </c>
      <c r="K750" s="2">
        <v>0.81111111111111101</v>
      </c>
      <c r="L750" t="s">
        <v>28</v>
      </c>
      <c r="M750">
        <v>5.5305</v>
      </c>
      <c r="N750">
        <v>8</v>
      </c>
    </row>
    <row r="751" spans="1:14" x14ac:dyDescent="0.25">
      <c r="A751" t="s">
        <v>780</v>
      </c>
      <c r="B751" t="s">
        <v>20</v>
      </c>
      <c r="C751" t="s">
        <v>21</v>
      </c>
      <c r="D751" t="s">
        <v>15</v>
      </c>
      <c r="E751" t="s">
        <v>26</v>
      </c>
      <c r="F751" t="s">
        <v>17</v>
      </c>
      <c r="G751" t="str">
        <f t="shared" si="33"/>
        <v>Monday</v>
      </c>
      <c r="H751" t="str">
        <f t="shared" si="34"/>
        <v>Jan</v>
      </c>
      <c r="I751" s="1">
        <v>43480</v>
      </c>
      <c r="J751" s="1" t="str">
        <f t="shared" si="35"/>
        <v>Evening</v>
      </c>
      <c r="K751" s="2">
        <v>0.86388888888888893</v>
      </c>
      <c r="L751" t="s">
        <v>24</v>
      </c>
      <c r="M751">
        <v>28.430499999999999</v>
      </c>
      <c r="N751">
        <v>9</v>
      </c>
    </row>
    <row r="752" spans="1:14" x14ac:dyDescent="0.25">
      <c r="A752" t="s">
        <v>781</v>
      </c>
      <c r="B752" t="s">
        <v>37</v>
      </c>
      <c r="C752" t="s">
        <v>38</v>
      </c>
      <c r="D752" t="s">
        <v>15</v>
      </c>
      <c r="E752" t="s">
        <v>16</v>
      </c>
      <c r="F752" t="s">
        <v>41</v>
      </c>
      <c r="G752" t="str">
        <f t="shared" si="33"/>
        <v>Tuesday</v>
      </c>
      <c r="H752" t="str">
        <f t="shared" si="34"/>
        <v>Mar</v>
      </c>
      <c r="I752" s="1">
        <v>43538</v>
      </c>
      <c r="J752" s="1" t="str">
        <f t="shared" si="35"/>
        <v>Morning</v>
      </c>
      <c r="K752" s="2">
        <v>0.4694444444444445</v>
      </c>
      <c r="L752" t="s">
        <v>18</v>
      </c>
      <c r="M752">
        <v>4.4640000000000004</v>
      </c>
      <c r="N752">
        <v>4.0999999999999996</v>
      </c>
    </row>
    <row r="753" spans="1:14" x14ac:dyDescent="0.25">
      <c r="A753" t="s">
        <v>782</v>
      </c>
      <c r="B753" t="s">
        <v>13</v>
      </c>
      <c r="C753" t="s">
        <v>14</v>
      </c>
      <c r="D753" t="s">
        <v>22</v>
      </c>
      <c r="E753" t="s">
        <v>16</v>
      </c>
      <c r="F753" t="s">
        <v>39</v>
      </c>
      <c r="G753" t="str">
        <f t="shared" si="33"/>
        <v>Thursday</v>
      </c>
      <c r="H753" t="str">
        <f t="shared" si="34"/>
        <v>Feb</v>
      </c>
      <c r="I753" s="1">
        <v>43499</v>
      </c>
      <c r="J753" s="1" t="str">
        <f t="shared" si="35"/>
        <v>Morning</v>
      </c>
      <c r="K753" s="2">
        <v>0.4381944444444445</v>
      </c>
      <c r="L753" t="s">
        <v>28</v>
      </c>
      <c r="M753">
        <v>6.82</v>
      </c>
      <c r="N753">
        <v>8.6</v>
      </c>
    </row>
    <row r="754" spans="1:14" x14ac:dyDescent="0.25">
      <c r="A754" t="s">
        <v>783</v>
      </c>
      <c r="B754" t="s">
        <v>13</v>
      </c>
      <c r="C754" t="s">
        <v>14</v>
      </c>
      <c r="D754" t="s">
        <v>15</v>
      </c>
      <c r="E754" t="s">
        <v>16</v>
      </c>
      <c r="F754" t="s">
        <v>23</v>
      </c>
      <c r="G754" t="str">
        <f t="shared" si="33"/>
        <v>Saturday</v>
      </c>
      <c r="H754" t="str">
        <f t="shared" si="34"/>
        <v>Feb</v>
      </c>
      <c r="I754" s="1">
        <v>43518</v>
      </c>
      <c r="J754" s="1" t="str">
        <f t="shared" si="35"/>
        <v>Afternoon</v>
      </c>
      <c r="K754" s="2">
        <v>0.52083333333333337</v>
      </c>
      <c r="L754" t="s">
        <v>18</v>
      </c>
      <c r="M754">
        <v>8.7100000000000009</v>
      </c>
      <c r="N754">
        <v>7</v>
      </c>
    </row>
    <row r="755" spans="1:14" x14ac:dyDescent="0.25">
      <c r="A755" t="s">
        <v>784</v>
      </c>
      <c r="B755" t="s">
        <v>37</v>
      </c>
      <c r="C755" t="s">
        <v>38</v>
      </c>
      <c r="D755" t="s">
        <v>22</v>
      </c>
      <c r="E755" t="s">
        <v>26</v>
      </c>
      <c r="F755" t="s">
        <v>27</v>
      </c>
      <c r="G755" t="str">
        <f t="shared" si="33"/>
        <v>Tuesday</v>
      </c>
      <c r="H755" t="str">
        <f t="shared" si="34"/>
        <v>Jan</v>
      </c>
      <c r="I755" s="1">
        <v>43489</v>
      </c>
      <c r="J755" s="1" t="str">
        <f t="shared" si="35"/>
        <v>Afternoon</v>
      </c>
      <c r="K755" s="2">
        <v>0.62847222222222221</v>
      </c>
      <c r="L755" t="s">
        <v>18</v>
      </c>
      <c r="M755">
        <v>18.32</v>
      </c>
      <c r="N755">
        <v>8.4</v>
      </c>
    </row>
    <row r="756" spans="1:14" x14ac:dyDescent="0.25">
      <c r="A756" t="s">
        <v>785</v>
      </c>
      <c r="B756" t="s">
        <v>20</v>
      </c>
      <c r="C756" t="s">
        <v>21</v>
      </c>
      <c r="D756" t="s">
        <v>15</v>
      </c>
      <c r="E756" t="s">
        <v>16</v>
      </c>
      <c r="F756" t="s">
        <v>41</v>
      </c>
      <c r="G756" t="str">
        <f t="shared" si="33"/>
        <v>Tuesday</v>
      </c>
      <c r="H756" t="str">
        <f t="shared" si="34"/>
        <v>Jan</v>
      </c>
      <c r="I756" s="1">
        <v>43490</v>
      </c>
      <c r="J756" s="1" t="str">
        <f t="shared" si="35"/>
        <v>Evening</v>
      </c>
      <c r="K756" s="2">
        <v>0.77083333333333337</v>
      </c>
      <c r="L756" t="s">
        <v>18</v>
      </c>
      <c r="M756">
        <v>12.730499999999999</v>
      </c>
      <c r="N756">
        <v>7.4</v>
      </c>
    </row>
    <row r="757" spans="1:14" x14ac:dyDescent="0.25">
      <c r="A757" t="s">
        <v>786</v>
      </c>
      <c r="B757" t="s">
        <v>13</v>
      </c>
      <c r="C757" t="s">
        <v>14</v>
      </c>
      <c r="D757" t="s">
        <v>22</v>
      </c>
      <c r="E757" t="s">
        <v>16</v>
      </c>
      <c r="F757" t="s">
        <v>41</v>
      </c>
      <c r="G757" t="str">
        <f t="shared" si="33"/>
        <v>Tuesday</v>
      </c>
      <c r="H757" t="str">
        <f t="shared" si="34"/>
        <v>Mar</v>
      </c>
      <c r="I757" s="1">
        <v>43533</v>
      </c>
      <c r="J757" s="1" t="str">
        <f t="shared" si="35"/>
        <v>Afternoon</v>
      </c>
      <c r="K757" s="2">
        <v>0.5541666666666667</v>
      </c>
      <c r="L757" t="s">
        <v>28</v>
      </c>
      <c r="M757">
        <v>38.915999999999997</v>
      </c>
      <c r="N757">
        <v>6.2</v>
      </c>
    </row>
    <row r="758" spans="1:14" x14ac:dyDescent="0.25">
      <c r="A758" t="s">
        <v>787</v>
      </c>
      <c r="B758" t="s">
        <v>37</v>
      </c>
      <c r="C758" t="s">
        <v>38</v>
      </c>
      <c r="D758" t="s">
        <v>15</v>
      </c>
      <c r="E758" t="s">
        <v>16</v>
      </c>
      <c r="F758" t="s">
        <v>23</v>
      </c>
      <c r="G758" t="str">
        <f t="shared" si="33"/>
        <v>Saturday</v>
      </c>
      <c r="H758" t="str">
        <f t="shared" si="34"/>
        <v>Feb</v>
      </c>
      <c r="I758" s="1">
        <v>43513</v>
      </c>
      <c r="J758" s="1" t="str">
        <f t="shared" si="35"/>
        <v>Afternoon</v>
      </c>
      <c r="K758" s="2">
        <v>0.64444444444444449</v>
      </c>
      <c r="L758" t="s">
        <v>18</v>
      </c>
      <c r="M758">
        <v>14.295999999999999</v>
      </c>
      <c r="N758">
        <v>4.9000000000000004</v>
      </c>
    </row>
    <row r="759" spans="1:14" x14ac:dyDescent="0.25">
      <c r="A759" t="s">
        <v>788</v>
      </c>
      <c r="B759" t="s">
        <v>13</v>
      </c>
      <c r="C759" t="s">
        <v>14</v>
      </c>
      <c r="D759" t="s">
        <v>22</v>
      </c>
      <c r="E759" t="s">
        <v>16</v>
      </c>
      <c r="F759" t="s">
        <v>27</v>
      </c>
      <c r="G759" t="str">
        <f t="shared" si="33"/>
        <v>Sunday</v>
      </c>
      <c r="H759" t="str">
        <f t="shared" si="34"/>
        <v>Jan</v>
      </c>
      <c r="I759" s="1">
        <v>43476</v>
      </c>
      <c r="J759" s="1" t="str">
        <f t="shared" si="35"/>
        <v>Morning</v>
      </c>
      <c r="K759" s="2">
        <v>0.49444444444444446</v>
      </c>
      <c r="L759" t="s">
        <v>24</v>
      </c>
      <c r="M759">
        <v>28.956</v>
      </c>
      <c r="N759">
        <v>4.5</v>
      </c>
    </row>
    <row r="760" spans="1:14" x14ac:dyDescent="0.25">
      <c r="A760" t="s">
        <v>789</v>
      </c>
      <c r="B760" t="s">
        <v>13</v>
      </c>
      <c r="C760" t="s">
        <v>14</v>
      </c>
      <c r="D760" t="s">
        <v>15</v>
      </c>
      <c r="E760" t="s">
        <v>26</v>
      </c>
      <c r="F760" t="s">
        <v>39</v>
      </c>
      <c r="G760" t="str">
        <f t="shared" si="33"/>
        <v>Sunday</v>
      </c>
      <c r="H760" t="str">
        <f t="shared" si="34"/>
        <v>Feb</v>
      </c>
      <c r="I760" s="1">
        <v>43523</v>
      </c>
      <c r="J760" s="1" t="str">
        <f t="shared" si="35"/>
        <v>Evening</v>
      </c>
      <c r="K760" s="2">
        <v>0.76666666666666661</v>
      </c>
      <c r="L760" t="s">
        <v>18</v>
      </c>
      <c r="M760">
        <v>9.4250000000000007</v>
      </c>
      <c r="N760">
        <v>5.6</v>
      </c>
    </row>
    <row r="761" spans="1:14" x14ac:dyDescent="0.25">
      <c r="A761" t="s">
        <v>790</v>
      </c>
      <c r="B761" t="s">
        <v>13</v>
      </c>
      <c r="C761" t="s">
        <v>14</v>
      </c>
      <c r="D761" t="s">
        <v>22</v>
      </c>
      <c r="E761" t="s">
        <v>16</v>
      </c>
      <c r="F761" t="s">
        <v>39</v>
      </c>
      <c r="G761" t="str">
        <f t="shared" si="33"/>
        <v>Thursday</v>
      </c>
      <c r="H761" t="str">
        <f t="shared" si="34"/>
        <v>Mar</v>
      </c>
      <c r="I761" s="1">
        <v>43549</v>
      </c>
      <c r="J761" s="1" t="str">
        <f t="shared" si="35"/>
        <v>Afternoon</v>
      </c>
      <c r="K761" s="2">
        <v>0.6381944444444444</v>
      </c>
      <c r="L761" t="s">
        <v>18</v>
      </c>
      <c r="M761">
        <v>11.077999999999999</v>
      </c>
      <c r="N761">
        <v>8</v>
      </c>
    </row>
    <row r="762" spans="1:14" x14ac:dyDescent="0.25">
      <c r="A762" t="s">
        <v>791</v>
      </c>
      <c r="B762" t="s">
        <v>37</v>
      </c>
      <c r="C762" t="s">
        <v>38</v>
      </c>
      <c r="D762" t="s">
        <v>15</v>
      </c>
      <c r="E762" t="s">
        <v>16</v>
      </c>
      <c r="F762" t="s">
        <v>39</v>
      </c>
      <c r="G762" t="str">
        <f t="shared" si="33"/>
        <v>Friday</v>
      </c>
      <c r="H762" t="str">
        <f t="shared" si="34"/>
        <v>Feb</v>
      </c>
      <c r="I762" s="1">
        <v>43507</v>
      </c>
      <c r="J762" s="1" t="str">
        <f t="shared" si="35"/>
        <v>Morning</v>
      </c>
      <c r="K762" s="2">
        <v>0.44305555555555554</v>
      </c>
      <c r="L762" t="s">
        <v>28</v>
      </c>
      <c r="M762">
        <v>38.6</v>
      </c>
      <c r="N762">
        <v>5.6</v>
      </c>
    </row>
    <row r="763" spans="1:14" x14ac:dyDescent="0.25">
      <c r="A763" t="s">
        <v>792</v>
      </c>
      <c r="B763" t="s">
        <v>37</v>
      </c>
      <c r="C763" t="s">
        <v>38</v>
      </c>
      <c r="D763" t="s">
        <v>22</v>
      </c>
      <c r="E763" t="s">
        <v>26</v>
      </c>
      <c r="F763" t="s">
        <v>23</v>
      </c>
      <c r="G763" t="str">
        <f t="shared" si="33"/>
        <v>Wednesday</v>
      </c>
      <c r="H763" t="str">
        <f t="shared" si="34"/>
        <v>Jan</v>
      </c>
      <c r="I763" s="1">
        <v>43496</v>
      </c>
      <c r="J763" s="1" t="str">
        <f t="shared" si="35"/>
        <v>Afternoon</v>
      </c>
      <c r="K763" s="2">
        <v>0.6333333333333333</v>
      </c>
      <c r="L763" t="s">
        <v>28</v>
      </c>
      <c r="M763">
        <v>36.064999999999998</v>
      </c>
      <c r="N763">
        <v>4.2</v>
      </c>
    </row>
    <row r="764" spans="1:14" x14ac:dyDescent="0.25">
      <c r="A764" t="s">
        <v>793</v>
      </c>
      <c r="B764" t="s">
        <v>13</v>
      </c>
      <c r="C764" t="s">
        <v>14</v>
      </c>
      <c r="D764" t="s">
        <v>15</v>
      </c>
      <c r="E764" t="s">
        <v>16</v>
      </c>
      <c r="F764" t="s">
        <v>41</v>
      </c>
      <c r="G764" t="str">
        <f t="shared" si="33"/>
        <v>Tuesday</v>
      </c>
      <c r="H764" t="str">
        <f t="shared" si="34"/>
        <v>Jan</v>
      </c>
      <c r="I764" s="1">
        <v>43485</v>
      </c>
      <c r="J764" s="1" t="str">
        <f t="shared" si="35"/>
        <v>Evening</v>
      </c>
      <c r="K764" s="2">
        <v>0.7416666666666667</v>
      </c>
      <c r="L764" t="s">
        <v>18</v>
      </c>
      <c r="M764">
        <v>25.552</v>
      </c>
      <c r="N764">
        <v>9.9</v>
      </c>
    </row>
    <row r="765" spans="1:14" x14ac:dyDescent="0.25">
      <c r="A765" t="s">
        <v>794</v>
      </c>
      <c r="B765" t="s">
        <v>13</v>
      </c>
      <c r="C765" t="s">
        <v>14</v>
      </c>
      <c r="D765" t="s">
        <v>15</v>
      </c>
      <c r="E765" t="s">
        <v>16</v>
      </c>
      <c r="F765" t="s">
        <v>17</v>
      </c>
      <c r="G765" t="str">
        <f t="shared" si="33"/>
        <v>Thursday</v>
      </c>
      <c r="H765" t="str">
        <f t="shared" si="34"/>
        <v>Mar</v>
      </c>
      <c r="I765" s="1">
        <v>43550</v>
      </c>
      <c r="J765" s="1" t="str">
        <f t="shared" si="35"/>
        <v>Morning</v>
      </c>
      <c r="K765" s="2">
        <v>0.46319444444444446</v>
      </c>
      <c r="L765" t="s">
        <v>18</v>
      </c>
      <c r="M765">
        <v>2.6724999999999999</v>
      </c>
      <c r="N765">
        <v>7.6</v>
      </c>
    </row>
    <row r="766" spans="1:14" x14ac:dyDescent="0.25">
      <c r="A766" t="s">
        <v>795</v>
      </c>
      <c r="B766" t="s">
        <v>13</v>
      </c>
      <c r="C766" t="s">
        <v>14</v>
      </c>
      <c r="D766" t="s">
        <v>15</v>
      </c>
      <c r="E766" t="s">
        <v>26</v>
      </c>
      <c r="F766" t="s">
        <v>17</v>
      </c>
      <c r="G766" t="str">
        <f t="shared" si="33"/>
        <v>Tuesday</v>
      </c>
      <c r="H766" t="str">
        <f t="shared" si="34"/>
        <v>Jan</v>
      </c>
      <c r="I766" s="1">
        <v>43485</v>
      </c>
      <c r="J766" s="1" t="str">
        <f t="shared" si="35"/>
        <v>Afternoon</v>
      </c>
      <c r="K766" s="2">
        <v>0.65833333333333333</v>
      </c>
      <c r="L766" t="s">
        <v>28</v>
      </c>
      <c r="M766">
        <v>11.1</v>
      </c>
      <c r="N766">
        <v>6.6</v>
      </c>
    </row>
    <row r="767" spans="1:14" x14ac:dyDescent="0.25">
      <c r="A767" t="s">
        <v>796</v>
      </c>
      <c r="B767" t="s">
        <v>37</v>
      </c>
      <c r="C767" t="s">
        <v>38</v>
      </c>
      <c r="D767" t="s">
        <v>22</v>
      </c>
      <c r="E767" t="s">
        <v>16</v>
      </c>
      <c r="F767" t="s">
        <v>27</v>
      </c>
      <c r="G767" t="str">
        <f t="shared" si="33"/>
        <v>Monday</v>
      </c>
      <c r="H767" t="str">
        <f t="shared" si="34"/>
        <v>Mar</v>
      </c>
      <c r="I767" s="1">
        <v>43529</v>
      </c>
      <c r="J767" s="1" t="str">
        <f t="shared" si="35"/>
        <v>Evening</v>
      </c>
      <c r="K767" s="2">
        <v>0.81944444444444453</v>
      </c>
      <c r="L767" t="s">
        <v>18</v>
      </c>
      <c r="M767">
        <v>38.183999999999997</v>
      </c>
      <c r="N767">
        <v>4.7</v>
      </c>
    </row>
    <row r="768" spans="1:14" x14ac:dyDescent="0.25">
      <c r="A768" t="s">
        <v>797</v>
      </c>
      <c r="B768" t="s">
        <v>20</v>
      </c>
      <c r="C768" t="s">
        <v>21</v>
      </c>
      <c r="D768" t="s">
        <v>22</v>
      </c>
      <c r="E768" t="s">
        <v>16</v>
      </c>
      <c r="F768" t="s">
        <v>41</v>
      </c>
      <c r="G768" t="str">
        <f t="shared" si="33"/>
        <v>Sunday</v>
      </c>
      <c r="H768" t="str">
        <f t="shared" si="34"/>
        <v>Jan</v>
      </c>
      <c r="I768" s="1">
        <v>43470</v>
      </c>
      <c r="J768" s="1" t="str">
        <f t="shared" si="35"/>
        <v>Evening</v>
      </c>
      <c r="K768" s="2">
        <v>0.85416666666666663</v>
      </c>
      <c r="L768" t="s">
        <v>28</v>
      </c>
      <c r="M768">
        <v>11.409000000000001</v>
      </c>
      <c r="N768">
        <v>9.8000000000000007</v>
      </c>
    </row>
    <row r="769" spans="1:14" x14ac:dyDescent="0.25">
      <c r="A769" t="s">
        <v>798</v>
      </c>
      <c r="B769" t="s">
        <v>37</v>
      </c>
      <c r="C769" t="s">
        <v>38</v>
      </c>
      <c r="D769" t="s">
        <v>22</v>
      </c>
      <c r="E769" t="s">
        <v>26</v>
      </c>
      <c r="F769" t="s">
        <v>31</v>
      </c>
      <c r="G769" t="str">
        <f t="shared" si="33"/>
        <v>Friday</v>
      </c>
      <c r="H769" t="str">
        <f t="shared" si="34"/>
        <v>Feb</v>
      </c>
      <c r="I769" s="1">
        <v>43509</v>
      </c>
      <c r="J769" s="1" t="str">
        <f t="shared" si="35"/>
        <v>Afternoon</v>
      </c>
      <c r="K769" s="2">
        <v>0.58263888888888882</v>
      </c>
      <c r="L769" t="s">
        <v>24</v>
      </c>
      <c r="M769">
        <v>4.1070000000000002</v>
      </c>
      <c r="N769">
        <v>6.3</v>
      </c>
    </row>
    <row r="770" spans="1:14" x14ac:dyDescent="0.25">
      <c r="A770" t="s">
        <v>799</v>
      </c>
      <c r="B770" t="s">
        <v>37</v>
      </c>
      <c r="C770" t="s">
        <v>38</v>
      </c>
      <c r="D770" t="s">
        <v>22</v>
      </c>
      <c r="E770" t="s">
        <v>16</v>
      </c>
      <c r="F770" t="s">
        <v>23</v>
      </c>
      <c r="G770" t="str">
        <f t="shared" si="33"/>
        <v>Wednesday</v>
      </c>
      <c r="H770" t="str">
        <f t="shared" si="34"/>
        <v>Mar</v>
      </c>
      <c r="I770" s="1">
        <v>43540</v>
      </c>
      <c r="J770" s="1" t="str">
        <f t="shared" si="35"/>
        <v>Evening</v>
      </c>
      <c r="K770" s="2">
        <v>0.78541666666666676</v>
      </c>
      <c r="L770" t="s">
        <v>24</v>
      </c>
      <c r="M770">
        <v>19.128</v>
      </c>
      <c r="N770">
        <v>7.9</v>
      </c>
    </row>
    <row r="771" spans="1:14" x14ac:dyDescent="0.25">
      <c r="A771" t="s">
        <v>800</v>
      </c>
      <c r="B771" t="s">
        <v>13</v>
      </c>
      <c r="C771" t="s">
        <v>14</v>
      </c>
      <c r="D771" t="s">
        <v>22</v>
      </c>
      <c r="E771" t="s">
        <v>16</v>
      </c>
      <c r="F771" t="s">
        <v>27</v>
      </c>
      <c r="G771" t="str">
        <f t="shared" ref="G771:G834" si="36">TEXT(I771/7,"dddd")</f>
        <v>Monday</v>
      </c>
      <c r="H771" t="str">
        <f t="shared" ref="H771:H834" si="37">TEXT(I771,"mmm")</f>
        <v>Jan</v>
      </c>
      <c r="I771" s="1">
        <v>43480</v>
      </c>
      <c r="J771" s="1" t="str">
        <f t="shared" ref="J771:J834" si="38">IF(AND(K771&gt;=TIME(9,0,0),K771&lt;TIME(12,0,0)),"Morning",IF(AND(K771&gt;=TIME(12,0,0),K771&lt;TIME(16,0,0)),"Afternoon","Evening"))</f>
        <v>Evening</v>
      </c>
      <c r="K771" s="2">
        <v>0.72499999999999998</v>
      </c>
      <c r="L771" t="s">
        <v>24</v>
      </c>
      <c r="M771">
        <v>3.4289999999999998</v>
      </c>
      <c r="N771">
        <v>7.7</v>
      </c>
    </row>
    <row r="772" spans="1:14" x14ac:dyDescent="0.25">
      <c r="A772" t="s">
        <v>801</v>
      </c>
      <c r="B772" t="s">
        <v>37</v>
      </c>
      <c r="C772" t="s">
        <v>38</v>
      </c>
      <c r="D772" t="s">
        <v>15</v>
      </c>
      <c r="E772" t="s">
        <v>16</v>
      </c>
      <c r="F772" t="s">
        <v>31</v>
      </c>
      <c r="G772" t="str">
        <f t="shared" si="36"/>
        <v>Sunday</v>
      </c>
      <c r="H772" t="str">
        <f t="shared" si="37"/>
        <v>Feb</v>
      </c>
      <c r="I772" s="1">
        <v>43522</v>
      </c>
      <c r="J772" s="1" t="str">
        <f t="shared" si="38"/>
        <v>Morning</v>
      </c>
      <c r="K772" s="2">
        <v>0.49861111111111112</v>
      </c>
      <c r="L772" t="s">
        <v>18</v>
      </c>
      <c r="M772">
        <v>19.108000000000001</v>
      </c>
      <c r="N772">
        <v>4.5</v>
      </c>
    </row>
    <row r="773" spans="1:14" x14ac:dyDescent="0.25">
      <c r="A773" t="s">
        <v>802</v>
      </c>
      <c r="B773" t="s">
        <v>20</v>
      </c>
      <c r="C773" t="s">
        <v>21</v>
      </c>
      <c r="D773" t="s">
        <v>15</v>
      </c>
      <c r="E773" t="s">
        <v>16</v>
      </c>
      <c r="F773" t="s">
        <v>17</v>
      </c>
      <c r="G773" t="str">
        <f t="shared" si="36"/>
        <v>Sunday</v>
      </c>
      <c r="H773" t="str">
        <f t="shared" si="37"/>
        <v>Feb</v>
      </c>
      <c r="I773" s="1">
        <v>43523</v>
      </c>
      <c r="J773" s="1" t="str">
        <f t="shared" si="38"/>
        <v>Evening</v>
      </c>
      <c r="K773" s="2">
        <v>0.79236111111111107</v>
      </c>
      <c r="L773" t="s">
        <v>28</v>
      </c>
      <c r="M773">
        <v>30.054500000000001</v>
      </c>
      <c r="N773">
        <v>8</v>
      </c>
    </row>
    <row r="774" spans="1:14" x14ac:dyDescent="0.25">
      <c r="A774" t="s">
        <v>803</v>
      </c>
      <c r="B774" t="s">
        <v>20</v>
      </c>
      <c r="C774" t="s">
        <v>21</v>
      </c>
      <c r="D774" t="s">
        <v>15</v>
      </c>
      <c r="E774" t="s">
        <v>16</v>
      </c>
      <c r="F774" t="s">
        <v>31</v>
      </c>
      <c r="G774" t="str">
        <f t="shared" si="36"/>
        <v>Saturday</v>
      </c>
      <c r="H774" t="str">
        <f t="shared" si="37"/>
        <v>Feb</v>
      </c>
      <c r="I774" s="1">
        <v>43513</v>
      </c>
      <c r="J774" s="1" t="str">
        <f t="shared" si="38"/>
        <v>Evening</v>
      </c>
      <c r="K774" s="2">
        <v>0.70138888888888884</v>
      </c>
      <c r="L774" t="s">
        <v>18</v>
      </c>
      <c r="M774">
        <v>23.796500000000002</v>
      </c>
      <c r="N774">
        <v>5.7</v>
      </c>
    </row>
    <row r="775" spans="1:14" x14ac:dyDescent="0.25">
      <c r="A775" t="s">
        <v>804</v>
      </c>
      <c r="B775" t="s">
        <v>20</v>
      </c>
      <c r="C775" t="s">
        <v>21</v>
      </c>
      <c r="D775" t="s">
        <v>22</v>
      </c>
      <c r="E775" t="s">
        <v>16</v>
      </c>
      <c r="F775" t="s">
        <v>39</v>
      </c>
      <c r="G775" t="str">
        <f t="shared" si="36"/>
        <v>Thursday</v>
      </c>
      <c r="H775" t="str">
        <f t="shared" si="37"/>
        <v>Feb</v>
      </c>
      <c r="I775" s="1">
        <v>43502</v>
      </c>
      <c r="J775" s="1" t="str">
        <f t="shared" si="38"/>
        <v>Morning</v>
      </c>
      <c r="K775" s="2">
        <v>0.43194444444444446</v>
      </c>
      <c r="L775" t="s">
        <v>28</v>
      </c>
      <c r="M775">
        <v>2.621</v>
      </c>
      <c r="N775">
        <v>6.3</v>
      </c>
    </row>
    <row r="776" spans="1:14" x14ac:dyDescent="0.25">
      <c r="A776" t="s">
        <v>805</v>
      </c>
      <c r="B776" t="s">
        <v>20</v>
      </c>
      <c r="C776" t="s">
        <v>21</v>
      </c>
      <c r="D776" t="s">
        <v>15</v>
      </c>
      <c r="E776" t="s">
        <v>26</v>
      </c>
      <c r="F776" t="s">
        <v>39</v>
      </c>
      <c r="G776" t="str">
        <f t="shared" si="36"/>
        <v>Monday</v>
      </c>
      <c r="H776" t="str">
        <f t="shared" si="37"/>
        <v>Jan</v>
      </c>
      <c r="I776" s="1">
        <v>43482</v>
      </c>
      <c r="J776" s="1" t="str">
        <f t="shared" si="38"/>
        <v>Evening</v>
      </c>
      <c r="K776" s="2">
        <v>0.69861111111111107</v>
      </c>
      <c r="L776" t="s">
        <v>24</v>
      </c>
      <c r="M776">
        <v>6.5650000000000004</v>
      </c>
      <c r="N776">
        <v>6</v>
      </c>
    </row>
    <row r="777" spans="1:14" x14ac:dyDescent="0.25">
      <c r="A777" t="s">
        <v>806</v>
      </c>
      <c r="B777" t="s">
        <v>37</v>
      </c>
      <c r="C777" t="s">
        <v>38</v>
      </c>
      <c r="D777" t="s">
        <v>22</v>
      </c>
      <c r="E777" t="s">
        <v>16</v>
      </c>
      <c r="F777" t="s">
        <v>39</v>
      </c>
      <c r="G777" t="str">
        <f t="shared" si="36"/>
        <v>Tuesday</v>
      </c>
      <c r="H777" t="str">
        <f t="shared" si="37"/>
        <v>Jan</v>
      </c>
      <c r="I777" s="1">
        <v>43487</v>
      </c>
      <c r="J777" s="1" t="str">
        <f t="shared" si="38"/>
        <v>Evening</v>
      </c>
      <c r="K777" s="2">
        <v>0.75555555555555554</v>
      </c>
      <c r="L777" t="s">
        <v>28</v>
      </c>
      <c r="M777">
        <v>7.2149999999999999</v>
      </c>
      <c r="N777">
        <v>8</v>
      </c>
    </row>
    <row r="778" spans="1:14" x14ac:dyDescent="0.25">
      <c r="A778" t="s">
        <v>807</v>
      </c>
      <c r="B778" t="s">
        <v>20</v>
      </c>
      <c r="C778" t="s">
        <v>21</v>
      </c>
      <c r="D778" t="s">
        <v>15</v>
      </c>
      <c r="E778" t="s">
        <v>26</v>
      </c>
      <c r="F778" t="s">
        <v>17</v>
      </c>
      <c r="G778" t="str">
        <f t="shared" si="36"/>
        <v>Monday</v>
      </c>
      <c r="H778" t="str">
        <f t="shared" si="37"/>
        <v>Mar</v>
      </c>
      <c r="I778" s="1">
        <v>43529</v>
      </c>
      <c r="J778" s="1" t="str">
        <f t="shared" si="38"/>
        <v>Evening</v>
      </c>
      <c r="K778" s="2">
        <v>0.75138888888888899</v>
      </c>
      <c r="L778" t="s">
        <v>28</v>
      </c>
      <c r="M778">
        <v>22.858499999999999</v>
      </c>
      <c r="N778">
        <v>4.2</v>
      </c>
    </row>
    <row r="779" spans="1:14" x14ac:dyDescent="0.25">
      <c r="A779" t="s">
        <v>808</v>
      </c>
      <c r="B779" t="s">
        <v>37</v>
      </c>
      <c r="C779" t="s">
        <v>38</v>
      </c>
      <c r="D779" t="s">
        <v>22</v>
      </c>
      <c r="E779" t="s">
        <v>26</v>
      </c>
      <c r="F779" t="s">
        <v>31</v>
      </c>
      <c r="G779" t="str">
        <f t="shared" si="36"/>
        <v>Saturday</v>
      </c>
      <c r="H779" t="str">
        <f t="shared" si="37"/>
        <v>Jan</v>
      </c>
      <c r="I779" s="1">
        <v>43468</v>
      </c>
      <c r="J779" s="1" t="str">
        <f t="shared" si="38"/>
        <v>Afternoon</v>
      </c>
      <c r="K779" s="2">
        <v>0.54652777777777783</v>
      </c>
      <c r="L779" t="s">
        <v>24</v>
      </c>
      <c r="M779">
        <v>4.6689999999999996</v>
      </c>
      <c r="N779">
        <v>9.6</v>
      </c>
    </row>
    <row r="780" spans="1:14" x14ac:dyDescent="0.25">
      <c r="A780" t="s">
        <v>809</v>
      </c>
      <c r="B780" t="s">
        <v>20</v>
      </c>
      <c r="C780" t="s">
        <v>21</v>
      </c>
      <c r="D780" t="s">
        <v>15</v>
      </c>
      <c r="E780" t="s">
        <v>26</v>
      </c>
      <c r="F780" t="s">
        <v>31</v>
      </c>
      <c r="G780" t="str">
        <f t="shared" si="36"/>
        <v>Wednesday</v>
      </c>
      <c r="H780" t="str">
        <f t="shared" si="37"/>
        <v>Mar</v>
      </c>
      <c r="I780" s="1">
        <v>43544</v>
      </c>
      <c r="J780" s="1" t="str">
        <f t="shared" si="38"/>
        <v>Evening</v>
      </c>
      <c r="K780" s="2">
        <v>0.74444444444444446</v>
      </c>
      <c r="L780" t="s">
        <v>24</v>
      </c>
      <c r="M780">
        <v>6.3125</v>
      </c>
      <c r="N780">
        <v>6.1</v>
      </c>
    </row>
    <row r="781" spans="1:14" x14ac:dyDescent="0.25">
      <c r="A781" t="s">
        <v>810</v>
      </c>
      <c r="B781" t="s">
        <v>37</v>
      </c>
      <c r="C781" t="s">
        <v>38</v>
      </c>
      <c r="D781" t="s">
        <v>15</v>
      </c>
      <c r="E781" t="s">
        <v>26</v>
      </c>
      <c r="F781" t="s">
        <v>23</v>
      </c>
      <c r="G781" t="str">
        <f t="shared" si="36"/>
        <v>Wednesday</v>
      </c>
      <c r="H781" t="str">
        <f t="shared" si="37"/>
        <v>Jan</v>
      </c>
      <c r="I781" s="1">
        <v>43496</v>
      </c>
      <c r="J781" s="1" t="str">
        <f t="shared" si="38"/>
        <v>Evening</v>
      </c>
      <c r="K781" s="2">
        <v>0.85555555555555562</v>
      </c>
      <c r="L781" t="s">
        <v>18</v>
      </c>
      <c r="M781">
        <v>39.541499999999999</v>
      </c>
      <c r="N781">
        <v>5.6</v>
      </c>
    </row>
    <row r="782" spans="1:14" x14ac:dyDescent="0.25">
      <c r="A782" t="s">
        <v>811</v>
      </c>
      <c r="B782" t="s">
        <v>20</v>
      </c>
      <c r="C782" t="s">
        <v>21</v>
      </c>
      <c r="D782" t="s">
        <v>22</v>
      </c>
      <c r="E782" t="s">
        <v>26</v>
      </c>
      <c r="F782" t="s">
        <v>17</v>
      </c>
      <c r="G782" t="str">
        <f t="shared" si="36"/>
        <v>Saturday</v>
      </c>
      <c r="H782" t="str">
        <f t="shared" si="37"/>
        <v>Feb</v>
      </c>
      <c r="I782" s="1">
        <v>43515</v>
      </c>
      <c r="J782" s="1" t="str">
        <f t="shared" si="38"/>
        <v>Evening</v>
      </c>
      <c r="K782" s="2">
        <v>0.80833333333333324</v>
      </c>
      <c r="L782" t="s">
        <v>24</v>
      </c>
      <c r="M782">
        <v>8.7200000000000006</v>
      </c>
      <c r="N782">
        <v>8.3000000000000007</v>
      </c>
    </row>
    <row r="783" spans="1:14" x14ac:dyDescent="0.25">
      <c r="A783" t="s">
        <v>812</v>
      </c>
      <c r="B783" t="s">
        <v>13</v>
      </c>
      <c r="C783" t="s">
        <v>14</v>
      </c>
      <c r="D783" t="s">
        <v>22</v>
      </c>
      <c r="E783" t="s">
        <v>16</v>
      </c>
      <c r="F783" t="s">
        <v>31</v>
      </c>
      <c r="G783" t="str">
        <f t="shared" si="36"/>
        <v>Friday</v>
      </c>
      <c r="H783" t="str">
        <f t="shared" si="37"/>
        <v>Feb</v>
      </c>
      <c r="I783" s="1">
        <v>43507</v>
      </c>
      <c r="J783" s="1" t="str">
        <f t="shared" si="38"/>
        <v>Evening</v>
      </c>
      <c r="K783" s="2">
        <v>0.67083333333333339</v>
      </c>
      <c r="L783" t="s">
        <v>18</v>
      </c>
      <c r="M783">
        <v>18.952000000000002</v>
      </c>
      <c r="N783">
        <v>7.8</v>
      </c>
    </row>
    <row r="784" spans="1:14" x14ac:dyDescent="0.25">
      <c r="A784" t="s">
        <v>813</v>
      </c>
      <c r="B784" t="s">
        <v>13</v>
      </c>
      <c r="C784" t="s">
        <v>14</v>
      </c>
      <c r="D784" t="s">
        <v>15</v>
      </c>
      <c r="E784" t="s">
        <v>16</v>
      </c>
      <c r="F784" t="s">
        <v>41</v>
      </c>
      <c r="G784" t="str">
        <f t="shared" si="36"/>
        <v>Thursday</v>
      </c>
      <c r="H784" t="str">
        <f t="shared" si="37"/>
        <v>Feb</v>
      </c>
      <c r="I784" s="1">
        <v>43501</v>
      </c>
      <c r="J784" s="1" t="str">
        <f t="shared" si="38"/>
        <v>Afternoon</v>
      </c>
      <c r="K784" s="2">
        <v>0.59305555555555556</v>
      </c>
      <c r="L784" t="s">
        <v>28</v>
      </c>
      <c r="M784">
        <v>1.5309999999999999</v>
      </c>
      <c r="N784">
        <v>4.0999999999999996</v>
      </c>
    </row>
    <row r="785" spans="1:14" x14ac:dyDescent="0.25">
      <c r="A785" t="s">
        <v>814</v>
      </c>
      <c r="B785" t="s">
        <v>20</v>
      </c>
      <c r="C785" t="s">
        <v>21</v>
      </c>
      <c r="D785" t="s">
        <v>22</v>
      </c>
      <c r="E785" t="s">
        <v>16</v>
      </c>
      <c r="F785" t="s">
        <v>27</v>
      </c>
      <c r="G785" t="str">
        <f t="shared" si="36"/>
        <v>Monday</v>
      </c>
      <c r="H785" t="str">
        <f t="shared" si="37"/>
        <v>Mar</v>
      </c>
      <c r="I785" s="1">
        <v>43527</v>
      </c>
      <c r="J785" s="1" t="str">
        <f t="shared" si="38"/>
        <v>Evening</v>
      </c>
      <c r="K785" s="2">
        <v>0.73333333333333339</v>
      </c>
      <c r="L785" t="s">
        <v>24</v>
      </c>
      <c r="M785">
        <v>17.603999999999999</v>
      </c>
      <c r="N785">
        <v>8.8000000000000007</v>
      </c>
    </row>
    <row r="786" spans="1:14" x14ac:dyDescent="0.25">
      <c r="A786" t="s">
        <v>815</v>
      </c>
      <c r="B786" t="s">
        <v>20</v>
      </c>
      <c r="C786" t="s">
        <v>21</v>
      </c>
      <c r="D786" t="s">
        <v>15</v>
      </c>
      <c r="E786" t="s">
        <v>16</v>
      </c>
      <c r="F786" t="s">
        <v>17</v>
      </c>
      <c r="G786" t="str">
        <f t="shared" si="36"/>
        <v>Sunday</v>
      </c>
      <c r="H786" t="str">
        <f t="shared" si="37"/>
        <v>Feb</v>
      </c>
      <c r="I786" s="1">
        <v>43520</v>
      </c>
      <c r="J786" s="1" t="str">
        <f t="shared" si="38"/>
        <v>Afternoon</v>
      </c>
      <c r="K786" s="2">
        <v>0.54722222222222217</v>
      </c>
      <c r="L786" t="s">
        <v>18</v>
      </c>
      <c r="M786">
        <v>2.54</v>
      </c>
      <c r="N786">
        <v>4.0999999999999996</v>
      </c>
    </row>
    <row r="787" spans="1:14" x14ac:dyDescent="0.25">
      <c r="A787" t="s">
        <v>816</v>
      </c>
      <c r="B787" t="s">
        <v>13</v>
      </c>
      <c r="C787" t="s">
        <v>14</v>
      </c>
      <c r="D787" t="s">
        <v>22</v>
      </c>
      <c r="E787" t="s">
        <v>26</v>
      </c>
      <c r="F787" t="s">
        <v>23</v>
      </c>
      <c r="G787" t="str">
        <f t="shared" si="36"/>
        <v>Thursday</v>
      </c>
      <c r="H787" t="str">
        <f t="shared" si="37"/>
        <v>Feb</v>
      </c>
      <c r="I787" s="1">
        <v>43500</v>
      </c>
      <c r="J787" s="1" t="str">
        <f t="shared" si="38"/>
        <v>Evening</v>
      </c>
      <c r="K787" s="2">
        <v>0.67291666666666661</v>
      </c>
      <c r="L787" t="s">
        <v>28</v>
      </c>
      <c r="M787">
        <v>26.103000000000002</v>
      </c>
      <c r="N787">
        <v>9</v>
      </c>
    </row>
    <row r="788" spans="1:14" x14ac:dyDescent="0.25">
      <c r="A788" t="s">
        <v>817</v>
      </c>
      <c r="B788" t="s">
        <v>20</v>
      </c>
      <c r="C788" t="s">
        <v>21</v>
      </c>
      <c r="D788" t="s">
        <v>22</v>
      </c>
      <c r="E788" t="s">
        <v>26</v>
      </c>
      <c r="F788" t="s">
        <v>23</v>
      </c>
      <c r="G788" t="str">
        <f t="shared" si="36"/>
        <v>Saturday</v>
      </c>
      <c r="H788" t="str">
        <f t="shared" si="37"/>
        <v>Feb</v>
      </c>
      <c r="I788" s="1">
        <v>43515</v>
      </c>
      <c r="J788" s="1" t="str">
        <f t="shared" si="38"/>
        <v>Morning</v>
      </c>
      <c r="K788" s="2">
        <v>0.48125000000000001</v>
      </c>
      <c r="L788" t="s">
        <v>18</v>
      </c>
      <c r="M788">
        <v>28.756</v>
      </c>
      <c r="N788">
        <v>5.5</v>
      </c>
    </row>
    <row r="789" spans="1:14" x14ac:dyDescent="0.25">
      <c r="A789" t="s">
        <v>818</v>
      </c>
      <c r="B789" t="s">
        <v>20</v>
      </c>
      <c r="C789" t="s">
        <v>21</v>
      </c>
      <c r="D789" t="s">
        <v>22</v>
      </c>
      <c r="E789" t="s">
        <v>16</v>
      </c>
      <c r="F789" t="s">
        <v>17</v>
      </c>
      <c r="G789" t="str">
        <f t="shared" si="36"/>
        <v>Tuesday</v>
      </c>
      <c r="H789" t="str">
        <f t="shared" si="37"/>
        <v>Jan</v>
      </c>
      <c r="I789" s="1">
        <v>43488</v>
      </c>
      <c r="J789" s="1" t="str">
        <f t="shared" si="38"/>
        <v>Morning</v>
      </c>
      <c r="K789" s="2">
        <v>0.4291666666666667</v>
      </c>
      <c r="L789" t="s">
        <v>28</v>
      </c>
      <c r="M789">
        <v>2.7475000000000001</v>
      </c>
      <c r="N789">
        <v>9.3000000000000007</v>
      </c>
    </row>
    <row r="790" spans="1:14" x14ac:dyDescent="0.25">
      <c r="A790" t="s">
        <v>819</v>
      </c>
      <c r="B790" t="s">
        <v>20</v>
      </c>
      <c r="C790" t="s">
        <v>21</v>
      </c>
      <c r="D790" t="s">
        <v>15</v>
      </c>
      <c r="E790" t="s">
        <v>26</v>
      </c>
      <c r="F790" t="s">
        <v>17</v>
      </c>
      <c r="G790" t="str">
        <f t="shared" si="36"/>
        <v>Monday</v>
      </c>
      <c r="H790" t="str">
        <f t="shared" si="37"/>
        <v>Jan</v>
      </c>
      <c r="I790" s="1">
        <v>43479</v>
      </c>
      <c r="J790" s="1" t="str">
        <f t="shared" si="38"/>
        <v>Morning</v>
      </c>
      <c r="K790" s="2">
        <v>0.4548611111111111</v>
      </c>
      <c r="L790" t="s">
        <v>28</v>
      </c>
      <c r="M790">
        <v>9.0704999999999991</v>
      </c>
      <c r="N790">
        <v>5.6</v>
      </c>
    </row>
    <row r="791" spans="1:14" x14ac:dyDescent="0.25">
      <c r="A791" t="s">
        <v>820</v>
      </c>
      <c r="B791" t="s">
        <v>13</v>
      </c>
      <c r="C791" t="s">
        <v>14</v>
      </c>
      <c r="D791" t="s">
        <v>22</v>
      </c>
      <c r="E791" t="s">
        <v>26</v>
      </c>
      <c r="F791" t="s">
        <v>31</v>
      </c>
      <c r="G791" t="str">
        <f t="shared" si="36"/>
        <v>Monday</v>
      </c>
      <c r="H791" t="str">
        <f t="shared" si="37"/>
        <v>Jan</v>
      </c>
      <c r="I791" s="1">
        <v>43482</v>
      </c>
      <c r="J791" s="1" t="str">
        <f t="shared" si="38"/>
        <v>Afternoon</v>
      </c>
      <c r="K791" s="2">
        <v>0.63541666666666663</v>
      </c>
      <c r="L791" t="s">
        <v>18</v>
      </c>
      <c r="M791">
        <v>20.618500000000001</v>
      </c>
      <c r="N791">
        <v>9.6999999999999993</v>
      </c>
    </row>
    <row r="792" spans="1:14" x14ac:dyDescent="0.25">
      <c r="A792" t="s">
        <v>821</v>
      </c>
      <c r="B792" t="s">
        <v>13</v>
      </c>
      <c r="C792" t="s">
        <v>14</v>
      </c>
      <c r="D792" t="s">
        <v>22</v>
      </c>
      <c r="E792" t="s">
        <v>26</v>
      </c>
      <c r="F792" t="s">
        <v>41</v>
      </c>
      <c r="G792" t="str">
        <f t="shared" si="36"/>
        <v>Monday</v>
      </c>
      <c r="H792" t="str">
        <f t="shared" si="37"/>
        <v>Mar</v>
      </c>
      <c r="I792" s="1">
        <v>43527</v>
      </c>
      <c r="J792" s="1" t="str">
        <f t="shared" si="38"/>
        <v>Evening</v>
      </c>
      <c r="K792" s="2">
        <v>0.83750000000000002</v>
      </c>
      <c r="L792" t="s">
        <v>28</v>
      </c>
      <c r="M792">
        <v>2.3205</v>
      </c>
      <c r="N792">
        <v>4</v>
      </c>
    </row>
    <row r="793" spans="1:14" x14ac:dyDescent="0.25">
      <c r="A793" t="s">
        <v>822</v>
      </c>
      <c r="B793" t="s">
        <v>20</v>
      </c>
      <c r="C793" t="s">
        <v>21</v>
      </c>
      <c r="D793" t="s">
        <v>15</v>
      </c>
      <c r="E793" t="s">
        <v>26</v>
      </c>
      <c r="F793" t="s">
        <v>17</v>
      </c>
      <c r="G793" t="str">
        <f t="shared" si="36"/>
        <v>Friday</v>
      </c>
      <c r="H793" t="str">
        <f t="shared" si="37"/>
        <v>Feb</v>
      </c>
      <c r="I793" s="1">
        <v>43511</v>
      </c>
      <c r="J793" s="1" t="str">
        <f t="shared" si="38"/>
        <v>Evening</v>
      </c>
      <c r="K793" s="2">
        <v>0.84791666666666676</v>
      </c>
      <c r="L793" t="s">
        <v>28</v>
      </c>
      <c r="M793">
        <v>13.71</v>
      </c>
      <c r="N793">
        <v>9.1999999999999993</v>
      </c>
    </row>
    <row r="794" spans="1:14" x14ac:dyDescent="0.25">
      <c r="A794" t="s">
        <v>823</v>
      </c>
      <c r="B794" t="s">
        <v>37</v>
      </c>
      <c r="C794" t="s">
        <v>38</v>
      </c>
      <c r="D794" t="s">
        <v>22</v>
      </c>
      <c r="E794" t="s">
        <v>16</v>
      </c>
      <c r="F794" t="s">
        <v>27</v>
      </c>
      <c r="G794" t="str">
        <f t="shared" si="36"/>
        <v>Monday</v>
      </c>
      <c r="H794" t="str">
        <f t="shared" si="37"/>
        <v>Jan</v>
      </c>
      <c r="I794" s="1">
        <v>43480</v>
      </c>
      <c r="J794" s="1" t="str">
        <f t="shared" si="38"/>
        <v>Afternoon</v>
      </c>
      <c r="K794" s="2">
        <v>0.57500000000000007</v>
      </c>
      <c r="L794" t="s">
        <v>28</v>
      </c>
      <c r="M794">
        <v>48.685000000000002</v>
      </c>
      <c r="N794">
        <v>4.9000000000000004</v>
      </c>
    </row>
    <row r="795" spans="1:14" x14ac:dyDescent="0.25">
      <c r="A795" t="s">
        <v>824</v>
      </c>
      <c r="B795" t="s">
        <v>13</v>
      </c>
      <c r="C795" t="s">
        <v>14</v>
      </c>
      <c r="D795" t="s">
        <v>15</v>
      </c>
      <c r="E795" t="s">
        <v>26</v>
      </c>
      <c r="F795" t="s">
        <v>23</v>
      </c>
      <c r="G795" t="str">
        <f t="shared" si="36"/>
        <v>Sunday</v>
      </c>
      <c r="H795" t="str">
        <f t="shared" si="37"/>
        <v>Feb</v>
      </c>
      <c r="I795" s="1">
        <v>43523</v>
      </c>
      <c r="J795" s="1" t="str">
        <f t="shared" si="38"/>
        <v>Afternoon</v>
      </c>
      <c r="K795" s="2">
        <v>0.53611111111111109</v>
      </c>
      <c r="L795" t="s">
        <v>28</v>
      </c>
      <c r="M795">
        <v>32.409999999999997</v>
      </c>
      <c r="N795">
        <v>9.3000000000000007</v>
      </c>
    </row>
    <row r="796" spans="1:14" x14ac:dyDescent="0.25">
      <c r="A796" t="s">
        <v>825</v>
      </c>
      <c r="B796" t="s">
        <v>13</v>
      </c>
      <c r="C796" t="s">
        <v>14</v>
      </c>
      <c r="D796" t="s">
        <v>22</v>
      </c>
      <c r="E796" t="s">
        <v>16</v>
      </c>
      <c r="F796" t="s">
        <v>23</v>
      </c>
      <c r="G796" t="str">
        <f t="shared" si="36"/>
        <v>Sunday</v>
      </c>
      <c r="H796" t="str">
        <f t="shared" si="37"/>
        <v>Feb</v>
      </c>
      <c r="I796" s="1">
        <v>43522</v>
      </c>
      <c r="J796" s="1" t="str">
        <f t="shared" si="38"/>
        <v>Afternoon</v>
      </c>
      <c r="K796" s="2">
        <v>0.51944444444444449</v>
      </c>
      <c r="L796" t="s">
        <v>28</v>
      </c>
      <c r="M796">
        <v>4.6609999999999996</v>
      </c>
      <c r="N796">
        <v>6.6</v>
      </c>
    </row>
    <row r="797" spans="1:14" x14ac:dyDescent="0.25">
      <c r="A797" t="s">
        <v>826</v>
      </c>
      <c r="B797" t="s">
        <v>37</v>
      </c>
      <c r="C797" t="s">
        <v>38</v>
      </c>
      <c r="D797" t="s">
        <v>22</v>
      </c>
      <c r="E797" t="s">
        <v>26</v>
      </c>
      <c r="F797" t="s">
        <v>41</v>
      </c>
      <c r="G797" t="str">
        <f t="shared" si="36"/>
        <v>Tuesday</v>
      </c>
      <c r="H797" t="str">
        <f t="shared" si="37"/>
        <v>Mar</v>
      </c>
      <c r="I797" s="1">
        <v>43539</v>
      </c>
      <c r="J797" s="1" t="str">
        <f t="shared" si="38"/>
        <v>Evening</v>
      </c>
      <c r="K797" s="2">
        <v>0.68472222222222223</v>
      </c>
      <c r="L797" t="s">
        <v>18</v>
      </c>
      <c r="M797">
        <v>2.718</v>
      </c>
      <c r="N797">
        <v>4.3</v>
      </c>
    </row>
    <row r="798" spans="1:14" x14ac:dyDescent="0.25">
      <c r="A798" t="s">
        <v>827</v>
      </c>
      <c r="B798" t="s">
        <v>20</v>
      </c>
      <c r="C798" t="s">
        <v>21</v>
      </c>
      <c r="D798" t="s">
        <v>15</v>
      </c>
      <c r="E798" t="s">
        <v>16</v>
      </c>
      <c r="F798" t="s">
        <v>27</v>
      </c>
      <c r="G798" t="str">
        <f t="shared" si="36"/>
        <v>Tuesday</v>
      </c>
      <c r="H798" t="str">
        <f t="shared" si="37"/>
        <v>Jan</v>
      </c>
      <c r="I798" s="1">
        <v>43489</v>
      </c>
      <c r="J798" s="1" t="str">
        <f t="shared" si="38"/>
        <v>Afternoon</v>
      </c>
      <c r="K798" s="2">
        <v>0.55833333333333335</v>
      </c>
      <c r="L798" t="s">
        <v>24</v>
      </c>
      <c r="M798">
        <v>3.0434999999999999</v>
      </c>
      <c r="N798">
        <v>5.5</v>
      </c>
    </row>
    <row r="799" spans="1:14" x14ac:dyDescent="0.25">
      <c r="A799" t="s">
        <v>828</v>
      </c>
      <c r="B799" t="s">
        <v>13</v>
      </c>
      <c r="C799" t="s">
        <v>14</v>
      </c>
      <c r="D799" t="s">
        <v>15</v>
      </c>
      <c r="E799" t="s">
        <v>16</v>
      </c>
      <c r="F799" t="s">
        <v>31</v>
      </c>
      <c r="G799" t="str">
        <f t="shared" si="36"/>
        <v>Saturday</v>
      </c>
      <c r="H799" t="str">
        <f t="shared" si="37"/>
        <v>Feb</v>
      </c>
      <c r="I799" s="1">
        <v>43518</v>
      </c>
      <c r="J799" s="1" t="str">
        <f t="shared" si="38"/>
        <v>Afternoon</v>
      </c>
      <c r="K799" s="2">
        <v>0.63541666666666663</v>
      </c>
      <c r="L799" t="s">
        <v>24</v>
      </c>
      <c r="M799">
        <v>12.244999999999999</v>
      </c>
      <c r="N799">
        <v>8.1</v>
      </c>
    </row>
    <row r="800" spans="1:14" x14ac:dyDescent="0.25">
      <c r="A800" t="s">
        <v>829</v>
      </c>
      <c r="B800" t="s">
        <v>37</v>
      </c>
      <c r="C800" t="s">
        <v>38</v>
      </c>
      <c r="D800" t="s">
        <v>22</v>
      </c>
      <c r="E800" t="s">
        <v>26</v>
      </c>
      <c r="F800" t="s">
        <v>17</v>
      </c>
      <c r="G800" t="str">
        <f t="shared" si="36"/>
        <v>Tuesday</v>
      </c>
      <c r="H800" t="str">
        <f t="shared" si="37"/>
        <v>Mar</v>
      </c>
      <c r="I800" s="1">
        <v>43539</v>
      </c>
      <c r="J800" s="1" t="str">
        <f t="shared" si="38"/>
        <v>Morning</v>
      </c>
      <c r="K800" s="2">
        <v>0.4513888888888889</v>
      </c>
      <c r="L800" t="s">
        <v>28</v>
      </c>
      <c r="M800">
        <v>4.6390000000000002</v>
      </c>
      <c r="N800">
        <v>9.8000000000000007</v>
      </c>
    </row>
    <row r="801" spans="1:14" x14ac:dyDescent="0.25">
      <c r="A801" t="s">
        <v>830</v>
      </c>
      <c r="B801" t="s">
        <v>20</v>
      </c>
      <c r="C801" t="s">
        <v>21</v>
      </c>
      <c r="D801" t="s">
        <v>15</v>
      </c>
      <c r="E801" t="s">
        <v>26</v>
      </c>
      <c r="F801" t="s">
        <v>27</v>
      </c>
      <c r="G801" t="str">
        <f t="shared" si="36"/>
        <v>Friday</v>
      </c>
      <c r="H801" t="str">
        <f t="shared" si="37"/>
        <v>Feb</v>
      </c>
      <c r="I801" s="1">
        <v>43507</v>
      </c>
      <c r="J801" s="1" t="str">
        <f t="shared" si="38"/>
        <v>Evening</v>
      </c>
      <c r="K801" s="2">
        <v>0.77638888888888891</v>
      </c>
      <c r="L801" t="s">
        <v>18</v>
      </c>
      <c r="M801">
        <v>21.672499999999999</v>
      </c>
      <c r="N801">
        <v>9.4</v>
      </c>
    </row>
    <row r="802" spans="1:14" x14ac:dyDescent="0.25">
      <c r="A802" t="s">
        <v>831</v>
      </c>
      <c r="B802" t="s">
        <v>37</v>
      </c>
      <c r="C802" t="s">
        <v>38</v>
      </c>
      <c r="D802" t="s">
        <v>22</v>
      </c>
      <c r="E802" t="s">
        <v>26</v>
      </c>
      <c r="F802" t="s">
        <v>31</v>
      </c>
      <c r="G802" t="str">
        <f t="shared" si="36"/>
        <v>Monday</v>
      </c>
      <c r="H802" t="str">
        <f t="shared" si="37"/>
        <v>Jan</v>
      </c>
      <c r="I802" s="1">
        <v>43477</v>
      </c>
      <c r="J802" s="1" t="str">
        <f t="shared" si="38"/>
        <v>Evening</v>
      </c>
      <c r="K802" s="2">
        <v>0.69791666666666663</v>
      </c>
      <c r="L802" t="s">
        <v>18</v>
      </c>
      <c r="M802">
        <v>6.9029999999999996</v>
      </c>
      <c r="N802">
        <v>7.9</v>
      </c>
    </row>
    <row r="803" spans="1:14" x14ac:dyDescent="0.25">
      <c r="A803" t="s">
        <v>832</v>
      </c>
      <c r="B803" t="s">
        <v>20</v>
      </c>
      <c r="C803" t="s">
        <v>21</v>
      </c>
      <c r="D803" t="s">
        <v>15</v>
      </c>
      <c r="E803" t="s">
        <v>16</v>
      </c>
      <c r="F803" t="s">
        <v>23</v>
      </c>
      <c r="G803" t="str">
        <f t="shared" si="36"/>
        <v>Monday</v>
      </c>
      <c r="H803" t="str">
        <f t="shared" si="37"/>
        <v>Mar</v>
      </c>
      <c r="I803" s="1">
        <v>43527</v>
      </c>
      <c r="J803" s="1" t="str">
        <f t="shared" si="38"/>
        <v>Evening</v>
      </c>
      <c r="K803" s="2">
        <v>0.8125</v>
      </c>
      <c r="L803" t="s">
        <v>18</v>
      </c>
      <c r="M803">
        <v>12.08</v>
      </c>
      <c r="N803">
        <v>5.0999999999999996</v>
      </c>
    </row>
    <row r="804" spans="1:14" x14ac:dyDescent="0.25">
      <c r="A804" t="s">
        <v>833</v>
      </c>
      <c r="B804" t="s">
        <v>20</v>
      </c>
      <c r="C804" t="s">
        <v>21</v>
      </c>
      <c r="D804" t="s">
        <v>15</v>
      </c>
      <c r="E804" t="s">
        <v>26</v>
      </c>
      <c r="F804" t="s">
        <v>41</v>
      </c>
      <c r="G804" t="str">
        <f t="shared" si="36"/>
        <v>Thursday</v>
      </c>
      <c r="H804" t="str">
        <f t="shared" si="37"/>
        <v>Mar</v>
      </c>
      <c r="I804" s="1">
        <v>43547</v>
      </c>
      <c r="J804" s="1" t="str">
        <f t="shared" si="38"/>
        <v>Afternoon</v>
      </c>
      <c r="K804" s="2">
        <v>0.55763888888888891</v>
      </c>
      <c r="L804" t="s">
        <v>18</v>
      </c>
      <c r="M804">
        <v>23.586500000000001</v>
      </c>
      <c r="N804">
        <v>6.9</v>
      </c>
    </row>
    <row r="805" spans="1:14" x14ac:dyDescent="0.25">
      <c r="A805" t="s">
        <v>834</v>
      </c>
      <c r="B805" t="s">
        <v>13</v>
      </c>
      <c r="C805" t="s">
        <v>14</v>
      </c>
      <c r="D805" t="s">
        <v>15</v>
      </c>
      <c r="E805" t="s">
        <v>16</v>
      </c>
      <c r="F805" t="s">
        <v>41</v>
      </c>
      <c r="G805" t="str">
        <f t="shared" si="36"/>
        <v>Monday</v>
      </c>
      <c r="H805" t="str">
        <f t="shared" si="37"/>
        <v>Mar</v>
      </c>
      <c r="I805" s="1">
        <v>43528</v>
      </c>
      <c r="J805" s="1" t="str">
        <f t="shared" si="38"/>
        <v>Morning</v>
      </c>
      <c r="K805" s="2">
        <v>0.4770833333333333</v>
      </c>
      <c r="L805" t="s">
        <v>24</v>
      </c>
      <c r="M805">
        <v>22.032</v>
      </c>
      <c r="N805">
        <v>8</v>
      </c>
    </row>
    <row r="806" spans="1:14" x14ac:dyDescent="0.25">
      <c r="A806" t="s">
        <v>835</v>
      </c>
      <c r="B806" t="s">
        <v>37</v>
      </c>
      <c r="C806" t="s">
        <v>38</v>
      </c>
      <c r="D806" t="s">
        <v>15</v>
      </c>
      <c r="E806" t="s">
        <v>16</v>
      </c>
      <c r="F806" t="s">
        <v>23</v>
      </c>
      <c r="G806" t="str">
        <f t="shared" si="36"/>
        <v>Sunday</v>
      </c>
      <c r="H806" t="str">
        <f t="shared" si="37"/>
        <v>Feb</v>
      </c>
      <c r="I806" s="1">
        <v>43519</v>
      </c>
      <c r="J806" s="1" t="str">
        <f t="shared" si="38"/>
        <v>Morning</v>
      </c>
      <c r="K806" s="2">
        <v>0.46666666666666662</v>
      </c>
      <c r="L806" t="s">
        <v>24</v>
      </c>
      <c r="M806">
        <v>34.015500000000003</v>
      </c>
      <c r="N806">
        <v>8</v>
      </c>
    </row>
    <row r="807" spans="1:14" x14ac:dyDescent="0.25">
      <c r="A807" t="s">
        <v>836</v>
      </c>
      <c r="B807" t="s">
        <v>13</v>
      </c>
      <c r="C807" t="s">
        <v>14</v>
      </c>
      <c r="D807" t="s">
        <v>22</v>
      </c>
      <c r="E807" t="s">
        <v>16</v>
      </c>
      <c r="F807" t="s">
        <v>27</v>
      </c>
      <c r="G807" t="str">
        <f t="shared" si="36"/>
        <v>Wednesday</v>
      </c>
      <c r="H807" t="str">
        <f t="shared" si="37"/>
        <v>Mar</v>
      </c>
      <c r="I807" s="1">
        <v>43541</v>
      </c>
      <c r="J807" s="1" t="str">
        <f t="shared" si="38"/>
        <v>Evening</v>
      </c>
      <c r="K807" s="2">
        <v>0.69166666666666676</v>
      </c>
      <c r="L807" t="s">
        <v>24</v>
      </c>
      <c r="M807">
        <v>15.494</v>
      </c>
      <c r="N807">
        <v>4.2</v>
      </c>
    </row>
    <row r="808" spans="1:14" x14ac:dyDescent="0.25">
      <c r="A808" t="s">
        <v>837</v>
      </c>
      <c r="B808" t="s">
        <v>13</v>
      </c>
      <c r="C808" t="s">
        <v>14</v>
      </c>
      <c r="D808" t="s">
        <v>22</v>
      </c>
      <c r="E808" t="s">
        <v>16</v>
      </c>
      <c r="F808" t="s">
        <v>31</v>
      </c>
      <c r="G808" t="str">
        <f t="shared" si="36"/>
        <v>Monday</v>
      </c>
      <c r="H808" t="str">
        <f t="shared" si="37"/>
        <v>Jan</v>
      </c>
      <c r="I808" s="1">
        <v>43481</v>
      </c>
      <c r="J808" s="1" t="str">
        <f t="shared" si="38"/>
        <v>Evening</v>
      </c>
      <c r="K808" s="2">
        <v>0.77847222222222223</v>
      </c>
      <c r="L808" t="s">
        <v>28</v>
      </c>
      <c r="M808">
        <v>9.3179999999999996</v>
      </c>
      <c r="N808">
        <v>8.5</v>
      </c>
    </row>
    <row r="809" spans="1:14" x14ac:dyDescent="0.25">
      <c r="A809" t="s">
        <v>838</v>
      </c>
      <c r="B809" t="s">
        <v>13</v>
      </c>
      <c r="C809" t="s">
        <v>14</v>
      </c>
      <c r="D809" t="s">
        <v>22</v>
      </c>
      <c r="E809" t="s">
        <v>16</v>
      </c>
      <c r="F809" t="s">
        <v>23</v>
      </c>
      <c r="G809" t="str">
        <f t="shared" si="36"/>
        <v>Sunday</v>
      </c>
      <c r="H809" t="str">
        <f t="shared" si="37"/>
        <v>Jan</v>
      </c>
      <c r="I809" s="1">
        <v>43473</v>
      </c>
      <c r="J809" s="1" t="str">
        <f t="shared" si="38"/>
        <v>Evening</v>
      </c>
      <c r="K809" s="2">
        <v>0.71666666666666667</v>
      </c>
      <c r="L809" t="s">
        <v>24</v>
      </c>
      <c r="M809">
        <v>10.045999999999999</v>
      </c>
      <c r="N809">
        <v>9</v>
      </c>
    </row>
    <row r="810" spans="1:14" x14ac:dyDescent="0.25">
      <c r="A810" t="s">
        <v>839</v>
      </c>
      <c r="B810" t="s">
        <v>37</v>
      </c>
      <c r="C810" t="s">
        <v>38</v>
      </c>
      <c r="D810" t="s">
        <v>22</v>
      </c>
      <c r="E810" t="s">
        <v>16</v>
      </c>
      <c r="F810" t="s">
        <v>17</v>
      </c>
      <c r="G810" t="str">
        <f t="shared" si="36"/>
        <v>Monday</v>
      </c>
      <c r="H810" t="str">
        <f t="shared" si="37"/>
        <v>Jan</v>
      </c>
      <c r="I810" s="1">
        <v>43479</v>
      </c>
      <c r="J810" s="1" t="str">
        <f t="shared" si="38"/>
        <v>Morning</v>
      </c>
      <c r="K810" s="2">
        <v>0.44305555555555554</v>
      </c>
      <c r="L810" t="s">
        <v>24</v>
      </c>
      <c r="M810">
        <v>0.88749999999999996</v>
      </c>
      <c r="N810">
        <v>8.6</v>
      </c>
    </row>
    <row r="811" spans="1:14" x14ac:dyDescent="0.25">
      <c r="A811" t="s">
        <v>840</v>
      </c>
      <c r="B811" t="s">
        <v>20</v>
      </c>
      <c r="C811" t="s">
        <v>21</v>
      </c>
      <c r="D811" t="s">
        <v>22</v>
      </c>
      <c r="E811" t="s">
        <v>16</v>
      </c>
      <c r="F811" t="s">
        <v>41</v>
      </c>
      <c r="G811" t="str">
        <f t="shared" si="36"/>
        <v>Wednesday</v>
      </c>
      <c r="H811" t="str">
        <f t="shared" si="37"/>
        <v>Jan</v>
      </c>
      <c r="I811" s="1">
        <v>43496</v>
      </c>
      <c r="J811" s="1" t="str">
        <f t="shared" si="38"/>
        <v>Morning</v>
      </c>
      <c r="K811" s="2">
        <v>0.43958333333333338</v>
      </c>
      <c r="L811" t="s">
        <v>18</v>
      </c>
      <c r="M811">
        <v>31.09</v>
      </c>
      <c r="N811">
        <v>6</v>
      </c>
    </row>
    <row r="812" spans="1:14" x14ac:dyDescent="0.25">
      <c r="A812" t="s">
        <v>841</v>
      </c>
      <c r="B812" t="s">
        <v>37</v>
      </c>
      <c r="C812" t="s">
        <v>38</v>
      </c>
      <c r="D812" t="s">
        <v>22</v>
      </c>
      <c r="E812" t="s">
        <v>26</v>
      </c>
      <c r="F812" t="s">
        <v>17</v>
      </c>
      <c r="G812" t="str">
        <f t="shared" si="36"/>
        <v>Tuesday</v>
      </c>
      <c r="H812" t="str">
        <f t="shared" si="37"/>
        <v>Mar</v>
      </c>
      <c r="I812" s="1">
        <v>43539</v>
      </c>
      <c r="J812" s="1" t="str">
        <f t="shared" si="38"/>
        <v>Afternoon</v>
      </c>
      <c r="K812" s="2">
        <v>0.60972222222222217</v>
      </c>
      <c r="L812" t="s">
        <v>18</v>
      </c>
      <c r="M812">
        <v>4.3</v>
      </c>
      <c r="N812">
        <v>6.2</v>
      </c>
    </row>
    <row r="813" spans="1:14" x14ac:dyDescent="0.25">
      <c r="A813" t="s">
        <v>842</v>
      </c>
      <c r="B813" t="s">
        <v>13</v>
      </c>
      <c r="C813" t="s">
        <v>14</v>
      </c>
      <c r="D813" t="s">
        <v>22</v>
      </c>
      <c r="E813" t="s">
        <v>16</v>
      </c>
      <c r="F813" t="s">
        <v>23</v>
      </c>
      <c r="G813" t="str">
        <f t="shared" si="36"/>
        <v>Sunday</v>
      </c>
      <c r="H813" t="str">
        <f t="shared" si="37"/>
        <v>Feb</v>
      </c>
      <c r="I813" s="1">
        <v>43520</v>
      </c>
      <c r="J813" s="1" t="str">
        <f t="shared" si="38"/>
        <v>Evening</v>
      </c>
      <c r="K813" s="2">
        <v>0.75416666666666676</v>
      </c>
      <c r="L813" t="s">
        <v>28</v>
      </c>
      <c r="M813">
        <v>20.13</v>
      </c>
      <c r="N813">
        <v>5</v>
      </c>
    </row>
    <row r="814" spans="1:14" x14ac:dyDescent="0.25">
      <c r="A814" t="s">
        <v>843</v>
      </c>
      <c r="B814" t="s">
        <v>20</v>
      </c>
      <c r="C814" t="s">
        <v>21</v>
      </c>
      <c r="D814" t="s">
        <v>15</v>
      </c>
      <c r="E814" t="s">
        <v>16</v>
      </c>
      <c r="F814" t="s">
        <v>31</v>
      </c>
      <c r="G814" t="str">
        <f t="shared" si="36"/>
        <v>Thursday</v>
      </c>
      <c r="H814" t="str">
        <f t="shared" si="37"/>
        <v>Feb</v>
      </c>
      <c r="I814" s="1">
        <v>43504</v>
      </c>
      <c r="J814" s="1" t="str">
        <f t="shared" si="38"/>
        <v>Afternoon</v>
      </c>
      <c r="K814" s="2">
        <v>0.53611111111111109</v>
      </c>
      <c r="L814" t="s">
        <v>28</v>
      </c>
      <c r="M814">
        <v>16.2425</v>
      </c>
      <c r="N814">
        <v>6.5</v>
      </c>
    </row>
    <row r="815" spans="1:14" x14ac:dyDescent="0.25">
      <c r="A815" t="s">
        <v>844</v>
      </c>
      <c r="B815" t="s">
        <v>13</v>
      </c>
      <c r="C815" t="s">
        <v>14</v>
      </c>
      <c r="D815" t="s">
        <v>22</v>
      </c>
      <c r="E815" t="s">
        <v>26</v>
      </c>
      <c r="F815" t="s">
        <v>23</v>
      </c>
      <c r="G815" t="str">
        <f t="shared" si="36"/>
        <v>Wednesday</v>
      </c>
      <c r="H815" t="str">
        <f t="shared" si="37"/>
        <v>Mar</v>
      </c>
      <c r="I815" s="1">
        <v>43546</v>
      </c>
      <c r="J815" s="1" t="str">
        <f t="shared" si="38"/>
        <v>Afternoon</v>
      </c>
      <c r="K815" s="2">
        <v>0.58333333333333337</v>
      </c>
      <c r="L815" t="s">
        <v>24</v>
      </c>
      <c r="M815">
        <v>4.7575000000000003</v>
      </c>
      <c r="N815">
        <v>6</v>
      </c>
    </row>
    <row r="816" spans="1:14" x14ac:dyDescent="0.25">
      <c r="A816" t="s">
        <v>845</v>
      </c>
      <c r="B816" t="s">
        <v>13</v>
      </c>
      <c r="C816" t="s">
        <v>14</v>
      </c>
      <c r="D816" t="s">
        <v>15</v>
      </c>
      <c r="E816" t="s">
        <v>16</v>
      </c>
      <c r="F816" t="s">
        <v>23</v>
      </c>
      <c r="G816" t="str">
        <f t="shared" si="36"/>
        <v>Tuesday</v>
      </c>
      <c r="H816" t="str">
        <f t="shared" si="37"/>
        <v>Jan</v>
      </c>
      <c r="I816" s="1">
        <v>43489</v>
      </c>
      <c r="J816" s="1" t="str">
        <f t="shared" si="38"/>
        <v>Morning</v>
      </c>
      <c r="K816" s="2">
        <v>0.45624999999999999</v>
      </c>
      <c r="L816" t="s">
        <v>24</v>
      </c>
      <c r="M816">
        <v>19.448</v>
      </c>
      <c r="N816">
        <v>5</v>
      </c>
    </row>
    <row r="817" spans="1:14" x14ac:dyDescent="0.25">
      <c r="A817" t="s">
        <v>846</v>
      </c>
      <c r="B817" t="s">
        <v>37</v>
      </c>
      <c r="C817" t="s">
        <v>38</v>
      </c>
      <c r="D817" t="s">
        <v>22</v>
      </c>
      <c r="E817" t="s">
        <v>16</v>
      </c>
      <c r="F817" t="s">
        <v>39</v>
      </c>
      <c r="G817" t="str">
        <f t="shared" si="36"/>
        <v>Tuesday</v>
      </c>
      <c r="H817" t="str">
        <f t="shared" si="37"/>
        <v>Mar</v>
      </c>
      <c r="I817" s="1">
        <v>43538</v>
      </c>
      <c r="J817" s="1" t="str">
        <f t="shared" si="38"/>
        <v>Evening</v>
      </c>
      <c r="K817" s="2">
        <v>0.69791666666666663</v>
      </c>
      <c r="L817" t="s">
        <v>18</v>
      </c>
      <c r="M817">
        <v>21.283999999999999</v>
      </c>
      <c r="N817">
        <v>5</v>
      </c>
    </row>
    <row r="818" spans="1:14" x14ac:dyDescent="0.25">
      <c r="A818" t="s">
        <v>847</v>
      </c>
      <c r="B818" t="s">
        <v>20</v>
      </c>
      <c r="C818" t="s">
        <v>21</v>
      </c>
      <c r="D818" t="s">
        <v>22</v>
      </c>
      <c r="E818" t="s">
        <v>16</v>
      </c>
      <c r="F818" t="s">
        <v>41</v>
      </c>
      <c r="G818" t="str">
        <f t="shared" si="36"/>
        <v>Tuesday</v>
      </c>
      <c r="H818" t="str">
        <f t="shared" si="37"/>
        <v>Jan</v>
      </c>
      <c r="I818" s="1">
        <v>43488</v>
      </c>
      <c r="J818" s="1" t="str">
        <f t="shared" si="38"/>
        <v>Morning</v>
      </c>
      <c r="K818" s="2">
        <v>0.46875</v>
      </c>
      <c r="L818" t="s">
        <v>24</v>
      </c>
      <c r="M818">
        <v>15.904</v>
      </c>
      <c r="N818">
        <v>9.1999999999999993</v>
      </c>
    </row>
    <row r="819" spans="1:14" x14ac:dyDescent="0.25">
      <c r="A819" t="s">
        <v>848</v>
      </c>
      <c r="B819" t="s">
        <v>13</v>
      </c>
      <c r="C819" t="s">
        <v>14</v>
      </c>
      <c r="D819" t="s">
        <v>22</v>
      </c>
      <c r="E819" t="s">
        <v>26</v>
      </c>
      <c r="F819" t="s">
        <v>39</v>
      </c>
      <c r="G819" t="str">
        <f t="shared" si="36"/>
        <v>Tuesday</v>
      </c>
      <c r="H819" t="str">
        <f t="shared" si="37"/>
        <v>Jan</v>
      </c>
      <c r="I819" s="1">
        <v>43484</v>
      </c>
      <c r="J819" s="1" t="str">
        <f t="shared" si="38"/>
        <v>Evening</v>
      </c>
      <c r="K819" s="2">
        <v>0.8534722222222223</v>
      </c>
      <c r="L819" t="s">
        <v>18</v>
      </c>
      <c r="M819">
        <v>13.552</v>
      </c>
      <c r="N819">
        <v>9.6</v>
      </c>
    </row>
    <row r="820" spans="1:14" x14ac:dyDescent="0.25">
      <c r="A820" t="s">
        <v>849</v>
      </c>
      <c r="B820" t="s">
        <v>37</v>
      </c>
      <c r="C820" t="s">
        <v>38</v>
      </c>
      <c r="D820" t="s">
        <v>15</v>
      </c>
      <c r="E820" t="s">
        <v>26</v>
      </c>
      <c r="F820" t="s">
        <v>17</v>
      </c>
      <c r="G820" t="str">
        <f t="shared" si="36"/>
        <v>Wednesday</v>
      </c>
      <c r="H820" t="str">
        <f t="shared" si="37"/>
        <v>Jan</v>
      </c>
      <c r="I820" s="1">
        <v>43492</v>
      </c>
      <c r="J820" s="1" t="str">
        <f t="shared" si="38"/>
        <v>Evening</v>
      </c>
      <c r="K820" s="2">
        <v>0.8354166666666667</v>
      </c>
      <c r="L820" t="s">
        <v>28</v>
      </c>
      <c r="M820">
        <v>19.231999999999999</v>
      </c>
      <c r="N820">
        <v>8.4</v>
      </c>
    </row>
    <row r="821" spans="1:14" x14ac:dyDescent="0.25">
      <c r="A821" t="s">
        <v>850</v>
      </c>
      <c r="B821" t="s">
        <v>37</v>
      </c>
      <c r="C821" t="s">
        <v>38</v>
      </c>
      <c r="D821" t="s">
        <v>15</v>
      </c>
      <c r="E821" t="s">
        <v>26</v>
      </c>
      <c r="F821" t="s">
        <v>39</v>
      </c>
      <c r="G821" t="str">
        <f t="shared" si="36"/>
        <v>Thursday</v>
      </c>
      <c r="H821" t="str">
        <f t="shared" si="37"/>
        <v>Feb</v>
      </c>
      <c r="I821" s="1">
        <v>43499</v>
      </c>
      <c r="J821" s="1" t="str">
        <f t="shared" si="38"/>
        <v>Afternoon</v>
      </c>
      <c r="K821" s="2">
        <v>0.60763888888888895</v>
      </c>
      <c r="L821" t="s">
        <v>28</v>
      </c>
      <c r="M821">
        <v>11.79</v>
      </c>
      <c r="N821">
        <v>6</v>
      </c>
    </row>
    <row r="822" spans="1:14" x14ac:dyDescent="0.25">
      <c r="A822" t="s">
        <v>851</v>
      </c>
      <c r="B822" t="s">
        <v>37</v>
      </c>
      <c r="C822" t="s">
        <v>38</v>
      </c>
      <c r="D822" t="s">
        <v>22</v>
      </c>
      <c r="E822" t="s">
        <v>26</v>
      </c>
      <c r="F822" t="s">
        <v>23</v>
      </c>
      <c r="G822" t="str">
        <f t="shared" si="36"/>
        <v>Thursday</v>
      </c>
      <c r="H822" t="str">
        <f t="shared" si="37"/>
        <v>Mar</v>
      </c>
      <c r="I822" s="1">
        <v>43549</v>
      </c>
      <c r="J822" s="1" t="str">
        <f t="shared" si="38"/>
        <v>Evening</v>
      </c>
      <c r="K822" s="2">
        <v>0.68888888888888899</v>
      </c>
      <c r="L822" t="s">
        <v>18</v>
      </c>
      <c r="M822">
        <v>10.577999999999999</v>
      </c>
      <c r="N822">
        <v>6.7</v>
      </c>
    </row>
    <row r="823" spans="1:14" x14ac:dyDescent="0.25">
      <c r="A823" t="s">
        <v>852</v>
      </c>
      <c r="B823" t="s">
        <v>13</v>
      </c>
      <c r="C823" t="s">
        <v>14</v>
      </c>
      <c r="D823" t="s">
        <v>15</v>
      </c>
      <c r="E823" t="s">
        <v>16</v>
      </c>
      <c r="F823" t="s">
        <v>27</v>
      </c>
      <c r="G823" t="str">
        <f t="shared" si="36"/>
        <v>Sunday</v>
      </c>
      <c r="H823" t="str">
        <f t="shared" si="37"/>
        <v>Feb</v>
      </c>
      <c r="I823" s="1">
        <v>43520</v>
      </c>
      <c r="J823" s="1" t="str">
        <f t="shared" si="38"/>
        <v>Morning</v>
      </c>
      <c r="K823" s="2">
        <v>0.4236111111111111</v>
      </c>
      <c r="L823" t="s">
        <v>28</v>
      </c>
      <c r="M823">
        <v>4.7679999999999998</v>
      </c>
      <c r="N823">
        <v>4.0999999999999996</v>
      </c>
    </row>
    <row r="824" spans="1:14" x14ac:dyDescent="0.25">
      <c r="A824" t="s">
        <v>853</v>
      </c>
      <c r="B824" t="s">
        <v>20</v>
      </c>
      <c r="C824" t="s">
        <v>21</v>
      </c>
      <c r="D824" t="s">
        <v>15</v>
      </c>
      <c r="E824" t="s">
        <v>26</v>
      </c>
      <c r="F824" t="s">
        <v>31</v>
      </c>
      <c r="G824" t="str">
        <f t="shared" si="36"/>
        <v>Thursday</v>
      </c>
      <c r="H824" t="str">
        <f t="shared" si="37"/>
        <v>Feb</v>
      </c>
      <c r="I824" s="1">
        <v>43503</v>
      </c>
      <c r="J824" s="1" t="str">
        <f t="shared" si="38"/>
        <v>Afternoon</v>
      </c>
      <c r="K824" s="2">
        <v>0.59375</v>
      </c>
      <c r="L824" t="s">
        <v>24</v>
      </c>
      <c r="M824">
        <v>0.50849999999999995</v>
      </c>
      <c r="N824">
        <v>5.9</v>
      </c>
    </row>
    <row r="825" spans="1:14" x14ac:dyDescent="0.25">
      <c r="A825" t="s">
        <v>854</v>
      </c>
      <c r="B825" t="s">
        <v>13</v>
      </c>
      <c r="C825" t="s">
        <v>14</v>
      </c>
      <c r="D825" t="s">
        <v>22</v>
      </c>
      <c r="E825" t="s">
        <v>16</v>
      </c>
      <c r="F825" t="s">
        <v>17</v>
      </c>
      <c r="G825" t="str">
        <f t="shared" si="36"/>
        <v>Monday</v>
      </c>
      <c r="H825" t="str">
        <f t="shared" si="37"/>
        <v>Mar</v>
      </c>
      <c r="I825" s="1">
        <v>43528</v>
      </c>
      <c r="J825" s="1" t="str">
        <f t="shared" si="38"/>
        <v>Morning</v>
      </c>
      <c r="K825" s="2">
        <v>0.4201388888888889</v>
      </c>
      <c r="L825" t="s">
        <v>24</v>
      </c>
      <c r="M825">
        <v>10.3065</v>
      </c>
      <c r="N825">
        <v>8.6999999999999993</v>
      </c>
    </row>
    <row r="826" spans="1:14" x14ac:dyDescent="0.25">
      <c r="A826" t="s">
        <v>855</v>
      </c>
      <c r="B826" t="s">
        <v>37</v>
      </c>
      <c r="C826" t="s">
        <v>38</v>
      </c>
      <c r="D826" t="s">
        <v>15</v>
      </c>
      <c r="E826" t="s">
        <v>16</v>
      </c>
      <c r="F826" t="s">
        <v>31</v>
      </c>
      <c r="G826" t="str">
        <f t="shared" si="36"/>
        <v>Friday</v>
      </c>
      <c r="H826" t="str">
        <f t="shared" si="37"/>
        <v>Feb</v>
      </c>
      <c r="I826" s="1">
        <v>43510</v>
      </c>
      <c r="J826" s="1" t="str">
        <f t="shared" si="38"/>
        <v>Morning</v>
      </c>
      <c r="K826" s="2">
        <v>0.48333333333333334</v>
      </c>
      <c r="L826" t="s">
        <v>28</v>
      </c>
      <c r="M826">
        <v>21.027999999999999</v>
      </c>
      <c r="N826">
        <v>4.5</v>
      </c>
    </row>
    <row r="827" spans="1:14" x14ac:dyDescent="0.25">
      <c r="A827" t="s">
        <v>856</v>
      </c>
      <c r="B827" t="s">
        <v>13</v>
      </c>
      <c r="C827" t="s">
        <v>14</v>
      </c>
      <c r="D827" t="s">
        <v>15</v>
      </c>
      <c r="E827" t="s">
        <v>16</v>
      </c>
      <c r="F827" t="s">
        <v>31</v>
      </c>
      <c r="G827" t="str">
        <f t="shared" si="36"/>
        <v>Wednesday</v>
      </c>
      <c r="H827" t="str">
        <f t="shared" si="37"/>
        <v>Jan</v>
      </c>
      <c r="I827" s="1">
        <v>43494</v>
      </c>
      <c r="J827" s="1" t="str">
        <f t="shared" si="38"/>
        <v>Evening</v>
      </c>
      <c r="K827" s="2">
        <v>0.76041666666666663</v>
      </c>
      <c r="L827" t="s">
        <v>28</v>
      </c>
      <c r="M827">
        <v>4.4020000000000001</v>
      </c>
      <c r="N827">
        <v>6.6</v>
      </c>
    </row>
    <row r="828" spans="1:14" x14ac:dyDescent="0.25">
      <c r="A828" t="s">
        <v>857</v>
      </c>
      <c r="B828" t="s">
        <v>37</v>
      </c>
      <c r="C828" t="s">
        <v>38</v>
      </c>
      <c r="D828" t="s">
        <v>15</v>
      </c>
      <c r="E828" t="s">
        <v>16</v>
      </c>
      <c r="F828" t="s">
        <v>17</v>
      </c>
      <c r="G828" t="str">
        <f t="shared" si="36"/>
        <v>Wednesday</v>
      </c>
      <c r="H828" t="str">
        <f t="shared" si="37"/>
        <v>Jan</v>
      </c>
      <c r="I828" s="1">
        <v>43493</v>
      </c>
      <c r="J828" s="1" t="str">
        <f t="shared" si="38"/>
        <v>Afternoon</v>
      </c>
      <c r="K828" s="2">
        <v>0.57847222222222217</v>
      </c>
      <c r="L828" t="s">
        <v>28</v>
      </c>
      <c r="M828">
        <v>32.4495</v>
      </c>
      <c r="N828">
        <v>7.7</v>
      </c>
    </row>
    <row r="829" spans="1:14" x14ac:dyDescent="0.25">
      <c r="A829" t="s">
        <v>858</v>
      </c>
      <c r="B829" t="s">
        <v>13</v>
      </c>
      <c r="C829" t="s">
        <v>14</v>
      </c>
      <c r="D829" t="s">
        <v>15</v>
      </c>
      <c r="E829" t="s">
        <v>26</v>
      </c>
      <c r="F829" t="s">
        <v>41</v>
      </c>
      <c r="G829" t="str">
        <f t="shared" si="36"/>
        <v>Thursday</v>
      </c>
      <c r="H829" t="str">
        <f t="shared" si="37"/>
        <v>Mar</v>
      </c>
      <c r="I829" s="1">
        <v>43550</v>
      </c>
      <c r="J829" s="1" t="str">
        <f t="shared" si="38"/>
        <v>Evening</v>
      </c>
      <c r="K829" s="2">
        <v>0.77569444444444446</v>
      </c>
      <c r="L829" t="s">
        <v>28</v>
      </c>
      <c r="M829">
        <v>6.1920000000000002</v>
      </c>
      <c r="N829">
        <v>8.5</v>
      </c>
    </row>
    <row r="830" spans="1:14" x14ac:dyDescent="0.25">
      <c r="A830" t="s">
        <v>859</v>
      </c>
      <c r="B830" t="s">
        <v>20</v>
      </c>
      <c r="C830" t="s">
        <v>21</v>
      </c>
      <c r="D830" t="s">
        <v>22</v>
      </c>
      <c r="E830" t="s">
        <v>26</v>
      </c>
      <c r="F830" t="s">
        <v>23</v>
      </c>
      <c r="G830" t="str">
        <f t="shared" si="36"/>
        <v>Thursday</v>
      </c>
      <c r="H830" t="str">
        <f t="shared" si="37"/>
        <v>Mar</v>
      </c>
      <c r="I830" s="1">
        <v>43548</v>
      </c>
      <c r="J830" s="1" t="str">
        <f t="shared" si="38"/>
        <v>Evening</v>
      </c>
      <c r="K830" s="2">
        <v>0.76874999999999993</v>
      </c>
      <c r="L830" t="s">
        <v>24</v>
      </c>
      <c r="M830">
        <v>32.475000000000001</v>
      </c>
      <c r="N830">
        <v>5.2</v>
      </c>
    </row>
    <row r="831" spans="1:14" x14ac:dyDescent="0.25">
      <c r="A831" t="s">
        <v>860</v>
      </c>
      <c r="B831" t="s">
        <v>13</v>
      </c>
      <c r="C831" t="s">
        <v>14</v>
      </c>
      <c r="D831" t="s">
        <v>15</v>
      </c>
      <c r="E831" t="s">
        <v>16</v>
      </c>
      <c r="F831" t="s">
        <v>23</v>
      </c>
      <c r="G831" t="str">
        <f t="shared" si="36"/>
        <v>Saturday</v>
      </c>
      <c r="H831" t="str">
        <f t="shared" si="37"/>
        <v>Jan</v>
      </c>
      <c r="I831" s="1">
        <v>43466</v>
      </c>
      <c r="J831" s="1" t="str">
        <f t="shared" si="38"/>
        <v>Afternoon</v>
      </c>
      <c r="K831" s="2">
        <v>0.61249999999999993</v>
      </c>
      <c r="L831" t="s">
        <v>28</v>
      </c>
      <c r="M831">
        <v>37.11</v>
      </c>
      <c r="N831">
        <v>4.3</v>
      </c>
    </row>
    <row r="832" spans="1:14" x14ac:dyDescent="0.25">
      <c r="A832" t="s">
        <v>861</v>
      </c>
      <c r="B832" t="s">
        <v>13</v>
      </c>
      <c r="C832" t="s">
        <v>14</v>
      </c>
      <c r="D832" t="s">
        <v>22</v>
      </c>
      <c r="E832" t="s">
        <v>26</v>
      </c>
      <c r="F832" t="s">
        <v>23</v>
      </c>
      <c r="G832" t="str">
        <f t="shared" si="36"/>
        <v>Tuesday</v>
      </c>
      <c r="H832" t="str">
        <f t="shared" si="37"/>
        <v>Jan</v>
      </c>
      <c r="I832" s="1">
        <v>43489</v>
      </c>
      <c r="J832" s="1" t="str">
        <f t="shared" si="38"/>
        <v>Evening</v>
      </c>
      <c r="K832" s="2">
        <v>0.73819444444444438</v>
      </c>
      <c r="L832" t="s">
        <v>24</v>
      </c>
      <c r="M832">
        <v>4.2240000000000002</v>
      </c>
      <c r="N832">
        <v>7.6</v>
      </c>
    </row>
    <row r="833" spans="1:14" x14ac:dyDescent="0.25">
      <c r="A833" t="s">
        <v>862</v>
      </c>
      <c r="B833" t="s">
        <v>37</v>
      </c>
      <c r="C833" t="s">
        <v>38</v>
      </c>
      <c r="D833" t="s">
        <v>22</v>
      </c>
      <c r="E833" t="s">
        <v>26</v>
      </c>
      <c r="F833" t="s">
        <v>17</v>
      </c>
      <c r="G833" t="str">
        <f t="shared" si="36"/>
        <v>Sunday</v>
      </c>
      <c r="H833" t="str">
        <f t="shared" si="37"/>
        <v>Feb</v>
      </c>
      <c r="I833" s="1">
        <v>43521</v>
      </c>
      <c r="J833" s="1" t="str">
        <f t="shared" si="38"/>
        <v>Evening</v>
      </c>
      <c r="K833" s="2">
        <v>0.77569444444444446</v>
      </c>
      <c r="L833" t="s">
        <v>24</v>
      </c>
      <c r="M833">
        <v>12.513999999999999</v>
      </c>
      <c r="N833">
        <v>9.5</v>
      </c>
    </row>
    <row r="834" spans="1:14" x14ac:dyDescent="0.25">
      <c r="A834" t="s">
        <v>863</v>
      </c>
      <c r="B834" t="s">
        <v>37</v>
      </c>
      <c r="C834" t="s">
        <v>38</v>
      </c>
      <c r="D834" t="s">
        <v>15</v>
      </c>
      <c r="E834" t="s">
        <v>16</v>
      </c>
      <c r="F834" t="s">
        <v>31</v>
      </c>
      <c r="G834" t="str">
        <f t="shared" si="36"/>
        <v>Sunday</v>
      </c>
      <c r="H834" t="str">
        <f t="shared" si="37"/>
        <v>Jan</v>
      </c>
      <c r="I834" s="1">
        <v>43474</v>
      </c>
      <c r="J834" s="1" t="str">
        <f t="shared" si="38"/>
        <v>Evening</v>
      </c>
      <c r="K834" s="2">
        <v>0.69027777777777777</v>
      </c>
      <c r="L834" t="s">
        <v>24</v>
      </c>
      <c r="M834">
        <v>4.74</v>
      </c>
      <c r="N834">
        <v>4.0999999999999996</v>
      </c>
    </row>
    <row r="835" spans="1:14" x14ac:dyDescent="0.25">
      <c r="A835" t="s">
        <v>864</v>
      </c>
      <c r="B835" t="s">
        <v>13</v>
      </c>
      <c r="C835" t="s">
        <v>14</v>
      </c>
      <c r="D835" t="s">
        <v>15</v>
      </c>
      <c r="E835" t="s">
        <v>26</v>
      </c>
      <c r="F835" t="s">
        <v>17</v>
      </c>
      <c r="G835" t="str">
        <f t="shared" ref="G835:G898" si="39">TEXT(I835/7,"dddd")</f>
        <v>Friday</v>
      </c>
      <c r="H835" t="str">
        <f t="shared" ref="H835:H898" si="40">TEXT(I835,"mmm")</f>
        <v>Feb</v>
      </c>
      <c r="I835" s="1">
        <v>43510</v>
      </c>
      <c r="J835" s="1" t="str">
        <f t="shared" ref="J835:J898" si="41">IF(AND(K835&gt;=TIME(9,0,0),K835&lt;TIME(12,0,0)),"Morning",IF(AND(K835&gt;=TIME(12,0,0),K835&lt;TIME(16,0,0)),"Afternoon","Evening"))</f>
        <v>Afternoon</v>
      </c>
      <c r="K835" s="2">
        <v>0.61249999999999993</v>
      </c>
      <c r="L835" t="s">
        <v>18</v>
      </c>
      <c r="M835">
        <v>4.5650000000000004</v>
      </c>
      <c r="N835">
        <v>9.1999999999999993</v>
      </c>
    </row>
    <row r="836" spans="1:14" x14ac:dyDescent="0.25">
      <c r="A836" t="s">
        <v>865</v>
      </c>
      <c r="B836" t="s">
        <v>37</v>
      </c>
      <c r="C836" t="s">
        <v>38</v>
      </c>
      <c r="D836" t="s">
        <v>15</v>
      </c>
      <c r="E836" t="s">
        <v>16</v>
      </c>
      <c r="F836" t="s">
        <v>27</v>
      </c>
      <c r="G836" t="str">
        <f t="shared" si="39"/>
        <v>Tuesday</v>
      </c>
      <c r="H836" t="str">
        <f t="shared" si="40"/>
        <v>Mar</v>
      </c>
      <c r="I836" s="1">
        <v>43536</v>
      </c>
      <c r="J836" s="1" t="str">
        <f t="shared" si="41"/>
        <v>Morning</v>
      </c>
      <c r="K836" s="2">
        <v>0.45902777777777781</v>
      </c>
      <c r="L836" t="s">
        <v>18</v>
      </c>
      <c r="M836">
        <v>14.2555</v>
      </c>
      <c r="N836">
        <v>5.4</v>
      </c>
    </row>
    <row r="837" spans="1:14" x14ac:dyDescent="0.25">
      <c r="A837" t="s">
        <v>866</v>
      </c>
      <c r="B837" t="s">
        <v>13</v>
      </c>
      <c r="C837" t="s">
        <v>14</v>
      </c>
      <c r="D837" t="s">
        <v>22</v>
      </c>
      <c r="E837" t="s">
        <v>26</v>
      </c>
      <c r="F837" t="s">
        <v>41</v>
      </c>
      <c r="G837" t="str">
        <f t="shared" si="39"/>
        <v>Thursday</v>
      </c>
      <c r="H837" t="str">
        <f t="shared" si="40"/>
        <v>Mar</v>
      </c>
      <c r="I837" s="1">
        <v>43550</v>
      </c>
      <c r="J837" s="1" t="str">
        <f t="shared" si="41"/>
        <v>Evening</v>
      </c>
      <c r="K837" s="2">
        <v>0.8222222222222223</v>
      </c>
      <c r="L837" t="s">
        <v>24</v>
      </c>
      <c r="M837">
        <v>2.6190000000000002</v>
      </c>
      <c r="N837">
        <v>5.8</v>
      </c>
    </row>
    <row r="838" spans="1:14" x14ac:dyDescent="0.25">
      <c r="A838" t="s">
        <v>867</v>
      </c>
      <c r="B838" t="s">
        <v>13</v>
      </c>
      <c r="C838" t="s">
        <v>14</v>
      </c>
      <c r="D838" t="s">
        <v>15</v>
      </c>
      <c r="E838" t="s">
        <v>26</v>
      </c>
      <c r="F838" t="s">
        <v>41</v>
      </c>
      <c r="G838" t="str">
        <f t="shared" si="39"/>
        <v>Sunday</v>
      </c>
      <c r="H838" t="str">
        <f t="shared" si="40"/>
        <v>Jan</v>
      </c>
      <c r="I838" s="1">
        <v>43474</v>
      </c>
      <c r="J838" s="1" t="str">
        <f t="shared" si="41"/>
        <v>Afternoon</v>
      </c>
      <c r="K838" s="2">
        <v>0.56527777777777777</v>
      </c>
      <c r="L838" t="s">
        <v>18</v>
      </c>
      <c r="M838">
        <v>9.6349999999999998</v>
      </c>
      <c r="N838">
        <v>5.6</v>
      </c>
    </row>
    <row r="839" spans="1:14" x14ac:dyDescent="0.25">
      <c r="A839" t="s">
        <v>868</v>
      </c>
      <c r="B839" t="s">
        <v>37</v>
      </c>
      <c r="C839" t="s">
        <v>38</v>
      </c>
      <c r="D839" t="s">
        <v>22</v>
      </c>
      <c r="E839" t="s">
        <v>26</v>
      </c>
      <c r="F839" t="s">
        <v>31</v>
      </c>
      <c r="G839" t="str">
        <f t="shared" si="39"/>
        <v>Saturday</v>
      </c>
      <c r="H839" t="str">
        <f t="shared" si="40"/>
        <v>Jan</v>
      </c>
      <c r="I839" s="1">
        <v>43467</v>
      </c>
      <c r="J839" s="1" t="str">
        <f t="shared" si="41"/>
        <v>Evening</v>
      </c>
      <c r="K839" s="2">
        <v>0.83888888888888891</v>
      </c>
      <c r="L839" t="s">
        <v>28</v>
      </c>
      <c r="M839">
        <v>13.388999999999999</v>
      </c>
      <c r="N839">
        <v>5.0999999999999996</v>
      </c>
    </row>
    <row r="840" spans="1:14" x14ac:dyDescent="0.25">
      <c r="A840" t="s">
        <v>869</v>
      </c>
      <c r="B840" t="s">
        <v>20</v>
      </c>
      <c r="C840" t="s">
        <v>21</v>
      </c>
      <c r="D840" t="s">
        <v>22</v>
      </c>
      <c r="E840" t="s">
        <v>26</v>
      </c>
      <c r="F840" t="s">
        <v>23</v>
      </c>
      <c r="G840" t="str">
        <f t="shared" si="39"/>
        <v>Monday</v>
      </c>
      <c r="H840" t="str">
        <f t="shared" si="40"/>
        <v>Jan</v>
      </c>
      <c r="I840" s="1">
        <v>43480</v>
      </c>
      <c r="J840" s="1" t="str">
        <f t="shared" si="41"/>
        <v>Afternoon</v>
      </c>
      <c r="K840" s="2">
        <v>0.62569444444444444</v>
      </c>
      <c r="L840" t="s">
        <v>24</v>
      </c>
      <c r="M840">
        <v>27.934999999999999</v>
      </c>
      <c r="N840">
        <v>5.8</v>
      </c>
    </row>
    <row r="841" spans="1:14" x14ac:dyDescent="0.25">
      <c r="A841" t="s">
        <v>870</v>
      </c>
      <c r="B841" t="s">
        <v>20</v>
      </c>
      <c r="C841" t="s">
        <v>21</v>
      </c>
      <c r="D841" t="s">
        <v>15</v>
      </c>
      <c r="E841" t="s">
        <v>16</v>
      </c>
      <c r="F841" t="s">
        <v>31</v>
      </c>
      <c r="G841" t="str">
        <f t="shared" si="39"/>
        <v>Saturday</v>
      </c>
      <c r="H841" t="str">
        <f t="shared" si="40"/>
        <v>Jan</v>
      </c>
      <c r="I841" s="1">
        <v>43466</v>
      </c>
      <c r="J841" s="1" t="str">
        <f t="shared" si="41"/>
        <v>Morning</v>
      </c>
      <c r="K841" s="2">
        <v>0.4861111111111111</v>
      </c>
      <c r="L841" t="s">
        <v>18</v>
      </c>
      <c r="M841">
        <v>8.766</v>
      </c>
      <c r="N841">
        <v>5</v>
      </c>
    </row>
    <row r="842" spans="1:14" x14ac:dyDescent="0.25">
      <c r="A842" t="s">
        <v>871</v>
      </c>
      <c r="B842" t="s">
        <v>13</v>
      </c>
      <c r="C842" t="s">
        <v>14</v>
      </c>
      <c r="D842" t="s">
        <v>22</v>
      </c>
      <c r="E842" t="s">
        <v>26</v>
      </c>
      <c r="F842" t="s">
        <v>41</v>
      </c>
      <c r="G842" t="str">
        <f t="shared" si="39"/>
        <v>Friday</v>
      </c>
      <c r="H842" t="str">
        <f t="shared" si="40"/>
        <v>Feb</v>
      </c>
      <c r="I842" s="1">
        <v>43511</v>
      </c>
      <c r="J842" s="1" t="str">
        <f t="shared" si="41"/>
        <v>Afternoon</v>
      </c>
      <c r="K842" s="2">
        <v>0.63958333333333328</v>
      </c>
      <c r="L842" t="s">
        <v>24</v>
      </c>
      <c r="M842">
        <v>7.7910000000000004</v>
      </c>
      <c r="N842">
        <v>7.9</v>
      </c>
    </row>
    <row r="843" spans="1:14" x14ac:dyDescent="0.25">
      <c r="A843" t="s">
        <v>872</v>
      </c>
      <c r="B843" t="s">
        <v>37</v>
      </c>
      <c r="C843" t="s">
        <v>38</v>
      </c>
      <c r="D843" t="s">
        <v>22</v>
      </c>
      <c r="E843" t="s">
        <v>26</v>
      </c>
      <c r="F843" t="s">
        <v>23</v>
      </c>
      <c r="G843" t="str">
        <f t="shared" si="39"/>
        <v>Sunday</v>
      </c>
      <c r="H843" t="str">
        <f t="shared" si="40"/>
        <v>Feb</v>
      </c>
      <c r="I843" s="1">
        <v>43524</v>
      </c>
      <c r="J843" s="1" t="str">
        <f t="shared" si="41"/>
        <v>Evening</v>
      </c>
      <c r="K843" s="2">
        <v>0.73472222222222217</v>
      </c>
      <c r="L843" t="s">
        <v>24</v>
      </c>
      <c r="M843">
        <v>3.0150000000000001</v>
      </c>
      <c r="N843">
        <v>6</v>
      </c>
    </row>
    <row r="844" spans="1:14" x14ac:dyDescent="0.25">
      <c r="A844" t="s">
        <v>873</v>
      </c>
      <c r="B844" t="s">
        <v>13</v>
      </c>
      <c r="C844" t="s">
        <v>14</v>
      </c>
      <c r="D844" t="s">
        <v>15</v>
      </c>
      <c r="E844" t="s">
        <v>16</v>
      </c>
      <c r="F844" t="s">
        <v>31</v>
      </c>
      <c r="G844" t="str">
        <f t="shared" si="39"/>
        <v>Monday</v>
      </c>
      <c r="H844" t="str">
        <f t="shared" si="40"/>
        <v>Mar</v>
      </c>
      <c r="I844" s="1">
        <v>43526</v>
      </c>
      <c r="J844" s="1" t="str">
        <f t="shared" si="41"/>
        <v>Evening</v>
      </c>
      <c r="K844" s="2">
        <v>0.6777777777777777</v>
      </c>
      <c r="L844" t="s">
        <v>28</v>
      </c>
      <c r="M844">
        <v>3.9470000000000001</v>
      </c>
      <c r="N844">
        <v>5</v>
      </c>
    </row>
    <row r="845" spans="1:14" x14ac:dyDescent="0.25">
      <c r="A845" t="s">
        <v>874</v>
      </c>
      <c r="B845" t="s">
        <v>20</v>
      </c>
      <c r="C845" t="s">
        <v>21</v>
      </c>
      <c r="D845" t="s">
        <v>15</v>
      </c>
      <c r="E845" t="s">
        <v>16</v>
      </c>
      <c r="F845" t="s">
        <v>39</v>
      </c>
      <c r="G845" t="str">
        <f t="shared" si="39"/>
        <v>Friday</v>
      </c>
      <c r="H845" t="str">
        <f t="shared" si="40"/>
        <v>Feb</v>
      </c>
      <c r="I845" s="1">
        <v>43509</v>
      </c>
      <c r="J845" s="1" t="str">
        <f t="shared" si="41"/>
        <v>Evening</v>
      </c>
      <c r="K845" s="2">
        <v>0.76041666666666663</v>
      </c>
      <c r="L845" t="s">
        <v>28</v>
      </c>
      <c r="M845">
        <v>1.4870000000000001</v>
      </c>
      <c r="N845">
        <v>8.9</v>
      </c>
    </row>
    <row r="846" spans="1:14" x14ac:dyDescent="0.25">
      <c r="A846" t="s">
        <v>875</v>
      </c>
      <c r="B846" t="s">
        <v>13</v>
      </c>
      <c r="C846" t="s">
        <v>14</v>
      </c>
      <c r="D846" t="s">
        <v>22</v>
      </c>
      <c r="E846" t="s">
        <v>26</v>
      </c>
      <c r="F846" t="s">
        <v>41</v>
      </c>
      <c r="G846" t="str">
        <f t="shared" si="39"/>
        <v>Wednesday</v>
      </c>
      <c r="H846" t="str">
        <f t="shared" si="40"/>
        <v>Jan</v>
      </c>
      <c r="I846" s="1">
        <v>43491</v>
      </c>
      <c r="J846" s="1" t="str">
        <f t="shared" si="41"/>
        <v>Afternoon</v>
      </c>
      <c r="K846" s="2">
        <v>0.52986111111111112</v>
      </c>
      <c r="L846" t="s">
        <v>24</v>
      </c>
      <c r="M846">
        <v>1.0660000000000001</v>
      </c>
      <c r="N846">
        <v>5.9</v>
      </c>
    </row>
    <row r="847" spans="1:14" x14ac:dyDescent="0.25">
      <c r="A847" t="s">
        <v>876</v>
      </c>
      <c r="B847" t="s">
        <v>13</v>
      </c>
      <c r="C847" t="s">
        <v>14</v>
      </c>
      <c r="D847" t="s">
        <v>15</v>
      </c>
      <c r="E847" t="s">
        <v>26</v>
      </c>
      <c r="F847" t="s">
        <v>23</v>
      </c>
      <c r="G847" t="str">
        <f t="shared" si="39"/>
        <v>Wednesday</v>
      </c>
      <c r="H847" t="str">
        <f t="shared" si="40"/>
        <v>Jan</v>
      </c>
      <c r="I847" s="1">
        <v>43495</v>
      </c>
      <c r="J847" s="1" t="str">
        <f t="shared" si="41"/>
        <v>Morning</v>
      </c>
      <c r="K847" s="2">
        <v>0.48055555555555557</v>
      </c>
      <c r="L847" t="s">
        <v>28</v>
      </c>
      <c r="M847">
        <v>14.067</v>
      </c>
      <c r="N847">
        <v>5.9</v>
      </c>
    </row>
    <row r="848" spans="1:14" x14ac:dyDescent="0.25">
      <c r="A848" t="s">
        <v>877</v>
      </c>
      <c r="B848" t="s">
        <v>13</v>
      </c>
      <c r="C848" t="s">
        <v>14</v>
      </c>
      <c r="D848" t="s">
        <v>15</v>
      </c>
      <c r="E848" t="s">
        <v>26</v>
      </c>
      <c r="F848" t="s">
        <v>23</v>
      </c>
      <c r="G848" t="str">
        <f t="shared" si="39"/>
        <v>Wednesday</v>
      </c>
      <c r="H848" t="str">
        <f t="shared" si="40"/>
        <v>Jan</v>
      </c>
      <c r="I848" s="1">
        <v>43492</v>
      </c>
      <c r="J848" s="1" t="str">
        <f t="shared" si="41"/>
        <v>Evening</v>
      </c>
      <c r="K848" s="2">
        <v>0.75555555555555554</v>
      </c>
      <c r="L848" t="s">
        <v>18</v>
      </c>
      <c r="M848">
        <v>3.6629999999999998</v>
      </c>
      <c r="N848">
        <v>9.6999999999999993</v>
      </c>
    </row>
    <row r="849" spans="1:14" x14ac:dyDescent="0.25">
      <c r="A849" t="s">
        <v>878</v>
      </c>
      <c r="B849" t="s">
        <v>20</v>
      </c>
      <c r="C849" t="s">
        <v>21</v>
      </c>
      <c r="D849" t="s">
        <v>22</v>
      </c>
      <c r="E849" t="s">
        <v>16</v>
      </c>
      <c r="F849" t="s">
        <v>31</v>
      </c>
      <c r="G849" t="str">
        <f t="shared" si="39"/>
        <v>Wednesday</v>
      </c>
      <c r="H849" t="str">
        <f t="shared" si="40"/>
        <v>Jan</v>
      </c>
      <c r="I849" s="1">
        <v>43495</v>
      </c>
      <c r="J849" s="1" t="str">
        <f t="shared" si="41"/>
        <v>Evening</v>
      </c>
      <c r="K849" s="2">
        <v>0.71388888888888891</v>
      </c>
      <c r="L849" t="s">
        <v>28</v>
      </c>
      <c r="M849">
        <v>1.119</v>
      </c>
      <c r="N849">
        <v>8.6</v>
      </c>
    </row>
    <row r="850" spans="1:14" x14ac:dyDescent="0.25">
      <c r="A850" t="s">
        <v>879</v>
      </c>
      <c r="B850" t="s">
        <v>20</v>
      </c>
      <c r="C850" t="s">
        <v>21</v>
      </c>
      <c r="D850" t="s">
        <v>15</v>
      </c>
      <c r="E850" t="s">
        <v>16</v>
      </c>
      <c r="F850" t="s">
        <v>39</v>
      </c>
      <c r="G850" t="str">
        <f t="shared" si="39"/>
        <v>Sunday</v>
      </c>
      <c r="H850" t="str">
        <f t="shared" si="40"/>
        <v>Jan</v>
      </c>
      <c r="I850" s="1">
        <v>43473</v>
      </c>
      <c r="J850" s="1" t="str">
        <f t="shared" si="41"/>
        <v>Evening</v>
      </c>
      <c r="K850" s="2">
        <v>0.81805555555555554</v>
      </c>
      <c r="L850" t="s">
        <v>24</v>
      </c>
      <c r="M850">
        <v>32.795999999999999</v>
      </c>
      <c r="N850">
        <v>4</v>
      </c>
    </row>
    <row r="851" spans="1:14" x14ac:dyDescent="0.25">
      <c r="A851" t="s">
        <v>880</v>
      </c>
      <c r="B851" t="s">
        <v>13</v>
      </c>
      <c r="C851" t="s">
        <v>14</v>
      </c>
      <c r="D851" t="s">
        <v>22</v>
      </c>
      <c r="E851" t="s">
        <v>16</v>
      </c>
      <c r="F851" t="s">
        <v>41</v>
      </c>
      <c r="G851" t="str">
        <f t="shared" si="39"/>
        <v>Tuesday</v>
      </c>
      <c r="H851" t="str">
        <f t="shared" si="40"/>
        <v>Jan</v>
      </c>
      <c r="I851" s="1">
        <v>43484</v>
      </c>
      <c r="J851" s="1" t="str">
        <f t="shared" si="41"/>
        <v>Afternoon</v>
      </c>
      <c r="K851" s="2">
        <v>0.5493055555555556</v>
      </c>
      <c r="L851" t="s">
        <v>24</v>
      </c>
      <c r="M851">
        <v>29.73</v>
      </c>
      <c r="N851">
        <v>4.2</v>
      </c>
    </row>
    <row r="852" spans="1:14" x14ac:dyDescent="0.25">
      <c r="A852" t="s">
        <v>881</v>
      </c>
      <c r="B852" t="s">
        <v>13</v>
      </c>
      <c r="C852" t="s">
        <v>14</v>
      </c>
      <c r="D852" t="s">
        <v>22</v>
      </c>
      <c r="E852" t="s">
        <v>26</v>
      </c>
      <c r="F852" t="s">
        <v>41</v>
      </c>
      <c r="G852" t="str">
        <f t="shared" si="39"/>
        <v>Tuesday</v>
      </c>
      <c r="H852" t="str">
        <f t="shared" si="40"/>
        <v>Jan</v>
      </c>
      <c r="I852" s="1">
        <v>43490</v>
      </c>
      <c r="J852" s="1" t="str">
        <f t="shared" si="41"/>
        <v>Morning</v>
      </c>
      <c r="K852" s="2">
        <v>0.46180555555555558</v>
      </c>
      <c r="L852" t="s">
        <v>24</v>
      </c>
      <c r="M852">
        <v>3.7050000000000001</v>
      </c>
      <c r="N852">
        <v>9.1999999999999993</v>
      </c>
    </row>
    <row r="853" spans="1:14" x14ac:dyDescent="0.25">
      <c r="A853" t="s">
        <v>882</v>
      </c>
      <c r="B853" t="s">
        <v>13</v>
      </c>
      <c r="C853" t="s">
        <v>14</v>
      </c>
      <c r="D853" t="s">
        <v>22</v>
      </c>
      <c r="E853" t="s">
        <v>16</v>
      </c>
      <c r="F853" t="s">
        <v>41</v>
      </c>
      <c r="G853" t="str">
        <f t="shared" si="39"/>
        <v>Saturday</v>
      </c>
      <c r="H853" t="str">
        <f t="shared" si="40"/>
        <v>Feb</v>
      </c>
      <c r="I853" s="1">
        <v>43515</v>
      </c>
      <c r="J853" s="1" t="str">
        <f t="shared" si="41"/>
        <v>Morning</v>
      </c>
      <c r="K853" s="2">
        <v>0.42499999999999999</v>
      </c>
      <c r="L853" t="s">
        <v>18</v>
      </c>
      <c r="M853">
        <v>9.8480000000000008</v>
      </c>
      <c r="N853">
        <v>9.1999999999999993</v>
      </c>
    </row>
    <row r="854" spans="1:14" x14ac:dyDescent="0.25">
      <c r="A854" t="s">
        <v>883</v>
      </c>
      <c r="B854" t="s">
        <v>20</v>
      </c>
      <c r="C854" t="s">
        <v>21</v>
      </c>
      <c r="D854" t="s">
        <v>22</v>
      </c>
      <c r="E854" t="s">
        <v>26</v>
      </c>
      <c r="F854" t="s">
        <v>17</v>
      </c>
      <c r="G854" t="str">
        <f t="shared" si="39"/>
        <v>Monday</v>
      </c>
      <c r="H854" t="str">
        <f t="shared" si="40"/>
        <v>Jan</v>
      </c>
      <c r="I854" s="1">
        <v>43479</v>
      </c>
      <c r="J854" s="1" t="str">
        <f t="shared" si="41"/>
        <v>Afternoon</v>
      </c>
      <c r="K854" s="2">
        <v>0.65416666666666667</v>
      </c>
      <c r="L854" t="s">
        <v>18</v>
      </c>
      <c r="M854">
        <v>18.616499999999998</v>
      </c>
      <c r="N854">
        <v>5</v>
      </c>
    </row>
    <row r="855" spans="1:14" x14ac:dyDescent="0.25">
      <c r="A855" t="s">
        <v>884</v>
      </c>
      <c r="B855" t="s">
        <v>37</v>
      </c>
      <c r="C855" t="s">
        <v>38</v>
      </c>
      <c r="D855" t="s">
        <v>22</v>
      </c>
      <c r="E855" t="s">
        <v>16</v>
      </c>
      <c r="F855" t="s">
        <v>23</v>
      </c>
      <c r="G855" t="str">
        <f t="shared" si="39"/>
        <v>Sunday</v>
      </c>
      <c r="H855" t="str">
        <f t="shared" si="40"/>
        <v>Feb</v>
      </c>
      <c r="I855" s="1">
        <v>43521</v>
      </c>
      <c r="J855" s="1" t="str">
        <f t="shared" si="41"/>
        <v>Morning</v>
      </c>
      <c r="K855" s="2">
        <v>0.49861111111111112</v>
      </c>
      <c r="L855" t="s">
        <v>18</v>
      </c>
      <c r="M855">
        <v>26.395</v>
      </c>
      <c r="N855">
        <v>10</v>
      </c>
    </row>
    <row r="856" spans="1:14" x14ac:dyDescent="0.25">
      <c r="A856" t="s">
        <v>885</v>
      </c>
      <c r="B856" t="s">
        <v>13</v>
      </c>
      <c r="C856" t="s">
        <v>14</v>
      </c>
      <c r="D856" t="s">
        <v>15</v>
      </c>
      <c r="E856" t="s">
        <v>16</v>
      </c>
      <c r="F856" t="s">
        <v>17</v>
      </c>
      <c r="G856" t="str">
        <f t="shared" si="39"/>
        <v>Tuesday</v>
      </c>
      <c r="H856" t="str">
        <f t="shared" si="40"/>
        <v>Jan</v>
      </c>
      <c r="I856" s="1">
        <v>43488</v>
      </c>
      <c r="J856" s="1" t="str">
        <f t="shared" si="41"/>
        <v>Afternoon</v>
      </c>
      <c r="K856" s="2">
        <v>0.59791666666666665</v>
      </c>
      <c r="L856" t="s">
        <v>18</v>
      </c>
      <c r="M856">
        <v>23.987500000000001</v>
      </c>
      <c r="N856">
        <v>8.8000000000000007</v>
      </c>
    </row>
    <row r="857" spans="1:14" x14ac:dyDescent="0.25">
      <c r="A857" t="s">
        <v>886</v>
      </c>
      <c r="B857" t="s">
        <v>37</v>
      </c>
      <c r="C857" t="s">
        <v>38</v>
      </c>
      <c r="D857" t="s">
        <v>22</v>
      </c>
      <c r="E857" t="s">
        <v>16</v>
      </c>
      <c r="F857" t="s">
        <v>41</v>
      </c>
      <c r="G857" t="str">
        <f t="shared" si="39"/>
        <v>Saturday</v>
      </c>
      <c r="H857" t="str">
        <f t="shared" si="40"/>
        <v>Feb</v>
      </c>
      <c r="I857" s="1">
        <v>43512</v>
      </c>
      <c r="J857" s="1" t="str">
        <f t="shared" si="41"/>
        <v>Morning</v>
      </c>
      <c r="K857" s="2">
        <v>0.45277777777777778</v>
      </c>
      <c r="L857" t="s">
        <v>24</v>
      </c>
      <c r="M857">
        <v>16.429500000000001</v>
      </c>
      <c r="N857">
        <v>4.2</v>
      </c>
    </row>
    <row r="858" spans="1:14" x14ac:dyDescent="0.25">
      <c r="A858" t="s">
        <v>887</v>
      </c>
      <c r="B858" t="s">
        <v>37</v>
      </c>
      <c r="C858" t="s">
        <v>38</v>
      </c>
      <c r="D858" t="s">
        <v>22</v>
      </c>
      <c r="E858" t="s">
        <v>26</v>
      </c>
      <c r="F858" t="s">
        <v>39</v>
      </c>
      <c r="G858" t="str">
        <f t="shared" si="39"/>
        <v>Saturday</v>
      </c>
      <c r="H858" t="str">
        <f t="shared" si="40"/>
        <v>Jan</v>
      </c>
      <c r="I858" s="1">
        <v>43466</v>
      </c>
      <c r="J858" s="1" t="str">
        <f t="shared" si="41"/>
        <v>Evening</v>
      </c>
      <c r="K858" s="2">
        <v>0.81319444444444444</v>
      </c>
      <c r="L858" t="s">
        <v>24</v>
      </c>
      <c r="M858">
        <v>8.4480000000000004</v>
      </c>
      <c r="N858">
        <v>6.3</v>
      </c>
    </row>
    <row r="859" spans="1:14" x14ac:dyDescent="0.25">
      <c r="A859" t="s">
        <v>888</v>
      </c>
      <c r="B859" t="s">
        <v>13</v>
      </c>
      <c r="C859" t="s">
        <v>14</v>
      </c>
      <c r="D859" t="s">
        <v>15</v>
      </c>
      <c r="E859" t="s">
        <v>16</v>
      </c>
      <c r="F859" t="s">
        <v>27</v>
      </c>
      <c r="G859" t="str">
        <f t="shared" si="39"/>
        <v>Monday</v>
      </c>
      <c r="H859" t="str">
        <f t="shared" si="40"/>
        <v>Mar</v>
      </c>
      <c r="I859" s="1">
        <v>43531</v>
      </c>
      <c r="J859" s="1" t="str">
        <f t="shared" si="41"/>
        <v>Evening</v>
      </c>
      <c r="K859" s="2">
        <v>0.77430555555555547</v>
      </c>
      <c r="L859" t="s">
        <v>24</v>
      </c>
      <c r="M859">
        <v>5.6619999999999999</v>
      </c>
      <c r="N859">
        <v>8.1999999999999993</v>
      </c>
    </row>
    <row r="860" spans="1:14" x14ac:dyDescent="0.25">
      <c r="A860" t="s">
        <v>889</v>
      </c>
      <c r="B860" t="s">
        <v>37</v>
      </c>
      <c r="C860" t="s">
        <v>38</v>
      </c>
      <c r="D860" t="s">
        <v>22</v>
      </c>
      <c r="E860" t="s">
        <v>26</v>
      </c>
      <c r="F860" t="s">
        <v>17</v>
      </c>
      <c r="G860" t="str">
        <f t="shared" si="39"/>
        <v>Friday</v>
      </c>
      <c r="H860" t="str">
        <f t="shared" si="40"/>
        <v>Feb</v>
      </c>
      <c r="I860" s="1">
        <v>43511</v>
      </c>
      <c r="J860" s="1" t="str">
        <f t="shared" si="41"/>
        <v>Afternoon</v>
      </c>
      <c r="K860" s="2">
        <v>0.57708333333333328</v>
      </c>
      <c r="L860" t="s">
        <v>24</v>
      </c>
      <c r="M860">
        <v>17.277000000000001</v>
      </c>
      <c r="N860">
        <v>5.0999999999999996</v>
      </c>
    </row>
    <row r="861" spans="1:14" x14ac:dyDescent="0.25">
      <c r="A861" t="s">
        <v>890</v>
      </c>
      <c r="B861" t="s">
        <v>13</v>
      </c>
      <c r="C861" t="s">
        <v>14</v>
      </c>
      <c r="D861" t="s">
        <v>15</v>
      </c>
      <c r="E861" t="s">
        <v>16</v>
      </c>
      <c r="F861" t="s">
        <v>39</v>
      </c>
      <c r="G861" t="str">
        <f t="shared" si="39"/>
        <v>Tuesday</v>
      </c>
      <c r="H861" t="str">
        <f t="shared" si="40"/>
        <v>Jan</v>
      </c>
      <c r="I861" s="1">
        <v>43488</v>
      </c>
      <c r="J861" s="1" t="str">
        <f t="shared" si="41"/>
        <v>Afternoon</v>
      </c>
      <c r="K861" s="2">
        <v>0.52430555555555558</v>
      </c>
      <c r="L861" t="s">
        <v>24</v>
      </c>
      <c r="M861">
        <v>21.433499999999999</v>
      </c>
      <c r="N861">
        <v>5</v>
      </c>
    </row>
    <row r="862" spans="1:14" x14ac:dyDescent="0.25">
      <c r="A862" t="s">
        <v>891</v>
      </c>
      <c r="B862" t="s">
        <v>20</v>
      </c>
      <c r="C862" t="s">
        <v>21</v>
      </c>
      <c r="D862" t="s">
        <v>15</v>
      </c>
      <c r="E862" t="s">
        <v>16</v>
      </c>
      <c r="F862" t="s">
        <v>27</v>
      </c>
      <c r="G862" t="str">
        <f t="shared" si="39"/>
        <v>Saturday</v>
      </c>
      <c r="H862" t="str">
        <f t="shared" si="40"/>
        <v>Feb</v>
      </c>
      <c r="I862" s="1">
        <v>43516</v>
      </c>
      <c r="J862" s="1" t="str">
        <f t="shared" si="41"/>
        <v>Afternoon</v>
      </c>
      <c r="K862" s="2">
        <v>0.55833333333333335</v>
      </c>
      <c r="L862" t="s">
        <v>18</v>
      </c>
      <c r="M862">
        <v>4.3135000000000003</v>
      </c>
      <c r="N862">
        <v>7</v>
      </c>
    </row>
    <row r="863" spans="1:14" x14ac:dyDescent="0.25">
      <c r="A863" t="s">
        <v>892</v>
      </c>
      <c r="B863" t="s">
        <v>13</v>
      </c>
      <c r="C863" t="s">
        <v>14</v>
      </c>
      <c r="D863" t="s">
        <v>15</v>
      </c>
      <c r="E863" t="s">
        <v>26</v>
      </c>
      <c r="F863" t="s">
        <v>31</v>
      </c>
      <c r="G863" t="str">
        <f t="shared" si="39"/>
        <v>Sunday</v>
      </c>
      <c r="H863" t="str">
        <f t="shared" si="40"/>
        <v>Jan</v>
      </c>
      <c r="I863" s="1">
        <v>43473</v>
      </c>
      <c r="J863" s="1" t="str">
        <f t="shared" si="41"/>
        <v>Evening</v>
      </c>
      <c r="K863" s="2">
        <v>0.75416666666666676</v>
      </c>
      <c r="L863" t="s">
        <v>18</v>
      </c>
      <c r="M863">
        <v>1.276</v>
      </c>
      <c r="N863">
        <v>7.8</v>
      </c>
    </row>
    <row r="864" spans="1:14" x14ac:dyDescent="0.25">
      <c r="A864" t="s">
        <v>893</v>
      </c>
      <c r="B864" t="s">
        <v>37</v>
      </c>
      <c r="C864" t="s">
        <v>38</v>
      </c>
      <c r="D864" t="s">
        <v>22</v>
      </c>
      <c r="E864" t="s">
        <v>16</v>
      </c>
      <c r="F864" t="s">
        <v>27</v>
      </c>
      <c r="G864" t="str">
        <f t="shared" si="39"/>
        <v>Wednesday</v>
      </c>
      <c r="H864" t="str">
        <f t="shared" si="40"/>
        <v>Mar</v>
      </c>
      <c r="I864" s="1">
        <v>43541</v>
      </c>
      <c r="J864" s="1" t="str">
        <f t="shared" si="41"/>
        <v>Morning</v>
      </c>
      <c r="K864" s="2">
        <v>0.49652777777777773</v>
      </c>
      <c r="L864" t="s">
        <v>28</v>
      </c>
      <c r="M864">
        <v>5.0759999999999996</v>
      </c>
      <c r="N864">
        <v>4.3</v>
      </c>
    </row>
    <row r="865" spans="1:14" x14ac:dyDescent="0.25">
      <c r="A865" t="s">
        <v>894</v>
      </c>
      <c r="B865" t="s">
        <v>37</v>
      </c>
      <c r="C865" t="s">
        <v>38</v>
      </c>
      <c r="D865" t="s">
        <v>22</v>
      </c>
      <c r="E865" t="s">
        <v>16</v>
      </c>
      <c r="F865" t="s">
        <v>27</v>
      </c>
      <c r="G865" t="str">
        <f t="shared" si="39"/>
        <v>Monday</v>
      </c>
      <c r="H865" t="str">
        <f t="shared" si="40"/>
        <v>Jan</v>
      </c>
      <c r="I865" s="1">
        <v>43477</v>
      </c>
      <c r="J865" s="1" t="str">
        <f t="shared" si="41"/>
        <v>Morning</v>
      </c>
      <c r="K865" s="2">
        <v>0.48749999999999999</v>
      </c>
      <c r="L865" t="s">
        <v>24</v>
      </c>
      <c r="M865">
        <v>17.874500000000001</v>
      </c>
      <c r="N865">
        <v>7</v>
      </c>
    </row>
    <row r="866" spans="1:14" x14ac:dyDescent="0.25">
      <c r="A866" t="s">
        <v>895</v>
      </c>
      <c r="B866" t="s">
        <v>13</v>
      </c>
      <c r="C866" t="s">
        <v>14</v>
      </c>
      <c r="D866" t="s">
        <v>15</v>
      </c>
      <c r="E866" t="s">
        <v>16</v>
      </c>
      <c r="F866" t="s">
        <v>23</v>
      </c>
      <c r="G866" t="str">
        <f t="shared" si="39"/>
        <v>Sunday</v>
      </c>
      <c r="H866" t="str">
        <f t="shared" si="40"/>
        <v>Jan</v>
      </c>
      <c r="I866" s="1">
        <v>43473</v>
      </c>
      <c r="J866" s="1" t="str">
        <f t="shared" si="41"/>
        <v>Afternoon</v>
      </c>
      <c r="K866" s="2">
        <v>0.60416666666666663</v>
      </c>
      <c r="L866" t="s">
        <v>24</v>
      </c>
      <c r="M866">
        <v>11.938499999999999</v>
      </c>
      <c r="N866">
        <v>6.6</v>
      </c>
    </row>
    <row r="867" spans="1:14" x14ac:dyDescent="0.25">
      <c r="A867" t="s">
        <v>896</v>
      </c>
      <c r="B867" t="s">
        <v>20</v>
      </c>
      <c r="C867" t="s">
        <v>21</v>
      </c>
      <c r="D867" t="s">
        <v>15</v>
      </c>
      <c r="E867" t="s">
        <v>26</v>
      </c>
      <c r="F867" t="s">
        <v>17</v>
      </c>
      <c r="G867" t="str">
        <f t="shared" si="39"/>
        <v>Wednesday</v>
      </c>
      <c r="H867" t="str">
        <f t="shared" si="40"/>
        <v>Jan</v>
      </c>
      <c r="I867" s="1">
        <v>43491</v>
      </c>
      <c r="J867" s="1" t="str">
        <f t="shared" si="41"/>
        <v>Afternoon</v>
      </c>
      <c r="K867" s="2">
        <v>0.63263888888888886</v>
      </c>
      <c r="L867" t="s">
        <v>18</v>
      </c>
      <c r="M867">
        <v>5.0715000000000003</v>
      </c>
      <c r="N867">
        <v>7.3</v>
      </c>
    </row>
    <row r="868" spans="1:14" x14ac:dyDescent="0.25">
      <c r="A868" t="s">
        <v>897</v>
      </c>
      <c r="B868" t="s">
        <v>37</v>
      </c>
      <c r="C868" t="s">
        <v>38</v>
      </c>
      <c r="D868" t="s">
        <v>15</v>
      </c>
      <c r="E868" t="s">
        <v>26</v>
      </c>
      <c r="F868" t="s">
        <v>31</v>
      </c>
      <c r="G868" t="str">
        <f t="shared" si="39"/>
        <v>Tuesday</v>
      </c>
      <c r="H868" t="str">
        <f t="shared" si="40"/>
        <v>Mar</v>
      </c>
      <c r="I868" s="1">
        <v>43539</v>
      </c>
      <c r="J868" s="1" t="str">
        <f t="shared" si="41"/>
        <v>Afternoon</v>
      </c>
      <c r="K868" s="2">
        <v>0.6166666666666667</v>
      </c>
      <c r="L868" t="s">
        <v>28</v>
      </c>
      <c r="M868">
        <v>36.212000000000003</v>
      </c>
      <c r="N868">
        <v>6.5</v>
      </c>
    </row>
    <row r="869" spans="1:14" x14ac:dyDescent="0.25">
      <c r="A869" t="s">
        <v>898</v>
      </c>
      <c r="B869" t="s">
        <v>20</v>
      </c>
      <c r="C869" t="s">
        <v>21</v>
      </c>
      <c r="D869" t="s">
        <v>15</v>
      </c>
      <c r="E869" t="s">
        <v>16</v>
      </c>
      <c r="F869" t="s">
        <v>17</v>
      </c>
      <c r="G869" t="str">
        <f t="shared" si="39"/>
        <v>Monday</v>
      </c>
      <c r="H869" t="str">
        <f t="shared" si="40"/>
        <v>Jan</v>
      </c>
      <c r="I869" s="1">
        <v>43482</v>
      </c>
      <c r="J869" s="1" t="str">
        <f t="shared" si="41"/>
        <v>Afternoon</v>
      </c>
      <c r="K869" s="2">
        <v>0.52500000000000002</v>
      </c>
      <c r="L869" t="s">
        <v>18</v>
      </c>
      <c r="M869">
        <v>6.282</v>
      </c>
      <c r="N869">
        <v>4.9000000000000004</v>
      </c>
    </row>
    <row r="870" spans="1:14" x14ac:dyDescent="0.25">
      <c r="A870" t="s">
        <v>899</v>
      </c>
      <c r="B870" t="s">
        <v>20</v>
      </c>
      <c r="C870" t="s">
        <v>21</v>
      </c>
      <c r="D870" t="s">
        <v>15</v>
      </c>
      <c r="E870" t="s">
        <v>26</v>
      </c>
      <c r="F870" t="s">
        <v>39</v>
      </c>
      <c r="G870" t="str">
        <f t="shared" si="39"/>
        <v>Sunday</v>
      </c>
      <c r="H870" t="str">
        <f t="shared" si="40"/>
        <v>Jan</v>
      </c>
      <c r="I870" s="1">
        <v>43473</v>
      </c>
      <c r="J870" s="1" t="str">
        <f t="shared" si="41"/>
        <v>Evening</v>
      </c>
      <c r="K870" s="2">
        <v>0.79791666666666661</v>
      </c>
      <c r="L870" t="s">
        <v>28</v>
      </c>
      <c r="M870">
        <v>3.6465000000000001</v>
      </c>
      <c r="N870">
        <v>4.3</v>
      </c>
    </row>
    <row r="871" spans="1:14" x14ac:dyDescent="0.25">
      <c r="A871" t="s">
        <v>900</v>
      </c>
      <c r="B871" t="s">
        <v>13</v>
      </c>
      <c r="C871" t="s">
        <v>14</v>
      </c>
      <c r="D871" t="s">
        <v>22</v>
      </c>
      <c r="E871" t="s">
        <v>26</v>
      </c>
      <c r="F871" t="s">
        <v>31</v>
      </c>
      <c r="G871" t="str">
        <f t="shared" si="39"/>
        <v>Sunday</v>
      </c>
      <c r="H871" t="str">
        <f t="shared" si="40"/>
        <v>Jan</v>
      </c>
      <c r="I871" s="1">
        <v>43471</v>
      </c>
      <c r="J871" s="1" t="str">
        <f t="shared" si="41"/>
        <v>Afternoon</v>
      </c>
      <c r="K871" s="2">
        <v>0.56597222222222221</v>
      </c>
      <c r="L871" t="s">
        <v>18</v>
      </c>
      <c r="M871">
        <v>12.917999999999999</v>
      </c>
      <c r="N871">
        <v>9.3000000000000007</v>
      </c>
    </row>
    <row r="872" spans="1:14" x14ac:dyDescent="0.25">
      <c r="A872" t="s">
        <v>901</v>
      </c>
      <c r="B872" t="s">
        <v>13</v>
      </c>
      <c r="C872" t="s">
        <v>14</v>
      </c>
      <c r="D872" t="s">
        <v>15</v>
      </c>
      <c r="E872" t="s">
        <v>26</v>
      </c>
      <c r="F872" t="s">
        <v>39</v>
      </c>
      <c r="G872" t="str">
        <f t="shared" si="39"/>
        <v>Saturday</v>
      </c>
      <c r="H872" t="str">
        <f t="shared" si="40"/>
        <v>Feb</v>
      </c>
      <c r="I872" s="1">
        <v>43512</v>
      </c>
      <c r="J872" s="1" t="str">
        <f t="shared" si="41"/>
        <v>Morning</v>
      </c>
      <c r="K872" s="2">
        <v>0.43958333333333338</v>
      </c>
      <c r="L872" t="s">
        <v>28</v>
      </c>
      <c r="M872">
        <v>8.6869999999999994</v>
      </c>
      <c r="N872">
        <v>7.1</v>
      </c>
    </row>
    <row r="873" spans="1:14" x14ac:dyDescent="0.25">
      <c r="A873" t="s">
        <v>902</v>
      </c>
      <c r="B873" t="s">
        <v>20</v>
      </c>
      <c r="C873" t="s">
        <v>21</v>
      </c>
      <c r="D873" t="s">
        <v>22</v>
      </c>
      <c r="E873" t="s">
        <v>26</v>
      </c>
      <c r="F873" t="s">
        <v>41</v>
      </c>
      <c r="G873" t="str">
        <f t="shared" si="39"/>
        <v>Tuesday</v>
      </c>
      <c r="H873" t="str">
        <f t="shared" si="40"/>
        <v>Mar</v>
      </c>
      <c r="I873" s="1">
        <v>43537</v>
      </c>
      <c r="J873" s="1" t="str">
        <f t="shared" si="41"/>
        <v>Afternoon</v>
      </c>
      <c r="K873" s="2">
        <v>0.65625</v>
      </c>
      <c r="L873" t="s">
        <v>18</v>
      </c>
      <c r="M873">
        <v>2.8250000000000002</v>
      </c>
      <c r="N873">
        <v>9.6</v>
      </c>
    </row>
    <row r="874" spans="1:14" x14ac:dyDescent="0.25">
      <c r="A874" t="s">
        <v>903</v>
      </c>
      <c r="B874" t="s">
        <v>37</v>
      </c>
      <c r="C874" t="s">
        <v>38</v>
      </c>
      <c r="D874" t="s">
        <v>15</v>
      </c>
      <c r="E874" t="s">
        <v>16</v>
      </c>
      <c r="F874" t="s">
        <v>23</v>
      </c>
      <c r="G874" t="str">
        <f t="shared" si="39"/>
        <v>Wednesday</v>
      </c>
      <c r="H874" t="str">
        <f t="shared" si="40"/>
        <v>Jan</v>
      </c>
      <c r="I874" s="1">
        <v>43493</v>
      </c>
      <c r="J874" s="1" t="str">
        <f t="shared" si="41"/>
        <v>Morning</v>
      </c>
      <c r="K874" s="2">
        <v>0.49374999999999997</v>
      </c>
      <c r="L874" t="s">
        <v>24</v>
      </c>
      <c r="M874">
        <v>10.715</v>
      </c>
      <c r="N874">
        <v>6.2</v>
      </c>
    </row>
    <row r="875" spans="1:14" x14ac:dyDescent="0.25">
      <c r="A875" t="s">
        <v>904</v>
      </c>
      <c r="B875" t="s">
        <v>13</v>
      </c>
      <c r="C875" t="s">
        <v>14</v>
      </c>
      <c r="D875" t="s">
        <v>15</v>
      </c>
      <c r="E875" t="s">
        <v>26</v>
      </c>
      <c r="F875" t="s">
        <v>31</v>
      </c>
      <c r="G875" t="str">
        <f t="shared" si="39"/>
        <v>Monday</v>
      </c>
      <c r="H875" t="str">
        <f t="shared" si="40"/>
        <v>Jan</v>
      </c>
      <c r="I875" s="1">
        <v>43483</v>
      </c>
      <c r="J875" s="1" t="str">
        <f t="shared" si="41"/>
        <v>Evening</v>
      </c>
      <c r="K875" s="2">
        <v>0.72638888888888886</v>
      </c>
      <c r="L875" t="s">
        <v>24</v>
      </c>
      <c r="M875">
        <v>26.718</v>
      </c>
      <c r="N875">
        <v>9.9</v>
      </c>
    </row>
    <row r="876" spans="1:14" x14ac:dyDescent="0.25">
      <c r="A876" t="s">
        <v>905</v>
      </c>
      <c r="B876" t="s">
        <v>13</v>
      </c>
      <c r="C876" t="s">
        <v>14</v>
      </c>
      <c r="D876" t="s">
        <v>15</v>
      </c>
      <c r="E876" t="s">
        <v>26</v>
      </c>
      <c r="F876" t="s">
        <v>27</v>
      </c>
      <c r="G876" t="str">
        <f t="shared" si="39"/>
        <v>Wednesday</v>
      </c>
      <c r="H876" t="str">
        <f t="shared" si="40"/>
        <v>Mar</v>
      </c>
      <c r="I876" s="1">
        <v>43543</v>
      </c>
      <c r="J876" s="1" t="str">
        <f t="shared" si="41"/>
        <v>Morning</v>
      </c>
      <c r="K876" s="2">
        <v>0.49444444444444446</v>
      </c>
      <c r="L876" t="s">
        <v>28</v>
      </c>
      <c r="M876">
        <v>4.6580000000000004</v>
      </c>
      <c r="N876">
        <v>5.9</v>
      </c>
    </row>
    <row r="877" spans="1:14" x14ac:dyDescent="0.25">
      <c r="A877" t="s">
        <v>906</v>
      </c>
      <c r="B877" t="s">
        <v>20</v>
      </c>
      <c r="C877" t="s">
        <v>21</v>
      </c>
      <c r="D877" t="s">
        <v>22</v>
      </c>
      <c r="E877" t="s">
        <v>26</v>
      </c>
      <c r="F877" t="s">
        <v>27</v>
      </c>
      <c r="G877" t="str">
        <f t="shared" si="39"/>
        <v>Tuesday</v>
      </c>
      <c r="H877" t="str">
        <f t="shared" si="40"/>
        <v>Mar</v>
      </c>
      <c r="I877" s="1">
        <v>43539</v>
      </c>
      <c r="J877" s="1" t="str">
        <f t="shared" si="41"/>
        <v>Afternoon</v>
      </c>
      <c r="K877" s="2">
        <v>0.58611111111111114</v>
      </c>
      <c r="L877" t="s">
        <v>18</v>
      </c>
      <c r="M877">
        <v>26.103999999999999</v>
      </c>
      <c r="N877">
        <v>6.3</v>
      </c>
    </row>
    <row r="878" spans="1:14" x14ac:dyDescent="0.25">
      <c r="A878" t="s">
        <v>907</v>
      </c>
      <c r="B878" t="s">
        <v>20</v>
      </c>
      <c r="C878" t="s">
        <v>21</v>
      </c>
      <c r="D878" t="s">
        <v>15</v>
      </c>
      <c r="E878" t="s">
        <v>26</v>
      </c>
      <c r="F878" t="s">
        <v>41</v>
      </c>
      <c r="G878" t="str">
        <f t="shared" si="39"/>
        <v>Friday</v>
      </c>
      <c r="H878" t="str">
        <f t="shared" si="40"/>
        <v>Feb</v>
      </c>
      <c r="I878" s="1">
        <v>43508</v>
      </c>
      <c r="J878" s="1" t="str">
        <f t="shared" si="41"/>
        <v>Evening</v>
      </c>
      <c r="K878" s="2">
        <v>0.74236111111111114</v>
      </c>
      <c r="L878" t="s">
        <v>24</v>
      </c>
      <c r="M878">
        <v>2.6175000000000002</v>
      </c>
      <c r="N878">
        <v>4</v>
      </c>
    </row>
    <row r="879" spans="1:14" x14ac:dyDescent="0.25">
      <c r="A879" t="s">
        <v>908</v>
      </c>
      <c r="B879" t="s">
        <v>37</v>
      </c>
      <c r="C879" t="s">
        <v>38</v>
      </c>
      <c r="D879" t="s">
        <v>15</v>
      </c>
      <c r="E879" t="s">
        <v>26</v>
      </c>
      <c r="F879" t="s">
        <v>23</v>
      </c>
      <c r="G879" t="str">
        <f t="shared" si="39"/>
        <v>Sunday</v>
      </c>
      <c r="H879" t="str">
        <f t="shared" si="40"/>
        <v>Feb</v>
      </c>
      <c r="I879" s="1">
        <v>43521</v>
      </c>
      <c r="J879" s="1" t="str">
        <f t="shared" si="41"/>
        <v>Evening</v>
      </c>
      <c r="K879" s="2">
        <v>0.84652777777777777</v>
      </c>
      <c r="L879" t="s">
        <v>24</v>
      </c>
      <c r="M879">
        <v>1.9875</v>
      </c>
      <c r="N879">
        <v>6.1</v>
      </c>
    </row>
    <row r="880" spans="1:14" x14ac:dyDescent="0.25">
      <c r="A880" t="s">
        <v>909</v>
      </c>
      <c r="B880" t="s">
        <v>13</v>
      </c>
      <c r="C880" t="s">
        <v>14</v>
      </c>
      <c r="D880" t="s">
        <v>22</v>
      </c>
      <c r="E880" t="s">
        <v>16</v>
      </c>
      <c r="F880" t="s">
        <v>23</v>
      </c>
      <c r="G880" t="str">
        <f t="shared" si="39"/>
        <v>Wednesday</v>
      </c>
      <c r="H880" t="str">
        <f t="shared" si="40"/>
        <v>Mar</v>
      </c>
      <c r="I880" s="1">
        <v>43545</v>
      </c>
      <c r="J880" s="1" t="str">
        <f t="shared" si="41"/>
        <v>Evening</v>
      </c>
      <c r="K880" s="2">
        <v>0.67222222222222217</v>
      </c>
      <c r="L880" t="s">
        <v>28</v>
      </c>
      <c r="M880">
        <v>36.008000000000003</v>
      </c>
      <c r="N880">
        <v>4.5</v>
      </c>
    </row>
    <row r="881" spans="1:14" x14ac:dyDescent="0.25">
      <c r="A881" t="s">
        <v>910</v>
      </c>
      <c r="B881" t="s">
        <v>37</v>
      </c>
      <c r="C881" t="s">
        <v>38</v>
      </c>
      <c r="D881" t="s">
        <v>15</v>
      </c>
      <c r="E881" t="s">
        <v>16</v>
      </c>
      <c r="F881" t="s">
        <v>23</v>
      </c>
      <c r="G881" t="str">
        <f t="shared" si="39"/>
        <v>Tuesday</v>
      </c>
      <c r="H881" t="str">
        <f t="shared" si="40"/>
        <v>Jan</v>
      </c>
      <c r="I881" s="1">
        <v>43484</v>
      </c>
      <c r="J881" s="1" t="str">
        <f t="shared" si="41"/>
        <v>Morning</v>
      </c>
      <c r="K881" s="2">
        <v>0.4284722222222222</v>
      </c>
      <c r="L881" t="s">
        <v>18</v>
      </c>
      <c r="M881">
        <v>4.84</v>
      </c>
      <c r="N881">
        <v>8.6</v>
      </c>
    </row>
    <row r="882" spans="1:14" x14ac:dyDescent="0.25">
      <c r="A882" t="s">
        <v>911</v>
      </c>
      <c r="B882" t="s">
        <v>37</v>
      </c>
      <c r="C882" t="s">
        <v>38</v>
      </c>
      <c r="D882" t="s">
        <v>15</v>
      </c>
      <c r="E882" t="s">
        <v>16</v>
      </c>
      <c r="F882" t="s">
        <v>39</v>
      </c>
      <c r="G882" t="str">
        <f t="shared" si="39"/>
        <v>Sunday</v>
      </c>
      <c r="H882" t="str">
        <f t="shared" si="40"/>
        <v>Jan</v>
      </c>
      <c r="I882" s="1">
        <v>43473</v>
      </c>
      <c r="J882" s="1" t="str">
        <f t="shared" si="41"/>
        <v>Afternoon</v>
      </c>
      <c r="K882" s="2">
        <v>0.60069444444444442</v>
      </c>
      <c r="L882" t="s">
        <v>18</v>
      </c>
      <c r="M882">
        <v>16.605</v>
      </c>
      <c r="N882">
        <v>6</v>
      </c>
    </row>
    <row r="883" spans="1:14" x14ac:dyDescent="0.25">
      <c r="A883" t="s">
        <v>912</v>
      </c>
      <c r="B883" t="s">
        <v>20</v>
      </c>
      <c r="C883" t="s">
        <v>21</v>
      </c>
      <c r="D883" t="s">
        <v>15</v>
      </c>
      <c r="E883" t="s">
        <v>16</v>
      </c>
      <c r="F883" t="s">
        <v>41</v>
      </c>
      <c r="G883" t="str">
        <f t="shared" si="39"/>
        <v>Friday</v>
      </c>
      <c r="H883" t="str">
        <f t="shared" si="40"/>
        <v>Mar</v>
      </c>
      <c r="I883" s="1">
        <v>43554</v>
      </c>
      <c r="J883" s="1" t="str">
        <f t="shared" si="41"/>
        <v>Afternoon</v>
      </c>
      <c r="K883" s="2">
        <v>0.53541666666666665</v>
      </c>
      <c r="L883" t="s">
        <v>28</v>
      </c>
      <c r="M883">
        <v>4.0720000000000001</v>
      </c>
      <c r="N883">
        <v>9.5</v>
      </c>
    </row>
    <row r="884" spans="1:14" x14ac:dyDescent="0.25">
      <c r="A884" t="s">
        <v>913</v>
      </c>
      <c r="B884" t="s">
        <v>37</v>
      </c>
      <c r="C884" t="s">
        <v>38</v>
      </c>
      <c r="D884" t="s">
        <v>15</v>
      </c>
      <c r="E884" t="s">
        <v>26</v>
      </c>
      <c r="F884" t="s">
        <v>31</v>
      </c>
      <c r="G884" t="str">
        <f t="shared" si="39"/>
        <v>Saturday</v>
      </c>
      <c r="H884" t="str">
        <f t="shared" si="40"/>
        <v>Feb</v>
      </c>
      <c r="I884" s="1">
        <v>43516</v>
      </c>
      <c r="J884" s="1" t="str">
        <f t="shared" si="41"/>
        <v>Afternoon</v>
      </c>
      <c r="K884" s="2">
        <v>0.63750000000000007</v>
      </c>
      <c r="L884" t="s">
        <v>28</v>
      </c>
      <c r="M884">
        <v>15.994999999999999</v>
      </c>
      <c r="N884">
        <v>9.9</v>
      </c>
    </row>
    <row r="885" spans="1:14" x14ac:dyDescent="0.25">
      <c r="A885" t="s">
        <v>914</v>
      </c>
      <c r="B885" t="s">
        <v>13</v>
      </c>
      <c r="C885" t="s">
        <v>14</v>
      </c>
      <c r="D885" t="s">
        <v>15</v>
      </c>
      <c r="E885" t="s">
        <v>16</v>
      </c>
      <c r="F885" t="s">
        <v>27</v>
      </c>
      <c r="G885" t="str">
        <f t="shared" si="39"/>
        <v>Friday</v>
      </c>
      <c r="H885" t="str">
        <f t="shared" si="40"/>
        <v>Mar</v>
      </c>
      <c r="I885" s="1">
        <v>43554</v>
      </c>
      <c r="J885" s="1" t="str">
        <f t="shared" si="41"/>
        <v>Afternoon</v>
      </c>
      <c r="K885" s="2">
        <v>0.53125</v>
      </c>
      <c r="L885" t="s">
        <v>18</v>
      </c>
      <c r="M885">
        <v>10.326000000000001</v>
      </c>
      <c r="N885">
        <v>7.5</v>
      </c>
    </row>
    <row r="886" spans="1:14" x14ac:dyDescent="0.25">
      <c r="A886" t="s">
        <v>915</v>
      </c>
      <c r="B886" t="s">
        <v>13</v>
      </c>
      <c r="C886" t="s">
        <v>14</v>
      </c>
      <c r="D886" t="s">
        <v>15</v>
      </c>
      <c r="E886" t="s">
        <v>16</v>
      </c>
      <c r="F886" t="s">
        <v>39</v>
      </c>
      <c r="G886" t="str">
        <f t="shared" si="39"/>
        <v>Wednesday</v>
      </c>
      <c r="H886" t="str">
        <f t="shared" si="40"/>
        <v>Mar</v>
      </c>
      <c r="I886" s="1">
        <v>43543</v>
      </c>
      <c r="J886" s="1" t="str">
        <f t="shared" si="41"/>
        <v>Afternoon</v>
      </c>
      <c r="K886" s="2">
        <v>0.56736111111111109</v>
      </c>
      <c r="L886" t="s">
        <v>24</v>
      </c>
      <c r="M886">
        <v>8.3339999999999996</v>
      </c>
      <c r="N886">
        <v>7.6</v>
      </c>
    </row>
    <row r="887" spans="1:14" x14ac:dyDescent="0.25">
      <c r="A887" t="s">
        <v>916</v>
      </c>
      <c r="B887" t="s">
        <v>13</v>
      </c>
      <c r="C887" t="s">
        <v>14</v>
      </c>
      <c r="D887" t="s">
        <v>22</v>
      </c>
      <c r="E887" t="s">
        <v>26</v>
      </c>
      <c r="F887" t="s">
        <v>31</v>
      </c>
      <c r="G887" t="str">
        <f t="shared" si="39"/>
        <v>Monday</v>
      </c>
      <c r="H887" t="str">
        <f t="shared" si="40"/>
        <v>Jan</v>
      </c>
      <c r="I887" s="1">
        <v>43478</v>
      </c>
      <c r="J887" s="1" t="str">
        <f t="shared" si="41"/>
        <v>Morning</v>
      </c>
      <c r="K887" s="2">
        <v>0.41875000000000001</v>
      </c>
      <c r="L887" t="s">
        <v>24</v>
      </c>
      <c r="M887">
        <v>15.952999999999999</v>
      </c>
      <c r="N887">
        <v>5</v>
      </c>
    </row>
    <row r="888" spans="1:14" x14ac:dyDescent="0.25">
      <c r="A888" t="s">
        <v>917</v>
      </c>
      <c r="B888" t="s">
        <v>13</v>
      </c>
      <c r="C888" t="s">
        <v>14</v>
      </c>
      <c r="D888" t="s">
        <v>15</v>
      </c>
      <c r="E888" t="s">
        <v>26</v>
      </c>
      <c r="F888" t="s">
        <v>39</v>
      </c>
      <c r="G888" t="str">
        <f t="shared" si="39"/>
        <v>Thursday</v>
      </c>
      <c r="H888" t="str">
        <f t="shared" si="40"/>
        <v>Feb</v>
      </c>
      <c r="I888" s="1">
        <v>43501</v>
      </c>
      <c r="J888" s="1" t="str">
        <f t="shared" si="41"/>
        <v>Evening</v>
      </c>
      <c r="K888" s="2">
        <v>0.8208333333333333</v>
      </c>
      <c r="L888" t="s">
        <v>18</v>
      </c>
      <c r="M888">
        <v>4.3949999999999996</v>
      </c>
      <c r="N888">
        <v>6.7</v>
      </c>
    </row>
    <row r="889" spans="1:14" x14ac:dyDescent="0.25">
      <c r="A889" t="s">
        <v>918</v>
      </c>
      <c r="B889" t="s">
        <v>13</v>
      </c>
      <c r="C889" t="s">
        <v>14</v>
      </c>
      <c r="D889" t="s">
        <v>15</v>
      </c>
      <c r="E889" t="s">
        <v>16</v>
      </c>
      <c r="F889" t="s">
        <v>23</v>
      </c>
      <c r="G889" t="str">
        <f t="shared" si="39"/>
        <v>Thursday</v>
      </c>
      <c r="H889" t="str">
        <f t="shared" si="40"/>
        <v>Mar</v>
      </c>
      <c r="I889" s="1">
        <v>43547</v>
      </c>
      <c r="J889" s="1" t="str">
        <f t="shared" si="41"/>
        <v>Afternoon</v>
      </c>
      <c r="K889" s="2">
        <v>0.55138888888888882</v>
      </c>
      <c r="L889" t="s">
        <v>18</v>
      </c>
      <c r="M889">
        <v>36.734999999999999</v>
      </c>
      <c r="N889">
        <v>9.5</v>
      </c>
    </row>
    <row r="890" spans="1:14" x14ac:dyDescent="0.25">
      <c r="A890" t="s">
        <v>919</v>
      </c>
      <c r="B890" t="s">
        <v>20</v>
      </c>
      <c r="C890" t="s">
        <v>21</v>
      </c>
      <c r="D890" t="s">
        <v>22</v>
      </c>
      <c r="E890" t="s">
        <v>16</v>
      </c>
      <c r="F890" t="s">
        <v>41</v>
      </c>
      <c r="G890" t="str">
        <f t="shared" si="39"/>
        <v>Tuesday</v>
      </c>
      <c r="H890" t="str">
        <f t="shared" si="40"/>
        <v>Mar</v>
      </c>
      <c r="I890" s="1">
        <v>43537</v>
      </c>
      <c r="J890" s="1" t="str">
        <f t="shared" si="41"/>
        <v>Afternoon</v>
      </c>
      <c r="K890" s="2">
        <v>0.53263888888888888</v>
      </c>
      <c r="L890" t="s">
        <v>18</v>
      </c>
      <c r="M890">
        <v>4.8760000000000003</v>
      </c>
      <c r="N890">
        <v>6.8</v>
      </c>
    </row>
    <row r="891" spans="1:14" x14ac:dyDescent="0.25">
      <c r="A891" t="s">
        <v>920</v>
      </c>
      <c r="B891" t="s">
        <v>13</v>
      </c>
      <c r="C891" t="s">
        <v>14</v>
      </c>
      <c r="D891" t="s">
        <v>15</v>
      </c>
      <c r="E891" t="s">
        <v>26</v>
      </c>
      <c r="F891" t="s">
        <v>31</v>
      </c>
      <c r="G891" t="str">
        <f t="shared" si="39"/>
        <v>Wednesday</v>
      </c>
      <c r="H891" t="str">
        <f t="shared" si="40"/>
        <v>Mar</v>
      </c>
      <c r="I891" s="1">
        <v>43541</v>
      </c>
      <c r="J891" s="1" t="str">
        <f t="shared" si="41"/>
        <v>Evening</v>
      </c>
      <c r="K891" s="2">
        <v>0.82847222222222217</v>
      </c>
      <c r="L891" t="s">
        <v>18</v>
      </c>
      <c r="M891">
        <v>38.46</v>
      </c>
      <c r="N891">
        <v>5.6</v>
      </c>
    </row>
    <row r="892" spans="1:14" x14ac:dyDescent="0.25">
      <c r="A892" t="s">
        <v>921</v>
      </c>
      <c r="B892" t="s">
        <v>20</v>
      </c>
      <c r="C892" t="s">
        <v>21</v>
      </c>
      <c r="D892" t="s">
        <v>22</v>
      </c>
      <c r="E892" t="s">
        <v>16</v>
      </c>
      <c r="F892" t="s">
        <v>17</v>
      </c>
      <c r="G892" t="str">
        <f t="shared" si="39"/>
        <v>Saturday</v>
      </c>
      <c r="H892" t="str">
        <f t="shared" si="40"/>
        <v>Feb</v>
      </c>
      <c r="I892" s="1">
        <v>43517</v>
      </c>
      <c r="J892" s="1" t="str">
        <f t="shared" si="41"/>
        <v>Morning</v>
      </c>
      <c r="K892" s="2">
        <v>0.43472222222222223</v>
      </c>
      <c r="L892" t="s">
        <v>24</v>
      </c>
      <c r="M892">
        <v>20.914999999999999</v>
      </c>
      <c r="N892">
        <v>7.2</v>
      </c>
    </row>
    <row r="893" spans="1:14" x14ac:dyDescent="0.25">
      <c r="A893" t="s">
        <v>922</v>
      </c>
      <c r="B893" t="s">
        <v>37</v>
      </c>
      <c r="C893" t="s">
        <v>38</v>
      </c>
      <c r="D893" t="s">
        <v>22</v>
      </c>
      <c r="E893" t="s">
        <v>16</v>
      </c>
      <c r="F893" t="s">
        <v>23</v>
      </c>
      <c r="G893" t="str">
        <f t="shared" si="39"/>
        <v>Thursday</v>
      </c>
      <c r="H893" t="str">
        <f t="shared" si="40"/>
        <v>Feb</v>
      </c>
      <c r="I893" s="1">
        <v>43503</v>
      </c>
      <c r="J893" s="1" t="str">
        <f t="shared" si="41"/>
        <v>Afternoon</v>
      </c>
      <c r="K893" s="2">
        <v>0.62916666666666665</v>
      </c>
      <c r="L893" t="s">
        <v>24</v>
      </c>
      <c r="M893">
        <v>23.164000000000001</v>
      </c>
      <c r="N893">
        <v>8.1</v>
      </c>
    </row>
    <row r="894" spans="1:14" x14ac:dyDescent="0.25">
      <c r="A894" t="s">
        <v>923</v>
      </c>
      <c r="B894" t="s">
        <v>20</v>
      </c>
      <c r="C894" t="s">
        <v>21</v>
      </c>
      <c r="D894" t="s">
        <v>15</v>
      </c>
      <c r="E894" t="s">
        <v>16</v>
      </c>
      <c r="F894" t="s">
        <v>41</v>
      </c>
      <c r="G894" t="str">
        <f t="shared" si="39"/>
        <v>Monday</v>
      </c>
      <c r="H894" t="str">
        <f t="shared" si="40"/>
        <v>Mar</v>
      </c>
      <c r="I894" s="1">
        <v>43526</v>
      </c>
      <c r="J894" s="1" t="str">
        <f t="shared" si="41"/>
        <v>Evening</v>
      </c>
      <c r="K894" s="2">
        <v>0.69097222222222221</v>
      </c>
      <c r="L894" t="s">
        <v>28</v>
      </c>
      <c r="M894">
        <v>23.122499999999999</v>
      </c>
      <c r="N894">
        <v>8.6</v>
      </c>
    </row>
    <row r="895" spans="1:14" x14ac:dyDescent="0.25">
      <c r="A895" t="s">
        <v>924</v>
      </c>
      <c r="B895" t="s">
        <v>37</v>
      </c>
      <c r="C895" t="s">
        <v>38</v>
      </c>
      <c r="D895" t="s">
        <v>22</v>
      </c>
      <c r="E895" t="s">
        <v>26</v>
      </c>
      <c r="F895" t="s">
        <v>23</v>
      </c>
      <c r="G895" t="str">
        <f t="shared" si="39"/>
        <v>Monday</v>
      </c>
      <c r="H895" t="str">
        <f t="shared" si="40"/>
        <v>Mar</v>
      </c>
      <c r="I895" s="1">
        <v>43530</v>
      </c>
      <c r="J895" s="1" t="str">
        <f t="shared" si="41"/>
        <v>Evening</v>
      </c>
      <c r="K895" s="2">
        <v>0.87291666666666667</v>
      </c>
      <c r="L895" t="s">
        <v>24</v>
      </c>
      <c r="M895">
        <v>7.0949999999999998</v>
      </c>
      <c r="N895">
        <v>9.4</v>
      </c>
    </row>
    <row r="896" spans="1:14" x14ac:dyDescent="0.25">
      <c r="A896" t="s">
        <v>925</v>
      </c>
      <c r="B896" t="s">
        <v>37</v>
      </c>
      <c r="C896" t="s">
        <v>38</v>
      </c>
      <c r="D896" t="s">
        <v>15</v>
      </c>
      <c r="E896" t="s">
        <v>26</v>
      </c>
      <c r="F896" t="s">
        <v>23</v>
      </c>
      <c r="G896" t="str">
        <f t="shared" si="39"/>
        <v>Thursday</v>
      </c>
      <c r="H896" t="str">
        <f t="shared" si="40"/>
        <v>Feb</v>
      </c>
      <c r="I896" s="1">
        <v>43502</v>
      </c>
      <c r="J896" s="1" t="str">
        <f t="shared" si="41"/>
        <v>Afternoon</v>
      </c>
      <c r="K896" s="2">
        <v>0.63611111111111118</v>
      </c>
      <c r="L896" t="s">
        <v>28</v>
      </c>
      <c r="M896">
        <v>15.135</v>
      </c>
      <c r="N896">
        <v>8.9</v>
      </c>
    </row>
    <row r="897" spans="1:14" x14ac:dyDescent="0.25">
      <c r="A897" t="s">
        <v>926</v>
      </c>
      <c r="B897" t="s">
        <v>37</v>
      </c>
      <c r="C897" t="s">
        <v>38</v>
      </c>
      <c r="D897" t="s">
        <v>22</v>
      </c>
      <c r="E897" t="s">
        <v>26</v>
      </c>
      <c r="F897" t="s">
        <v>17</v>
      </c>
      <c r="G897" t="str">
        <f t="shared" si="39"/>
        <v>Wednesday</v>
      </c>
      <c r="H897" t="str">
        <f t="shared" si="40"/>
        <v>Jan</v>
      </c>
      <c r="I897" s="1">
        <v>43493</v>
      </c>
      <c r="J897" s="1" t="str">
        <f t="shared" si="41"/>
        <v>Evening</v>
      </c>
      <c r="K897" s="2">
        <v>0.74097222222222225</v>
      </c>
      <c r="L897" t="s">
        <v>28</v>
      </c>
      <c r="M897">
        <v>39.664000000000001</v>
      </c>
      <c r="N897">
        <v>4.2</v>
      </c>
    </row>
    <row r="898" spans="1:14" x14ac:dyDescent="0.25">
      <c r="A898" t="s">
        <v>927</v>
      </c>
      <c r="B898" t="s">
        <v>20</v>
      </c>
      <c r="C898" t="s">
        <v>21</v>
      </c>
      <c r="D898" t="s">
        <v>22</v>
      </c>
      <c r="E898" t="s">
        <v>26</v>
      </c>
      <c r="F898" t="s">
        <v>41</v>
      </c>
      <c r="G898" t="str">
        <f t="shared" si="39"/>
        <v>Monday</v>
      </c>
      <c r="H898" t="str">
        <f t="shared" si="40"/>
        <v>Jan</v>
      </c>
      <c r="I898" s="1">
        <v>43483</v>
      </c>
      <c r="J898" s="1" t="str">
        <f t="shared" si="41"/>
        <v>Evening</v>
      </c>
      <c r="K898" s="2">
        <v>0.68263888888888891</v>
      </c>
      <c r="L898" t="s">
        <v>18</v>
      </c>
      <c r="M898">
        <v>21.259</v>
      </c>
      <c r="N898">
        <v>5</v>
      </c>
    </row>
    <row r="899" spans="1:14" x14ac:dyDescent="0.25">
      <c r="A899" t="s">
        <v>928</v>
      </c>
      <c r="B899" t="s">
        <v>20</v>
      </c>
      <c r="C899" t="s">
        <v>21</v>
      </c>
      <c r="D899" t="s">
        <v>15</v>
      </c>
      <c r="E899" t="s">
        <v>16</v>
      </c>
      <c r="F899" t="s">
        <v>39</v>
      </c>
      <c r="G899" t="str">
        <f t="shared" ref="G899:G962" si="42">TEXT(I899/7,"dddd")</f>
        <v>Thursday</v>
      </c>
      <c r="H899" t="str">
        <f t="shared" ref="H899:H962" si="43">TEXT(I899,"mmm")</f>
        <v>Feb</v>
      </c>
      <c r="I899" s="1">
        <v>43501</v>
      </c>
      <c r="J899" s="1" t="str">
        <f t="shared" ref="J899:J962" si="44">IF(AND(K899&gt;=TIME(9,0,0),K899&lt;TIME(12,0,0)),"Morning",IF(AND(K899&gt;=TIME(12,0,0),K899&lt;TIME(16,0,0)),"Afternoon","Evening"))</f>
        <v>Morning</v>
      </c>
      <c r="K899" s="2">
        <v>0.4284722222222222</v>
      </c>
      <c r="L899" t="s">
        <v>24</v>
      </c>
      <c r="M899">
        <v>14.180999999999999</v>
      </c>
      <c r="N899">
        <v>8.8000000000000007</v>
      </c>
    </row>
    <row r="900" spans="1:14" x14ac:dyDescent="0.25">
      <c r="A900" t="s">
        <v>929</v>
      </c>
      <c r="B900" t="s">
        <v>20</v>
      </c>
      <c r="C900" t="s">
        <v>21</v>
      </c>
      <c r="D900" t="s">
        <v>15</v>
      </c>
      <c r="E900" t="s">
        <v>26</v>
      </c>
      <c r="F900" t="s">
        <v>17</v>
      </c>
      <c r="G900" t="str">
        <f t="shared" si="42"/>
        <v>Monday</v>
      </c>
      <c r="H900" t="str">
        <f t="shared" si="43"/>
        <v>Mar</v>
      </c>
      <c r="I900" s="1">
        <v>43526</v>
      </c>
      <c r="J900" s="1" t="str">
        <f t="shared" si="44"/>
        <v>Afternoon</v>
      </c>
      <c r="K900" s="2">
        <v>0.57638888888888895</v>
      </c>
      <c r="L900" t="s">
        <v>24</v>
      </c>
      <c r="M900">
        <v>29.96</v>
      </c>
      <c r="N900">
        <v>5.3</v>
      </c>
    </row>
    <row r="901" spans="1:14" x14ac:dyDescent="0.25">
      <c r="A901" t="s">
        <v>930</v>
      </c>
      <c r="B901" t="s">
        <v>13</v>
      </c>
      <c r="C901" t="s">
        <v>14</v>
      </c>
      <c r="D901" t="s">
        <v>15</v>
      </c>
      <c r="E901" t="s">
        <v>26</v>
      </c>
      <c r="F901" t="s">
        <v>39</v>
      </c>
      <c r="G901" t="str">
        <f t="shared" si="42"/>
        <v>Friday</v>
      </c>
      <c r="H901" t="str">
        <f t="shared" si="43"/>
        <v>Feb</v>
      </c>
      <c r="I901" s="1">
        <v>43505</v>
      </c>
      <c r="J901" s="1" t="str">
        <f t="shared" si="44"/>
        <v>Evening</v>
      </c>
      <c r="K901" s="2">
        <v>0.80347222222222225</v>
      </c>
      <c r="L901" t="s">
        <v>18</v>
      </c>
      <c r="M901">
        <v>15.768000000000001</v>
      </c>
      <c r="N901">
        <v>4.5999999999999996</v>
      </c>
    </row>
    <row r="902" spans="1:14" x14ac:dyDescent="0.25">
      <c r="A902" t="s">
        <v>931</v>
      </c>
      <c r="B902" t="s">
        <v>20</v>
      </c>
      <c r="C902" t="s">
        <v>21</v>
      </c>
      <c r="D902" t="s">
        <v>15</v>
      </c>
      <c r="E902" t="s">
        <v>16</v>
      </c>
      <c r="F902" t="s">
        <v>23</v>
      </c>
      <c r="G902" t="str">
        <f t="shared" si="42"/>
        <v>Monday</v>
      </c>
      <c r="H902" t="str">
        <f t="shared" si="43"/>
        <v>Jan</v>
      </c>
      <c r="I902" s="1">
        <v>43479</v>
      </c>
      <c r="J902" s="1" t="str">
        <f t="shared" si="44"/>
        <v>Afternoon</v>
      </c>
      <c r="K902" s="2">
        <v>0.58333333333333337</v>
      </c>
      <c r="L902" t="s">
        <v>28</v>
      </c>
      <c r="M902">
        <v>20.178000000000001</v>
      </c>
      <c r="N902">
        <v>7.5</v>
      </c>
    </row>
    <row r="903" spans="1:14" x14ac:dyDescent="0.25">
      <c r="A903" t="s">
        <v>932</v>
      </c>
      <c r="B903" t="s">
        <v>37</v>
      </c>
      <c r="C903" t="s">
        <v>38</v>
      </c>
      <c r="D903" t="s">
        <v>22</v>
      </c>
      <c r="E903" t="s">
        <v>26</v>
      </c>
      <c r="F903" t="s">
        <v>27</v>
      </c>
      <c r="G903" t="str">
        <f t="shared" si="42"/>
        <v>Friday</v>
      </c>
      <c r="H903" t="str">
        <f t="shared" si="43"/>
        <v>Feb</v>
      </c>
      <c r="I903" s="1">
        <v>43505</v>
      </c>
      <c r="J903" s="1" t="str">
        <f t="shared" si="44"/>
        <v>Afternoon</v>
      </c>
      <c r="K903" s="2">
        <v>0.50138888888888888</v>
      </c>
      <c r="L903" t="s">
        <v>18</v>
      </c>
      <c r="M903">
        <v>9.1940000000000008</v>
      </c>
      <c r="N903">
        <v>5.0999999999999996</v>
      </c>
    </row>
    <row r="904" spans="1:14" x14ac:dyDescent="0.25">
      <c r="A904" t="s">
        <v>933</v>
      </c>
      <c r="B904" t="s">
        <v>13</v>
      </c>
      <c r="C904" t="s">
        <v>14</v>
      </c>
      <c r="D904" t="s">
        <v>15</v>
      </c>
      <c r="E904" t="s">
        <v>16</v>
      </c>
      <c r="F904" t="s">
        <v>17</v>
      </c>
      <c r="G904" t="str">
        <f t="shared" si="42"/>
        <v>Thursday</v>
      </c>
      <c r="H904" t="str">
        <f t="shared" si="43"/>
        <v>Mar</v>
      </c>
      <c r="I904" s="1">
        <v>43550</v>
      </c>
      <c r="J904" s="1" t="str">
        <f t="shared" si="44"/>
        <v>Evening</v>
      </c>
      <c r="K904" s="2">
        <v>0.84791666666666676</v>
      </c>
      <c r="L904" t="s">
        <v>28</v>
      </c>
      <c r="M904">
        <v>6.9325000000000001</v>
      </c>
      <c r="N904">
        <v>4.2</v>
      </c>
    </row>
    <row r="905" spans="1:14" x14ac:dyDescent="0.25">
      <c r="A905" t="s">
        <v>934</v>
      </c>
      <c r="B905" t="s">
        <v>13</v>
      </c>
      <c r="C905" t="s">
        <v>14</v>
      </c>
      <c r="D905" t="s">
        <v>22</v>
      </c>
      <c r="E905" t="s">
        <v>26</v>
      </c>
      <c r="F905" t="s">
        <v>39</v>
      </c>
      <c r="G905" t="str">
        <f t="shared" si="42"/>
        <v>Wednesday</v>
      </c>
      <c r="H905" t="str">
        <f t="shared" si="43"/>
        <v>Jan</v>
      </c>
      <c r="I905" s="1">
        <v>43493</v>
      </c>
      <c r="J905" s="1" t="str">
        <f t="shared" si="44"/>
        <v>Evening</v>
      </c>
      <c r="K905" s="2">
        <v>0.73263888888888884</v>
      </c>
      <c r="L905" t="s">
        <v>24</v>
      </c>
      <c r="M905">
        <v>4.0354999999999999</v>
      </c>
      <c r="N905">
        <v>8.1</v>
      </c>
    </row>
    <row r="906" spans="1:14" x14ac:dyDescent="0.25">
      <c r="A906" t="s">
        <v>935</v>
      </c>
      <c r="B906" t="s">
        <v>20</v>
      </c>
      <c r="C906" t="s">
        <v>21</v>
      </c>
      <c r="D906" t="s">
        <v>22</v>
      </c>
      <c r="E906" t="s">
        <v>16</v>
      </c>
      <c r="F906" t="s">
        <v>17</v>
      </c>
      <c r="G906" t="str">
        <f t="shared" si="42"/>
        <v>Friday</v>
      </c>
      <c r="H906" t="str">
        <f t="shared" si="43"/>
        <v>Feb</v>
      </c>
      <c r="I906" s="1">
        <v>43510</v>
      </c>
      <c r="J906" s="1" t="str">
        <f t="shared" si="44"/>
        <v>Afternoon</v>
      </c>
      <c r="K906" s="2">
        <v>0.52916666666666667</v>
      </c>
      <c r="L906" t="s">
        <v>18</v>
      </c>
      <c r="M906">
        <v>5.8319999999999999</v>
      </c>
      <c r="N906">
        <v>6</v>
      </c>
    </row>
    <row r="907" spans="1:14" x14ac:dyDescent="0.25">
      <c r="A907" t="s">
        <v>936</v>
      </c>
      <c r="B907" t="s">
        <v>20</v>
      </c>
      <c r="C907" t="s">
        <v>21</v>
      </c>
      <c r="D907" t="s">
        <v>15</v>
      </c>
      <c r="E907" t="s">
        <v>16</v>
      </c>
      <c r="F907" t="s">
        <v>27</v>
      </c>
      <c r="G907" t="str">
        <f t="shared" si="42"/>
        <v>Thursday</v>
      </c>
      <c r="H907" t="str">
        <f t="shared" si="43"/>
        <v>Mar</v>
      </c>
      <c r="I907" s="1">
        <v>43548</v>
      </c>
      <c r="J907" s="1" t="str">
        <f t="shared" si="44"/>
        <v>Evening</v>
      </c>
      <c r="K907" s="2">
        <v>0.74722222222222223</v>
      </c>
      <c r="L907" t="s">
        <v>24</v>
      </c>
      <c r="M907">
        <v>15.676</v>
      </c>
      <c r="N907">
        <v>7.9</v>
      </c>
    </row>
    <row r="908" spans="1:14" x14ac:dyDescent="0.25">
      <c r="A908" t="s">
        <v>937</v>
      </c>
      <c r="B908" t="s">
        <v>20</v>
      </c>
      <c r="C908" t="s">
        <v>21</v>
      </c>
      <c r="D908" t="s">
        <v>22</v>
      </c>
      <c r="E908" t="s">
        <v>26</v>
      </c>
      <c r="F908" t="s">
        <v>17</v>
      </c>
      <c r="G908" t="str">
        <f t="shared" si="42"/>
        <v>Friday</v>
      </c>
      <c r="H908" t="str">
        <f t="shared" si="43"/>
        <v>Feb</v>
      </c>
      <c r="I908" s="1">
        <v>43505</v>
      </c>
      <c r="J908" s="1" t="str">
        <f t="shared" si="44"/>
        <v>Evening</v>
      </c>
      <c r="K908" s="2">
        <v>0.79027777777777775</v>
      </c>
      <c r="L908" t="s">
        <v>28</v>
      </c>
      <c r="M908">
        <v>42.305</v>
      </c>
      <c r="N908">
        <v>8.8000000000000007</v>
      </c>
    </row>
    <row r="909" spans="1:14" x14ac:dyDescent="0.25">
      <c r="A909" t="s">
        <v>938</v>
      </c>
      <c r="B909" t="s">
        <v>37</v>
      </c>
      <c r="C909" t="s">
        <v>38</v>
      </c>
      <c r="D909" t="s">
        <v>22</v>
      </c>
      <c r="E909" t="s">
        <v>16</v>
      </c>
      <c r="F909" t="s">
        <v>17</v>
      </c>
      <c r="G909" t="str">
        <f t="shared" si="42"/>
        <v>Thursday</v>
      </c>
      <c r="H909" t="str">
        <f t="shared" si="43"/>
        <v>Mar</v>
      </c>
      <c r="I909" s="1">
        <v>43548</v>
      </c>
      <c r="J909" s="1" t="str">
        <f t="shared" si="44"/>
        <v>Afternoon</v>
      </c>
      <c r="K909" s="2">
        <v>0.58888888888888891</v>
      </c>
      <c r="L909" t="s">
        <v>28</v>
      </c>
      <c r="M909">
        <v>20.72</v>
      </c>
      <c r="N909">
        <v>6.6</v>
      </c>
    </row>
    <row r="910" spans="1:14" x14ac:dyDescent="0.25">
      <c r="A910" t="s">
        <v>939</v>
      </c>
      <c r="B910" t="s">
        <v>13</v>
      </c>
      <c r="C910" t="s">
        <v>14</v>
      </c>
      <c r="D910" t="s">
        <v>15</v>
      </c>
      <c r="E910" t="s">
        <v>16</v>
      </c>
      <c r="F910" t="s">
        <v>39</v>
      </c>
      <c r="G910" t="str">
        <f t="shared" si="42"/>
        <v>Thursday</v>
      </c>
      <c r="H910" t="str">
        <f t="shared" si="43"/>
        <v>Mar</v>
      </c>
      <c r="I910" s="1">
        <v>43551</v>
      </c>
      <c r="J910" s="1" t="str">
        <f t="shared" si="44"/>
        <v>Evening</v>
      </c>
      <c r="K910" s="2">
        <v>0.6875</v>
      </c>
      <c r="L910" t="s">
        <v>18</v>
      </c>
      <c r="M910">
        <v>7.9539999999999997</v>
      </c>
      <c r="N910">
        <v>6.2</v>
      </c>
    </row>
    <row r="911" spans="1:14" x14ac:dyDescent="0.25">
      <c r="A911" t="s">
        <v>940</v>
      </c>
      <c r="B911" t="s">
        <v>37</v>
      </c>
      <c r="C911" t="s">
        <v>38</v>
      </c>
      <c r="D911" t="s">
        <v>22</v>
      </c>
      <c r="E911" t="s">
        <v>16</v>
      </c>
      <c r="F911" t="s">
        <v>27</v>
      </c>
      <c r="G911" t="str">
        <f t="shared" si="42"/>
        <v>Wednesday</v>
      </c>
      <c r="H911" t="str">
        <f t="shared" si="43"/>
        <v>Jan</v>
      </c>
      <c r="I911" s="1">
        <v>43492</v>
      </c>
      <c r="J911" s="1" t="str">
        <f t="shared" si="44"/>
        <v>Morning</v>
      </c>
      <c r="K911" s="2">
        <v>0.44722222222222219</v>
      </c>
      <c r="L911" t="s">
        <v>28</v>
      </c>
      <c r="M911">
        <v>24.504999999999999</v>
      </c>
      <c r="N911">
        <v>4.2</v>
      </c>
    </row>
    <row r="912" spans="1:14" x14ac:dyDescent="0.25">
      <c r="A912" t="s">
        <v>941</v>
      </c>
      <c r="B912" t="s">
        <v>37</v>
      </c>
      <c r="C912" t="s">
        <v>38</v>
      </c>
      <c r="D912" t="s">
        <v>15</v>
      </c>
      <c r="E912" t="s">
        <v>16</v>
      </c>
      <c r="F912" t="s">
        <v>39</v>
      </c>
      <c r="G912" t="str">
        <f t="shared" si="42"/>
        <v>Thursday</v>
      </c>
      <c r="H912" t="str">
        <f t="shared" si="43"/>
        <v>Mar</v>
      </c>
      <c r="I912" s="1">
        <v>43551</v>
      </c>
      <c r="J912" s="1" t="str">
        <f t="shared" si="44"/>
        <v>Evening</v>
      </c>
      <c r="K912" s="2">
        <v>0.8534722222222223</v>
      </c>
      <c r="L912" t="s">
        <v>28</v>
      </c>
      <c r="M912">
        <v>4.3724999999999996</v>
      </c>
      <c r="N912">
        <v>7.3</v>
      </c>
    </row>
    <row r="913" spans="1:14" x14ac:dyDescent="0.25">
      <c r="A913" t="s">
        <v>942</v>
      </c>
      <c r="B913" t="s">
        <v>20</v>
      </c>
      <c r="C913" t="s">
        <v>21</v>
      </c>
      <c r="D913" t="s">
        <v>22</v>
      </c>
      <c r="E913" t="s">
        <v>16</v>
      </c>
      <c r="F913" t="s">
        <v>23</v>
      </c>
      <c r="G913" t="str">
        <f t="shared" si="42"/>
        <v>Tuesday</v>
      </c>
      <c r="H913" t="str">
        <f t="shared" si="43"/>
        <v>Jan</v>
      </c>
      <c r="I913" s="1">
        <v>43484</v>
      </c>
      <c r="J913" s="1" t="str">
        <f t="shared" si="44"/>
        <v>Morning</v>
      </c>
      <c r="K913" s="2">
        <v>0.48819444444444443</v>
      </c>
      <c r="L913" t="s">
        <v>18</v>
      </c>
      <c r="M913">
        <v>11.226000000000001</v>
      </c>
      <c r="N913">
        <v>8.6</v>
      </c>
    </row>
    <row r="914" spans="1:14" x14ac:dyDescent="0.25">
      <c r="A914" t="s">
        <v>943</v>
      </c>
      <c r="B914" t="s">
        <v>13</v>
      </c>
      <c r="C914" t="s">
        <v>14</v>
      </c>
      <c r="D914" t="s">
        <v>22</v>
      </c>
      <c r="E914" t="s">
        <v>16</v>
      </c>
      <c r="F914" t="s">
        <v>27</v>
      </c>
      <c r="G914" t="str">
        <f t="shared" si="42"/>
        <v>Thursday</v>
      </c>
      <c r="H914" t="str">
        <f t="shared" si="43"/>
        <v>Feb</v>
      </c>
      <c r="I914" s="1">
        <v>43503</v>
      </c>
      <c r="J914" s="1" t="str">
        <f t="shared" si="44"/>
        <v>Morning</v>
      </c>
      <c r="K914" s="2">
        <v>0.42291666666666666</v>
      </c>
      <c r="L914" t="s">
        <v>24</v>
      </c>
      <c r="M914">
        <v>37.247999999999998</v>
      </c>
      <c r="N914">
        <v>6.8</v>
      </c>
    </row>
    <row r="915" spans="1:14" x14ac:dyDescent="0.25">
      <c r="A915" t="s">
        <v>944</v>
      </c>
      <c r="B915" t="s">
        <v>13</v>
      </c>
      <c r="C915" t="s">
        <v>14</v>
      </c>
      <c r="D915" t="s">
        <v>15</v>
      </c>
      <c r="E915" t="s">
        <v>26</v>
      </c>
      <c r="F915" t="s">
        <v>41</v>
      </c>
      <c r="G915" t="str">
        <f t="shared" si="42"/>
        <v>Wednesday</v>
      </c>
      <c r="H915" t="str">
        <f t="shared" si="43"/>
        <v>Jan</v>
      </c>
      <c r="I915" s="1">
        <v>43496</v>
      </c>
      <c r="J915" s="1" t="str">
        <f t="shared" si="44"/>
        <v>Morning</v>
      </c>
      <c r="K915" s="2">
        <v>0.41666666666666669</v>
      </c>
      <c r="L915" t="s">
        <v>18</v>
      </c>
      <c r="M915">
        <v>20.536000000000001</v>
      </c>
      <c r="N915">
        <v>7.6</v>
      </c>
    </row>
    <row r="916" spans="1:14" x14ac:dyDescent="0.25">
      <c r="A916" t="s">
        <v>945</v>
      </c>
      <c r="B916" t="s">
        <v>13</v>
      </c>
      <c r="C916" t="s">
        <v>14</v>
      </c>
      <c r="D916" t="s">
        <v>15</v>
      </c>
      <c r="E916" t="s">
        <v>16</v>
      </c>
      <c r="F916" t="s">
        <v>39</v>
      </c>
      <c r="G916" t="str">
        <f t="shared" si="42"/>
        <v>Sunday</v>
      </c>
      <c r="H916" t="str">
        <f t="shared" si="43"/>
        <v>Feb</v>
      </c>
      <c r="I916" s="1">
        <v>43521</v>
      </c>
      <c r="J916" s="1" t="str">
        <f t="shared" si="44"/>
        <v>Evening</v>
      </c>
      <c r="K916" s="2">
        <v>0.78125</v>
      </c>
      <c r="L916" t="s">
        <v>24</v>
      </c>
      <c r="M916">
        <v>14.94</v>
      </c>
      <c r="N916">
        <v>5.8</v>
      </c>
    </row>
    <row r="917" spans="1:14" x14ac:dyDescent="0.25">
      <c r="A917" t="s">
        <v>946</v>
      </c>
      <c r="B917" t="s">
        <v>20</v>
      </c>
      <c r="C917" t="s">
        <v>21</v>
      </c>
      <c r="D917" t="s">
        <v>22</v>
      </c>
      <c r="E917" t="s">
        <v>16</v>
      </c>
      <c r="F917" t="s">
        <v>23</v>
      </c>
      <c r="G917" t="str">
        <f t="shared" si="42"/>
        <v>Thursday</v>
      </c>
      <c r="H917" t="str">
        <f t="shared" si="43"/>
        <v>Feb</v>
      </c>
      <c r="I917" s="1">
        <v>43498</v>
      </c>
      <c r="J917" s="1" t="str">
        <f t="shared" si="44"/>
        <v>Afternoon</v>
      </c>
      <c r="K917" s="2">
        <v>0.52777777777777779</v>
      </c>
      <c r="L917" t="s">
        <v>24</v>
      </c>
      <c r="M917">
        <v>10.647</v>
      </c>
      <c r="N917">
        <v>4.0999999999999996</v>
      </c>
    </row>
    <row r="918" spans="1:14" x14ac:dyDescent="0.25">
      <c r="A918" t="s">
        <v>947</v>
      </c>
      <c r="B918" t="s">
        <v>20</v>
      </c>
      <c r="C918" t="s">
        <v>21</v>
      </c>
      <c r="D918" t="s">
        <v>15</v>
      </c>
      <c r="E918" t="s">
        <v>26</v>
      </c>
      <c r="F918" t="s">
        <v>31</v>
      </c>
      <c r="G918" t="str">
        <f t="shared" si="42"/>
        <v>Tuesday</v>
      </c>
      <c r="H918" t="str">
        <f t="shared" si="43"/>
        <v>Mar</v>
      </c>
      <c r="I918" s="1">
        <v>43538</v>
      </c>
      <c r="J918" s="1" t="str">
        <f t="shared" si="44"/>
        <v>Afternoon</v>
      </c>
      <c r="K918" s="2">
        <v>0.65</v>
      </c>
      <c r="L918" t="s">
        <v>28</v>
      </c>
      <c r="M918">
        <v>2.1425000000000001</v>
      </c>
      <c r="N918">
        <v>9.3000000000000007</v>
      </c>
    </row>
    <row r="919" spans="1:14" x14ac:dyDescent="0.25">
      <c r="A919" t="s">
        <v>948</v>
      </c>
      <c r="B919" t="s">
        <v>13</v>
      </c>
      <c r="C919" t="s">
        <v>14</v>
      </c>
      <c r="D919" t="s">
        <v>22</v>
      </c>
      <c r="E919" t="s">
        <v>16</v>
      </c>
      <c r="F919" t="s">
        <v>41</v>
      </c>
      <c r="G919" t="str">
        <f t="shared" si="42"/>
        <v>Tuesday</v>
      </c>
      <c r="H919" t="str">
        <f t="shared" si="43"/>
        <v>Mar</v>
      </c>
      <c r="I919" s="1">
        <v>43535</v>
      </c>
      <c r="J919" s="1" t="str">
        <f t="shared" si="44"/>
        <v>Afternoon</v>
      </c>
      <c r="K919" s="2">
        <v>0.50277777777777777</v>
      </c>
      <c r="L919" t="s">
        <v>24</v>
      </c>
      <c r="M919">
        <v>18.934000000000001</v>
      </c>
      <c r="N919">
        <v>6.8</v>
      </c>
    </row>
    <row r="920" spans="1:14" x14ac:dyDescent="0.25">
      <c r="A920" t="s">
        <v>949</v>
      </c>
      <c r="B920" t="s">
        <v>37</v>
      </c>
      <c r="C920" t="s">
        <v>38</v>
      </c>
      <c r="D920" t="s">
        <v>22</v>
      </c>
      <c r="E920" t="s">
        <v>26</v>
      </c>
      <c r="F920" t="s">
        <v>27</v>
      </c>
      <c r="G920" t="str">
        <f t="shared" si="42"/>
        <v>Saturday</v>
      </c>
      <c r="H920" t="str">
        <f t="shared" si="43"/>
        <v>Feb</v>
      </c>
      <c r="I920" s="1">
        <v>43518</v>
      </c>
      <c r="J920" s="1" t="str">
        <f t="shared" si="44"/>
        <v>Morning</v>
      </c>
      <c r="K920" s="2">
        <v>0.47638888888888892</v>
      </c>
      <c r="L920" t="s">
        <v>18</v>
      </c>
      <c r="M920">
        <v>10.345499999999999</v>
      </c>
      <c r="N920">
        <v>8.6999999999999993</v>
      </c>
    </row>
    <row r="921" spans="1:14" x14ac:dyDescent="0.25">
      <c r="A921" t="s">
        <v>950</v>
      </c>
      <c r="B921" t="s">
        <v>37</v>
      </c>
      <c r="C921" t="s">
        <v>38</v>
      </c>
      <c r="D921" t="s">
        <v>15</v>
      </c>
      <c r="E921" t="s">
        <v>16</v>
      </c>
      <c r="F921" t="s">
        <v>23</v>
      </c>
      <c r="G921" t="str">
        <f t="shared" si="42"/>
        <v>Monday</v>
      </c>
      <c r="H921" t="str">
        <f t="shared" si="43"/>
        <v>Mar</v>
      </c>
      <c r="I921" s="1">
        <v>43526</v>
      </c>
      <c r="J921" s="1" t="str">
        <f t="shared" si="44"/>
        <v>Afternoon</v>
      </c>
      <c r="K921" s="2">
        <v>0.52500000000000002</v>
      </c>
      <c r="L921" t="s">
        <v>18</v>
      </c>
      <c r="M921">
        <v>3.9390000000000001</v>
      </c>
      <c r="N921">
        <v>6.3</v>
      </c>
    </row>
    <row r="922" spans="1:14" x14ac:dyDescent="0.25">
      <c r="A922" t="s">
        <v>951</v>
      </c>
      <c r="B922" t="s">
        <v>20</v>
      </c>
      <c r="C922" t="s">
        <v>21</v>
      </c>
      <c r="D922" t="s">
        <v>15</v>
      </c>
      <c r="E922" t="s">
        <v>16</v>
      </c>
      <c r="F922" t="s">
        <v>27</v>
      </c>
      <c r="G922" t="str">
        <f t="shared" si="42"/>
        <v>Tuesday</v>
      </c>
      <c r="H922" t="str">
        <f t="shared" si="43"/>
        <v>Mar</v>
      </c>
      <c r="I922" s="1">
        <v>43534</v>
      </c>
      <c r="J922" s="1" t="str">
        <f t="shared" si="44"/>
        <v>Afternoon</v>
      </c>
      <c r="K922" s="2">
        <v>0.62916666666666665</v>
      </c>
      <c r="L922" t="s">
        <v>28</v>
      </c>
      <c r="M922">
        <v>16.105499999999999</v>
      </c>
      <c r="N922">
        <v>5.0999999999999996</v>
      </c>
    </row>
    <row r="923" spans="1:14" x14ac:dyDescent="0.25">
      <c r="A923" t="s">
        <v>952</v>
      </c>
      <c r="B923" t="s">
        <v>37</v>
      </c>
      <c r="C923" t="s">
        <v>38</v>
      </c>
      <c r="D923" t="s">
        <v>22</v>
      </c>
      <c r="E923" t="s">
        <v>16</v>
      </c>
      <c r="F923" t="s">
        <v>27</v>
      </c>
      <c r="G923" t="str">
        <f t="shared" si="42"/>
        <v>Thursday</v>
      </c>
      <c r="H923" t="str">
        <f t="shared" si="43"/>
        <v>Feb</v>
      </c>
      <c r="I923" s="1">
        <v>43504</v>
      </c>
      <c r="J923" s="1" t="str">
        <f t="shared" si="44"/>
        <v>Morning</v>
      </c>
      <c r="K923" s="2">
        <v>0.45694444444444443</v>
      </c>
      <c r="L923" t="s">
        <v>24</v>
      </c>
      <c r="M923">
        <v>4.9109999999999996</v>
      </c>
      <c r="N923">
        <v>7</v>
      </c>
    </row>
    <row r="924" spans="1:14" x14ac:dyDescent="0.25">
      <c r="A924" t="s">
        <v>953</v>
      </c>
      <c r="B924" t="s">
        <v>20</v>
      </c>
      <c r="C924" t="s">
        <v>21</v>
      </c>
      <c r="D924" t="s">
        <v>15</v>
      </c>
      <c r="E924" t="s">
        <v>16</v>
      </c>
      <c r="F924" t="s">
        <v>27</v>
      </c>
      <c r="G924" t="str">
        <f t="shared" si="42"/>
        <v>Saturday</v>
      </c>
      <c r="H924" t="str">
        <f t="shared" si="43"/>
        <v>Feb</v>
      </c>
      <c r="I924" s="1">
        <v>43518</v>
      </c>
      <c r="J924" s="1" t="str">
        <f t="shared" si="44"/>
        <v>Afternoon</v>
      </c>
      <c r="K924" s="2">
        <v>0.50694444444444442</v>
      </c>
      <c r="L924" t="s">
        <v>28</v>
      </c>
      <c r="M924">
        <v>1.2729999999999999</v>
      </c>
      <c r="N924">
        <v>5.2</v>
      </c>
    </row>
    <row r="925" spans="1:14" x14ac:dyDescent="0.25">
      <c r="A925" t="s">
        <v>954</v>
      </c>
      <c r="B925" t="s">
        <v>20</v>
      </c>
      <c r="C925" t="s">
        <v>21</v>
      </c>
      <c r="D925" t="s">
        <v>22</v>
      </c>
      <c r="E925" t="s">
        <v>16</v>
      </c>
      <c r="F925" t="s">
        <v>31</v>
      </c>
      <c r="G925" t="str">
        <f t="shared" si="42"/>
        <v>Sunday</v>
      </c>
      <c r="H925" t="str">
        <f t="shared" si="43"/>
        <v>Jan</v>
      </c>
      <c r="I925" s="1">
        <v>43475</v>
      </c>
      <c r="J925" s="1" t="str">
        <f t="shared" si="44"/>
        <v>Morning</v>
      </c>
      <c r="K925" s="2">
        <v>0.4381944444444445</v>
      </c>
      <c r="L925" t="s">
        <v>28</v>
      </c>
      <c r="M925">
        <v>29.099</v>
      </c>
      <c r="N925">
        <v>6.6</v>
      </c>
    </row>
    <row r="926" spans="1:14" x14ac:dyDescent="0.25">
      <c r="A926" t="s">
        <v>955</v>
      </c>
      <c r="B926" t="s">
        <v>20</v>
      </c>
      <c r="C926" t="s">
        <v>21</v>
      </c>
      <c r="D926" t="s">
        <v>15</v>
      </c>
      <c r="E926" t="s">
        <v>16</v>
      </c>
      <c r="F926" t="s">
        <v>31</v>
      </c>
      <c r="G926" t="str">
        <f t="shared" si="42"/>
        <v>Tuesday</v>
      </c>
      <c r="H926" t="str">
        <f t="shared" si="43"/>
        <v>Mar</v>
      </c>
      <c r="I926" s="1">
        <v>43538</v>
      </c>
      <c r="J926" s="1" t="str">
        <f t="shared" si="44"/>
        <v>Afternoon</v>
      </c>
      <c r="K926" s="2">
        <v>0.5756944444444444</v>
      </c>
      <c r="L926" t="s">
        <v>18</v>
      </c>
      <c r="M926">
        <v>10.566000000000001</v>
      </c>
      <c r="N926">
        <v>6.5</v>
      </c>
    </row>
    <row r="927" spans="1:14" x14ac:dyDescent="0.25">
      <c r="A927" t="s">
        <v>956</v>
      </c>
      <c r="B927" t="s">
        <v>37</v>
      </c>
      <c r="C927" t="s">
        <v>38</v>
      </c>
      <c r="D927" t="s">
        <v>22</v>
      </c>
      <c r="E927" t="s">
        <v>16</v>
      </c>
      <c r="F927" t="s">
        <v>23</v>
      </c>
      <c r="G927" t="str">
        <f t="shared" si="42"/>
        <v>Sunday</v>
      </c>
      <c r="H927" t="str">
        <f t="shared" si="43"/>
        <v>Jan</v>
      </c>
      <c r="I927" s="1">
        <v>43475</v>
      </c>
      <c r="J927" s="1" t="str">
        <f t="shared" si="44"/>
        <v>Morning</v>
      </c>
      <c r="K927" s="2">
        <v>0.46527777777777773</v>
      </c>
      <c r="L927" t="s">
        <v>18</v>
      </c>
      <c r="M927">
        <v>2.7559999999999998</v>
      </c>
      <c r="N927">
        <v>9</v>
      </c>
    </row>
    <row r="928" spans="1:14" x14ac:dyDescent="0.25">
      <c r="A928" t="s">
        <v>957</v>
      </c>
      <c r="B928" t="s">
        <v>37</v>
      </c>
      <c r="C928" t="s">
        <v>38</v>
      </c>
      <c r="D928" t="s">
        <v>15</v>
      </c>
      <c r="E928" t="s">
        <v>26</v>
      </c>
      <c r="F928" t="s">
        <v>31</v>
      </c>
      <c r="G928" t="str">
        <f t="shared" si="42"/>
        <v>Friday</v>
      </c>
      <c r="H928" t="str">
        <f t="shared" si="43"/>
        <v>Feb</v>
      </c>
      <c r="I928" s="1">
        <v>43511</v>
      </c>
      <c r="J928" s="1" t="str">
        <f t="shared" si="44"/>
        <v>Evening</v>
      </c>
      <c r="K928" s="2">
        <v>0.73472222222222217</v>
      </c>
      <c r="L928" t="s">
        <v>28</v>
      </c>
      <c r="M928">
        <v>4.4154999999999998</v>
      </c>
      <c r="N928">
        <v>5.2</v>
      </c>
    </row>
    <row r="929" spans="1:14" x14ac:dyDescent="0.25">
      <c r="A929" t="s">
        <v>958</v>
      </c>
      <c r="B929" t="s">
        <v>13</v>
      </c>
      <c r="C929" t="s">
        <v>14</v>
      </c>
      <c r="D929" t="s">
        <v>15</v>
      </c>
      <c r="E929" t="s">
        <v>16</v>
      </c>
      <c r="F929" t="s">
        <v>17</v>
      </c>
      <c r="G929" t="str">
        <f t="shared" si="42"/>
        <v>Monday</v>
      </c>
      <c r="H929" t="str">
        <f t="shared" si="43"/>
        <v>Jan</v>
      </c>
      <c r="I929" s="1">
        <v>43478</v>
      </c>
      <c r="J929" s="1" t="str">
        <f t="shared" si="44"/>
        <v>Evening</v>
      </c>
      <c r="K929" s="2">
        <v>0.74583333333333324</v>
      </c>
      <c r="L929" t="s">
        <v>28</v>
      </c>
      <c r="M929">
        <v>17.829000000000001</v>
      </c>
      <c r="N929">
        <v>6.8</v>
      </c>
    </row>
    <row r="930" spans="1:14" x14ac:dyDescent="0.25">
      <c r="A930" t="s">
        <v>959</v>
      </c>
      <c r="B930" t="s">
        <v>37</v>
      </c>
      <c r="C930" t="s">
        <v>38</v>
      </c>
      <c r="D930" t="s">
        <v>22</v>
      </c>
      <c r="E930" t="s">
        <v>16</v>
      </c>
      <c r="F930" t="s">
        <v>23</v>
      </c>
      <c r="G930" t="str">
        <f t="shared" si="42"/>
        <v>Friday</v>
      </c>
      <c r="H930" t="str">
        <f t="shared" si="43"/>
        <v>Feb</v>
      </c>
      <c r="I930" s="1">
        <v>43511</v>
      </c>
      <c r="J930" s="1" t="str">
        <f t="shared" si="44"/>
        <v>Evening</v>
      </c>
      <c r="K930" s="2">
        <v>0.86875000000000002</v>
      </c>
      <c r="L930" t="s">
        <v>28</v>
      </c>
      <c r="M930">
        <v>39.712499999999999</v>
      </c>
      <c r="N930">
        <v>7.6</v>
      </c>
    </row>
    <row r="931" spans="1:14" x14ac:dyDescent="0.25">
      <c r="A931" t="s">
        <v>960</v>
      </c>
      <c r="B931" t="s">
        <v>37</v>
      </c>
      <c r="C931" t="s">
        <v>38</v>
      </c>
      <c r="D931" t="s">
        <v>22</v>
      </c>
      <c r="E931" t="s">
        <v>26</v>
      </c>
      <c r="F931" t="s">
        <v>31</v>
      </c>
      <c r="G931" t="str">
        <f t="shared" si="42"/>
        <v>Monday</v>
      </c>
      <c r="H931" t="str">
        <f t="shared" si="43"/>
        <v>Mar</v>
      </c>
      <c r="I931" s="1">
        <v>43526</v>
      </c>
      <c r="J931" s="1" t="str">
        <f t="shared" si="44"/>
        <v>Evening</v>
      </c>
      <c r="K931" s="2">
        <v>0.80972222222222223</v>
      </c>
      <c r="L931" t="s">
        <v>18</v>
      </c>
      <c r="M931">
        <v>2.5310000000000001</v>
      </c>
      <c r="N931">
        <v>7.2</v>
      </c>
    </row>
    <row r="932" spans="1:14" x14ac:dyDescent="0.25">
      <c r="A932" t="s">
        <v>961</v>
      </c>
      <c r="B932" t="s">
        <v>37</v>
      </c>
      <c r="C932" t="s">
        <v>38</v>
      </c>
      <c r="D932" t="s">
        <v>22</v>
      </c>
      <c r="E932" t="s">
        <v>26</v>
      </c>
      <c r="F932" t="s">
        <v>27</v>
      </c>
      <c r="G932" t="str">
        <f t="shared" si="42"/>
        <v>Thursday</v>
      </c>
      <c r="H932" t="str">
        <f t="shared" si="43"/>
        <v>Mar</v>
      </c>
      <c r="I932" s="1">
        <v>43548</v>
      </c>
      <c r="J932" s="1" t="str">
        <f t="shared" si="44"/>
        <v>Afternoon</v>
      </c>
      <c r="K932" s="2">
        <v>0.56458333333333333</v>
      </c>
      <c r="L932" t="s">
        <v>18</v>
      </c>
      <c r="M932">
        <v>29.975999999999999</v>
      </c>
      <c r="N932">
        <v>7.1</v>
      </c>
    </row>
    <row r="933" spans="1:14" x14ac:dyDescent="0.25">
      <c r="A933" t="s">
        <v>962</v>
      </c>
      <c r="B933" t="s">
        <v>20</v>
      </c>
      <c r="C933" t="s">
        <v>21</v>
      </c>
      <c r="D933" t="s">
        <v>15</v>
      </c>
      <c r="E933" t="s">
        <v>16</v>
      </c>
      <c r="F933" t="s">
        <v>41</v>
      </c>
      <c r="G933" t="str">
        <f t="shared" si="42"/>
        <v>Thursday</v>
      </c>
      <c r="H933" t="str">
        <f t="shared" si="43"/>
        <v>Feb</v>
      </c>
      <c r="I933" s="1">
        <v>43498</v>
      </c>
      <c r="J933" s="1" t="str">
        <f t="shared" si="44"/>
        <v>Afternoon</v>
      </c>
      <c r="K933" s="2">
        <v>0.58680555555555558</v>
      </c>
      <c r="L933" t="s">
        <v>28</v>
      </c>
      <c r="M933">
        <v>8.3350000000000009</v>
      </c>
      <c r="N933">
        <v>9.5</v>
      </c>
    </row>
    <row r="934" spans="1:14" x14ac:dyDescent="0.25">
      <c r="A934" t="s">
        <v>963</v>
      </c>
      <c r="B934" t="s">
        <v>13</v>
      </c>
      <c r="C934" t="s">
        <v>14</v>
      </c>
      <c r="D934" t="s">
        <v>22</v>
      </c>
      <c r="E934" t="s">
        <v>16</v>
      </c>
      <c r="F934" t="s">
        <v>39</v>
      </c>
      <c r="G934" t="str">
        <f t="shared" si="42"/>
        <v>Sunday</v>
      </c>
      <c r="H934" t="str">
        <f t="shared" si="43"/>
        <v>Feb</v>
      </c>
      <c r="I934" s="1">
        <v>43523</v>
      </c>
      <c r="J934" s="1" t="str">
        <f t="shared" si="44"/>
        <v>Morning</v>
      </c>
      <c r="K934" s="2">
        <v>0.4861111111111111</v>
      </c>
      <c r="L934" t="s">
        <v>18</v>
      </c>
      <c r="M934">
        <v>37.22</v>
      </c>
      <c r="N934">
        <v>5.0999999999999996</v>
      </c>
    </row>
    <row r="935" spans="1:14" x14ac:dyDescent="0.25">
      <c r="A935" t="s">
        <v>964</v>
      </c>
      <c r="B935" t="s">
        <v>20</v>
      </c>
      <c r="C935" t="s">
        <v>21</v>
      </c>
      <c r="D935" t="s">
        <v>22</v>
      </c>
      <c r="E935" t="s">
        <v>26</v>
      </c>
      <c r="F935" t="s">
        <v>17</v>
      </c>
      <c r="G935" t="str">
        <f t="shared" si="42"/>
        <v>Tuesday</v>
      </c>
      <c r="H935" t="str">
        <f t="shared" si="43"/>
        <v>Jan</v>
      </c>
      <c r="I935" s="1">
        <v>43485</v>
      </c>
      <c r="J935" s="1" t="str">
        <f t="shared" si="44"/>
        <v>Afternoon</v>
      </c>
      <c r="K935" s="2">
        <v>0.51874999999999993</v>
      </c>
      <c r="L935" t="s">
        <v>18</v>
      </c>
      <c r="M935">
        <v>22.428000000000001</v>
      </c>
      <c r="N935">
        <v>7.6</v>
      </c>
    </row>
    <row r="936" spans="1:14" x14ac:dyDescent="0.25">
      <c r="A936" t="s">
        <v>965</v>
      </c>
      <c r="B936" t="s">
        <v>37</v>
      </c>
      <c r="C936" t="s">
        <v>38</v>
      </c>
      <c r="D936" t="s">
        <v>22</v>
      </c>
      <c r="E936" t="s">
        <v>16</v>
      </c>
      <c r="F936" t="s">
        <v>27</v>
      </c>
      <c r="G936" t="str">
        <f t="shared" si="42"/>
        <v>Saturday</v>
      </c>
      <c r="H936" t="str">
        <f t="shared" si="43"/>
        <v>Jan</v>
      </c>
      <c r="I936" s="1">
        <v>43468</v>
      </c>
      <c r="J936" s="1" t="str">
        <f t="shared" si="44"/>
        <v>Evening</v>
      </c>
      <c r="K936" s="2">
        <v>0.85</v>
      </c>
      <c r="L936" t="s">
        <v>18</v>
      </c>
      <c r="M936">
        <v>18.945</v>
      </c>
      <c r="N936">
        <v>9.8000000000000007</v>
      </c>
    </row>
    <row r="937" spans="1:14" x14ac:dyDescent="0.25">
      <c r="A937" t="s">
        <v>966</v>
      </c>
      <c r="B937" t="s">
        <v>20</v>
      </c>
      <c r="C937" t="s">
        <v>21</v>
      </c>
      <c r="D937" t="s">
        <v>15</v>
      </c>
      <c r="E937" t="s">
        <v>26</v>
      </c>
      <c r="F937" t="s">
        <v>27</v>
      </c>
      <c r="G937" t="str">
        <f t="shared" si="42"/>
        <v>Tuesday</v>
      </c>
      <c r="H937" t="str">
        <f t="shared" si="43"/>
        <v>Jan</v>
      </c>
      <c r="I937" s="1">
        <v>43489</v>
      </c>
      <c r="J937" s="1" t="str">
        <f t="shared" si="44"/>
        <v>Evening</v>
      </c>
      <c r="K937" s="2">
        <v>0.87430555555555556</v>
      </c>
      <c r="L937" t="s">
        <v>18</v>
      </c>
      <c r="M937">
        <v>12.858000000000001</v>
      </c>
      <c r="N937">
        <v>5.0999999999999996</v>
      </c>
    </row>
    <row r="938" spans="1:14" x14ac:dyDescent="0.25">
      <c r="A938" t="s">
        <v>967</v>
      </c>
      <c r="B938" t="s">
        <v>20</v>
      </c>
      <c r="C938" t="s">
        <v>21</v>
      </c>
      <c r="D938" t="s">
        <v>22</v>
      </c>
      <c r="E938" t="s">
        <v>16</v>
      </c>
      <c r="F938" t="s">
        <v>17</v>
      </c>
      <c r="G938" t="str">
        <f t="shared" si="42"/>
        <v>Sunday</v>
      </c>
      <c r="H938" t="str">
        <f t="shared" si="43"/>
        <v>Jan</v>
      </c>
      <c r="I938" s="1">
        <v>43470</v>
      </c>
      <c r="J938" s="1" t="str">
        <f t="shared" si="44"/>
        <v>Evening</v>
      </c>
      <c r="K938" s="2">
        <v>0.82500000000000007</v>
      </c>
      <c r="L938" t="s">
        <v>18</v>
      </c>
      <c r="M938">
        <v>27.611499999999999</v>
      </c>
      <c r="N938">
        <v>7.5</v>
      </c>
    </row>
    <row r="939" spans="1:14" x14ac:dyDescent="0.25">
      <c r="A939" t="s">
        <v>968</v>
      </c>
      <c r="B939" t="s">
        <v>13</v>
      </c>
      <c r="C939" t="s">
        <v>14</v>
      </c>
      <c r="D939" t="s">
        <v>22</v>
      </c>
      <c r="E939" t="s">
        <v>16</v>
      </c>
      <c r="F939" t="s">
        <v>31</v>
      </c>
      <c r="G939" t="str">
        <f t="shared" si="42"/>
        <v>Friday</v>
      </c>
      <c r="H939" t="str">
        <f t="shared" si="43"/>
        <v>Mar</v>
      </c>
      <c r="I939" s="1">
        <v>43554</v>
      </c>
      <c r="J939" s="1" t="str">
        <f t="shared" si="44"/>
        <v>Morning</v>
      </c>
      <c r="K939" s="2">
        <v>0.4291666666666667</v>
      </c>
      <c r="L939" t="s">
        <v>24</v>
      </c>
      <c r="M939">
        <v>22.37</v>
      </c>
      <c r="N939">
        <v>7.4</v>
      </c>
    </row>
    <row r="940" spans="1:14" x14ac:dyDescent="0.25">
      <c r="A940" t="s">
        <v>969</v>
      </c>
      <c r="B940" t="s">
        <v>13</v>
      </c>
      <c r="C940" t="s">
        <v>14</v>
      </c>
      <c r="D940" t="s">
        <v>15</v>
      </c>
      <c r="E940" t="s">
        <v>16</v>
      </c>
      <c r="F940" t="s">
        <v>17</v>
      </c>
      <c r="G940" t="str">
        <f t="shared" si="42"/>
        <v>Saturday</v>
      </c>
      <c r="H940" t="str">
        <f t="shared" si="43"/>
        <v>Feb</v>
      </c>
      <c r="I940" s="1">
        <v>43513</v>
      </c>
      <c r="J940" s="1" t="str">
        <f t="shared" si="44"/>
        <v>Evening</v>
      </c>
      <c r="K940" s="2">
        <v>0.68541666666666667</v>
      </c>
      <c r="L940" t="s">
        <v>24</v>
      </c>
      <c r="M940">
        <v>13.813499999999999</v>
      </c>
      <c r="N940">
        <v>4.2</v>
      </c>
    </row>
    <row r="941" spans="1:14" x14ac:dyDescent="0.25">
      <c r="A941" t="s">
        <v>970</v>
      </c>
      <c r="B941" t="s">
        <v>20</v>
      </c>
      <c r="C941" t="s">
        <v>21</v>
      </c>
      <c r="D941" t="s">
        <v>22</v>
      </c>
      <c r="E941" t="s">
        <v>16</v>
      </c>
      <c r="F941" t="s">
        <v>39</v>
      </c>
      <c r="G941" t="str">
        <f t="shared" si="42"/>
        <v>Wednesday</v>
      </c>
      <c r="H941" t="str">
        <f t="shared" si="43"/>
        <v>Mar</v>
      </c>
      <c r="I941" s="1">
        <v>43545</v>
      </c>
      <c r="J941" s="1" t="str">
        <f t="shared" si="44"/>
        <v>Evening</v>
      </c>
      <c r="K941" s="2">
        <v>0.71111111111111114</v>
      </c>
      <c r="L941" t="s">
        <v>18</v>
      </c>
      <c r="M941">
        <v>17.187000000000001</v>
      </c>
      <c r="N941">
        <v>5.9</v>
      </c>
    </row>
    <row r="942" spans="1:14" x14ac:dyDescent="0.25">
      <c r="A942" t="s">
        <v>971</v>
      </c>
      <c r="B942" t="s">
        <v>13</v>
      </c>
      <c r="C942" t="s">
        <v>14</v>
      </c>
      <c r="D942" t="s">
        <v>22</v>
      </c>
      <c r="E942" t="s">
        <v>26</v>
      </c>
      <c r="F942" t="s">
        <v>39</v>
      </c>
      <c r="G942" t="str">
        <f t="shared" si="42"/>
        <v>Monday</v>
      </c>
      <c r="H942" t="str">
        <f t="shared" si="43"/>
        <v>Mar</v>
      </c>
      <c r="I942" s="1">
        <v>43526</v>
      </c>
      <c r="J942" s="1" t="str">
        <f t="shared" si="44"/>
        <v>Evening</v>
      </c>
      <c r="K942" s="2">
        <v>0.7597222222222223</v>
      </c>
      <c r="L942" t="s">
        <v>18</v>
      </c>
      <c r="M942">
        <v>13.304</v>
      </c>
      <c r="N942">
        <v>6.9</v>
      </c>
    </row>
    <row r="943" spans="1:14" x14ac:dyDescent="0.25">
      <c r="A943" t="s">
        <v>972</v>
      </c>
      <c r="B943" t="s">
        <v>20</v>
      </c>
      <c r="C943" t="s">
        <v>21</v>
      </c>
      <c r="D943" t="s">
        <v>15</v>
      </c>
      <c r="E943" t="s">
        <v>26</v>
      </c>
      <c r="F943" t="s">
        <v>41</v>
      </c>
      <c r="G943" t="str">
        <f t="shared" si="42"/>
        <v>Thursday</v>
      </c>
      <c r="H943" t="str">
        <f t="shared" si="43"/>
        <v>Mar</v>
      </c>
      <c r="I943" s="1">
        <v>43551</v>
      </c>
      <c r="J943" s="1" t="str">
        <f t="shared" si="44"/>
        <v>Morning</v>
      </c>
      <c r="K943" s="2">
        <v>0.4465277777777778</v>
      </c>
      <c r="L943" t="s">
        <v>24</v>
      </c>
      <c r="M943">
        <v>44.918999999999997</v>
      </c>
      <c r="N943">
        <v>6.6</v>
      </c>
    </row>
    <row r="944" spans="1:14" x14ac:dyDescent="0.25">
      <c r="A944" t="s">
        <v>973</v>
      </c>
      <c r="B944" t="s">
        <v>13</v>
      </c>
      <c r="C944" t="s">
        <v>14</v>
      </c>
      <c r="D944" t="s">
        <v>22</v>
      </c>
      <c r="E944" t="s">
        <v>16</v>
      </c>
      <c r="F944" t="s">
        <v>27</v>
      </c>
      <c r="G944" t="str">
        <f t="shared" si="42"/>
        <v>Tuesday</v>
      </c>
      <c r="H944" t="str">
        <f t="shared" si="43"/>
        <v>Jan</v>
      </c>
      <c r="I944" s="1">
        <v>43484</v>
      </c>
      <c r="J944" s="1" t="str">
        <f t="shared" si="44"/>
        <v>Evening</v>
      </c>
      <c r="K944" s="2">
        <v>0.8125</v>
      </c>
      <c r="L944" t="s">
        <v>18</v>
      </c>
      <c r="M944">
        <v>22.84</v>
      </c>
      <c r="N944">
        <v>5.7</v>
      </c>
    </row>
    <row r="945" spans="1:14" x14ac:dyDescent="0.25">
      <c r="A945" t="s">
        <v>974</v>
      </c>
      <c r="B945" t="s">
        <v>13</v>
      </c>
      <c r="C945" t="s">
        <v>14</v>
      </c>
      <c r="D945" t="s">
        <v>22</v>
      </c>
      <c r="E945" t="s">
        <v>26</v>
      </c>
      <c r="F945" t="s">
        <v>17</v>
      </c>
      <c r="G945" t="str">
        <f t="shared" si="42"/>
        <v>Saturday</v>
      </c>
      <c r="H945" t="str">
        <f t="shared" si="43"/>
        <v>Feb</v>
      </c>
      <c r="I945" s="1">
        <v>43515</v>
      </c>
      <c r="J945" s="1" t="str">
        <f t="shared" si="44"/>
        <v>Afternoon</v>
      </c>
      <c r="K945" s="2">
        <v>0.62013888888888891</v>
      </c>
      <c r="L945" t="s">
        <v>28</v>
      </c>
      <c r="M945">
        <v>12.6975</v>
      </c>
      <c r="N945">
        <v>5.3</v>
      </c>
    </row>
    <row r="946" spans="1:14" x14ac:dyDescent="0.25">
      <c r="A946" t="s">
        <v>975</v>
      </c>
      <c r="B946" t="s">
        <v>13</v>
      </c>
      <c r="C946" t="s">
        <v>14</v>
      </c>
      <c r="D946" t="s">
        <v>15</v>
      </c>
      <c r="E946" t="s">
        <v>26</v>
      </c>
      <c r="F946" t="s">
        <v>17</v>
      </c>
      <c r="G946" t="str">
        <f t="shared" si="42"/>
        <v>Thursday</v>
      </c>
      <c r="H946" t="str">
        <f t="shared" si="43"/>
        <v>Mar</v>
      </c>
      <c r="I946" s="1">
        <v>43552</v>
      </c>
      <c r="J946" s="1" t="str">
        <f t="shared" si="44"/>
        <v>Evening</v>
      </c>
      <c r="K946" s="2">
        <v>0.84305555555555556</v>
      </c>
      <c r="L946" t="s">
        <v>24</v>
      </c>
      <c r="M946">
        <v>3.528</v>
      </c>
      <c r="N946">
        <v>4.2</v>
      </c>
    </row>
    <row r="947" spans="1:14" x14ac:dyDescent="0.25">
      <c r="A947" t="s">
        <v>976</v>
      </c>
      <c r="B947" t="s">
        <v>13</v>
      </c>
      <c r="C947" t="s">
        <v>14</v>
      </c>
      <c r="D947" t="s">
        <v>22</v>
      </c>
      <c r="E947" t="s">
        <v>16</v>
      </c>
      <c r="F947" t="s">
        <v>23</v>
      </c>
      <c r="G947" t="str">
        <f t="shared" si="42"/>
        <v>Sunday</v>
      </c>
      <c r="H947" t="str">
        <f t="shared" si="43"/>
        <v>Jan</v>
      </c>
      <c r="I947" s="1">
        <v>43470</v>
      </c>
      <c r="J947" s="1" t="str">
        <f t="shared" si="44"/>
        <v>Morning</v>
      </c>
      <c r="K947" s="2">
        <v>0.49374999999999997</v>
      </c>
      <c r="L947" t="s">
        <v>28</v>
      </c>
      <c r="M947">
        <v>32.857999999999997</v>
      </c>
      <c r="N947">
        <v>7.3</v>
      </c>
    </row>
    <row r="948" spans="1:14" x14ac:dyDescent="0.25">
      <c r="A948" t="s">
        <v>977</v>
      </c>
      <c r="B948" t="s">
        <v>20</v>
      </c>
      <c r="C948" t="s">
        <v>21</v>
      </c>
      <c r="D948" t="s">
        <v>15</v>
      </c>
      <c r="E948" t="s">
        <v>26</v>
      </c>
      <c r="F948" t="s">
        <v>23</v>
      </c>
      <c r="G948" t="str">
        <f t="shared" si="42"/>
        <v>Thursday</v>
      </c>
      <c r="H948" t="str">
        <f t="shared" si="43"/>
        <v>Mar</v>
      </c>
      <c r="I948" s="1">
        <v>43550</v>
      </c>
      <c r="J948" s="1" t="str">
        <f t="shared" si="44"/>
        <v>Afternoon</v>
      </c>
      <c r="K948" s="2">
        <v>0.59236111111111112</v>
      </c>
      <c r="L948" t="s">
        <v>28</v>
      </c>
      <c r="M948">
        <v>8.4250000000000007</v>
      </c>
      <c r="N948">
        <v>5.3</v>
      </c>
    </row>
    <row r="949" spans="1:14" x14ac:dyDescent="0.25">
      <c r="A949" t="s">
        <v>978</v>
      </c>
      <c r="B949" t="s">
        <v>37</v>
      </c>
      <c r="C949" t="s">
        <v>38</v>
      </c>
      <c r="D949" t="s">
        <v>15</v>
      </c>
      <c r="E949" t="s">
        <v>26</v>
      </c>
      <c r="F949" t="s">
        <v>41</v>
      </c>
      <c r="G949" t="str">
        <f t="shared" si="42"/>
        <v>Thursday</v>
      </c>
      <c r="H949" t="str">
        <f t="shared" si="43"/>
        <v>Feb</v>
      </c>
      <c r="I949" s="1">
        <v>43499</v>
      </c>
      <c r="J949" s="1" t="str">
        <f t="shared" si="44"/>
        <v>Evening</v>
      </c>
      <c r="K949" s="2">
        <v>0.84236111111111101</v>
      </c>
      <c r="L949" t="s">
        <v>18</v>
      </c>
      <c r="M949">
        <v>2.6890000000000001</v>
      </c>
      <c r="N949">
        <v>4.7</v>
      </c>
    </row>
    <row r="950" spans="1:14" x14ac:dyDescent="0.25">
      <c r="A950" t="s">
        <v>979</v>
      </c>
      <c r="B950" t="s">
        <v>20</v>
      </c>
      <c r="C950" t="s">
        <v>21</v>
      </c>
      <c r="D950" t="s">
        <v>15</v>
      </c>
      <c r="E950" t="s">
        <v>26</v>
      </c>
      <c r="F950" t="s">
        <v>27</v>
      </c>
      <c r="G950" t="str">
        <f t="shared" si="42"/>
        <v>Thursday</v>
      </c>
      <c r="H950" t="str">
        <f t="shared" si="43"/>
        <v>Feb</v>
      </c>
      <c r="I950" s="1">
        <v>43502</v>
      </c>
      <c r="J950" s="1" t="str">
        <f t="shared" si="44"/>
        <v>Evening</v>
      </c>
      <c r="K950" s="2">
        <v>0.78055555555555556</v>
      </c>
      <c r="L950" t="s">
        <v>18</v>
      </c>
      <c r="M950">
        <v>8.9525000000000006</v>
      </c>
      <c r="N950">
        <v>7.9</v>
      </c>
    </row>
    <row r="951" spans="1:14" x14ac:dyDescent="0.25">
      <c r="A951" t="s">
        <v>980</v>
      </c>
      <c r="B951" t="s">
        <v>37</v>
      </c>
      <c r="C951" t="s">
        <v>38</v>
      </c>
      <c r="D951" t="s">
        <v>22</v>
      </c>
      <c r="E951" t="s">
        <v>16</v>
      </c>
      <c r="F951" t="s">
        <v>39</v>
      </c>
      <c r="G951" t="str">
        <f t="shared" si="42"/>
        <v>Sunday</v>
      </c>
      <c r="H951" t="str">
        <f t="shared" si="43"/>
        <v>Feb</v>
      </c>
      <c r="I951" s="1">
        <v>43520</v>
      </c>
      <c r="J951" s="1" t="str">
        <f t="shared" si="44"/>
        <v>Afternoon</v>
      </c>
      <c r="K951" s="2">
        <v>0.60138888888888886</v>
      </c>
      <c r="L951" t="s">
        <v>18</v>
      </c>
      <c r="M951">
        <v>10.571999999999999</v>
      </c>
      <c r="N951">
        <v>8.9</v>
      </c>
    </row>
    <row r="952" spans="1:14" x14ac:dyDescent="0.25">
      <c r="A952" t="s">
        <v>981</v>
      </c>
      <c r="B952" t="s">
        <v>37</v>
      </c>
      <c r="C952" t="s">
        <v>38</v>
      </c>
      <c r="D952" t="s">
        <v>15</v>
      </c>
      <c r="E952" t="s">
        <v>26</v>
      </c>
      <c r="F952" t="s">
        <v>17</v>
      </c>
      <c r="G952" t="str">
        <f t="shared" si="42"/>
        <v>Saturday</v>
      </c>
      <c r="H952" t="str">
        <f t="shared" si="43"/>
        <v>Feb</v>
      </c>
      <c r="I952" s="1">
        <v>43517</v>
      </c>
      <c r="J952" s="1" t="str">
        <f t="shared" si="44"/>
        <v>Afternoon</v>
      </c>
      <c r="K952" s="2">
        <v>0.52777777777777779</v>
      </c>
      <c r="L952" t="s">
        <v>18</v>
      </c>
      <c r="M952">
        <v>5.9865000000000004</v>
      </c>
      <c r="N952">
        <v>9.3000000000000007</v>
      </c>
    </row>
    <row r="953" spans="1:14" x14ac:dyDescent="0.25">
      <c r="A953" t="s">
        <v>982</v>
      </c>
      <c r="B953" t="s">
        <v>37</v>
      </c>
      <c r="C953" t="s">
        <v>38</v>
      </c>
      <c r="D953" t="s">
        <v>15</v>
      </c>
      <c r="E953" t="s">
        <v>16</v>
      </c>
      <c r="F953" t="s">
        <v>27</v>
      </c>
      <c r="G953" t="str">
        <f t="shared" si="42"/>
        <v>Sunday</v>
      </c>
      <c r="H953" t="str">
        <f t="shared" si="43"/>
        <v>Jan</v>
      </c>
      <c r="I953" s="1">
        <v>43474</v>
      </c>
      <c r="J953" s="1" t="str">
        <f t="shared" si="44"/>
        <v>Evening</v>
      </c>
      <c r="K953" s="2">
        <v>0.77986111111111101</v>
      </c>
      <c r="L953" t="s">
        <v>18</v>
      </c>
      <c r="M953">
        <v>3.2850000000000001</v>
      </c>
      <c r="N953">
        <v>4.7</v>
      </c>
    </row>
    <row r="954" spans="1:14" x14ac:dyDescent="0.25">
      <c r="A954" t="s">
        <v>983</v>
      </c>
      <c r="B954" t="s">
        <v>37</v>
      </c>
      <c r="C954" t="s">
        <v>38</v>
      </c>
      <c r="D954" t="s">
        <v>15</v>
      </c>
      <c r="E954" t="s">
        <v>16</v>
      </c>
      <c r="F954" t="s">
        <v>39</v>
      </c>
      <c r="G954" t="str">
        <f t="shared" si="42"/>
        <v>Sunday</v>
      </c>
      <c r="H954" t="str">
        <f t="shared" si="43"/>
        <v>Feb</v>
      </c>
      <c r="I954" s="1">
        <v>43521</v>
      </c>
      <c r="J954" s="1" t="str">
        <f t="shared" si="44"/>
        <v>Afternoon</v>
      </c>
      <c r="K954" s="2">
        <v>0.55694444444444446</v>
      </c>
      <c r="L954" t="s">
        <v>18</v>
      </c>
      <c r="M954">
        <v>12.57</v>
      </c>
      <c r="N954">
        <v>8.6999999999999993</v>
      </c>
    </row>
    <row r="955" spans="1:14" x14ac:dyDescent="0.25">
      <c r="A955" t="s">
        <v>984</v>
      </c>
      <c r="B955" t="s">
        <v>20</v>
      </c>
      <c r="C955" t="s">
        <v>21</v>
      </c>
      <c r="D955" t="s">
        <v>15</v>
      </c>
      <c r="E955" t="s">
        <v>16</v>
      </c>
      <c r="F955" t="s">
        <v>39</v>
      </c>
      <c r="G955" t="str">
        <f t="shared" si="42"/>
        <v>Monday</v>
      </c>
      <c r="H955" t="str">
        <f t="shared" si="43"/>
        <v>Jan</v>
      </c>
      <c r="I955" s="1">
        <v>43478</v>
      </c>
      <c r="J955" s="1" t="str">
        <f t="shared" si="44"/>
        <v>Afternoon</v>
      </c>
      <c r="K955" s="2">
        <v>0.58194444444444449</v>
      </c>
      <c r="L955" t="s">
        <v>24</v>
      </c>
      <c r="M955">
        <v>4.2080000000000002</v>
      </c>
      <c r="N955">
        <v>7.6</v>
      </c>
    </row>
    <row r="956" spans="1:14" x14ac:dyDescent="0.25">
      <c r="A956" t="s">
        <v>985</v>
      </c>
      <c r="B956" t="s">
        <v>37</v>
      </c>
      <c r="C956" t="s">
        <v>38</v>
      </c>
      <c r="D956" t="s">
        <v>15</v>
      </c>
      <c r="E956" t="s">
        <v>26</v>
      </c>
      <c r="F956" t="s">
        <v>27</v>
      </c>
      <c r="G956" t="str">
        <f t="shared" si="42"/>
        <v>Friday</v>
      </c>
      <c r="H956" t="str">
        <f t="shared" si="43"/>
        <v>Feb</v>
      </c>
      <c r="I956" s="1">
        <v>43505</v>
      </c>
      <c r="J956" s="1" t="str">
        <f t="shared" si="44"/>
        <v>Morning</v>
      </c>
      <c r="K956" s="2">
        <v>0.48958333333333331</v>
      </c>
      <c r="L956" t="s">
        <v>24</v>
      </c>
      <c r="M956">
        <v>19.773</v>
      </c>
      <c r="N956">
        <v>5.7</v>
      </c>
    </row>
    <row r="957" spans="1:14" x14ac:dyDescent="0.25">
      <c r="A957" t="s">
        <v>986</v>
      </c>
      <c r="B957" t="s">
        <v>13</v>
      </c>
      <c r="C957" t="s">
        <v>14</v>
      </c>
      <c r="D957" t="s">
        <v>22</v>
      </c>
      <c r="E957" t="s">
        <v>16</v>
      </c>
      <c r="F957" t="s">
        <v>41</v>
      </c>
      <c r="G957" t="str">
        <f t="shared" si="42"/>
        <v>Sunday</v>
      </c>
      <c r="H957" t="str">
        <f t="shared" si="43"/>
        <v>Jan</v>
      </c>
      <c r="I957" s="1">
        <v>43471</v>
      </c>
      <c r="J957" s="1" t="str">
        <f t="shared" si="44"/>
        <v>Morning</v>
      </c>
      <c r="K957" s="2">
        <v>0.49374999999999997</v>
      </c>
      <c r="L957" t="s">
        <v>24</v>
      </c>
      <c r="M957">
        <v>14.8995</v>
      </c>
      <c r="N957">
        <v>6.8</v>
      </c>
    </row>
    <row r="958" spans="1:14" x14ac:dyDescent="0.25">
      <c r="A958" t="s">
        <v>987</v>
      </c>
      <c r="B958" t="s">
        <v>20</v>
      </c>
      <c r="C958" t="s">
        <v>21</v>
      </c>
      <c r="D958" t="s">
        <v>15</v>
      </c>
      <c r="E958" t="s">
        <v>26</v>
      </c>
      <c r="F958" t="s">
        <v>39</v>
      </c>
      <c r="G958" t="str">
        <f t="shared" si="42"/>
        <v>Sunday</v>
      </c>
      <c r="H958" t="str">
        <f t="shared" si="43"/>
        <v>Jan</v>
      </c>
      <c r="I958" s="1">
        <v>43475</v>
      </c>
      <c r="J958" s="1" t="str">
        <f t="shared" si="44"/>
        <v>Evening</v>
      </c>
      <c r="K958" s="2">
        <v>0.71944444444444444</v>
      </c>
      <c r="L958" t="s">
        <v>24</v>
      </c>
      <c r="M958">
        <v>22.720500000000001</v>
      </c>
      <c r="N958">
        <v>5.4</v>
      </c>
    </row>
    <row r="959" spans="1:14" x14ac:dyDescent="0.25">
      <c r="A959" t="s">
        <v>988</v>
      </c>
      <c r="B959" t="s">
        <v>37</v>
      </c>
      <c r="C959" t="s">
        <v>38</v>
      </c>
      <c r="D959" t="s">
        <v>22</v>
      </c>
      <c r="E959" t="s">
        <v>26</v>
      </c>
      <c r="F959" t="s">
        <v>23</v>
      </c>
      <c r="G959" t="str">
        <f t="shared" si="42"/>
        <v>Thursday</v>
      </c>
      <c r="H959" t="str">
        <f t="shared" si="43"/>
        <v>Feb</v>
      </c>
      <c r="I959" s="1">
        <v>43503</v>
      </c>
      <c r="J959" s="1" t="str">
        <f t="shared" si="44"/>
        <v>Afternoon</v>
      </c>
      <c r="K959" s="2">
        <v>0.66319444444444442</v>
      </c>
      <c r="L959" t="s">
        <v>24</v>
      </c>
      <c r="M959">
        <v>13.805999999999999</v>
      </c>
      <c r="N959">
        <v>7.1</v>
      </c>
    </row>
    <row r="960" spans="1:14" x14ac:dyDescent="0.25">
      <c r="A960" t="s">
        <v>989</v>
      </c>
      <c r="B960" t="s">
        <v>20</v>
      </c>
      <c r="C960" t="s">
        <v>21</v>
      </c>
      <c r="D960" t="s">
        <v>22</v>
      </c>
      <c r="E960" t="s">
        <v>16</v>
      </c>
      <c r="F960" t="s">
        <v>27</v>
      </c>
      <c r="G960" t="str">
        <f t="shared" si="42"/>
        <v>Sunday</v>
      </c>
      <c r="H960" t="str">
        <f t="shared" si="43"/>
        <v>Jan</v>
      </c>
      <c r="I960" s="1">
        <v>43474</v>
      </c>
      <c r="J960" s="1" t="str">
        <f t="shared" si="44"/>
        <v>Afternoon</v>
      </c>
      <c r="K960" s="2">
        <v>0.50486111111111109</v>
      </c>
      <c r="L960" t="s">
        <v>24</v>
      </c>
      <c r="M960">
        <v>7.9</v>
      </c>
      <c r="N960">
        <v>7.8</v>
      </c>
    </row>
    <row r="961" spans="1:14" x14ac:dyDescent="0.25">
      <c r="A961" t="s">
        <v>990</v>
      </c>
      <c r="B961" t="s">
        <v>13</v>
      </c>
      <c r="C961" t="s">
        <v>14</v>
      </c>
      <c r="D961" t="s">
        <v>15</v>
      </c>
      <c r="E961" t="s">
        <v>16</v>
      </c>
      <c r="F961" t="s">
        <v>39</v>
      </c>
      <c r="G961" t="str">
        <f t="shared" si="42"/>
        <v>Saturday</v>
      </c>
      <c r="H961" t="str">
        <f t="shared" si="43"/>
        <v>Feb</v>
      </c>
      <c r="I961" s="1">
        <v>43515</v>
      </c>
      <c r="J961" s="1" t="str">
        <f t="shared" si="44"/>
        <v>Afternoon</v>
      </c>
      <c r="K961" s="2">
        <v>0.62986111111111109</v>
      </c>
      <c r="L961" t="s">
        <v>24</v>
      </c>
      <c r="M961">
        <v>44.396999999999998</v>
      </c>
      <c r="N961">
        <v>8.4</v>
      </c>
    </row>
    <row r="962" spans="1:14" x14ac:dyDescent="0.25">
      <c r="A962" t="s">
        <v>991</v>
      </c>
      <c r="B962" t="s">
        <v>20</v>
      </c>
      <c r="C962" t="s">
        <v>21</v>
      </c>
      <c r="D962" t="s">
        <v>15</v>
      </c>
      <c r="E962" t="s">
        <v>26</v>
      </c>
      <c r="F962" t="s">
        <v>41</v>
      </c>
      <c r="G962" t="str">
        <f t="shared" si="42"/>
        <v>Wednesday</v>
      </c>
      <c r="H962" t="str">
        <f t="shared" si="43"/>
        <v>Mar</v>
      </c>
      <c r="I962" s="1">
        <v>43542</v>
      </c>
      <c r="J962" s="1" t="str">
        <f t="shared" si="44"/>
        <v>Afternoon</v>
      </c>
      <c r="K962" s="2">
        <v>0.64513888888888882</v>
      </c>
      <c r="L962" t="s">
        <v>24</v>
      </c>
      <c r="M962">
        <v>4.5990000000000002</v>
      </c>
      <c r="N962">
        <v>9.8000000000000007</v>
      </c>
    </row>
    <row r="963" spans="1:14" x14ac:dyDescent="0.25">
      <c r="A963" t="s">
        <v>992</v>
      </c>
      <c r="B963" t="s">
        <v>13</v>
      </c>
      <c r="C963" t="s">
        <v>14</v>
      </c>
      <c r="D963" t="s">
        <v>15</v>
      </c>
      <c r="E963" t="s">
        <v>26</v>
      </c>
      <c r="F963" t="s">
        <v>23</v>
      </c>
      <c r="G963" t="str">
        <f t="shared" ref="G963:G1001" si="45">TEXT(I963/7,"dddd")</f>
        <v>Thursday</v>
      </c>
      <c r="H963" t="str">
        <f t="shared" ref="H963:H1001" si="46">TEXT(I963,"mmm")</f>
        <v>Feb</v>
      </c>
      <c r="I963" s="1">
        <v>43501</v>
      </c>
      <c r="J963" s="1" t="str">
        <f t="shared" ref="J963:J1001" si="47">IF(AND(K963&gt;=TIME(9,0,0),K963&lt;TIME(12,0,0)),"Morning",IF(AND(K963&gt;=TIME(12,0,0),K963&lt;TIME(16,0,0)),"Afternoon","Evening"))</f>
        <v>Evening</v>
      </c>
      <c r="K963" s="2">
        <v>0.78125</v>
      </c>
      <c r="L963" t="s">
        <v>24</v>
      </c>
      <c r="M963">
        <v>2.089</v>
      </c>
      <c r="N963">
        <v>9.8000000000000007</v>
      </c>
    </row>
    <row r="964" spans="1:14" x14ac:dyDescent="0.25">
      <c r="A964" t="s">
        <v>993</v>
      </c>
      <c r="B964" t="s">
        <v>13</v>
      </c>
      <c r="C964" t="s">
        <v>14</v>
      </c>
      <c r="D964" t="s">
        <v>22</v>
      </c>
      <c r="E964" t="s">
        <v>16</v>
      </c>
      <c r="F964" t="s">
        <v>41</v>
      </c>
      <c r="G964" t="str">
        <f t="shared" si="45"/>
        <v>Wednesday</v>
      </c>
      <c r="H964" t="str">
        <f t="shared" si="46"/>
        <v>Mar</v>
      </c>
      <c r="I964" s="1">
        <v>43543</v>
      </c>
      <c r="J964" s="1" t="str">
        <f t="shared" si="47"/>
        <v>Afternoon</v>
      </c>
      <c r="K964" s="2">
        <v>0.64097222222222217</v>
      </c>
      <c r="L964" t="s">
        <v>28</v>
      </c>
      <c r="M964">
        <v>0.77500000000000002</v>
      </c>
      <c r="N964">
        <v>7.4</v>
      </c>
    </row>
    <row r="965" spans="1:14" x14ac:dyDescent="0.25">
      <c r="A965" t="s">
        <v>994</v>
      </c>
      <c r="B965" t="s">
        <v>20</v>
      </c>
      <c r="C965" t="s">
        <v>21</v>
      </c>
      <c r="D965" t="s">
        <v>15</v>
      </c>
      <c r="E965" t="s">
        <v>26</v>
      </c>
      <c r="F965" t="s">
        <v>23</v>
      </c>
      <c r="G965" t="str">
        <f t="shared" si="45"/>
        <v>Friday</v>
      </c>
      <c r="H965" t="str">
        <f t="shared" si="46"/>
        <v>Mar</v>
      </c>
      <c r="I965" s="1">
        <v>43554</v>
      </c>
      <c r="J965" s="1" t="str">
        <f t="shared" si="47"/>
        <v>Evening</v>
      </c>
      <c r="K965" s="2">
        <v>0.85902777777777783</v>
      </c>
      <c r="L965" t="s">
        <v>24</v>
      </c>
      <c r="M965">
        <v>14.523</v>
      </c>
      <c r="N965">
        <v>6.7</v>
      </c>
    </row>
    <row r="966" spans="1:14" x14ac:dyDescent="0.25">
      <c r="A966" t="s">
        <v>995</v>
      </c>
      <c r="B966" t="s">
        <v>37</v>
      </c>
      <c r="C966" t="s">
        <v>38</v>
      </c>
      <c r="D966" t="s">
        <v>22</v>
      </c>
      <c r="E966" t="s">
        <v>26</v>
      </c>
      <c r="F966" t="s">
        <v>39</v>
      </c>
      <c r="G966" t="str">
        <f t="shared" si="45"/>
        <v>Wednesday</v>
      </c>
      <c r="H966" t="str">
        <f t="shared" si="46"/>
        <v>Jan</v>
      </c>
      <c r="I966" s="1">
        <v>43491</v>
      </c>
      <c r="J966" s="1" t="str">
        <f t="shared" si="47"/>
        <v>Afternoon</v>
      </c>
      <c r="K966" s="2">
        <v>0.6118055555555556</v>
      </c>
      <c r="L966" t="s">
        <v>28</v>
      </c>
      <c r="M966">
        <v>3.3330000000000002</v>
      </c>
      <c r="N966">
        <v>6.4</v>
      </c>
    </row>
    <row r="967" spans="1:14" x14ac:dyDescent="0.25">
      <c r="A967" t="s">
        <v>996</v>
      </c>
      <c r="B967" t="s">
        <v>37</v>
      </c>
      <c r="C967" t="s">
        <v>38</v>
      </c>
      <c r="D967" t="s">
        <v>22</v>
      </c>
      <c r="E967" t="s">
        <v>16</v>
      </c>
      <c r="F967" t="s">
        <v>23</v>
      </c>
      <c r="G967" t="str">
        <f t="shared" si="45"/>
        <v>Monday</v>
      </c>
      <c r="H967" t="str">
        <f t="shared" si="46"/>
        <v>Mar</v>
      </c>
      <c r="I967" s="1">
        <v>43526</v>
      </c>
      <c r="J967" s="1" t="str">
        <f t="shared" si="47"/>
        <v>Evening</v>
      </c>
      <c r="K967" s="2">
        <v>0.76250000000000007</v>
      </c>
      <c r="L967" t="s">
        <v>28</v>
      </c>
      <c r="M967">
        <v>3.827</v>
      </c>
      <c r="N967">
        <v>5.8</v>
      </c>
    </row>
    <row r="968" spans="1:14" x14ac:dyDescent="0.25">
      <c r="A968" t="s">
        <v>997</v>
      </c>
      <c r="B968" t="s">
        <v>13</v>
      </c>
      <c r="C968" t="s">
        <v>14</v>
      </c>
      <c r="D968" t="s">
        <v>22</v>
      </c>
      <c r="E968" t="s">
        <v>16</v>
      </c>
      <c r="F968" t="s">
        <v>27</v>
      </c>
      <c r="G968" t="str">
        <f t="shared" si="45"/>
        <v>Monday</v>
      </c>
      <c r="H968" t="str">
        <f t="shared" si="46"/>
        <v>Mar</v>
      </c>
      <c r="I968" s="1">
        <v>43528</v>
      </c>
      <c r="J968" s="1" t="str">
        <f t="shared" si="47"/>
        <v>Afternoon</v>
      </c>
      <c r="K968" s="2">
        <v>0.64374999999999993</v>
      </c>
      <c r="L968" t="s">
        <v>18</v>
      </c>
      <c r="M968">
        <v>14.984999999999999</v>
      </c>
      <c r="N968">
        <v>7.2</v>
      </c>
    </row>
    <row r="969" spans="1:14" x14ac:dyDescent="0.25">
      <c r="A969" t="s">
        <v>998</v>
      </c>
      <c r="B969" t="s">
        <v>13</v>
      </c>
      <c r="C969" t="s">
        <v>14</v>
      </c>
      <c r="D969" t="s">
        <v>15</v>
      </c>
      <c r="E969" t="s">
        <v>26</v>
      </c>
      <c r="F969" t="s">
        <v>27</v>
      </c>
      <c r="G969" t="str">
        <f t="shared" si="45"/>
        <v>Monday</v>
      </c>
      <c r="H969" t="str">
        <f t="shared" si="46"/>
        <v>Jan</v>
      </c>
      <c r="I969" s="1">
        <v>43478</v>
      </c>
      <c r="J969" s="1" t="str">
        <f t="shared" si="47"/>
        <v>Afternoon</v>
      </c>
      <c r="K969" s="2">
        <v>0.53819444444444442</v>
      </c>
      <c r="L969" t="s">
        <v>28</v>
      </c>
      <c r="M969">
        <v>12.1515</v>
      </c>
      <c r="N969">
        <v>9.3000000000000007</v>
      </c>
    </row>
    <row r="970" spans="1:14" x14ac:dyDescent="0.25">
      <c r="A970" t="s">
        <v>999</v>
      </c>
      <c r="B970" t="s">
        <v>13</v>
      </c>
      <c r="C970" t="s">
        <v>14</v>
      </c>
      <c r="D970" t="s">
        <v>22</v>
      </c>
      <c r="E970" t="s">
        <v>16</v>
      </c>
      <c r="F970" t="s">
        <v>17</v>
      </c>
      <c r="G970" t="str">
        <f t="shared" si="45"/>
        <v>Thursday</v>
      </c>
      <c r="H970" t="str">
        <f t="shared" si="46"/>
        <v>Mar</v>
      </c>
      <c r="I970" s="1">
        <v>43549</v>
      </c>
      <c r="J970" s="1" t="str">
        <f t="shared" si="47"/>
        <v>Evening</v>
      </c>
      <c r="K970" s="2">
        <v>0.75138888888888899</v>
      </c>
      <c r="L970" t="s">
        <v>24</v>
      </c>
      <c r="M970">
        <v>2.37</v>
      </c>
      <c r="N970">
        <v>9.5</v>
      </c>
    </row>
    <row r="971" spans="1:14" x14ac:dyDescent="0.25">
      <c r="A971" t="s">
        <v>1000</v>
      </c>
      <c r="B971" t="s">
        <v>37</v>
      </c>
      <c r="C971" t="s">
        <v>38</v>
      </c>
      <c r="D971" t="s">
        <v>15</v>
      </c>
      <c r="E971" t="s">
        <v>16</v>
      </c>
      <c r="F971" t="s">
        <v>23</v>
      </c>
      <c r="G971" t="str">
        <f t="shared" si="45"/>
        <v>Tuesday</v>
      </c>
      <c r="H971" t="str">
        <f t="shared" si="46"/>
        <v>Mar</v>
      </c>
      <c r="I971" s="1">
        <v>43535</v>
      </c>
      <c r="J971" s="1" t="str">
        <f t="shared" si="47"/>
        <v>Evening</v>
      </c>
      <c r="K971" s="2">
        <v>0.8222222222222223</v>
      </c>
      <c r="L971" t="s">
        <v>28</v>
      </c>
      <c r="M971">
        <v>8.6225000000000005</v>
      </c>
      <c r="N971">
        <v>9</v>
      </c>
    </row>
    <row r="972" spans="1:14" x14ac:dyDescent="0.25">
      <c r="A972" t="s">
        <v>1001</v>
      </c>
      <c r="B972" t="s">
        <v>37</v>
      </c>
      <c r="C972" t="s">
        <v>38</v>
      </c>
      <c r="D972" t="s">
        <v>15</v>
      </c>
      <c r="E972" t="s">
        <v>16</v>
      </c>
      <c r="F972" t="s">
        <v>39</v>
      </c>
      <c r="G972" t="str">
        <f t="shared" si="45"/>
        <v>Saturday</v>
      </c>
      <c r="H972" t="str">
        <f t="shared" si="46"/>
        <v>Jan</v>
      </c>
      <c r="I972" s="1">
        <v>43466</v>
      </c>
      <c r="J972" s="1" t="str">
        <f t="shared" si="47"/>
        <v>Morning</v>
      </c>
      <c r="K972" s="2">
        <v>0.48333333333333334</v>
      </c>
      <c r="L972" t="s">
        <v>28</v>
      </c>
      <c r="M972">
        <v>42.314999999999998</v>
      </c>
      <c r="N972">
        <v>9</v>
      </c>
    </row>
    <row r="973" spans="1:14" x14ac:dyDescent="0.25">
      <c r="A973" t="s">
        <v>1002</v>
      </c>
      <c r="B973" t="s">
        <v>37</v>
      </c>
      <c r="C973" t="s">
        <v>38</v>
      </c>
      <c r="D973" t="s">
        <v>15</v>
      </c>
      <c r="E973" t="s">
        <v>26</v>
      </c>
      <c r="F973" t="s">
        <v>27</v>
      </c>
      <c r="G973" t="str">
        <f t="shared" si="45"/>
        <v>Friday</v>
      </c>
      <c r="H973" t="str">
        <f t="shared" si="46"/>
        <v>Feb</v>
      </c>
      <c r="I973" s="1">
        <v>43506</v>
      </c>
      <c r="J973" s="1" t="str">
        <f t="shared" si="47"/>
        <v>Afternoon</v>
      </c>
      <c r="K973" s="2">
        <v>0.57708333333333328</v>
      </c>
      <c r="L973" t="s">
        <v>18</v>
      </c>
      <c r="M973">
        <v>12.9185</v>
      </c>
      <c r="N973">
        <v>6.7</v>
      </c>
    </row>
    <row r="974" spans="1:14" x14ac:dyDescent="0.25">
      <c r="A974" t="s">
        <v>1003</v>
      </c>
      <c r="B974" t="s">
        <v>37</v>
      </c>
      <c r="C974" t="s">
        <v>38</v>
      </c>
      <c r="D974" t="s">
        <v>22</v>
      </c>
      <c r="E974" t="s">
        <v>26</v>
      </c>
      <c r="F974" t="s">
        <v>23</v>
      </c>
      <c r="G974" t="str">
        <f t="shared" si="45"/>
        <v>Wednesday</v>
      </c>
      <c r="H974" t="str">
        <f t="shared" si="46"/>
        <v>Jan</v>
      </c>
      <c r="I974" s="1">
        <v>43491</v>
      </c>
      <c r="J974" s="1" t="str">
        <f t="shared" si="47"/>
        <v>Afternoon</v>
      </c>
      <c r="K974" s="2">
        <v>0.63680555555555551</v>
      </c>
      <c r="L974" t="s">
        <v>24</v>
      </c>
      <c r="M974">
        <v>30.478000000000002</v>
      </c>
      <c r="N974">
        <v>5.5</v>
      </c>
    </row>
    <row r="975" spans="1:14" x14ac:dyDescent="0.25">
      <c r="A975" t="s">
        <v>1004</v>
      </c>
      <c r="B975" t="s">
        <v>13</v>
      </c>
      <c r="C975" t="s">
        <v>14</v>
      </c>
      <c r="D975" t="s">
        <v>22</v>
      </c>
      <c r="E975" t="s">
        <v>26</v>
      </c>
      <c r="F975" t="s">
        <v>27</v>
      </c>
      <c r="G975" t="str">
        <f t="shared" si="45"/>
        <v>Friday</v>
      </c>
      <c r="H975" t="str">
        <f t="shared" si="46"/>
        <v>Feb</v>
      </c>
      <c r="I975" s="1">
        <v>43507</v>
      </c>
      <c r="J975" s="1" t="str">
        <f t="shared" si="47"/>
        <v>Afternoon</v>
      </c>
      <c r="K975" s="2">
        <v>0.64513888888888882</v>
      </c>
      <c r="L975" t="s">
        <v>24</v>
      </c>
      <c r="M975">
        <v>12.012</v>
      </c>
      <c r="N975">
        <v>5.4</v>
      </c>
    </row>
    <row r="976" spans="1:14" x14ac:dyDescent="0.25">
      <c r="A976" t="s">
        <v>1005</v>
      </c>
      <c r="B976" t="s">
        <v>20</v>
      </c>
      <c r="C976" t="s">
        <v>21</v>
      </c>
      <c r="D976" t="s">
        <v>22</v>
      </c>
      <c r="E976" t="s">
        <v>26</v>
      </c>
      <c r="F976" t="s">
        <v>41</v>
      </c>
      <c r="G976" t="str">
        <f t="shared" si="45"/>
        <v>Thursday</v>
      </c>
      <c r="H976" t="str">
        <f t="shared" si="46"/>
        <v>Feb</v>
      </c>
      <c r="I976" s="1">
        <v>43503</v>
      </c>
      <c r="J976" s="1" t="str">
        <f t="shared" si="47"/>
        <v>Evening</v>
      </c>
      <c r="K976" s="2">
        <v>0.74930555555555556</v>
      </c>
      <c r="L976" t="s">
        <v>24</v>
      </c>
      <c r="M976">
        <v>8.6129999999999995</v>
      </c>
      <c r="N976">
        <v>8.1999999999999993</v>
      </c>
    </row>
    <row r="977" spans="1:14" x14ac:dyDescent="0.25">
      <c r="A977" t="s">
        <v>1006</v>
      </c>
      <c r="B977" t="s">
        <v>37</v>
      </c>
      <c r="C977" t="s">
        <v>38</v>
      </c>
      <c r="D977" t="s">
        <v>15</v>
      </c>
      <c r="E977" t="s">
        <v>26</v>
      </c>
      <c r="F977" t="s">
        <v>41</v>
      </c>
      <c r="G977" t="str">
        <f t="shared" si="45"/>
        <v>Monday</v>
      </c>
      <c r="H977" t="str">
        <f t="shared" si="46"/>
        <v>Mar</v>
      </c>
      <c r="I977" s="1">
        <v>43530</v>
      </c>
      <c r="J977" s="1" t="str">
        <f t="shared" si="47"/>
        <v>Morning</v>
      </c>
      <c r="K977" s="2">
        <v>0.49652777777777773</v>
      </c>
      <c r="L977" t="s">
        <v>28</v>
      </c>
      <c r="M977">
        <v>4.992</v>
      </c>
      <c r="N977">
        <v>7</v>
      </c>
    </row>
    <row r="978" spans="1:14" x14ac:dyDescent="0.25">
      <c r="A978" t="s">
        <v>1007</v>
      </c>
      <c r="B978" t="s">
        <v>13</v>
      </c>
      <c r="C978" t="s">
        <v>14</v>
      </c>
      <c r="D978" t="s">
        <v>22</v>
      </c>
      <c r="E978" t="s">
        <v>16</v>
      </c>
      <c r="F978" t="s">
        <v>39</v>
      </c>
      <c r="G978" t="str">
        <f t="shared" si="45"/>
        <v>Monday</v>
      </c>
      <c r="H978" t="str">
        <f t="shared" si="46"/>
        <v>Mar</v>
      </c>
      <c r="I978" s="1">
        <v>43528</v>
      </c>
      <c r="J978" s="1" t="str">
        <f t="shared" si="47"/>
        <v>Morning</v>
      </c>
      <c r="K978" s="2">
        <v>0.44375000000000003</v>
      </c>
      <c r="L978" t="s">
        <v>24</v>
      </c>
      <c r="M978">
        <v>14.932</v>
      </c>
      <c r="N978">
        <v>8.5</v>
      </c>
    </row>
    <row r="979" spans="1:14" x14ac:dyDescent="0.25">
      <c r="A979" t="s">
        <v>1008</v>
      </c>
      <c r="B979" t="s">
        <v>37</v>
      </c>
      <c r="C979" t="s">
        <v>38</v>
      </c>
      <c r="D979" t="s">
        <v>15</v>
      </c>
      <c r="E979" t="s">
        <v>26</v>
      </c>
      <c r="F979" t="s">
        <v>39</v>
      </c>
      <c r="G979" t="str">
        <f t="shared" si="45"/>
        <v>Sunday</v>
      </c>
      <c r="H979" t="str">
        <f t="shared" si="46"/>
        <v>Feb</v>
      </c>
      <c r="I979" s="1">
        <v>43522</v>
      </c>
      <c r="J979" s="1" t="str">
        <f t="shared" si="47"/>
        <v>Afternoon</v>
      </c>
      <c r="K979" s="2">
        <v>0.63194444444444442</v>
      </c>
      <c r="L979" t="s">
        <v>18</v>
      </c>
      <c r="M979">
        <v>7.98</v>
      </c>
      <c r="N979">
        <v>4.9000000000000004</v>
      </c>
    </row>
    <row r="980" spans="1:14" x14ac:dyDescent="0.25">
      <c r="A980" t="s">
        <v>1009</v>
      </c>
      <c r="B980" t="s">
        <v>37</v>
      </c>
      <c r="C980" t="s">
        <v>38</v>
      </c>
      <c r="D980" t="s">
        <v>22</v>
      </c>
      <c r="E980" t="s">
        <v>16</v>
      </c>
      <c r="F980" t="s">
        <v>23</v>
      </c>
      <c r="G980" t="str">
        <f t="shared" si="45"/>
        <v>Tuesday</v>
      </c>
      <c r="H980" t="str">
        <f t="shared" si="46"/>
        <v>Mar</v>
      </c>
      <c r="I980" s="1">
        <v>43534</v>
      </c>
      <c r="J980" s="1" t="str">
        <f t="shared" si="47"/>
        <v>Evening</v>
      </c>
      <c r="K980" s="2">
        <v>0.75694444444444453</v>
      </c>
      <c r="L980" t="s">
        <v>28</v>
      </c>
      <c r="M980">
        <v>1.2725</v>
      </c>
      <c r="N980">
        <v>5.0999999999999996</v>
      </c>
    </row>
    <row r="981" spans="1:14" x14ac:dyDescent="0.25">
      <c r="A981" t="s">
        <v>1010</v>
      </c>
      <c r="B981" t="s">
        <v>37</v>
      </c>
      <c r="C981" t="s">
        <v>38</v>
      </c>
      <c r="D981" t="s">
        <v>22</v>
      </c>
      <c r="E981" t="s">
        <v>16</v>
      </c>
      <c r="F981" t="s">
        <v>39</v>
      </c>
      <c r="G981" t="str">
        <f t="shared" si="45"/>
        <v>Thursday</v>
      </c>
      <c r="H981" t="str">
        <f t="shared" si="46"/>
        <v>Feb</v>
      </c>
      <c r="I981" s="1">
        <v>43500</v>
      </c>
      <c r="J981" s="1" t="str">
        <f t="shared" si="47"/>
        <v>Evening</v>
      </c>
      <c r="K981" s="2">
        <v>0.86319444444444438</v>
      </c>
      <c r="L981" t="s">
        <v>28</v>
      </c>
      <c r="M981">
        <v>3.3885000000000001</v>
      </c>
      <c r="N981">
        <v>6.5</v>
      </c>
    </row>
    <row r="982" spans="1:14" x14ac:dyDescent="0.25">
      <c r="A982" t="s">
        <v>1011</v>
      </c>
      <c r="B982" t="s">
        <v>20</v>
      </c>
      <c r="C982" t="s">
        <v>21</v>
      </c>
      <c r="D982" t="s">
        <v>15</v>
      </c>
      <c r="E982" t="s">
        <v>26</v>
      </c>
      <c r="F982" t="s">
        <v>39</v>
      </c>
      <c r="G982" t="str">
        <f t="shared" si="45"/>
        <v>Tuesday</v>
      </c>
      <c r="H982" t="str">
        <f t="shared" si="46"/>
        <v>Jan</v>
      </c>
      <c r="I982" s="1">
        <v>43484</v>
      </c>
      <c r="J982" s="1" t="str">
        <f t="shared" si="47"/>
        <v>Afternoon</v>
      </c>
      <c r="K982" s="2">
        <v>0.53194444444444444</v>
      </c>
      <c r="L982" t="s">
        <v>24</v>
      </c>
      <c r="M982">
        <v>11.917999999999999</v>
      </c>
      <c r="N982">
        <v>9.8000000000000007</v>
      </c>
    </row>
    <row r="983" spans="1:14" x14ac:dyDescent="0.25">
      <c r="A983" t="s">
        <v>1012</v>
      </c>
      <c r="B983" t="s">
        <v>13</v>
      </c>
      <c r="C983" t="s">
        <v>14</v>
      </c>
      <c r="D983" t="s">
        <v>22</v>
      </c>
      <c r="E983" t="s">
        <v>26</v>
      </c>
      <c r="F983" t="s">
        <v>17</v>
      </c>
      <c r="G983" t="str">
        <f t="shared" si="45"/>
        <v>Tuesday</v>
      </c>
      <c r="H983" t="str">
        <f t="shared" si="46"/>
        <v>Jan</v>
      </c>
      <c r="I983" s="1">
        <v>43488</v>
      </c>
      <c r="J983" s="1" t="str">
        <f t="shared" si="47"/>
        <v>Evening</v>
      </c>
      <c r="K983" s="2">
        <v>0.73888888888888893</v>
      </c>
      <c r="L983" t="s">
        <v>24</v>
      </c>
      <c r="M983">
        <v>11.63</v>
      </c>
      <c r="N983">
        <v>8.4</v>
      </c>
    </row>
    <row r="984" spans="1:14" x14ac:dyDescent="0.25">
      <c r="A984" t="s">
        <v>1013</v>
      </c>
      <c r="B984" t="s">
        <v>13</v>
      </c>
      <c r="C984" t="s">
        <v>14</v>
      </c>
      <c r="D984" t="s">
        <v>15</v>
      </c>
      <c r="E984" t="s">
        <v>16</v>
      </c>
      <c r="F984" t="s">
        <v>31</v>
      </c>
      <c r="G984" t="str">
        <f t="shared" si="45"/>
        <v>Tuesday</v>
      </c>
      <c r="H984" t="str">
        <f t="shared" si="46"/>
        <v>Mar</v>
      </c>
      <c r="I984" s="1">
        <v>43538</v>
      </c>
      <c r="J984" s="1" t="str">
        <f t="shared" si="47"/>
        <v>Afternoon</v>
      </c>
      <c r="K984" s="2">
        <v>0.59652777777777777</v>
      </c>
      <c r="L984" t="s">
        <v>18</v>
      </c>
      <c r="M984">
        <v>43.866</v>
      </c>
      <c r="N984">
        <v>7.4</v>
      </c>
    </row>
    <row r="985" spans="1:14" x14ac:dyDescent="0.25">
      <c r="A985" t="s">
        <v>1014</v>
      </c>
      <c r="B985" t="s">
        <v>20</v>
      </c>
      <c r="C985" t="s">
        <v>21</v>
      </c>
      <c r="D985" t="s">
        <v>22</v>
      </c>
      <c r="E985" t="s">
        <v>26</v>
      </c>
      <c r="F985" t="s">
        <v>17</v>
      </c>
      <c r="G985" t="str">
        <f t="shared" si="45"/>
        <v>Tuesday</v>
      </c>
      <c r="H985" t="str">
        <f t="shared" si="46"/>
        <v>Jan</v>
      </c>
      <c r="I985" s="1">
        <v>43488</v>
      </c>
      <c r="J985" s="1" t="str">
        <f t="shared" si="47"/>
        <v>Morning</v>
      </c>
      <c r="K985" s="2">
        <v>0.43958333333333338</v>
      </c>
      <c r="L985" t="s">
        <v>24</v>
      </c>
      <c r="M985">
        <v>34.985999999999997</v>
      </c>
      <c r="N985">
        <v>6.1</v>
      </c>
    </row>
    <row r="986" spans="1:14" x14ac:dyDescent="0.25">
      <c r="A986" t="s">
        <v>1015</v>
      </c>
      <c r="B986" t="s">
        <v>20</v>
      </c>
      <c r="C986" t="s">
        <v>21</v>
      </c>
      <c r="D986" t="s">
        <v>22</v>
      </c>
      <c r="E986" t="s">
        <v>26</v>
      </c>
      <c r="F986" t="s">
        <v>23</v>
      </c>
      <c r="G986" t="str">
        <f t="shared" si="45"/>
        <v>Sunday</v>
      </c>
      <c r="H986" t="str">
        <f t="shared" si="46"/>
        <v>Jan</v>
      </c>
      <c r="I986" s="1">
        <v>43474</v>
      </c>
      <c r="J986" s="1" t="str">
        <f t="shared" si="47"/>
        <v>Morning</v>
      </c>
      <c r="K986" s="2">
        <v>0.4861111111111111</v>
      </c>
      <c r="L986" t="s">
        <v>24</v>
      </c>
      <c r="M986">
        <v>33.729500000000002</v>
      </c>
      <c r="N986">
        <v>6</v>
      </c>
    </row>
    <row r="987" spans="1:14" x14ac:dyDescent="0.25">
      <c r="A987" t="s">
        <v>1016</v>
      </c>
      <c r="B987" t="s">
        <v>37</v>
      </c>
      <c r="C987" t="s">
        <v>38</v>
      </c>
      <c r="D987" t="s">
        <v>22</v>
      </c>
      <c r="E987" t="s">
        <v>16</v>
      </c>
      <c r="F987" t="s">
        <v>41</v>
      </c>
      <c r="G987" t="str">
        <f t="shared" si="45"/>
        <v>Thursday</v>
      </c>
      <c r="H987" t="str">
        <f t="shared" si="46"/>
        <v>Feb</v>
      </c>
      <c r="I987" s="1">
        <v>43503</v>
      </c>
      <c r="J987" s="1" t="str">
        <f t="shared" si="47"/>
        <v>Evening</v>
      </c>
      <c r="K987" s="2">
        <v>0.8125</v>
      </c>
      <c r="L987" t="s">
        <v>18</v>
      </c>
      <c r="M987">
        <v>15.9275</v>
      </c>
      <c r="N987">
        <v>8.5</v>
      </c>
    </row>
    <row r="988" spans="1:14" x14ac:dyDescent="0.25">
      <c r="A988" t="s">
        <v>1017</v>
      </c>
      <c r="B988" t="s">
        <v>37</v>
      </c>
      <c r="C988" t="s">
        <v>38</v>
      </c>
      <c r="D988" t="s">
        <v>22</v>
      </c>
      <c r="E988" t="s">
        <v>16</v>
      </c>
      <c r="F988" t="s">
        <v>17</v>
      </c>
      <c r="G988" t="str">
        <f t="shared" si="45"/>
        <v>Saturday</v>
      </c>
      <c r="H988" t="str">
        <f t="shared" si="46"/>
        <v>Feb</v>
      </c>
      <c r="I988" s="1">
        <v>43514</v>
      </c>
      <c r="J988" s="1" t="str">
        <f t="shared" si="47"/>
        <v>Afternoon</v>
      </c>
      <c r="K988" s="2">
        <v>0.61249999999999993</v>
      </c>
      <c r="L988" t="s">
        <v>18</v>
      </c>
      <c r="M988">
        <v>1.476</v>
      </c>
      <c r="N988">
        <v>4.3</v>
      </c>
    </row>
    <row r="989" spans="1:14" x14ac:dyDescent="0.25">
      <c r="A989" t="s">
        <v>1018</v>
      </c>
      <c r="B989" t="s">
        <v>37</v>
      </c>
      <c r="C989" t="s">
        <v>38</v>
      </c>
      <c r="D989" t="s">
        <v>15</v>
      </c>
      <c r="E989" t="s">
        <v>26</v>
      </c>
      <c r="F989" t="s">
        <v>17</v>
      </c>
      <c r="G989" t="str">
        <f t="shared" si="45"/>
        <v>Saturday</v>
      </c>
      <c r="H989" t="str">
        <f t="shared" si="46"/>
        <v>Jan</v>
      </c>
      <c r="I989" s="1">
        <v>43468</v>
      </c>
      <c r="J989" s="1" t="str">
        <f t="shared" si="47"/>
        <v>Evening</v>
      </c>
      <c r="K989" s="2">
        <v>0.79722222222222217</v>
      </c>
      <c r="L989" t="s">
        <v>28</v>
      </c>
      <c r="M989">
        <v>24.8</v>
      </c>
      <c r="N989">
        <v>6.2</v>
      </c>
    </row>
    <row r="990" spans="1:14" x14ac:dyDescent="0.25">
      <c r="A990" t="s">
        <v>1019</v>
      </c>
      <c r="B990" t="s">
        <v>20</v>
      </c>
      <c r="C990" t="s">
        <v>21</v>
      </c>
      <c r="D990" t="s">
        <v>15</v>
      </c>
      <c r="E990" t="s">
        <v>26</v>
      </c>
      <c r="F990" t="s">
        <v>23</v>
      </c>
      <c r="G990" t="str">
        <f t="shared" si="45"/>
        <v>Thursday</v>
      </c>
      <c r="H990" t="str">
        <f t="shared" si="46"/>
        <v>Mar</v>
      </c>
      <c r="I990" s="1">
        <v>43553</v>
      </c>
      <c r="J990" s="1" t="str">
        <f t="shared" si="47"/>
        <v>Evening</v>
      </c>
      <c r="K990" s="2">
        <v>0.79999999999999993</v>
      </c>
      <c r="L990" t="s">
        <v>18</v>
      </c>
      <c r="M990">
        <v>41.17</v>
      </c>
      <c r="N990">
        <v>4.3</v>
      </c>
    </row>
    <row r="991" spans="1:14" x14ac:dyDescent="0.25">
      <c r="A991" t="s">
        <v>1020</v>
      </c>
      <c r="B991" t="s">
        <v>37</v>
      </c>
      <c r="C991" t="s">
        <v>38</v>
      </c>
      <c r="D991" t="s">
        <v>15</v>
      </c>
      <c r="E991" t="s">
        <v>26</v>
      </c>
      <c r="F991" t="s">
        <v>17</v>
      </c>
      <c r="G991" t="str">
        <f t="shared" si="45"/>
        <v>Wednesday</v>
      </c>
      <c r="H991" t="str">
        <f t="shared" si="46"/>
        <v>Jan</v>
      </c>
      <c r="I991" s="1">
        <v>43493</v>
      </c>
      <c r="J991" s="1" t="str">
        <f t="shared" si="47"/>
        <v>Afternoon</v>
      </c>
      <c r="K991" s="2">
        <v>0.65694444444444444</v>
      </c>
      <c r="L991" t="s">
        <v>28</v>
      </c>
      <c r="M991">
        <v>30.148</v>
      </c>
      <c r="N991">
        <v>8.4</v>
      </c>
    </row>
    <row r="992" spans="1:14" x14ac:dyDescent="0.25">
      <c r="A992" t="s">
        <v>1021</v>
      </c>
      <c r="B992" t="s">
        <v>13</v>
      </c>
      <c r="C992" t="s">
        <v>14</v>
      </c>
      <c r="D992" t="s">
        <v>22</v>
      </c>
      <c r="E992" t="s">
        <v>16</v>
      </c>
      <c r="F992" t="s">
        <v>39</v>
      </c>
      <c r="G992" t="str">
        <f t="shared" si="45"/>
        <v>Wednesday</v>
      </c>
      <c r="H992" t="str">
        <f t="shared" si="46"/>
        <v>Mar</v>
      </c>
      <c r="I992" s="1">
        <v>43546</v>
      </c>
      <c r="J992" s="1" t="str">
        <f t="shared" si="47"/>
        <v>Evening</v>
      </c>
      <c r="K992" s="2">
        <v>0.79583333333333339</v>
      </c>
      <c r="L992" t="s">
        <v>28</v>
      </c>
      <c r="M992">
        <v>14.14</v>
      </c>
      <c r="N992">
        <v>4.5</v>
      </c>
    </row>
    <row r="993" spans="1:14" x14ac:dyDescent="0.25">
      <c r="A993" t="s">
        <v>1022</v>
      </c>
      <c r="B993" t="s">
        <v>37</v>
      </c>
      <c r="C993" t="s">
        <v>38</v>
      </c>
      <c r="D993" t="s">
        <v>22</v>
      </c>
      <c r="E993" t="s">
        <v>16</v>
      </c>
      <c r="F993" t="s">
        <v>31</v>
      </c>
      <c r="G993" t="str">
        <f t="shared" si="45"/>
        <v>Tuesday</v>
      </c>
      <c r="H993" t="str">
        <f t="shared" si="46"/>
        <v>Jan</v>
      </c>
      <c r="I993" s="1">
        <v>43489</v>
      </c>
      <c r="J993" s="1" t="str">
        <f t="shared" si="47"/>
        <v>Evening</v>
      </c>
      <c r="K993" s="2">
        <v>0.75694444444444453</v>
      </c>
      <c r="L993" t="s">
        <v>18</v>
      </c>
      <c r="M993">
        <v>38.299999999999997</v>
      </c>
      <c r="N993">
        <v>6</v>
      </c>
    </row>
    <row r="994" spans="1:14" x14ac:dyDescent="0.25">
      <c r="A994" t="s">
        <v>1023</v>
      </c>
      <c r="B994" t="s">
        <v>13</v>
      </c>
      <c r="C994" t="s">
        <v>14</v>
      </c>
      <c r="D994" t="s">
        <v>22</v>
      </c>
      <c r="E994" t="s">
        <v>26</v>
      </c>
      <c r="F994" t="s">
        <v>23</v>
      </c>
      <c r="G994" t="str">
        <f t="shared" si="45"/>
        <v>Tuesday</v>
      </c>
      <c r="H994" t="str">
        <f t="shared" si="46"/>
        <v>Mar</v>
      </c>
      <c r="I994" s="1">
        <v>43534</v>
      </c>
      <c r="J994" s="1" t="str">
        <f t="shared" si="47"/>
        <v>Evening</v>
      </c>
      <c r="K994" s="2">
        <v>0.8652777777777777</v>
      </c>
      <c r="L994" t="s">
        <v>18</v>
      </c>
      <c r="M994">
        <v>5.8029999999999999</v>
      </c>
      <c r="N994">
        <v>8.8000000000000007</v>
      </c>
    </row>
    <row r="995" spans="1:14" x14ac:dyDescent="0.25">
      <c r="A995" t="s">
        <v>1024</v>
      </c>
      <c r="B995" t="s">
        <v>37</v>
      </c>
      <c r="C995" t="s">
        <v>38</v>
      </c>
      <c r="D995" t="s">
        <v>22</v>
      </c>
      <c r="E995" t="s">
        <v>26</v>
      </c>
      <c r="F995" t="s">
        <v>41</v>
      </c>
      <c r="G995" t="str">
        <f t="shared" si="45"/>
        <v>Saturday</v>
      </c>
      <c r="H995" t="str">
        <f t="shared" si="46"/>
        <v>Feb</v>
      </c>
      <c r="I995" s="1">
        <v>43518</v>
      </c>
      <c r="J995" s="1" t="str">
        <f t="shared" si="47"/>
        <v>Evening</v>
      </c>
      <c r="K995" s="2">
        <v>0.77430555555555547</v>
      </c>
      <c r="L995" t="s">
        <v>18</v>
      </c>
      <c r="M995">
        <v>8.7449999999999992</v>
      </c>
      <c r="N995">
        <v>6.6</v>
      </c>
    </row>
    <row r="996" spans="1:14" x14ac:dyDescent="0.25">
      <c r="A996" t="s">
        <v>1025</v>
      </c>
      <c r="B996" t="s">
        <v>20</v>
      </c>
      <c r="C996" t="s">
        <v>21</v>
      </c>
      <c r="D996" t="s">
        <v>15</v>
      </c>
      <c r="E996" t="s">
        <v>16</v>
      </c>
      <c r="F996" t="s">
        <v>23</v>
      </c>
      <c r="G996" t="str">
        <f t="shared" si="45"/>
        <v>Saturday</v>
      </c>
      <c r="H996" t="str">
        <f t="shared" si="46"/>
        <v>Feb</v>
      </c>
      <c r="I996" s="1">
        <v>43514</v>
      </c>
      <c r="J996" s="1" t="str">
        <f t="shared" si="47"/>
        <v>Morning</v>
      </c>
      <c r="K996" s="2">
        <v>0.4861111111111111</v>
      </c>
      <c r="L996" t="s">
        <v>18</v>
      </c>
      <c r="M996">
        <v>3.0474999999999999</v>
      </c>
      <c r="N996">
        <v>5.9</v>
      </c>
    </row>
    <row r="997" spans="1:14" x14ac:dyDescent="0.25">
      <c r="A997" t="s">
        <v>1026</v>
      </c>
      <c r="B997" t="s">
        <v>20</v>
      </c>
      <c r="C997" t="s">
        <v>21</v>
      </c>
      <c r="D997" t="s">
        <v>22</v>
      </c>
      <c r="E997" t="s">
        <v>26</v>
      </c>
      <c r="F997" t="s">
        <v>17</v>
      </c>
      <c r="G997" t="str">
        <f t="shared" si="45"/>
        <v>Wednesday</v>
      </c>
      <c r="H997" t="str">
        <f t="shared" si="46"/>
        <v>Jan</v>
      </c>
      <c r="I997" s="1">
        <v>43494</v>
      </c>
      <c r="J997" s="1" t="str">
        <f t="shared" si="47"/>
        <v>Afternoon</v>
      </c>
      <c r="K997" s="2">
        <v>0.57361111111111118</v>
      </c>
      <c r="L997" t="s">
        <v>18</v>
      </c>
      <c r="M997">
        <v>2.0175000000000001</v>
      </c>
      <c r="N997">
        <v>6.2</v>
      </c>
    </row>
    <row r="998" spans="1:14" x14ac:dyDescent="0.25">
      <c r="A998" t="s">
        <v>1027</v>
      </c>
      <c r="B998" t="s">
        <v>37</v>
      </c>
      <c r="C998" t="s">
        <v>38</v>
      </c>
      <c r="D998" t="s">
        <v>22</v>
      </c>
      <c r="E998" t="s">
        <v>16</v>
      </c>
      <c r="F998" t="s">
        <v>27</v>
      </c>
      <c r="G998" t="str">
        <f t="shared" si="45"/>
        <v>Monday</v>
      </c>
      <c r="H998" t="str">
        <f t="shared" si="46"/>
        <v>Mar</v>
      </c>
      <c r="I998" s="1">
        <v>43526</v>
      </c>
      <c r="J998" s="1" t="str">
        <f t="shared" si="47"/>
        <v>Evening</v>
      </c>
      <c r="K998" s="2">
        <v>0.71944444444444444</v>
      </c>
      <c r="L998" t="s">
        <v>18</v>
      </c>
      <c r="M998">
        <v>48.69</v>
      </c>
      <c r="N998">
        <v>4.4000000000000004</v>
      </c>
    </row>
    <row r="999" spans="1:14" x14ac:dyDescent="0.25">
      <c r="A999" t="s">
        <v>1028</v>
      </c>
      <c r="B999" t="s">
        <v>13</v>
      </c>
      <c r="C999" t="s">
        <v>14</v>
      </c>
      <c r="D999" t="s">
        <v>15</v>
      </c>
      <c r="E999" t="s">
        <v>26</v>
      </c>
      <c r="F999" t="s">
        <v>39</v>
      </c>
      <c r="G999" t="str">
        <f t="shared" si="45"/>
        <v>Friday</v>
      </c>
      <c r="H999" t="str">
        <f t="shared" si="46"/>
        <v>Feb</v>
      </c>
      <c r="I999" s="1">
        <v>43505</v>
      </c>
      <c r="J999" s="1" t="str">
        <f t="shared" si="47"/>
        <v>Afternoon</v>
      </c>
      <c r="K999" s="2">
        <v>0.55694444444444446</v>
      </c>
      <c r="L999" t="s">
        <v>24</v>
      </c>
      <c r="M999">
        <v>1.5920000000000001</v>
      </c>
      <c r="N999">
        <v>7.7</v>
      </c>
    </row>
    <row r="1000" spans="1:14" x14ac:dyDescent="0.25">
      <c r="A1000" t="s">
        <v>1029</v>
      </c>
      <c r="B1000" t="s">
        <v>13</v>
      </c>
      <c r="C1000" t="s">
        <v>14</v>
      </c>
      <c r="D1000" t="s">
        <v>22</v>
      </c>
      <c r="E1000" t="s">
        <v>26</v>
      </c>
      <c r="F1000" t="s">
        <v>27</v>
      </c>
      <c r="G1000" t="str">
        <f t="shared" si="45"/>
        <v>Saturday</v>
      </c>
      <c r="H1000" t="str">
        <f t="shared" si="46"/>
        <v>Feb</v>
      </c>
      <c r="I1000" s="1">
        <v>43518</v>
      </c>
      <c r="J1000" s="1" t="str">
        <f t="shared" si="47"/>
        <v>Afternoon</v>
      </c>
      <c r="K1000" s="2">
        <v>0.6479166666666667</v>
      </c>
      <c r="L1000" t="s">
        <v>24</v>
      </c>
      <c r="M1000">
        <v>3.2909999999999999</v>
      </c>
      <c r="N1000">
        <v>4.0999999999999996</v>
      </c>
    </row>
    <row r="1001" spans="1:14" x14ac:dyDescent="0.25">
      <c r="A1001" t="s">
        <v>1030</v>
      </c>
      <c r="B1001" t="s">
        <v>13</v>
      </c>
      <c r="C1001" t="s">
        <v>14</v>
      </c>
      <c r="D1001" t="s">
        <v>15</v>
      </c>
      <c r="E1001" t="s">
        <v>16</v>
      </c>
      <c r="F1001" t="s">
        <v>41</v>
      </c>
      <c r="G1001" t="str">
        <f t="shared" si="45"/>
        <v>Saturday</v>
      </c>
      <c r="H1001" t="str">
        <f t="shared" si="46"/>
        <v>Feb</v>
      </c>
      <c r="I1001" s="1">
        <v>43514</v>
      </c>
      <c r="J1001" s="1" t="str">
        <f t="shared" si="47"/>
        <v>Afternoon</v>
      </c>
      <c r="K1001" s="2">
        <v>0.56111111111111112</v>
      </c>
      <c r="L1001" t="s">
        <v>24</v>
      </c>
      <c r="M1001">
        <v>30.919</v>
      </c>
      <c r="N1001">
        <v>6.6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sqref="A1:N1001"/>
    </sheetView>
  </sheetViews>
  <sheetFormatPr defaultRowHeight="15" x14ac:dyDescent="0.25"/>
  <cols>
    <col min="1" max="1" width="11.85546875" customWidth="1"/>
    <col min="4" max="4" width="16.140625" customWidth="1"/>
    <col min="5" max="5" width="9.85546875" customWidth="1"/>
    <col min="6" max="6" width="13.85546875" customWidth="1"/>
    <col min="8" max="8" width="10" customWidth="1"/>
    <col min="10" max="10" width="9.85546875" customWidth="1"/>
    <col min="12" max="12" width="11" customWidth="1"/>
    <col min="13" max="13" width="14.7109375" customWidth="1"/>
  </cols>
  <sheetData>
    <row r="1" spans="1:14" x14ac:dyDescent="0.25">
      <c r="A1" t="s">
        <v>0</v>
      </c>
      <c r="B1" t="s">
        <v>1</v>
      </c>
      <c r="C1" t="s">
        <v>2</v>
      </c>
      <c r="D1" t="s">
        <v>3</v>
      </c>
      <c r="E1" t="s">
        <v>4</v>
      </c>
      <c r="F1" t="s">
        <v>5</v>
      </c>
      <c r="G1" t="s">
        <v>1032</v>
      </c>
      <c r="H1" t="s">
        <v>1033</v>
      </c>
      <c r="I1" t="s">
        <v>7</v>
      </c>
      <c r="J1" t="s">
        <v>1031</v>
      </c>
      <c r="K1" t="s">
        <v>8</v>
      </c>
      <c r="L1" t="s">
        <v>9</v>
      </c>
      <c r="M1" t="s">
        <v>10</v>
      </c>
      <c r="N1" t="s">
        <v>11</v>
      </c>
    </row>
    <row r="2" spans="1:14" x14ac:dyDescent="0.25">
      <c r="A2" t="s">
        <v>12</v>
      </c>
      <c r="B2" t="s">
        <v>13</v>
      </c>
      <c r="C2" t="s">
        <v>14</v>
      </c>
      <c r="D2" t="s">
        <v>15</v>
      </c>
      <c r="E2" t="s">
        <v>16</v>
      </c>
      <c r="F2" t="s">
        <v>17</v>
      </c>
      <c r="G2" t="s">
        <v>1034</v>
      </c>
      <c r="H2" t="s">
        <v>1041</v>
      </c>
      <c r="I2" s="1">
        <v>43470</v>
      </c>
      <c r="J2" t="s">
        <v>1045</v>
      </c>
      <c r="K2" s="5">
        <v>0.54722222222222217</v>
      </c>
      <c r="L2" t="s">
        <v>18</v>
      </c>
      <c r="M2">
        <v>26.141500000000001</v>
      </c>
      <c r="N2">
        <v>9.1</v>
      </c>
    </row>
    <row r="3" spans="1:14" x14ac:dyDescent="0.25">
      <c r="A3" t="s">
        <v>19</v>
      </c>
      <c r="B3" t="s">
        <v>20</v>
      </c>
      <c r="C3" t="s">
        <v>21</v>
      </c>
      <c r="D3" t="s">
        <v>22</v>
      </c>
      <c r="E3" t="s">
        <v>16</v>
      </c>
      <c r="F3" t="s">
        <v>23</v>
      </c>
      <c r="G3" t="s">
        <v>1035</v>
      </c>
      <c r="H3" t="s">
        <v>1043</v>
      </c>
      <c r="I3" s="1">
        <v>43532</v>
      </c>
      <c r="J3" t="s">
        <v>1044</v>
      </c>
      <c r="K3" s="5">
        <v>0.4368055555555555</v>
      </c>
      <c r="L3" t="s">
        <v>24</v>
      </c>
      <c r="M3">
        <v>3.82</v>
      </c>
      <c r="N3">
        <v>9.6</v>
      </c>
    </row>
    <row r="4" spans="1:14" x14ac:dyDescent="0.25">
      <c r="A4" t="s">
        <v>25</v>
      </c>
      <c r="B4" t="s">
        <v>13</v>
      </c>
      <c r="C4" t="s">
        <v>14</v>
      </c>
      <c r="D4" t="s">
        <v>22</v>
      </c>
      <c r="E4" t="s">
        <v>26</v>
      </c>
      <c r="F4" t="s">
        <v>27</v>
      </c>
      <c r="G4" t="s">
        <v>1035</v>
      </c>
      <c r="H4" t="s">
        <v>1043</v>
      </c>
      <c r="I4" s="1">
        <v>43527</v>
      </c>
      <c r="J4" t="s">
        <v>1045</v>
      </c>
      <c r="K4" s="5">
        <v>0.55763888888888891</v>
      </c>
      <c r="L4" t="s">
        <v>28</v>
      </c>
      <c r="M4">
        <v>16.215499999999999</v>
      </c>
      <c r="N4">
        <v>7.4</v>
      </c>
    </row>
    <row r="5" spans="1:14" x14ac:dyDescent="0.25">
      <c r="A5" t="s">
        <v>29</v>
      </c>
      <c r="B5" t="s">
        <v>13</v>
      </c>
      <c r="C5" t="s">
        <v>14</v>
      </c>
      <c r="D5" t="s">
        <v>15</v>
      </c>
      <c r="E5" t="s">
        <v>26</v>
      </c>
      <c r="F5" t="s">
        <v>17</v>
      </c>
      <c r="G5" t="s">
        <v>1037</v>
      </c>
      <c r="H5" t="s">
        <v>1041</v>
      </c>
      <c r="I5" s="1">
        <v>43492</v>
      </c>
      <c r="J5" t="s">
        <v>1046</v>
      </c>
      <c r="K5" s="5">
        <v>0.85625000000000007</v>
      </c>
      <c r="L5" t="s">
        <v>18</v>
      </c>
      <c r="M5">
        <v>23.288</v>
      </c>
      <c r="N5">
        <v>8.4</v>
      </c>
    </row>
    <row r="6" spans="1:14" x14ac:dyDescent="0.25">
      <c r="A6" t="s">
        <v>30</v>
      </c>
      <c r="B6" t="s">
        <v>13</v>
      </c>
      <c r="C6" t="s">
        <v>14</v>
      </c>
      <c r="D6" t="s">
        <v>22</v>
      </c>
      <c r="E6" t="s">
        <v>26</v>
      </c>
      <c r="F6" t="s">
        <v>31</v>
      </c>
      <c r="G6" t="s">
        <v>1038</v>
      </c>
      <c r="H6" t="s">
        <v>1042</v>
      </c>
      <c r="I6" s="1">
        <v>43504</v>
      </c>
      <c r="J6" t="s">
        <v>1044</v>
      </c>
      <c r="K6" s="5">
        <v>0.44236111111111115</v>
      </c>
      <c r="L6" t="s">
        <v>18</v>
      </c>
      <c r="M6">
        <v>30.208500000000001</v>
      </c>
      <c r="N6">
        <v>5.3</v>
      </c>
    </row>
    <row r="7" spans="1:14" x14ac:dyDescent="0.25">
      <c r="A7" t="s">
        <v>32</v>
      </c>
      <c r="B7" t="s">
        <v>20</v>
      </c>
      <c r="C7" t="s">
        <v>21</v>
      </c>
      <c r="D7" t="s">
        <v>22</v>
      </c>
      <c r="E7" t="s">
        <v>26</v>
      </c>
      <c r="F7" t="s">
        <v>23</v>
      </c>
      <c r="G7" t="s">
        <v>1038</v>
      </c>
      <c r="H7" t="s">
        <v>1043</v>
      </c>
      <c r="I7" s="1">
        <v>43549</v>
      </c>
      <c r="J7" t="s">
        <v>1046</v>
      </c>
      <c r="K7" s="5">
        <v>0.77083333333333337</v>
      </c>
      <c r="L7" t="s">
        <v>18</v>
      </c>
      <c r="M7">
        <v>29.886500000000002</v>
      </c>
      <c r="N7">
        <v>4.0999999999999996</v>
      </c>
    </row>
    <row r="8" spans="1:14" x14ac:dyDescent="0.25">
      <c r="A8" t="s">
        <v>33</v>
      </c>
      <c r="B8" t="s">
        <v>13</v>
      </c>
      <c r="C8" t="s">
        <v>14</v>
      </c>
      <c r="D8" t="s">
        <v>15</v>
      </c>
      <c r="E8" t="s">
        <v>16</v>
      </c>
      <c r="F8" t="s">
        <v>23</v>
      </c>
      <c r="G8" t="s">
        <v>1034</v>
      </c>
      <c r="H8" t="s">
        <v>1042</v>
      </c>
      <c r="I8" s="1">
        <v>43521</v>
      </c>
      <c r="J8" t="s">
        <v>1045</v>
      </c>
      <c r="K8" s="5">
        <v>0.60833333333333328</v>
      </c>
      <c r="L8" t="s">
        <v>18</v>
      </c>
      <c r="M8">
        <v>20.652000000000001</v>
      </c>
      <c r="N8">
        <v>5.8</v>
      </c>
    </row>
    <row r="9" spans="1:14" x14ac:dyDescent="0.25">
      <c r="A9" t="s">
        <v>34</v>
      </c>
      <c r="B9" t="s">
        <v>20</v>
      </c>
      <c r="C9" t="s">
        <v>21</v>
      </c>
      <c r="D9" t="s">
        <v>22</v>
      </c>
      <c r="E9" t="s">
        <v>16</v>
      </c>
      <c r="F9" t="s">
        <v>27</v>
      </c>
      <c r="G9" t="s">
        <v>1034</v>
      </c>
      <c r="H9" t="s">
        <v>1042</v>
      </c>
      <c r="I9" s="1">
        <v>43520</v>
      </c>
      <c r="J9" t="s">
        <v>1044</v>
      </c>
      <c r="K9" s="5">
        <v>0.48472222222222222</v>
      </c>
      <c r="L9" t="s">
        <v>18</v>
      </c>
      <c r="M9">
        <v>36.78</v>
      </c>
      <c r="N9">
        <v>8</v>
      </c>
    </row>
    <row r="10" spans="1:14" x14ac:dyDescent="0.25">
      <c r="A10" t="s">
        <v>35</v>
      </c>
      <c r="B10" t="s">
        <v>13</v>
      </c>
      <c r="C10" t="s">
        <v>14</v>
      </c>
      <c r="D10" t="s">
        <v>15</v>
      </c>
      <c r="E10" t="s">
        <v>16</v>
      </c>
      <c r="F10" t="s">
        <v>17</v>
      </c>
      <c r="G10" t="s">
        <v>1034</v>
      </c>
      <c r="H10" t="s">
        <v>1041</v>
      </c>
      <c r="I10" s="1">
        <v>43475</v>
      </c>
      <c r="J10" t="s">
        <v>1046</v>
      </c>
      <c r="K10" s="5">
        <v>0.71875</v>
      </c>
      <c r="L10" t="s">
        <v>28</v>
      </c>
      <c r="M10">
        <v>3.6259999999999999</v>
      </c>
      <c r="N10">
        <v>7.2</v>
      </c>
    </row>
    <row r="11" spans="1:14" x14ac:dyDescent="0.25">
      <c r="A11" t="s">
        <v>36</v>
      </c>
      <c r="B11" t="s">
        <v>37</v>
      </c>
      <c r="C11" t="s">
        <v>38</v>
      </c>
      <c r="D11" t="s">
        <v>15</v>
      </c>
      <c r="E11" t="s">
        <v>16</v>
      </c>
      <c r="F11" t="s">
        <v>39</v>
      </c>
      <c r="G11" t="s">
        <v>1040</v>
      </c>
      <c r="H11" t="s">
        <v>1042</v>
      </c>
      <c r="I11" s="1">
        <v>43516</v>
      </c>
      <c r="J11" t="s">
        <v>1045</v>
      </c>
      <c r="K11" s="5">
        <v>0.56041666666666667</v>
      </c>
      <c r="L11" t="s">
        <v>28</v>
      </c>
      <c r="M11">
        <v>8.2260000000000009</v>
      </c>
      <c r="N11">
        <v>5.9</v>
      </c>
    </row>
    <row r="12" spans="1:14" x14ac:dyDescent="0.25">
      <c r="A12" t="s">
        <v>40</v>
      </c>
      <c r="B12" t="s">
        <v>37</v>
      </c>
      <c r="C12" t="s">
        <v>38</v>
      </c>
      <c r="D12" t="s">
        <v>15</v>
      </c>
      <c r="E12" t="s">
        <v>16</v>
      </c>
      <c r="F12" t="s">
        <v>41</v>
      </c>
      <c r="G12" t="s">
        <v>1038</v>
      </c>
      <c r="H12" t="s">
        <v>1042</v>
      </c>
      <c r="I12" s="1">
        <v>43502</v>
      </c>
      <c r="J12" t="s">
        <v>1046</v>
      </c>
      <c r="K12" s="5">
        <v>0.75486111111111109</v>
      </c>
      <c r="L12" t="s">
        <v>18</v>
      </c>
      <c r="M12">
        <v>2.8959999999999999</v>
      </c>
      <c r="N12">
        <v>4.5</v>
      </c>
    </row>
    <row r="13" spans="1:14" x14ac:dyDescent="0.25">
      <c r="A13" t="s">
        <v>42</v>
      </c>
      <c r="B13" t="s">
        <v>37</v>
      </c>
      <c r="C13" t="s">
        <v>38</v>
      </c>
      <c r="D13" t="s">
        <v>15</v>
      </c>
      <c r="E13" t="s">
        <v>26</v>
      </c>
      <c r="F13" t="s">
        <v>23</v>
      </c>
      <c r="G13" t="s">
        <v>1036</v>
      </c>
      <c r="H13" t="s">
        <v>1043</v>
      </c>
      <c r="I13" s="1">
        <v>43533</v>
      </c>
      <c r="J13" t="s">
        <v>1046</v>
      </c>
      <c r="K13" s="5">
        <v>0.7104166666666667</v>
      </c>
      <c r="L13" t="s">
        <v>24</v>
      </c>
      <c r="M13">
        <v>5.1020000000000003</v>
      </c>
      <c r="N13">
        <v>6.8</v>
      </c>
    </row>
    <row r="14" spans="1:14" x14ac:dyDescent="0.25">
      <c r="A14" t="s">
        <v>43</v>
      </c>
      <c r="B14" t="s">
        <v>13</v>
      </c>
      <c r="C14" t="s">
        <v>14</v>
      </c>
      <c r="D14" t="s">
        <v>22</v>
      </c>
      <c r="E14" t="s">
        <v>16</v>
      </c>
      <c r="F14" t="s">
        <v>23</v>
      </c>
      <c r="G14" t="s">
        <v>1039</v>
      </c>
      <c r="H14" t="s">
        <v>1042</v>
      </c>
      <c r="I14" s="1">
        <v>43508</v>
      </c>
      <c r="J14" t="s">
        <v>1044</v>
      </c>
      <c r="K14" s="5">
        <v>0.43402777777777773</v>
      </c>
      <c r="L14" t="s">
        <v>18</v>
      </c>
      <c r="M14">
        <v>11.737500000000001</v>
      </c>
      <c r="N14">
        <v>7.1</v>
      </c>
    </row>
    <row r="15" spans="1:14" x14ac:dyDescent="0.25">
      <c r="A15" t="s">
        <v>44</v>
      </c>
      <c r="B15" t="s">
        <v>13</v>
      </c>
      <c r="C15" t="s">
        <v>14</v>
      </c>
      <c r="D15" t="s">
        <v>22</v>
      </c>
      <c r="E15" t="s">
        <v>26</v>
      </c>
      <c r="F15" t="s">
        <v>39</v>
      </c>
      <c r="G15" t="s">
        <v>1038</v>
      </c>
      <c r="H15" t="s">
        <v>1042</v>
      </c>
      <c r="I15" s="1">
        <v>43503</v>
      </c>
      <c r="J15" t="s">
        <v>1046</v>
      </c>
      <c r="K15" s="5">
        <v>0.70000000000000007</v>
      </c>
      <c r="L15" t="s">
        <v>18</v>
      </c>
      <c r="M15">
        <v>21.594999999999999</v>
      </c>
      <c r="N15">
        <v>8.1999999999999993</v>
      </c>
    </row>
    <row r="16" spans="1:14" x14ac:dyDescent="0.25">
      <c r="A16" t="s">
        <v>45</v>
      </c>
      <c r="B16" t="s">
        <v>13</v>
      </c>
      <c r="C16" t="s">
        <v>14</v>
      </c>
      <c r="D16" t="s">
        <v>22</v>
      </c>
      <c r="E16" t="s">
        <v>16</v>
      </c>
      <c r="F16" t="s">
        <v>17</v>
      </c>
      <c r="G16" t="s">
        <v>1038</v>
      </c>
      <c r="H16" t="s">
        <v>1043</v>
      </c>
      <c r="I16" s="1">
        <v>43553</v>
      </c>
      <c r="J16" t="s">
        <v>1046</v>
      </c>
      <c r="K16" s="5">
        <v>0.80625000000000002</v>
      </c>
      <c r="L16" t="s">
        <v>24</v>
      </c>
      <c r="M16">
        <v>35.69</v>
      </c>
      <c r="N16">
        <v>5.7</v>
      </c>
    </row>
    <row r="17" spans="1:14" x14ac:dyDescent="0.25">
      <c r="A17" t="s">
        <v>46</v>
      </c>
      <c r="B17" t="s">
        <v>37</v>
      </c>
      <c r="C17" t="s">
        <v>38</v>
      </c>
      <c r="D17" t="s">
        <v>15</v>
      </c>
      <c r="E17" t="s">
        <v>16</v>
      </c>
      <c r="F17" t="s">
        <v>31</v>
      </c>
      <c r="G17" t="s">
        <v>1035</v>
      </c>
      <c r="H17" t="s">
        <v>1041</v>
      </c>
      <c r="I17" s="1">
        <v>43480</v>
      </c>
      <c r="J17" t="s">
        <v>1046</v>
      </c>
      <c r="K17" s="5">
        <v>0.67986111111111114</v>
      </c>
      <c r="L17" t="s">
        <v>24</v>
      </c>
      <c r="M17">
        <v>28.116</v>
      </c>
      <c r="N17">
        <v>4.5</v>
      </c>
    </row>
    <row r="18" spans="1:14" x14ac:dyDescent="0.25">
      <c r="A18" t="s">
        <v>47</v>
      </c>
      <c r="B18" t="s">
        <v>13</v>
      </c>
      <c r="C18" t="s">
        <v>14</v>
      </c>
      <c r="D18" t="s">
        <v>15</v>
      </c>
      <c r="E18" t="s">
        <v>16</v>
      </c>
      <c r="F18" t="s">
        <v>17</v>
      </c>
      <c r="G18" t="s">
        <v>1036</v>
      </c>
      <c r="H18" t="s">
        <v>1043</v>
      </c>
      <c r="I18" s="1">
        <v>43535</v>
      </c>
      <c r="J18" t="s">
        <v>1044</v>
      </c>
      <c r="K18" s="5">
        <v>0.4604166666666667</v>
      </c>
      <c r="L18" t="s">
        <v>28</v>
      </c>
      <c r="M18">
        <v>24.125499999999999</v>
      </c>
      <c r="N18">
        <v>4.5999999999999996</v>
      </c>
    </row>
    <row r="19" spans="1:14" x14ac:dyDescent="0.25">
      <c r="A19" t="s">
        <v>48</v>
      </c>
      <c r="B19" t="s">
        <v>13</v>
      </c>
      <c r="C19" t="s">
        <v>14</v>
      </c>
      <c r="D19" t="s">
        <v>22</v>
      </c>
      <c r="E19" t="s">
        <v>26</v>
      </c>
      <c r="F19" t="s">
        <v>31</v>
      </c>
      <c r="G19" t="s">
        <v>1040</v>
      </c>
      <c r="H19" t="s">
        <v>1041</v>
      </c>
      <c r="I19" s="1">
        <v>43466</v>
      </c>
      <c r="J19" t="s">
        <v>1044</v>
      </c>
      <c r="K19" s="5">
        <v>0.44375000000000003</v>
      </c>
      <c r="L19" t="s">
        <v>28</v>
      </c>
      <c r="M19">
        <v>21.783000000000001</v>
      </c>
      <c r="N19">
        <v>6.9</v>
      </c>
    </row>
    <row r="20" spans="1:14" x14ac:dyDescent="0.25">
      <c r="A20" t="s">
        <v>49</v>
      </c>
      <c r="B20" t="s">
        <v>13</v>
      </c>
      <c r="C20" t="s">
        <v>14</v>
      </c>
      <c r="D20" t="s">
        <v>22</v>
      </c>
      <c r="E20" t="s">
        <v>26</v>
      </c>
      <c r="F20" t="s">
        <v>39</v>
      </c>
      <c r="G20" t="s">
        <v>1036</v>
      </c>
      <c r="H20" t="s">
        <v>1041</v>
      </c>
      <c r="I20" s="1">
        <v>43486</v>
      </c>
      <c r="J20" t="s">
        <v>1046</v>
      </c>
      <c r="K20" s="5">
        <v>0.75</v>
      </c>
      <c r="L20" t="s">
        <v>28</v>
      </c>
      <c r="M20">
        <v>8.2004999999999999</v>
      </c>
      <c r="N20">
        <v>8.6</v>
      </c>
    </row>
    <row r="21" spans="1:14" x14ac:dyDescent="0.25">
      <c r="A21" t="s">
        <v>50</v>
      </c>
      <c r="B21" t="s">
        <v>37</v>
      </c>
      <c r="C21" t="s">
        <v>38</v>
      </c>
      <c r="D21" t="s">
        <v>22</v>
      </c>
      <c r="E21" t="s">
        <v>16</v>
      </c>
      <c r="F21" t="s">
        <v>27</v>
      </c>
      <c r="G21" t="s">
        <v>1036</v>
      </c>
      <c r="H21" t="s">
        <v>1043</v>
      </c>
      <c r="I21" s="1">
        <v>43535</v>
      </c>
      <c r="J21" t="s">
        <v>1045</v>
      </c>
      <c r="K21" s="5">
        <v>0.64583333333333337</v>
      </c>
      <c r="L21" t="s">
        <v>18</v>
      </c>
      <c r="M21">
        <v>4.03</v>
      </c>
      <c r="N21">
        <v>4.4000000000000004</v>
      </c>
    </row>
    <row r="22" spans="1:14" x14ac:dyDescent="0.25">
      <c r="A22" t="s">
        <v>51</v>
      </c>
      <c r="B22" t="s">
        <v>20</v>
      </c>
      <c r="C22" t="s">
        <v>21</v>
      </c>
      <c r="D22" t="s">
        <v>15</v>
      </c>
      <c r="E22" t="s">
        <v>26</v>
      </c>
      <c r="F22" t="s">
        <v>23</v>
      </c>
      <c r="G22" t="s">
        <v>1034</v>
      </c>
      <c r="H22" t="s">
        <v>1042</v>
      </c>
      <c r="I22" s="1">
        <v>43521</v>
      </c>
      <c r="J22" t="s">
        <v>1044</v>
      </c>
      <c r="K22" s="5">
        <v>0.47500000000000003</v>
      </c>
      <c r="L22" t="s">
        <v>18</v>
      </c>
      <c r="M22">
        <v>21.51</v>
      </c>
      <c r="N22">
        <v>4.8</v>
      </c>
    </row>
    <row r="23" spans="1:14" x14ac:dyDescent="0.25">
      <c r="A23" t="s">
        <v>52</v>
      </c>
      <c r="B23" t="s">
        <v>37</v>
      </c>
      <c r="C23" t="s">
        <v>38</v>
      </c>
      <c r="D23" t="s">
        <v>22</v>
      </c>
      <c r="E23" t="s">
        <v>26</v>
      </c>
      <c r="F23" t="s">
        <v>17</v>
      </c>
      <c r="G23" t="s">
        <v>1035</v>
      </c>
      <c r="H23" t="s">
        <v>1043</v>
      </c>
      <c r="I23" s="1">
        <v>43529</v>
      </c>
      <c r="J23" t="s">
        <v>1044</v>
      </c>
      <c r="K23" s="5">
        <v>0.44444444444444442</v>
      </c>
      <c r="L23" t="s">
        <v>18</v>
      </c>
      <c r="M23">
        <v>13.196999999999999</v>
      </c>
      <c r="N23">
        <v>5.0999999999999996</v>
      </c>
    </row>
    <row r="24" spans="1:14" x14ac:dyDescent="0.25">
      <c r="A24" t="s">
        <v>53</v>
      </c>
      <c r="B24" t="s">
        <v>37</v>
      </c>
      <c r="C24" t="s">
        <v>38</v>
      </c>
      <c r="D24" t="s">
        <v>22</v>
      </c>
      <c r="E24" t="s">
        <v>26</v>
      </c>
      <c r="F24" t="s">
        <v>27</v>
      </c>
      <c r="G24" t="s">
        <v>1036</v>
      </c>
      <c r="H24" t="s">
        <v>1043</v>
      </c>
      <c r="I24" s="1">
        <v>43539</v>
      </c>
      <c r="J24" t="s">
        <v>1045</v>
      </c>
      <c r="K24" s="5">
        <v>0.51388888888888895</v>
      </c>
      <c r="L24" t="s">
        <v>28</v>
      </c>
      <c r="M24">
        <v>3.32</v>
      </c>
      <c r="N24">
        <v>4.4000000000000004</v>
      </c>
    </row>
    <row r="25" spans="1:14" x14ac:dyDescent="0.25">
      <c r="A25" t="s">
        <v>54</v>
      </c>
      <c r="B25" t="s">
        <v>13</v>
      </c>
      <c r="C25" t="s">
        <v>14</v>
      </c>
      <c r="D25" t="s">
        <v>22</v>
      </c>
      <c r="E25" t="s">
        <v>26</v>
      </c>
      <c r="F25" t="s">
        <v>23</v>
      </c>
      <c r="G25" t="s">
        <v>1040</v>
      </c>
      <c r="H25" t="s">
        <v>1042</v>
      </c>
      <c r="I25" s="1">
        <v>43513</v>
      </c>
      <c r="J25" t="s">
        <v>1044</v>
      </c>
      <c r="K25" s="5">
        <v>0.46875</v>
      </c>
      <c r="L25" t="s">
        <v>18</v>
      </c>
      <c r="M25">
        <v>8.64</v>
      </c>
      <c r="N25">
        <v>9.9</v>
      </c>
    </row>
    <row r="26" spans="1:14" x14ac:dyDescent="0.25">
      <c r="A26" t="s">
        <v>55</v>
      </c>
      <c r="B26" t="s">
        <v>13</v>
      </c>
      <c r="C26" t="s">
        <v>14</v>
      </c>
      <c r="D26" t="s">
        <v>15</v>
      </c>
      <c r="E26" t="s">
        <v>26</v>
      </c>
      <c r="F26" t="s">
        <v>31</v>
      </c>
      <c r="G26" t="s">
        <v>1035</v>
      </c>
      <c r="H26" t="s">
        <v>1043</v>
      </c>
      <c r="I26" s="1">
        <v>43526</v>
      </c>
      <c r="J26" t="s">
        <v>1046</v>
      </c>
      <c r="K26" s="5">
        <v>0.73333333333333339</v>
      </c>
      <c r="L26" t="s">
        <v>18</v>
      </c>
      <c r="M26">
        <v>13.294499999999999</v>
      </c>
      <c r="N26">
        <v>6</v>
      </c>
    </row>
    <row r="27" spans="1:14" x14ac:dyDescent="0.25">
      <c r="A27" t="s">
        <v>56</v>
      </c>
      <c r="B27" t="s">
        <v>13</v>
      </c>
      <c r="C27" t="s">
        <v>14</v>
      </c>
      <c r="D27" t="s">
        <v>15</v>
      </c>
      <c r="E27" t="s">
        <v>16</v>
      </c>
      <c r="F27" t="s">
        <v>27</v>
      </c>
      <c r="G27" t="s">
        <v>1037</v>
      </c>
      <c r="H27" t="s">
        <v>1043</v>
      </c>
      <c r="I27" s="1">
        <v>43546</v>
      </c>
      <c r="J27" t="s">
        <v>1046</v>
      </c>
      <c r="K27" s="5">
        <v>0.80555555555555547</v>
      </c>
      <c r="L27" t="s">
        <v>28</v>
      </c>
      <c r="M27">
        <v>21.036000000000001</v>
      </c>
      <c r="N27">
        <v>8.5</v>
      </c>
    </row>
    <row r="28" spans="1:14" x14ac:dyDescent="0.25">
      <c r="A28" t="s">
        <v>57</v>
      </c>
      <c r="B28" t="s">
        <v>37</v>
      </c>
      <c r="C28" t="s">
        <v>38</v>
      </c>
      <c r="D28" t="s">
        <v>22</v>
      </c>
      <c r="E28" t="s">
        <v>26</v>
      </c>
      <c r="F28" t="s">
        <v>41</v>
      </c>
      <c r="G28" t="s">
        <v>1038</v>
      </c>
      <c r="H28" t="s">
        <v>1042</v>
      </c>
      <c r="I28" s="1">
        <v>43504</v>
      </c>
      <c r="J28" t="s">
        <v>1045</v>
      </c>
      <c r="K28" s="5">
        <v>0.64652777777777781</v>
      </c>
      <c r="L28" t="s">
        <v>24</v>
      </c>
      <c r="M28">
        <v>1.6759999999999999</v>
      </c>
      <c r="N28">
        <v>6.7</v>
      </c>
    </row>
    <row r="29" spans="1:14" x14ac:dyDescent="0.25">
      <c r="A29" t="s">
        <v>58</v>
      </c>
      <c r="B29" t="s">
        <v>13</v>
      </c>
      <c r="C29" t="s">
        <v>14</v>
      </c>
      <c r="D29" t="s">
        <v>22</v>
      </c>
      <c r="E29" t="s">
        <v>16</v>
      </c>
      <c r="F29" t="s">
        <v>41</v>
      </c>
      <c r="G29" t="s">
        <v>1036</v>
      </c>
      <c r="H29" t="s">
        <v>1043</v>
      </c>
      <c r="I29" s="1">
        <v>43534</v>
      </c>
      <c r="J29" t="s">
        <v>1045</v>
      </c>
      <c r="K29" s="5">
        <v>0.51180555555555551</v>
      </c>
      <c r="L29" t="s">
        <v>28</v>
      </c>
      <c r="M29">
        <v>8.7669999999999995</v>
      </c>
      <c r="N29">
        <v>7.7</v>
      </c>
    </row>
    <row r="30" spans="1:14" x14ac:dyDescent="0.25">
      <c r="A30" t="s">
        <v>59</v>
      </c>
      <c r="B30" t="s">
        <v>37</v>
      </c>
      <c r="C30" t="s">
        <v>38</v>
      </c>
      <c r="D30" t="s">
        <v>22</v>
      </c>
      <c r="E30" t="s">
        <v>16</v>
      </c>
      <c r="F30" t="s">
        <v>39</v>
      </c>
      <c r="G30" t="s">
        <v>1036</v>
      </c>
      <c r="H30" t="s">
        <v>1041</v>
      </c>
      <c r="I30" s="1">
        <v>43490</v>
      </c>
      <c r="J30" t="s">
        <v>1046</v>
      </c>
      <c r="K30" s="5">
        <v>0.82500000000000007</v>
      </c>
      <c r="L30" t="s">
        <v>24</v>
      </c>
      <c r="M30">
        <v>22.09</v>
      </c>
      <c r="N30">
        <v>9.6</v>
      </c>
    </row>
    <row r="31" spans="1:14" x14ac:dyDescent="0.25">
      <c r="A31" t="s">
        <v>60</v>
      </c>
      <c r="B31" t="s">
        <v>13</v>
      </c>
      <c r="C31" t="s">
        <v>14</v>
      </c>
      <c r="D31" t="s">
        <v>22</v>
      </c>
      <c r="E31" t="s">
        <v>26</v>
      </c>
      <c r="F31" t="s">
        <v>17</v>
      </c>
      <c r="G31" t="s">
        <v>1036</v>
      </c>
      <c r="H31" t="s">
        <v>1043</v>
      </c>
      <c r="I31" s="1">
        <v>43539</v>
      </c>
      <c r="J31" t="s">
        <v>1045</v>
      </c>
      <c r="K31" s="5">
        <v>0.65</v>
      </c>
      <c r="L31" t="s">
        <v>24</v>
      </c>
      <c r="M31">
        <v>11.2005</v>
      </c>
      <c r="N31">
        <v>7.4</v>
      </c>
    </row>
    <row r="32" spans="1:14" x14ac:dyDescent="0.25">
      <c r="A32" t="s">
        <v>61</v>
      </c>
      <c r="B32" t="s">
        <v>37</v>
      </c>
      <c r="C32" t="s">
        <v>38</v>
      </c>
      <c r="D32" t="s">
        <v>22</v>
      </c>
      <c r="E32" t="s">
        <v>26</v>
      </c>
      <c r="F32" t="s">
        <v>41</v>
      </c>
      <c r="G32" t="s">
        <v>1034</v>
      </c>
      <c r="H32" t="s">
        <v>1042</v>
      </c>
      <c r="I32" s="1">
        <v>43521</v>
      </c>
      <c r="J32" t="s">
        <v>1046</v>
      </c>
      <c r="K32" s="5">
        <v>0.81874999999999998</v>
      </c>
      <c r="L32" t="s">
        <v>28</v>
      </c>
      <c r="M32">
        <v>23.532499999999999</v>
      </c>
      <c r="N32">
        <v>4.8</v>
      </c>
    </row>
    <row r="33" spans="1:14" x14ac:dyDescent="0.25">
      <c r="A33" t="s">
        <v>62</v>
      </c>
      <c r="B33" t="s">
        <v>37</v>
      </c>
      <c r="C33" t="s">
        <v>38</v>
      </c>
      <c r="D33" t="s">
        <v>15</v>
      </c>
      <c r="E33" t="s">
        <v>26</v>
      </c>
      <c r="F33" t="s">
        <v>31</v>
      </c>
      <c r="G33" t="s">
        <v>1037</v>
      </c>
      <c r="H33" t="s">
        <v>1041</v>
      </c>
      <c r="I33" s="1">
        <v>43493</v>
      </c>
      <c r="J33" t="s">
        <v>1045</v>
      </c>
      <c r="K33" s="5">
        <v>0.52986111111111112</v>
      </c>
      <c r="L33" t="s">
        <v>24</v>
      </c>
      <c r="M33">
        <v>35.131500000000003</v>
      </c>
      <c r="N33">
        <v>4.5</v>
      </c>
    </row>
    <row r="34" spans="1:14" x14ac:dyDescent="0.25">
      <c r="A34" t="s">
        <v>63</v>
      </c>
      <c r="B34" t="s">
        <v>37</v>
      </c>
      <c r="C34" t="s">
        <v>38</v>
      </c>
      <c r="D34" t="s">
        <v>22</v>
      </c>
      <c r="E34" t="s">
        <v>26</v>
      </c>
      <c r="F34" t="s">
        <v>31</v>
      </c>
      <c r="G34" t="s">
        <v>1034</v>
      </c>
      <c r="H34" t="s">
        <v>1041</v>
      </c>
      <c r="I34" s="1">
        <v>43475</v>
      </c>
      <c r="J34" t="s">
        <v>1045</v>
      </c>
      <c r="K34" s="5">
        <v>0.61736111111111114</v>
      </c>
      <c r="L34" t="s">
        <v>24</v>
      </c>
      <c r="M34">
        <v>33.512</v>
      </c>
      <c r="N34">
        <v>5.0999999999999996</v>
      </c>
    </row>
    <row r="35" spans="1:14" x14ac:dyDescent="0.25">
      <c r="A35" t="s">
        <v>64</v>
      </c>
      <c r="B35" t="s">
        <v>13</v>
      </c>
      <c r="C35" t="s">
        <v>14</v>
      </c>
      <c r="D35" t="s">
        <v>22</v>
      </c>
      <c r="E35" t="s">
        <v>26</v>
      </c>
      <c r="F35" t="s">
        <v>17</v>
      </c>
      <c r="G35" t="s">
        <v>1036</v>
      </c>
      <c r="H35" t="s">
        <v>1043</v>
      </c>
      <c r="I35" s="1">
        <v>43539</v>
      </c>
      <c r="J35" t="s">
        <v>1044</v>
      </c>
      <c r="K35" s="5">
        <v>0.42499999999999999</v>
      </c>
      <c r="L35" t="s">
        <v>28</v>
      </c>
      <c r="M35">
        <v>9.6579999999999995</v>
      </c>
      <c r="N35">
        <v>5.0999999999999996</v>
      </c>
    </row>
    <row r="36" spans="1:14" x14ac:dyDescent="0.25">
      <c r="A36" t="s">
        <v>65</v>
      </c>
      <c r="B36" t="s">
        <v>20</v>
      </c>
      <c r="C36" t="s">
        <v>21</v>
      </c>
      <c r="D36" t="s">
        <v>15</v>
      </c>
      <c r="E36" t="s">
        <v>16</v>
      </c>
      <c r="F36" t="s">
        <v>39</v>
      </c>
      <c r="G36" t="s">
        <v>1038</v>
      </c>
      <c r="H36" t="s">
        <v>1042</v>
      </c>
      <c r="I36" s="1">
        <v>43502</v>
      </c>
      <c r="J36" t="s">
        <v>1044</v>
      </c>
      <c r="K36" s="5">
        <v>0.4458333333333333</v>
      </c>
      <c r="L36" t="s">
        <v>18</v>
      </c>
      <c r="M36">
        <v>19.884</v>
      </c>
      <c r="N36">
        <v>7.5</v>
      </c>
    </row>
    <row r="37" spans="1:14" x14ac:dyDescent="0.25">
      <c r="A37" t="s">
        <v>66</v>
      </c>
      <c r="B37" t="s">
        <v>20</v>
      </c>
      <c r="C37" t="s">
        <v>21</v>
      </c>
      <c r="D37" t="s">
        <v>15</v>
      </c>
      <c r="E37" t="s">
        <v>16</v>
      </c>
      <c r="F37" t="s">
        <v>31</v>
      </c>
      <c r="G37" t="s">
        <v>1034</v>
      </c>
      <c r="H37" t="s">
        <v>1041</v>
      </c>
      <c r="I37" s="1">
        <v>43472</v>
      </c>
      <c r="J37" t="s">
        <v>1045</v>
      </c>
      <c r="K37" s="5">
        <v>0.51944444444444449</v>
      </c>
      <c r="L37" t="s">
        <v>18</v>
      </c>
      <c r="M37">
        <v>3.4060000000000001</v>
      </c>
      <c r="N37">
        <v>6.8</v>
      </c>
    </row>
    <row r="38" spans="1:14" x14ac:dyDescent="0.25">
      <c r="A38" t="s">
        <v>67</v>
      </c>
      <c r="B38" t="s">
        <v>13</v>
      </c>
      <c r="C38" t="s">
        <v>14</v>
      </c>
      <c r="D38" t="s">
        <v>15</v>
      </c>
      <c r="E38" t="s">
        <v>26</v>
      </c>
      <c r="F38" t="s">
        <v>31</v>
      </c>
      <c r="G38" t="s">
        <v>1036</v>
      </c>
      <c r="H38" t="s">
        <v>1043</v>
      </c>
      <c r="I38" s="1">
        <v>43534</v>
      </c>
      <c r="J38" t="s">
        <v>1046</v>
      </c>
      <c r="K38" s="5">
        <v>0.80208333333333337</v>
      </c>
      <c r="L38" t="s">
        <v>18</v>
      </c>
      <c r="M38">
        <v>15.654999999999999</v>
      </c>
      <c r="N38">
        <v>7</v>
      </c>
    </row>
    <row r="39" spans="1:14" x14ac:dyDescent="0.25">
      <c r="A39" t="s">
        <v>68</v>
      </c>
      <c r="B39" t="s">
        <v>13</v>
      </c>
      <c r="C39" t="s">
        <v>14</v>
      </c>
      <c r="D39" t="s">
        <v>22</v>
      </c>
      <c r="E39" t="s">
        <v>16</v>
      </c>
      <c r="F39" t="s">
        <v>23</v>
      </c>
      <c r="G39" t="s">
        <v>1035</v>
      </c>
      <c r="H39" t="s">
        <v>1041</v>
      </c>
      <c r="I39" s="1">
        <v>43480</v>
      </c>
      <c r="J39" t="s">
        <v>1046</v>
      </c>
      <c r="K39" s="5">
        <v>0.72013888888888899</v>
      </c>
      <c r="L39" t="s">
        <v>18</v>
      </c>
      <c r="M39">
        <v>27.396000000000001</v>
      </c>
      <c r="N39">
        <v>4.7</v>
      </c>
    </row>
    <row r="40" spans="1:14" x14ac:dyDescent="0.25">
      <c r="A40" t="s">
        <v>69</v>
      </c>
      <c r="B40" t="s">
        <v>20</v>
      </c>
      <c r="C40" t="s">
        <v>21</v>
      </c>
      <c r="D40" t="s">
        <v>22</v>
      </c>
      <c r="E40" t="s">
        <v>16</v>
      </c>
      <c r="F40" t="s">
        <v>17</v>
      </c>
      <c r="G40" t="s">
        <v>1038</v>
      </c>
      <c r="H40" t="s">
        <v>1043</v>
      </c>
      <c r="I40" s="1">
        <v>43547</v>
      </c>
      <c r="J40" t="s">
        <v>1045</v>
      </c>
      <c r="K40" s="5">
        <v>0.55833333333333335</v>
      </c>
      <c r="L40" t="s">
        <v>18</v>
      </c>
      <c r="M40">
        <v>21.968</v>
      </c>
      <c r="N40">
        <v>7.6</v>
      </c>
    </row>
    <row r="41" spans="1:14" x14ac:dyDescent="0.25">
      <c r="A41" t="s">
        <v>70</v>
      </c>
      <c r="B41" t="s">
        <v>37</v>
      </c>
      <c r="C41" t="s">
        <v>38</v>
      </c>
      <c r="D41" t="s">
        <v>15</v>
      </c>
      <c r="E41" t="s">
        <v>26</v>
      </c>
      <c r="F41" t="s">
        <v>27</v>
      </c>
      <c r="G41" t="s">
        <v>1035</v>
      </c>
      <c r="H41" t="s">
        <v>1043</v>
      </c>
      <c r="I41" s="1">
        <v>43527</v>
      </c>
      <c r="J41" t="s">
        <v>1045</v>
      </c>
      <c r="K41" s="5">
        <v>0.54236111111111118</v>
      </c>
      <c r="L41" t="s">
        <v>24</v>
      </c>
      <c r="M41">
        <v>12.048</v>
      </c>
      <c r="N41">
        <v>7.7</v>
      </c>
    </row>
    <row r="42" spans="1:14" x14ac:dyDescent="0.25">
      <c r="A42" t="s">
        <v>71</v>
      </c>
      <c r="B42" t="s">
        <v>37</v>
      </c>
      <c r="C42" t="s">
        <v>38</v>
      </c>
      <c r="D42" t="s">
        <v>15</v>
      </c>
      <c r="E42" t="s">
        <v>16</v>
      </c>
      <c r="F42" t="s">
        <v>27</v>
      </c>
      <c r="G42" t="s">
        <v>1035</v>
      </c>
      <c r="H42" t="s">
        <v>1041</v>
      </c>
      <c r="I42" s="1">
        <v>43482</v>
      </c>
      <c r="J42" t="s">
        <v>1046</v>
      </c>
      <c r="K42" s="5">
        <v>0.78125</v>
      </c>
      <c r="L42" t="s">
        <v>18</v>
      </c>
      <c r="M42">
        <v>4.3360000000000003</v>
      </c>
      <c r="N42">
        <v>7.9</v>
      </c>
    </row>
    <row r="43" spans="1:14" x14ac:dyDescent="0.25">
      <c r="A43" t="s">
        <v>72</v>
      </c>
      <c r="B43" t="s">
        <v>20</v>
      </c>
      <c r="C43" t="s">
        <v>21</v>
      </c>
      <c r="D43" t="s">
        <v>15</v>
      </c>
      <c r="E43" t="s">
        <v>26</v>
      </c>
      <c r="F43" t="s">
        <v>27</v>
      </c>
      <c r="G43" t="s">
        <v>1038</v>
      </c>
      <c r="H43" t="s">
        <v>1042</v>
      </c>
      <c r="I43" s="1">
        <v>43498</v>
      </c>
      <c r="J43" t="s">
        <v>1044</v>
      </c>
      <c r="K43" s="5">
        <v>0.42430555555555555</v>
      </c>
      <c r="L43" t="s">
        <v>24</v>
      </c>
      <c r="M43">
        <v>5.6109999999999998</v>
      </c>
      <c r="N43">
        <v>6.3</v>
      </c>
    </row>
    <row r="44" spans="1:14" x14ac:dyDescent="0.25">
      <c r="A44" t="s">
        <v>73</v>
      </c>
      <c r="B44" t="s">
        <v>37</v>
      </c>
      <c r="C44" t="s">
        <v>38</v>
      </c>
      <c r="D44" t="s">
        <v>15</v>
      </c>
      <c r="E44" t="s">
        <v>16</v>
      </c>
      <c r="F44" t="s">
        <v>31</v>
      </c>
      <c r="G44" t="s">
        <v>1038</v>
      </c>
      <c r="H44" t="s">
        <v>1042</v>
      </c>
      <c r="I44" s="1">
        <v>43504</v>
      </c>
      <c r="J44" t="s">
        <v>1045</v>
      </c>
      <c r="K44" s="5">
        <v>0.54375000000000007</v>
      </c>
      <c r="L44" t="s">
        <v>24</v>
      </c>
      <c r="M44">
        <v>20.736000000000001</v>
      </c>
      <c r="N44">
        <v>5.6</v>
      </c>
    </row>
    <row r="45" spans="1:14" x14ac:dyDescent="0.25">
      <c r="A45" t="s">
        <v>74</v>
      </c>
      <c r="B45" t="s">
        <v>20</v>
      </c>
      <c r="C45" t="s">
        <v>21</v>
      </c>
      <c r="D45" t="s">
        <v>15</v>
      </c>
      <c r="E45" t="s">
        <v>16</v>
      </c>
      <c r="F45" t="s">
        <v>39</v>
      </c>
      <c r="G45" t="s">
        <v>1035</v>
      </c>
      <c r="H45" t="s">
        <v>1043</v>
      </c>
      <c r="I45" s="1">
        <v>43528</v>
      </c>
      <c r="J45" t="s">
        <v>1046</v>
      </c>
      <c r="K45" s="5">
        <v>0.86041666666666661</v>
      </c>
      <c r="L45" t="s">
        <v>24</v>
      </c>
      <c r="M45">
        <v>39.479999999999997</v>
      </c>
      <c r="N45">
        <v>7.6</v>
      </c>
    </row>
    <row r="46" spans="1:14" x14ac:dyDescent="0.25">
      <c r="A46" t="s">
        <v>75</v>
      </c>
      <c r="B46" t="s">
        <v>20</v>
      </c>
      <c r="C46" t="s">
        <v>21</v>
      </c>
      <c r="D46" t="s">
        <v>15</v>
      </c>
      <c r="E46" t="s">
        <v>26</v>
      </c>
      <c r="F46" t="s">
        <v>17</v>
      </c>
      <c r="G46" t="s">
        <v>1037</v>
      </c>
      <c r="H46" t="s">
        <v>1043</v>
      </c>
      <c r="I46" s="1">
        <v>43540</v>
      </c>
      <c r="J46" t="s">
        <v>1046</v>
      </c>
      <c r="K46" s="5">
        <v>0.82430555555555562</v>
      </c>
      <c r="L46" t="s">
        <v>24</v>
      </c>
      <c r="M46">
        <v>1.5369999999999999</v>
      </c>
      <c r="N46">
        <v>7.2</v>
      </c>
    </row>
    <row r="47" spans="1:14" x14ac:dyDescent="0.25">
      <c r="A47" t="s">
        <v>76</v>
      </c>
      <c r="B47" t="s">
        <v>37</v>
      </c>
      <c r="C47" t="s">
        <v>38</v>
      </c>
      <c r="D47" t="s">
        <v>15</v>
      </c>
      <c r="E47" t="s">
        <v>16</v>
      </c>
      <c r="F47" t="s">
        <v>23</v>
      </c>
      <c r="G47" t="s">
        <v>1036</v>
      </c>
      <c r="H47" t="s">
        <v>1043</v>
      </c>
      <c r="I47" s="1">
        <v>43533</v>
      </c>
      <c r="J47" t="s">
        <v>1046</v>
      </c>
      <c r="K47" s="5">
        <v>0.75</v>
      </c>
      <c r="L47" t="s">
        <v>24</v>
      </c>
      <c r="M47">
        <v>18.792000000000002</v>
      </c>
      <c r="N47">
        <v>9.5</v>
      </c>
    </row>
    <row r="48" spans="1:14" x14ac:dyDescent="0.25">
      <c r="A48" t="s">
        <v>77</v>
      </c>
      <c r="B48" t="s">
        <v>37</v>
      </c>
      <c r="C48" t="s">
        <v>38</v>
      </c>
      <c r="D48" t="s">
        <v>15</v>
      </c>
      <c r="E48" t="s">
        <v>26</v>
      </c>
      <c r="F48" t="s">
        <v>17</v>
      </c>
      <c r="G48" t="s">
        <v>1034</v>
      </c>
      <c r="H48" t="s">
        <v>1042</v>
      </c>
      <c r="I48" s="1">
        <v>43523</v>
      </c>
      <c r="J48" t="s">
        <v>1046</v>
      </c>
      <c r="K48" s="5">
        <v>0.72499999999999998</v>
      </c>
      <c r="L48" t="s">
        <v>28</v>
      </c>
      <c r="M48">
        <v>25.5105</v>
      </c>
      <c r="N48">
        <v>8.4</v>
      </c>
    </row>
    <row r="49" spans="1:14" x14ac:dyDescent="0.25">
      <c r="A49" t="s">
        <v>78</v>
      </c>
      <c r="B49" t="s">
        <v>37</v>
      </c>
      <c r="C49" t="s">
        <v>38</v>
      </c>
      <c r="D49" t="s">
        <v>15</v>
      </c>
      <c r="E49" t="s">
        <v>16</v>
      </c>
      <c r="F49" t="s">
        <v>39</v>
      </c>
      <c r="G49" t="s">
        <v>1038</v>
      </c>
      <c r="H49" t="s">
        <v>1042</v>
      </c>
      <c r="I49" s="1">
        <v>43502</v>
      </c>
      <c r="J49" t="s">
        <v>1045</v>
      </c>
      <c r="K49" s="5">
        <v>0.65763888888888888</v>
      </c>
      <c r="L49" t="s">
        <v>18</v>
      </c>
      <c r="M49">
        <v>9.0045000000000002</v>
      </c>
      <c r="N49">
        <v>4.0999999999999996</v>
      </c>
    </row>
    <row r="50" spans="1:14" x14ac:dyDescent="0.25">
      <c r="A50" t="s">
        <v>79</v>
      </c>
      <c r="B50" t="s">
        <v>37</v>
      </c>
      <c r="C50" t="s">
        <v>38</v>
      </c>
      <c r="D50" t="s">
        <v>15</v>
      </c>
      <c r="E50" t="s">
        <v>26</v>
      </c>
      <c r="F50" t="s">
        <v>23</v>
      </c>
      <c r="G50" t="s">
        <v>1039</v>
      </c>
      <c r="H50" t="s">
        <v>1042</v>
      </c>
      <c r="I50" s="1">
        <v>43506</v>
      </c>
      <c r="J50" t="s">
        <v>1045</v>
      </c>
      <c r="K50" s="5">
        <v>0.53125</v>
      </c>
      <c r="L50" t="s">
        <v>28</v>
      </c>
      <c r="M50">
        <v>5.6790000000000003</v>
      </c>
      <c r="N50">
        <v>8.1</v>
      </c>
    </row>
    <row r="51" spans="1:14" x14ac:dyDescent="0.25">
      <c r="A51" t="s">
        <v>80</v>
      </c>
      <c r="B51" t="s">
        <v>20</v>
      </c>
      <c r="C51" t="s">
        <v>21</v>
      </c>
      <c r="D51" t="s">
        <v>15</v>
      </c>
      <c r="E51" t="s">
        <v>16</v>
      </c>
      <c r="F51" t="s">
        <v>41</v>
      </c>
      <c r="G51" t="s">
        <v>1037</v>
      </c>
      <c r="H51" t="s">
        <v>1043</v>
      </c>
      <c r="I51" s="1">
        <v>43543</v>
      </c>
      <c r="J51" t="s">
        <v>1046</v>
      </c>
      <c r="K51" s="5">
        <v>0.71388888888888891</v>
      </c>
      <c r="L51" t="s">
        <v>18</v>
      </c>
      <c r="M51">
        <v>41.314999999999998</v>
      </c>
      <c r="N51">
        <v>7.9</v>
      </c>
    </row>
    <row r="52" spans="1:14" x14ac:dyDescent="0.25">
      <c r="A52" t="s">
        <v>81</v>
      </c>
      <c r="B52" t="s">
        <v>20</v>
      </c>
      <c r="C52" t="s">
        <v>21</v>
      </c>
      <c r="D52" t="s">
        <v>15</v>
      </c>
      <c r="E52" t="s">
        <v>26</v>
      </c>
      <c r="F52" t="s">
        <v>39</v>
      </c>
      <c r="G52" t="s">
        <v>1038</v>
      </c>
      <c r="H52" t="s">
        <v>1042</v>
      </c>
      <c r="I52" s="1">
        <v>43499</v>
      </c>
      <c r="J52" t="s">
        <v>1044</v>
      </c>
      <c r="K52" s="5">
        <v>0.42986111111111108</v>
      </c>
      <c r="L52" t="s">
        <v>24</v>
      </c>
      <c r="M52">
        <v>31.99</v>
      </c>
      <c r="N52">
        <v>9.5</v>
      </c>
    </row>
    <row r="53" spans="1:14" x14ac:dyDescent="0.25">
      <c r="A53" t="s">
        <v>82</v>
      </c>
      <c r="B53" t="s">
        <v>13</v>
      </c>
      <c r="C53" t="s">
        <v>14</v>
      </c>
      <c r="D53" t="s">
        <v>15</v>
      </c>
      <c r="E53" t="s">
        <v>16</v>
      </c>
      <c r="F53" t="s">
        <v>39</v>
      </c>
      <c r="G53" t="s">
        <v>1039</v>
      </c>
      <c r="H53" t="s">
        <v>1042</v>
      </c>
      <c r="I53" s="1">
        <v>43506</v>
      </c>
      <c r="J53" t="s">
        <v>1045</v>
      </c>
      <c r="K53" s="5">
        <v>0.63194444444444442</v>
      </c>
      <c r="L53" t="s">
        <v>24</v>
      </c>
      <c r="M53">
        <v>11.147500000000001</v>
      </c>
      <c r="N53">
        <v>8.5</v>
      </c>
    </row>
    <row r="54" spans="1:14" x14ac:dyDescent="0.25">
      <c r="A54" t="s">
        <v>83</v>
      </c>
      <c r="B54" t="s">
        <v>37</v>
      </c>
      <c r="C54" t="s">
        <v>38</v>
      </c>
      <c r="D54" t="s">
        <v>15</v>
      </c>
      <c r="E54" t="s">
        <v>16</v>
      </c>
      <c r="F54" t="s">
        <v>41</v>
      </c>
      <c r="G54" t="s">
        <v>1037</v>
      </c>
      <c r="H54" t="s">
        <v>1043</v>
      </c>
      <c r="I54" s="1">
        <v>43546</v>
      </c>
      <c r="J54" t="s">
        <v>1045</v>
      </c>
      <c r="K54" s="5">
        <v>0.61249999999999993</v>
      </c>
      <c r="L54" t="s">
        <v>18</v>
      </c>
      <c r="M54">
        <v>3.5739999999999998</v>
      </c>
      <c r="N54">
        <v>6.5</v>
      </c>
    </row>
    <row r="55" spans="1:14" x14ac:dyDescent="0.25">
      <c r="A55" t="s">
        <v>84</v>
      </c>
      <c r="B55" t="s">
        <v>20</v>
      </c>
      <c r="C55" t="s">
        <v>21</v>
      </c>
      <c r="D55" t="s">
        <v>15</v>
      </c>
      <c r="E55" t="s">
        <v>26</v>
      </c>
      <c r="F55" t="s">
        <v>41</v>
      </c>
      <c r="G55" t="s">
        <v>1036</v>
      </c>
      <c r="H55" t="s">
        <v>1041</v>
      </c>
      <c r="I55" s="1">
        <v>43490</v>
      </c>
      <c r="J55" t="s">
        <v>1045</v>
      </c>
      <c r="K55" s="5">
        <v>0.65694444444444444</v>
      </c>
      <c r="L55" t="s">
        <v>28</v>
      </c>
      <c r="M55">
        <v>0.77149999999999996</v>
      </c>
      <c r="N55">
        <v>6.1</v>
      </c>
    </row>
    <row r="56" spans="1:14" x14ac:dyDescent="0.25">
      <c r="A56" t="s">
        <v>85</v>
      </c>
      <c r="B56" t="s">
        <v>37</v>
      </c>
      <c r="C56" t="s">
        <v>38</v>
      </c>
      <c r="D56" t="s">
        <v>22</v>
      </c>
      <c r="E56" t="s">
        <v>26</v>
      </c>
      <c r="F56" t="s">
        <v>27</v>
      </c>
      <c r="G56" t="s">
        <v>1035</v>
      </c>
      <c r="H56" t="s">
        <v>1043</v>
      </c>
      <c r="I56" s="1">
        <v>43531</v>
      </c>
      <c r="J56" t="s">
        <v>1044</v>
      </c>
      <c r="K56" s="5">
        <v>0.49236111111111108</v>
      </c>
      <c r="L56" t="s">
        <v>18</v>
      </c>
      <c r="M56">
        <v>1.6160000000000001</v>
      </c>
      <c r="N56">
        <v>6.5</v>
      </c>
    </row>
    <row r="57" spans="1:14" x14ac:dyDescent="0.25">
      <c r="A57" t="s">
        <v>86</v>
      </c>
      <c r="B57" t="s">
        <v>20</v>
      </c>
      <c r="C57" t="s">
        <v>21</v>
      </c>
      <c r="D57" t="s">
        <v>22</v>
      </c>
      <c r="E57" t="s">
        <v>16</v>
      </c>
      <c r="F57" t="s">
        <v>23</v>
      </c>
      <c r="G57" t="s">
        <v>1034</v>
      </c>
      <c r="H57" t="s">
        <v>1042</v>
      </c>
      <c r="I57" s="1">
        <v>43524</v>
      </c>
      <c r="J57" t="s">
        <v>1046</v>
      </c>
      <c r="K57" s="5">
        <v>0.79236111111111107</v>
      </c>
      <c r="L57" t="s">
        <v>24</v>
      </c>
      <c r="M57">
        <v>34.392000000000003</v>
      </c>
      <c r="N57">
        <v>8.1999999999999993</v>
      </c>
    </row>
    <row r="58" spans="1:14" x14ac:dyDescent="0.25">
      <c r="A58" t="s">
        <v>87</v>
      </c>
      <c r="B58" t="s">
        <v>13</v>
      </c>
      <c r="C58" t="s">
        <v>14</v>
      </c>
      <c r="D58" t="s">
        <v>15</v>
      </c>
      <c r="E58" t="s">
        <v>26</v>
      </c>
      <c r="F58" t="s">
        <v>27</v>
      </c>
      <c r="G58" t="s">
        <v>1038</v>
      </c>
      <c r="H58" t="s">
        <v>1043</v>
      </c>
      <c r="I58" s="1">
        <v>43551</v>
      </c>
      <c r="J58" t="s">
        <v>1044</v>
      </c>
      <c r="K58" s="5">
        <v>0.47638888888888892</v>
      </c>
      <c r="L58" t="s">
        <v>24</v>
      </c>
      <c r="M58">
        <v>4.4340000000000002</v>
      </c>
      <c r="N58">
        <v>5.8</v>
      </c>
    </row>
    <row r="59" spans="1:14" x14ac:dyDescent="0.25">
      <c r="A59" t="s">
        <v>88</v>
      </c>
      <c r="B59" t="s">
        <v>13</v>
      </c>
      <c r="C59" t="s">
        <v>14</v>
      </c>
      <c r="D59" t="s">
        <v>22</v>
      </c>
      <c r="E59" t="s">
        <v>26</v>
      </c>
      <c r="F59" t="s">
        <v>17</v>
      </c>
      <c r="G59" t="s">
        <v>1038</v>
      </c>
      <c r="H59" t="s">
        <v>1042</v>
      </c>
      <c r="I59" s="1">
        <v>43503</v>
      </c>
      <c r="J59" t="s">
        <v>1044</v>
      </c>
      <c r="K59" s="5">
        <v>0.4777777777777778</v>
      </c>
      <c r="L59" t="s">
        <v>18</v>
      </c>
      <c r="M59">
        <v>35.840000000000003</v>
      </c>
      <c r="N59">
        <v>6.6</v>
      </c>
    </row>
    <row r="60" spans="1:14" x14ac:dyDescent="0.25">
      <c r="A60" t="s">
        <v>89</v>
      </c>
      <c r="B60" t="s">
        <v>13</v>
      </c>
      <c r="C60" t="s">
        <v>14</v>
      </c>
      <c r="D60" t="s">
        <v>15</v>
      </c>
      <c r="E60" t="s">
        <v>16</v>
      </c>
      <c r="F60" t="s">
        <v>27</v>
      </c>
      <c r="G60" t="s">
        <v>1036</v>
      </c>
      <c r="H60" t="s">
        <v>1041</v>
      </c>
      <c r="I60" s="1">
        <v>43485</v>
      </c>
      <c r="J60" t="s">
        <v>1045</v>
      </c>
      <c r="K60" s="5">
        <v>0.66319444444444442</v>
      </c>
      <c r="L60" t="s">
        <v>24</v>
      </c>
      <c r="M60">
        <v>36.174999999999997</v>
      </c>
      <c r="N60">
        <v>5.4</v>
      </c>
    </row>
    <row r="61" spans="1:14" x14ac:dyDescent="0.25">
      <c r="A61" t="s">
        <v>90</v>
      </c>
      <c r="B61" t="s">
        <v>20</v>
      </c>
      <c r="C61" t="s">
        <v>21</v>
      </c>
      <c r="D61" t="s">
        <v>22</v>
      </c>
      <c r="E61" t="s">
        <v>26</v>
      </c>
      <c r="F61" t="s">
        <v>23</v>
      </c>
      <c r="G61" t="s">
        <v>1036</v>
      </c>
      <c r="H61" t="s">
        <v>1043</v>
      </c>
      <c r="I61" s="1">
        <v>43536</v>
      </c>
      <c r="J61" t="s">
        <v>1046</v>
      </c>
      <c r="K61" s="5">
        <v>0.85833333333333339</v>
      </c>
      <c r="L61" t="s">
        <v>24</v>
      </c>
      <c r="M61">
        <v>9.1829999999999998</v>
      </c>
      <c r="N61">
        <v>9.3000000000000007</v>
      </c>
    </row>
    <row r="62" spans="1:14" x14ac:dyDescent="0.25">
      <c r="A62" t="s">
        <v>91</v>
      </c>
      <c r="B62" t="s">
        <v>20</v>
      </c>
      <c r="C62" t="s">
        <v>21</v>
      </c>
      <c r="D62" t="s">
        <v>15</v>
      </c>
      <c r="E62" t="s">
        <v>16</v>
      </c>
      <c r="F62" t="s">
        <v>31</v>
      </c>
      <c r="G62" t="s">
        <v>1039</v>
      </c>
      <c r="H62" t="s">
        <v>1042</v>
      </c>
      <c r="I62" s="1">
        <v>43511</v>
      </c>
      <c r="J62" t="s">
        <v>1046</v>
      </c>
      <c r="K62" s="5">
        <v>0.74097222222222225</v>
      </c>
      <c r="L62" t="s">
        <v>28</v>
      </c>
      <c r="M62">
        <v>3.7109999999999999</v>
      </c>
      <c r="N62">
        <v>10</v>
      </c>
    </row>
    <row r="63" spans="1:14" x14ac:dyDescent="0.25">
      <c r="A63" t="s">
        <v>92</v>
      </c>
      <c r="B63" t="s">
        <v>20</v>
      </c>
      <c r="C63" t="s">
        <v>21</v>
      </c>
      <c r="D63" t="s">
        <v>22</v>
      </c>
      <c r="E63" t="s">
        <v>26</v>
      </c>
      <c r="F63" t="s">
        <v>27</v>
      </c>
      <c r="G63" t="s">
        <v>1034</v>
      </c>
      <c r="H63" t="s">
        <v>1042</v>
      </c>
      <c r="I63" s="1">
        <v>43520</v>
      </c>
      <c r="J63" t="s">
        <v>1044</v>
      </c>
      <c r="K63" s="5">
        <v>0.4548611111111111</v>
      </c>
      <c r="L63" t="s">
        <v>18</v>
      </c>
      <c r="M63">
        <v>16.719000000000001</v>
      </c>
      <c r="N63">
        <v>7</v>
      </c>
    </row>
    <row r="64" spans="1:14" x14ac:dyDescent="0.25">
      <c r="A64" t="s">
        <v>93</v>
      </c>
      <c r="B64" t="s">
        <v>37</v>
      </c>
      <c r="C64" t="s">
        <v>38</v>
      </c>
      <c r="D64" t="s">
        <v>15</v>
      </c>
      <c r="E64" t="s">
        <v>16</v>
      </c>
      <c r="F64" t="s">
        <v>31</v>
      </c>
      <c r="G64" t="s">
        <v>1038</v>
      </c>
      <c r="H64" t="s">
        <v>1042</v>
      </c>
      <c r="I64" s="1">
        <v>43499</v>
      </c>
      <c r="J64" t="s">
        <v>1045</v>
      </c>
      <c r="K64" s="5">
        <v>0.56944444444444442</v>
      </c>
      <c r="L64" t="s">
        <v>18</v>
      </c>
      <c r="M64">
        <v>24.781500000000001</v>
      </c>
      <c r="N64">
        <v>10</v>
      </c>
    </row>
    <row r="65" spans="1:14" x14ac:dyDescent="0.25">
      <c r="A65" t="s">
        <v>94</v>
      </c>
      <c r="B65" t="s">
        <v>13</v>
      </c>
      <c r="C65" t="s">
        <v>14</v>
      </c>
      <c r="D65" t="s">
        <v>15</v>
      </c>
      <c r="E65" t="s">
        <v>26</v>
      </c>
      <c r="F65" t="s">
        <v>31</v>
      </c>
      <c r="G65" t="s">
        <v>1035</v>
      </c>
      <c r="H65" t="s">
        <v>1043</v>
      </c>
      <c r="I65" s="1">
        <v>43530</v>
      </c>
      <c r="J65" t="s">
        <v>1045</v>
      </c>
      <c r="K65" s="5">
        <v>0.51874999999999993</v>
      </c>
      <c r="L65" t="s">
        <v>28</v>
      </c>
      <c r="M65">
        <v>7.9050000000000002</v>
      </c>
      <c r="N65">
        <v>8.6</v>
      </c>
    </row>
    <row r="66" spans="1:14" x14ac:dyDescent="0.25">
      <c r="A66" t="s">
        <v>95</v>
      </c>
      <c r="B66" t="s">
        <v>37</v>
      </c>
      <c r="C66" t="s">
        <v>38</v>
      </c>
      <c r="D66" t="s">
        <v>15</v>
      </c>
      <c r="E66" t="s">
        <v>26</v>
      </c>
      <c r="F66" t="s">
        <v>17</v>
      </c>
      <c r="G66" t="s">
        <v>1039</v>
      </c>
      <c r="H66" t="s">
        <v>1042</v>
      </c>
      <c r="I66" s="1">
        <v>43510</v>
      </c>
      <c r="J66" t="s">
        <v>1045</v>
      </c>
      <c r="K66" s="5">
        <v>0.60763888888888895</v>
      </c>
      <c r="L66" t="s">
        <v>24</v>
      </c>
      <c r="M66">
        <v>15.148</v>
      </c>
      <c r="N66">
        <v>7.6</v>
      </c>
    </row>
    <row r="67" spans="1:14" x14ac:dyDescent="0.25">
      <c r="A67" t="s">
        <v>96</v>
      </c>
      <c r="B67" t="s">
        <v>13</v>
      </c>
      <c r="C67" t="s">
        <v>14</v>
      </c>
      <c r="D67" t="s">
        <v>15</v>
      </c>
      <c r="E67" t="s">
        <v>26</v>
      </c>
      <c r="F67" t="s">
        <v>17</v>
      </c>
      <c r="G67" t="s">
        <v>1036</v>
      </c>
      <c r="H67" t="s">
        <v>1043</v>
      </c>
      <c r="I67" s="1">
        <v>43537</v>
      </c>
      <c r="J67" t="s">
        <v>1046</v>
      </c>
      <c r="K67" s="5">
        <v>0.69444444444444453</v>
      </c>
      <c r="L67" t="s">
        <v>24</v>
      </c>
      <c r="M67">
        <v>7.9349999999999996</v>
      </c>
      <c r="N67">
        <v>5.8</v>
      </c>
    </row>
    <row r="68" spans="1:14" x14ac:dyDescent="0.25">
      <c r="A68" t="s">
        <v>97</v>
      </c>
      <c r="B68" t="s">
        <v>20</v>
      </c>
      <c r="C68" t="s">
        <v>21</v>
      </c>
      <c r="D68" t="s">
        <v>22</v>
      </c>
      <c r="E68" t="s">
        <v>16</v>
      </c>
      <c r="F68" t="s">
        <v>17</v>
      </c>
      <c r="G68" t="s">
        <v>1039</v>
      </c>
      <c r="H68" t="s">
        <v>1042</v>
      </c>
      <c r="I68" s="1">
        <v>43506</v>
      </c>
      <c r="J68" t="s">
        <v>1045</v>
      </c>
      <c r="K68" s="5">
        <v>0.65486111111111112</v>
      </c>
      <c r="L68" t="s">
        <v>18</v>
      </c>
      <c r="M68">
        <v>3.347</v>
      </c>
      <c r="N68">
        <v>6.7</v>
      </c>
    </row>
    <row r="69" spans="1:14" x14ac:dyDescent="0.25">
      <c r="A69" t="s">
        <v>98</v>
      </c>
      <c r="B69" t="s">
        <v>37</v>
      </c>
      <c r="C69" t="s">
        <v>38</v>
      </c>
      <c r="D69" t="s">
        <v>15</v>
      </c>
      <c r="E69" t="s">
        <v>16</v>
      </c>
      <c r="F69" t="s">
        <v>41</v>
      </c>
      <c r="G69" t="s">
        <v>1034</v>
      </c>
      <c r="H69" t="s">
        <v>1041</v>
      </c>
      <c r="I69" s="1">
        <v>43472</v>
      </c>
      <c r="J69" t="s">
        <v>1045</v>
      </c>
      <c r="K69" s="5">
        <v>0.62569444444444444</v>
      </c>
      <c r="L69" t="s">
        <v>18</v>
      </c>
      <c r="M69">
        <v>29.283000000000001</v>
      </c>
      <c r="N69">
        <v>9.9</v>
      </c>
    </row>
    <row r="70" spans="1:14" x14ac:dyDescent="0.25">
      <c r="A70" t="s">
        <v>99</v>
      </c>
      <c r="B70" t="s">
        <v>13</v>
      </c>
      <c r="C70" t="s">
        <v>14</v>
      </c>
      <c r="D70" t="s">
        <v>22</v>
      </c>
      <c r="E70" t="s">
        <v>26</v>
      </c>
      <c r="F70" t="s">
        <v>31</v>
      </c>
      <c r="G70" t="s">
        <v>1036</v>
      </c>
      <c r="H70" t="s">
        <v>1041</v>
      </c>
      <c r="I70" s="1">
        <v>43489</v>
      </c>
      <c r="J70" t="s">
        <v>1044</v>
      </c>
      <c r="K70" s="5">
        <v>0.41944444444444445</v>
      </c>
      <c r="L70" t="s">
        <v>24</v>
      </c>
      <c r="M70">
        <v>39.384999999999998</v>
      </c>
      <c r="N70">
        <v>6.4</v>
      </c>
    </row>
    <row r="71" spans="1:14" x14ac:dyDescent="0.25">
      <c r="A71" t="s">
        <v>100</v>
      </c>
      <c r="B71" t="s">
        <v>13</v>
      </c>
      <c r="C71" t="s">
        <v>14</v>
      </c>
      <c r="D71" t="s">
        <v>15</v>
      </c>
      <c r="E71" t="s">
        <v>16</v>
      </c>
      <c r="F71" t="s">
        <v>17</v>
      </c>
      <c r="G71" t="s">
        <v>1038</v>
      </c>
      <c r="H71" t="s">
        <v>1042</v>
      </c>
      <c r="I71" s="1">
        <v>43498</v>
      </c>
      <c r="J71" t="s">
        <v>1046</v>
      </c>
      <c r="K71" s="5">
        <v>0.78472222222222221</v>
      </c>
      <c r="L71" t="s">
        <v>24</v>
      </c>
      <c r="M71">
        <v>0.91649999999999998</v>
      </c>
      <c r="N71">
        <v>4.3</v>
      </c>
    </row>
    <row r="72" spans="1:14" x14ac:dyDescent="0.25">
      <c r="A72" t="s">
        <v>101</v>
      </c>
      <c r="B72" t="s">
        <v>20</v>
      </c>
      <c r="C72" t="s">
        <v>21</v>
      </c>
      <c r="D72" t="s">
        <v>22</v>
      </c>
      <c r="E72" t="s">
        <v>26</v>
      </c>
      <c r="F72" t="s">
        <v>39</v>
      </c>
      <c r="G72" t="s">
        <v>1034</v>
      </c>
      <c r="H72" t="s">
        <v>1041</v>
      </c>
      <c r="I72" s="1">
        <v>43471</v>
      </c>
      <c r="J72" t="s">
        <v>1045</v>
      </c>
      <c r="K72" s="5">
        <v>0.53194444444444444</v>
      </c>
      <c r="L72" t="s">
        <v>28</v>
      </c>
      <c r="M72">
        <v>44.74</v>
      </c>
      <c r="N72">
        <v>9.6</v>
      </c>
    </row>
    <row r="73" spans="1:14" x14ac:dyDescent="0.25">
      <c r="A73" t="s">
        <v>102</v>
      </c>
      <c r="B73" t="s">
        <v>20</v>
      </c>
      <c r="C73" t="s">
        <v>21</v>
      </c>
      <c r="D73" t="s">
        <v>22</v>
      </c>
      <c r="E73" t="s">
        <v>26</v>
      </c>
      <c r="F73" t="s">
        <v>41</v>
      </c>
      <c r="G73" t="s">
        <v>1039</v>
      </c>
      <c r="H73" t="s">
        <v>1042</v>
      </c>
      <c r="I73" s="1">
        <v>43507</v>
      </c>
      <c r="J73" t="s">
        <v>1046</v>
      </c>
      <c r="K73" s="5">
        <v>0.67986111111111114</v>
      </c>
      <c r="L73" t="s">
        <v>24</v>
      </c>
      <c r="M73">
        <v>31.06</v>
      </c>
      <c r="N73">
        <v>5.9</v>
      </c>
    </row>
    <row r="74" spans="1:14" x14ac:dyDescent="0.25">
      <c r="A74" t="s">
        <v>103</v>
      </c>
      <c r="B74" t="s">
        <v>37</v>
      </c>
      <c r="C74" t="s">
        <v>38</v>
      </c>
      <c r="D74" t="s">
        <v>15</v>
      </c>
      <c r="E74" t="s">
        <v>16</v>
      </c>
      <c r="F74" t="s">
        <v>39</v>
      </c>
      <c r="G74" t="s">
        <v>1035</v>
      </c>
      <c r="H74" t="s">
        <v>1043</v>
      </c>
      <c r="I74" s="1">
        <v>43529</v>
      </c>
      <c r="J74" t="s">
        <v>1046</v>
      </c>
      <c r="K74" s="5">
        <v>0.76180555555555562</v>
      </c>
      <c r="L74" t="s">
        <v>18</v>
      </c>
      <c r="M74">
        <v>7.2779999999999996</v>
      </c>
      <c r="N74">
        <v>4</v>
      </c>
    </row>
    <row r="75" spans="1:14" x14ac:dyDescent="0.25">
      <c r="A75" t="s">
        <v>104</v>
      </c>
      <c r="B75" t="s">
        <v>20</v>
      </c>
      <c r="C75" t="s">
        <v>21</v>
      </c>
      <c r="D75" t="s">
        <v>22</v>
      </c>
      <c r="E75" t="s">
        <v>16</v>
      </c>
      <c r="F75" t="s">
        <v>23</v>
      </c>
      <c r="G75" t="s">
        <v>1036</v>
      </c>
      <c r="H75" t="s">
        <v>1043</v>
      </c>
      <c r="I75" s="1">
        <v>43533</v>
      </c>
      <c r="J75" t="s">
        <v>1046</v>
      </c>
      <c r="K75" s="5">
        <v>0.76458333333333339</v>
      </c>
      <c r="L75" t="s">
        <v>24</v>
      </c>
      <c r="M75">
        <v>22.773</v>
      </c>
      <c r="N75">
        <v>8.6999999999999993</v>
      </c>
    </row>
    <row r="76" spans="1:14" x14ac:dyDescent="0.25">
      <c r="A76" t="s">
        <v>105</v>
      </c>
      <c r="B76" t="s">
        <v>13</v>
      </c>
      <c r="C76" t="s">
        <v>14</v>
      </c>
      <c r="D76" t="s">
        <v>22</v>
      </c>
      <c r="E76" t="s">
        <v>26</v>
      </c>
      <c r="F76" t="s">
        <v>27</v>
      </c>
      <c r="G76" t="s">
        <v>1036</v>
      </c>
      <c r="H76" t="s">
        <v>1041</v>
      </c>
      <c r="I76" s="1">
        <v>43487</v>
      </c>
      <c r="J76" t="s">
        <v>1044</v>
      </c>
      <c r="K76" s="5">
        <v>0.4548611111111111</v>
      </c>
      <c r="L76" t="s">
        <v>18</v>
      </c>
      <c r="M76">
        <v>33.601500000000001</v>
      </c>
      <c r="N76">
        <v>9.4</v>
      </c>
    </row>
    <row r="77" spans="1:14" x14ac:dyDescent="0.25">
      <c r="A77" t="s">
        <v>106</v>
      </c>
      <c r="B77" t="s">
        <v>20</v>
      </c>
      <c r="C77" t="s">
        <v>21</v>
      </c>
      <c r="D77" t="s">
        <v>22</v>
      </c>
      <c r="E77" t="s">
        <v>16</v>
      </c>
      <c r="F77" t="s">
        <v>23</v>
      </c>
      <c r="G77" t="s">
        <v>1035</v>
      </c>
      <c r="H77" t="s">
        <v>1041</v>
      </c>
      <c r="I77" s="1">
        <v>43478</v>
      </c>
      <c r="J77" t="s">
        <v>1046</v>
      </c>
      <c r="K77" s="5">
        <v>0.71111111111111114</v>
      </c>
      <c r="L77" t="s">
        <v>28</v>
      </c>
      <c r="M77">
        <v>20.824999999999999</v>
      </c>
      <c r="N77">
        <v>5.4</v>
      </c>
    </row>
    <row r="78" spans="1:14" x14ac:dyDescent="0.25">
      <c r="A78" t="s">
        <v>107</v>
      </c>
      <c r="B78" t="s">
        <v>20</v>
      </c>
      <c r="C78" t="s">
        <v>21</v>
      </c>
      <c r="D78" t="s">
        <v>15</v>
      </c>
      <c r="E78" t="s">
        <v>26</v>
      </c>
      <c r="F78" t="s">
        <v>41</v>
      </c>
      <c r="G78" t="s">
        <v>1034</v>
      </c>
      <c r="H78" t="s">
        <v>1041</v>
      </c>
      <c r="I78" s="1">
        <v>43474</v>
      </c>
      <c r="J78" t="s">
        <v>1045</v>
      </c>
      <c r="K78" s="5">
        <v>0.59722222222222221</v>
      </c>
      <c r="L78" t="s">
        <v>28</v>
      </c>
      <c r="M78">
        <v>22.068000000000001</v>
      </c>
      <c r="N78">
        <v>8.6</v>
      </c>
    </row>
    <row r="79" spans="1:14" x14ac:dyDescent="0.25">
      <c r="A79" t="s">
        <v>108</v>
      </c>
      <c r="B79" t="s">
        <v>13</v>
      </c>
      <c r="C79" t="s">
        <v>14</v>
      </c>
      <c r="D79" t="s">
        <v>15</v>
      </c>
      <c r="E79" t="s">
        <v>16</v>
      </c>
      <c r="F79" t="s">
        <v>41</v>
      </c>
      <c r="G79" t="s">
        <v>1035</v>
      </c>
      <c r="H79" t="s">
        <v>1041</v>
      </c>
      <c r="I79" s="1">
        <v>43477</v>
      </c>
      <c r="J79" t="s">
        <v>1045</v>
      </c>
      <c r="K79" s="5">
        <v>0.65833333333333333</v>
      </c>
      <c r="L79" t="s">
        <v>28</v>
      </c>
      <c r="M79">
        <v>9.0045000000000002</v>
      </c>
      <c r="N79">
        <v>5.7</v>
      </c>
    </row>
    <row r="80" spans="1:14" x14ac:dyDescent="0.25">
      <c r="A80" t="s">
        <v>109</v>
      </c>
      <c r="B80" t="s">
        <v>20</v>
      </c>
      <c r="C80" t="s">
        <v>21</v>
      </c>
      <c r="D80" t="s">
        <v>15</v>
      </c>
      <c r="E80" t="s">
        <v>16</v>
      </c>
      <c r="F80" t="s">
        <v>39</v>
      </c>
      <c r="G80" t="s">
        <v>1035</v>
      </c>
      <c r="H80" t="s">
        <v>1043</v>
      </c>
      <c r="I80" s="1">
        <v>43529</v>
      </c>
      <c r="J80" t="s">
        <v>1046</v>
      </c>
      <c r="K80" s="5">
        <v>0.68333333333333324</v>
      </c>
      <c r="L80" t="s">
        <v>18</v>
      </c>
      <c r="M80">
        <v>39.155000000000001</v>
      </c>
      <c r="N80">
        <v>6.6</v>
      </c>
    </row>
    <row r="81" spans="1:14" x14ac:dyDescent="0.25">
      <c r="A81" t="s">
        <v>110</v>
      </c>
      <c r="B81" t="s">
        <v>20</v>
      </c>
      <c r="C81" t="s">
        <v>21</v>
      </c>
      <c r="D81" t="s">
        <v>22</v>
      </c>
      <c r="E81" t="s">
        <v>16</v>
      </c>
      <c r="F81" t="s">
        <v>17</v>
      </c>
      <c r="G81" t="s">
        <v>1036</v>
      </c>
      <c r="H81" t="s">
        <v>1041</v>
      </c>
      <c r="I81" s="1">
        <v>43487</v>
      </c>
      <c r="J81" t="s">
        <v>1046</v>
      </c>
      <c r="K81" s="5">
        <v>0.78888888888888886</v>
      </c>
      <c r="L81" t="s">
        <v>24</v>
      </c>
      <c r="M81">
        <v>5.0949999999999998</v>
      </c>
      <c r="N81">
        <v>6</v>
      </c>
    </row>
    <row r="82" spans="1:14" x14ac:dyDescent="0.25">
      <c r="A82" t="s">
        <v>111</v>
      </c>
      <c r="B82" t="s">
        <v>20</v>
      </c>
      <c r="C82" t="s">
        <v>21</v>
      </c>
      <c r="D82" t="s">
        <v>22</v>
      </c>
      <c r="E82" t="s">
        <v>16</v>
      </c>
      <c r="F82" t="s">
        <v>17</v>
      </c>
      <c r="G82" t="s">
        <v>1036</v>
      </c>
      <c r="H82" t="s">
        <v>1041</v>
      </c>
      <c r="I82" s="1">
        <v>43486</v>
      </c>
      <c r="J82" t="s">
        <v>1045</v>
      </c>
      <c r="K82" s="5">
        <v>0.61249999999999993</v>
      </c>
      <c r="L82" t="s">
        <v>28</v>
      </c>
      <c r="M82">
        <v>29.757000000000001</v>
      </c>
      <c r="N82">
        <v>5.5</v>
      </c>
    </row>
    <row r="83" spans="1:14" x14ac:dyDescent="0.25">
      <c r="A83" t="s">
        <v>112</v>
      </c>
      <c r="B83" t="s">
        <v>37</v>
      </c>
      <c r="C83" t="s">
        <v>38</v>
      </c>
      <c r="D83" t="s">
        <v>22</v>
      </c>
      <c r="E83" t="s">
        <v>16</v>
      </c>
      <c r="F83" t="s">
        <v>39</v>
      </c>
      <c r="G83" t="s">
        <v>1037</v>
      </c>
      <c r="H83" t="s">
        <v>1041</v>
      </c>
      <c r="I83" s="1">
        <v>43491</v>
      </c>
      <c r="J83" t="s">
        <v>1046</v>
      </c>
      <c r="K83" s="5">
        <v>0.8305555555555556</v>
      </c>
      <c r="L83" t="s">
        <v>18</v>
      </c>
      <c r="M83">
        <v>14.502000000000001</v>
      </c>
      <c r="N83">
        <v>6.4</v>
      </c>
    </row>
    <row r="84" spans="1:14" x14ac:dyDescent="0.25">
      <c r="A84" t="s">
        <v>113</v>
      </c>
      <c r="B84" t="s">
        <v>20</v>
      </c>
      <c r="C84" t="s">
        <v>21</v>
      </c>
      <c r="D84" t="s">
        <v>22</v>
      </c>
      <c r="E84" t="s">
        <v>26</v>
      </c>
      <c r="F84" t="s">
        <v>39</v>
      </c>
      <c r="G84" t="s">
        <v>1036</v>
      </c>
      <c r="H84" t="s">
        <v>1041</v>
      </c>
      <c r="I84" s="1">
        <v>43488</v>
      </c>
      <c r="J84" t="s">
        <v>1046</v>
      </c>
      <c r="K84" s="5">
        <v>0.77569444444444446</v>
      </c>
      <c r="L84" t="s">
        <v>18</v>
      </c>
      <c r="M84">
        <v>7.7</v>
      </c>
      <c r="N84">
        <v>6.6</v>
      </c>
    </row>
    <row r="85" spans="1:14" x14ac:dyDescent="0.25">
      <c r="A85" t="s">
        <v>114</v>
      </c>
      <c r="B85" t="s">
        <v>20</v>
      </c>
      <c r="C85" t="s">
        <v>21</v>
      </c>
      <c r="D85" t="s">
        <v>15</v>
      </c>
      <c r="E85" t="s">
        <v>16</v>
      </c>
      <c r="F85" t="s">
        <v>39</v>
      </c>
      <c r="G85" t="s">
        <v>1034</v>
      </c>
      <c r="H85" t="s">
        <v>1042</v>
      </c>
      <c r="I85" s="1">
        <v>43519</v>
      </c>
      <c r="J85" t="s">
        <v>1046</v>
      </c>
      <c r="K85" s="5">
        <v>0.78125</v>
      </c>
      <c r="L85" t="s">
        <v>28</v>
      </c>
      <c r="M85">
        <v>16.071999999999999</v>
      </c>
      <c r="N85">
        <v>8.3000000000000007</v>
      </c>
    </row>
    <row r="86" spans="1:14" x14ac:dyDescent="0.25">
      <c r="A86" t="s">
        <v>115</v>
      </c>
      <c r="B86" t="s">
        <v>20</v>
      </c>
      <c r="C86" t="s">
        <v>21</v>
      </c>
      <c r="D86" t="s">
        <v>15</v>
      </c>
      <c r="E86" t="s">
        <v>26</v>
      </c>
      <c r="F86" t="s">
        <v>31</v>
      </c>
      <c r="G86" t="s">
        <v>1036</v>
      </c>
      <c r="H86" t="s">
        <v>1043</v>
      </c>
      <c r="I86" s="1">
        <v>43533</v>
      </c>
      <c r="J86" t="s">
        <v>1044</v>
      </c>
      <c r="K86" s="5">
        <v>0.4284722222222222</v>
      </c>
      <c r="L86" t="s">
        <v>24</v>
      </c>
      <c r="M86">
        <v>12.227499999999999</v>
      </c>
      <c r="N86">
        <v>6.6</v>
      </c>
    </row>
    <row r="87" spans="1:14" x14ac:dyDescent="0.25">
      <c r="A87" t="s">
        <v>116</v>
      </c>
      <c r="B87" t="s">
        <v>20</v>
      </c>
      <c r="C87" t="s">
        <v>21</v>
      </c>
      <c r="D87" t="s">
        <v>22</v>
      </c>
      <c r="E87" t="s">
        <v>16</v>
      </c>
      <c r="F87" t="s">
        <v>31</v>
      </c>
      <c r="G87" t="s">
        <v>1035</v>
      </c>
      <c r="H87" t="s">
        <v>1043</v>
      </c>
      <c r="I87" s="1">
        <v>43529</v>
      </c>
      <c r="J87" t="s">
        <v>1045</v>
      </c>
      <c r="K87" s="5">
        <v>0.60486111111111118</v>
      </c>
      <c r="L87" t="s">
        <v>18</v>
      </c>
      <c r="M87">
        <v>29.071000000000002</v>
      </c>
      <c r="N87">
        <v>4</v>
      </c>
    </row>
    <row r="88" spans="1:14" x14ac:dyDescent="0.25">
      <c r="A88" t="s">
        <v>117</v>
      </c>
      <c r="B88" t="s">
        <v>20</v>
      </c>
      <c r="C88" t="s">
        <v>21</v>
      </c>
      <c r="D88" t="s">
        <v>22</v>
      </c>
      <c r="E88" t="s">
        <v>26</v>
      </c>
      <c r="F88" t="s">
        <v>41</v>
      </c>
      <c r="G88" t="s">
        <v>1038</v>
      </c>
      <c r="H88" t="s">
        <v>1043</v>
      </c>
      <c r="I88" s="1">
        <v>43549</v>
      </c>
      <c r="J88" t="s">
        <v>1044</v>
      </c>
      <c r="K88" s="5">
        <v>0.43263888888888885</v>
      </c>
      <c r="L88" t="s">
        <v>24</v>
      </c>
      <c r="M88">
        <v>19.13</v>
      </c>
      <c r="N88">
        <v>9.9</v>
      </c>
    </row>
    <row r="89" spans="1:14" x14ac:dyDescent="0.25">
      <c r="A89" t="s">
        <v>118</v>
      </c>
      <c r="B89" t="s">
        <v>13</v>
      </c>
      <c r="C89" t="s">
        <v>14</v>
      </c>
      <c r="D89" t="s">
        <v>15</v>
      </c>
      <c r="E89" t="s">
        <v>26</v>
      </c>
      <c r="F89" t="s">
        <v>39</v>
      </c>
      <c r="G89" t="s">
        <v>1038</v>
      </c>
      <c r="H89" t="s">
        <v>1043</v>
      </c>
      <c r="I89" s="1">
        <v>43551</v>
      </c>
      <c r="J89" t="s">
        <v>1046</v>
      </c>
      <c r="K89" s="5">
        <v>0.85763888888888884</v>
      </c>
      <c r="L89" t="s">
        <v>28</v>
      </c>
      <c r="M89">
        <v>17.283000000000001</v>
      </c>
      <c r="N89">
        <v>7.3</v>
      </c>
    </row>
    <row r="90" spans="1:14" x14ac:dyDescent="0.25">
      <c r="A90" t="s">
        <v>119</v>
      </c>
      <c r="B90" t="s">
        <v>13</v>
      </c>
      <c r="C90" t="s">
        <v>14</v>
      </c>
      <c r="D90" t="s">
        <v>22</v>
      </c>
      <c r="E90" t="s">
        <v>26</v>
      </c>
      <c r="F90" t="s">
        <v>31</v>
      </c>
      <c r="G90" t="s">
        <v>1040</v>
      </c>
      <c r="H90" t="s">
        <v>1041</v>
      </c>
      <c r="I90" s="1">
        <v>43467</v>
      </c>
      <c r="J90" t="s">
        <v>1046</v>
      </c>
      <c r="K90" s="5">
        <v>0.70624999999999993</v>
      </c>
      <c r="L90" t="s">
        <v>24</v>
      </c>
      <c r="M90">
        <v>2.1234999999999999</v>
      </c>
      <c r="N90">
        <v>5.7</v>
      </c>
    </row>
    <row r="91" spans="1:14" x14ac:dyDescent="0.25">
      <c r="A91" t="s">
        <v>120</v>
      </c>
      <c r="B91" t="s">
        <v>37</v>
      </c>
      <c r="C91" t="s">
        <v>38</v>
      </c>
      <c r="D91" t="s">
        <v>22</v>
      </c>
      <c r="E91" t="s">
        <v>16</v>
      </c>
      <c r="F91" t="s">
        <v>17</v>
      </c>
      <c r="G91" t="s">
        <v>1034</v>
      </c>
      <c r="H91" t="s">
        <v>1042</v>
      </c>
      <c r="I91" s="1">
        <v>43523</v>
      </c>
      <c r="J91" t="s">
        <v>1046</v>
      </c>
      <c r="K91" s="5">
        <v>0.74652777777777779</v>
      </c>
      <c r="L91" t="s">
        <v>24</v>
      </c>
      <c r="M91">
        <v>23.097000000000001</v>
      </c>
      <c r="N91">
        <v>6.1</v>
      </c>
    </row>
    <row r="92" spans="1:14" x14ac:dyDescent="0.25">
      <c r="A92" t="s">
        <v>121</v>
      </c>
      <c r="B92" t="s">
        <v>20</v>
      </c>
      <c r="C92" t="s">
        <v>21</v>
      </c>
      <c r="D92" t="s">
        <v>15</v>
      </c>
      <c r="E92" t="s">
        <v>16</v>
      </c>
      <c r="F92" t="s">
        <v>27</v>
      </c>
      <c r="G92" t="s">
        <v>1036</v>
      </c>
      <c r="H92" t="s">
        <v>1041</v>
      </c>
      <c r="I92" s="1">
        <v>43488</v>
      </c>
      <c r="J92" t="s">
        <v>1044</v>
      </c>
      <c r="K92" s="5">
        <v>0.43402777777777773</v>
      </c>
      <c r="L92" t="s">
        <v>24</v>
      </c>
      <c r="M92">
        <v>9.4760000000000009</v>
      </c>
      <c r="N92">
        <v>7.1</v>
      </c>
    </row>
    <row r="93" spans="1:14" x14ac:dyDescent="0.25">
      <c r="A93" t="s">
        <v>122</v>
      </c>
      <c r="B93" t="s">
        <v>20</v>
      </c>
      <c r="C93" t="s">
        <v>21</v>
      </c>
      <c r="D93" t="s">
        <v>22</v>
      </c>
      <c r="E93" t="s">
        <v>16</v>
      </c>
      <c r="F93" t="s">
        <v>31</v>
      </c>
      <c r="G93" t="s">
        <v>1037</v>
      </c>
      <c r="H93" t="s">
        <v>1041</v>
      </c>
      <c r="I93" s="1">
        <v>43491</v>
      </c>
      <c r="J93" t="s">
        <v>1046</v>
      </c>
      <c r="K93" s="5">
        <v>0.82916666666666661</v>
      </c>
      <c r="L93" t="s">
        <v>18</v>
      </c>
      <c r="M93">
        <v>22.43</v>
      </c>
      <c r="N93">
        <v>8.1999999999999993</v>
      </c>
    </row>
    <row r="94" spans="1:14" x14ac:dyDescent="0.25">
      <c r="A94" t="s">
        <v>123</v>
      </c>
      <c r="B94" t="s">
        <v>13</v>
      </c>
      <c r="C94" t="s">
        <v>14</v>
      </c>
      <c r="D94" t="s">
        <v>15</v>
      </c>
      <c r="E94" t="s">
        <v>16</v>
      </c>
      <c r="F94" t="s">
        <v>31</v>
      </c>
      <c r="G94" t="s">
        <v>1034</v>
      </c>
      <c r="H94" t="s">
        <v>1041</v>
      </c>
      <c r="I94" s="1">
        <v>43475</v>
      </c>
      <c r="J94" t="s">
        <v>1046</v>
      </c>
      <c r="K94" s="5">
        <v>0.6958333333333333</v>
      </c>
      <c r="L94" t="s">
        <v>18</v>
      </c>
      <c r="M94">
        <v>7.6929999999999996</v>
      </c>
      <c r="N94">
        <v>5.0999999999999996</v>
      </c>
    </row>
    <row r="95" spans="1:14" x14ac:dyDescent="0.25">
      <c r="A95" t="s">
        <v>124</v>
      </c>
      <c r="B95" t="s">
        <v>37</v>
      </c>
      <c r="C95" t="s">
        <v>38</v>
      </c>
      <c r="D95" t="s">
        <v>15</v>
      </c>
      <c r="E95" t="s">
        <v>26</v>
      </c>
      <c r="F95" t="s">
        <v>17</v>
      </c>
      <c r="G95" t="s">
        <v>1036</v>
      </c>
      <c r="H95" t="s">
        <v>1043</v>
      </c>
      <c r="I95" s="1">
        <v>43536</v>
      </c>
      <c r="J95" t="s">
        <v>1045</v>
      </c>
      <c r="K95" s="5">
        <v>0.50624999999999998</v>
      </c>
      <c r="L95" t="s">
        <v>28</v>
      </c>
      <c r="M95">
        <v>28.962</v>
      </c>
      <c r="N95">
        <v>8.6</v>
      </c>
    </row>
    <row r="96" spans="1:14" x14ac:dyDescent="0.25">
      <c r="A96" t="s">
        <v>125</v>
      </c>
      <c r="B96" t="s">
        <v>20</v>
      </c>
      <c r="C96" t="s">
        <v>21</v>
      </c>
      <c r="D96" t="s">
        <v>22</v>
      </c>
      <c r="E96" t="s">
        <v>26</v>
      </c>
      <c r="F96" t="s">
        <v>17</v>
      </c>
      <c r="G96" t="s">
        <v>1038</v>
      </c>
      <c r="H96" t="s">
        <v>1042</v>
      </c>
      <c r="I96" s="1">
        <v>43502</v>
      </c>
      <c r="J96" t="s">
        <v>1046</v>
      </c>
      <c r="K96" s="5">
        <v>0.83680555555555547</v>
      </c>
      <c r="L96" t="s">
        <v>28</v>
      </c>
      <c r="M96">
        <v>4.4874999999999998</v>
      </c>
      <c r="N96">
        <v>6.6</v>
      </c>
    </row>
    <row r="97" spans="1:14" x14ac:dyDescent="0.25">
      <c r="A97" t="s">
        <v>126</v>
      </c>
      <c r="B97" t="s">
        <v>13</v>
      </c>
      <c r="C97" t="s">
        <v>14</v>
      </c>
      <c r="D97" t="s">
        <v>22</v>
      </c>
      <c r="E97" t="s">
        <v>26</v>
      </c>
      <c r="F97" t="s">
        <v>23</v>
      </c>
      <c r="G97" t="s">
        <v>1035</v>
      </c>
      <c r="H97" t="s">
        <v>1043</v>
      </c>
      <c r="I97" s="1">
        <v>43532</v>
      </c>
      <c r="J97" t="s">
        <v>1046</v>
      </c>
      <c r="K97" s="5">
        <v>0.85972222222222217</v>
      </c>
      <c r="L97" t="s">
        <v>18</v>
      </c>
      <c r="M97">
        <v>4.8579999999999997</v>
      </c>
      <c r="N97">
        <v>7.2</v>
      </c>
    </row>
    <row r="98" spans="1:14" x14ac:dyDescent="0.25">
      <c r="A98" t="s">
        <v>127</v>
      </c>
      <c r="B98" t="s">
        <v>37</v>
      </c>
      <c r="C98" t="s">
        <v>38</v>
      </c>
      <c r="D98" t="s">
        <v>22</v>
      </c>
      <c r="E98" t="s">
        <v>26</v>
      </c>
      <c r="F98" t="s">
        <v>17</v>
      </c>
      <c r="G98" t="s">
        <v>1038</v>
      </c>
      <c r="H98" t="s">
        <v>1043</v>
      </c>
      <c r="I98" s="1">
        <v>43553</v>
      </c>
      <c r="J98" t="s">
        <v>1044</v>
      </c>
      <c r="K98" s="5">
        <v>0.43402777777777773</v>
      </c>
      <c r="L98" t="s">
        <v>18</v>
      </c>
      <c r="M98">
        <v>43.935000000000002</v>
      </c>
      <c r="N98">
        <v>5.0999999999999996</v>
      </c>
    </row>
    <row r="99" spans="1:14" x14ac:dyDescent="0.25">
      <c r="A99" t="s">
        <v>128</v>
      </c>
      <c r="B99" t="s">
        <v>20</v>
      </c>
      <c r="C99" t="s">
        <v>21</v>
      </c>
      <c r="D99" t="s">
        <v>22</v>
      </c>
      <c r="E99" t="s">
        <v>16</v>
      </c>
      <c r="F99" t="s">
        <v>23</v>
      </c>
      <c r="G99" t="s">
        <v>1039</v>
      </c>
      <c r="H99" t="s">
        <v>1042</v>
      </c>
      <c r="I99" s="1">
        <v>43505</v>
      </c>
      <c r="J99" t="s">
        <v>1045</v>
      </c>
      <c r="K99" s="5">
        <v>0.5493055555555556</v>
      </c>
      <c r="L99" t="s">
        <v>24</v>
      </c>
      <c r="M99">
        <v>3.7349999999999999</v>
      </c>
      <c r="N99">
        <v>4.0999999999999996</v>
      </c>
    </row>
    <row r="100" spans="1:14" x14ac:dyDescent="0.25">
      <c r="A100" t="s">
        <v>129</v>
      </c>
      <c r="B100" t="s">
        <v>13</v>
      </c>
      <c r="C100" t="s">
        <v>14</v>
      </c>
      <c r="D100" t="s">
        <v>22</v>
      </c>
      <c r="E100" t="s">
        <v>26</v>
      </c>
      <c r="F100" t="s">
        <v>39</v>
      </c>
      <c r="G100" t="s">
        <v>1038</v>
      </c>
      <c r="H100" t="s">
        <v>1043</v>
      </c>
      <c r="I100" s="1">
        <v>43547</v>
      </c>
      <c r="J100" t="s">
        <v>1044</v>
      </c>
      <c r="K100" s="5">
        <v>0.42777777777777781</v>
      </c>
      <c r="L100" t="s">
        <v>18</v>
      </c>
      <c r="M100">
        <v>7.9124999999999996</v>
      </c>
      <c r="N100">
        <v>9.3000000000000007</v>
      </c>
    </row>
    <row r="101" spans="1:14" x14ac:dyDescent="0.25">
      <c r="A101" t="s">
        <v>130</v>
      </c>
      <c r="B101" t="s">
        <v>37</v>
      </c>
      <c r="C101" t="s">
        <v>38</v>
      </c>
      <c r="D101" t="s">
        <v>22</v>
      </c>
      <c r="E101" t="s">
        <v>26</v>
      </c>
      <c r="F101" t="s">
        <v>27</v>
      </c>
      <c r="G101" t="s">
        <v>1035</v>
      </c>
      <c r="H101" t="s">
        <v>1043</v>
      </c>
      <c r="I101" s="1">
        <v>43529</v>
      </c>
      <c r="J101" t="s">
        <v>1046</v>
      </c>
      <c r="K101" s="5">
        <v>0.7597222222222223</v>
      </c>
      <c r="L101" t="s">
        <v>24</v>
      </c>
      <c r="M101">
        <v>24.81</v>
      </c>
      <c r="N101">
        <v>7.4</v>
      </c>
    </row>
    <row r="102" spans="1:14" x14ac:dyDescent="0.25">
      <c r="A102" t="s">
        <v>131</v>
      </c>
      <c r="B102" t="s">
        <v>20</v>
      </c>
      <c r="C102" t="s">
        <v>21</v>
      </c>
      <c r="D102" t="s">
        <v>15</v>
      </c>
      <c r="E102" t="s">
        <v>26</v>
      </c>
      <c r="F102" t="s">
        <v>41</v>
      </c>
      <c r="G102" t="s">
        <v>1038</v>
      </c>
      <c r="H102" t="s">
        <v>1043</v>
      </c>
      <c r="I102" s="1">
        <v>43550</v>
      </c>
      <c r="J102" t="s">
        <v>1046</v>
      </c>
      <c r="K102" s="5">
        <v>0.80555555555555547</v>
      </c>
      <c r="L102" t="s">
        <v>24</v>
      </c>
      <c r="M102">
        <v>2.4355000000000002</v>
      </c>
      <c r="N102">
        <v>4.0999999999999996</v>
      </c>
    </row>
    <row r="103" spans="1:14" x14ac:dyDescent="0.25">
      <c r="A103" t="s">
        <v>132</v>
      </c>
      <c r="B103" t="s">
        <v>20</v>
      </c>
      <c r="C103" t="s">
        <v>21</v>
      </c>
      <c r="D103" t="s">
        <v>22</v>
      </c>
      <c r="E103" t="s">
        <v>26</v>
      </c>
      <c r="F103" t="s">
        <v>41</v>
      </c>
      <c r="G103" t="s">
        <v>1034</v>
      </c>
      <c r="H103" t="s">
        <v>1043</v>
      </c>
      <c r="I103" s="1">
        <v>43525</v>
      </c>
      <c r="J103" t="s">
        <v>1045</v>
      </c>
      <c r="K103" s="5">
        <v>0.55694444444444446</v>
      </c>
      <c r="L103" t="s">
        <v>24</v>
      </c>
      <c r="M103">
        <v>35.347499999999997</v>
      </c>
      <c r="N103">
        <v>7.2</v>
      </c>
    </row>
    <row r="104" spans="1:14" x14ac:dyDescent="0.25">
      <c r="A104" t="s">
        <v>133</v>
      </c>
      <c r="B104" t="s">
        <v>20</v>
      </c>
      <c r="C104" t="s">
        <v>21</v>
      </c>
      <c r="D104" t="s">
        <v>22</v>
      </c>
      <c r="E104" t="s">
        <v>16</v>
      </c>
      <c r="F104" t="s">
        <v>23</v>
      </c>
      <c r="G104" t="s">
        <v>1037</v>
      </c>
      <c r="H104" t="s">
        <v>1042</v>
      </c>
      <c r="I104" s="1">
        <v>43497</v>
      </c>
      <c r="J104" t="s">
        <v>1044</v>
      </c>
      <c r="K104" s="5">
        <v>0.4770833333333333</v>
      </c>
      <c r="L104" t="s">
        <v>24</v>
      </c>
      <c r="M104">
        <v>10.381500000000001</v>
      </c>
      <c r="N104">
        <v>4.9000000000000004</v>
      </c>
    </row>
    <row r="105" spans="1:14" x14ac:dyDescent="0.25">
      <c r="A105" t="s">
        <v>134</v>
      </c>
      <c r="B105" t="s">
        <v>13</v>
      </c>
      <c r="C105" t="s">
        <v>14</v>
      </c>
      <c r="D105" t="s">
        <v>22</v>
      </c>
      <c r="E105" t="s">
        <v>26</v>
      </c>
      <c r="F105" t="s">
        <v>39</v>
      </c>
      <c r="G105" t="s">
        <v>1038</v>
      </c>
      <c r="H105" t="s">
        <v>1043</v>
      </c>
      <c r="I105" s="1">
        <v>43552</v>
      </c>
      <c r="J105" t="s">
        <v>1046</v>
      </c>
      <c r="K105" s="5">
        <v>0.6972222222222223</v>
      </c>
      <c r="L105" t="s">
        <v>24</v>
      </c>
      <c r="M105">
        <v>17.478000000000002</v>
      </c>
      <c r="N105">
        <v>9.9</v>
      </c>
    </row>
    <row r="106" spans="1:14" x14ac:dyDescent="0.25">
      <c r="A106" t="s">
        <v>135</v>
      </c>
      <c r="B106" t="s">
        <v>37</v>
      </c>
      <c r="C106" t="s">
        <v>38</v>
      </c>
      <c r="D106" t="s">
        <v>22</v>
      </c>
      <c r="E106" t="s">
        <v>26</v>
      </c>
      <c r="F106" t="s">
        <v>17</v>
      </c>
      <c r="G106" t="s">
        <v>1037</v>
      </c>
      <c r="H106" t="s">
        <v>1043</v>
      </c>
      <c r="I106" s="1">
        <v>43543</v>
      </c>
      <c r="J106" t="s">
        <v>1046</v>
      </c>
      <c r="K106" s="5">
        <v>0.7631944444444444</v>
      </c>
      <c r="L106" t="s">
        <v>24</v>
      </c>
      <c r="M106">
        <v>10.6225</v>
      </c>
      <c r="N106">
        <v>8</v>
      </c>
    </row>
    <row r="107" spans="1:14" x14ac:dyDescent="0.25">
      <c r="A107" t="s">
        <v>136</v>
      </c>
      <c r="B107" t="s">
        <v>13</v>
      </c>
      <c r="C107" t="s">
        <v>14</v>
      </c>
      <c r="D107" t="s">
        <v>15</v>
      </c>
      <c r="E107" t="s">
        <v>26</v>
      </c>
      <c r="F107" t="s">
        <v>23</v>
      </c>
      <c r="G107" t="s">
        <v>1035</v>
      </c>
      <c r="H107" t="s">
        <v>1041</v>
      </c>
      <c r="I107" s="1">
        <v>43477</v>
      </c>
      <c r="J107" t="s">
        <v>1045</v>
      </c>
      <c r="K107" s="5">
        <v>0.61805555555555558</v>
      </c>
      <c r="L107" t="s">
        <v>18</v>
      </c>
      <c r="M107">
        <v>44.335000000000001</v>
      </c>
      <c r="N107">
        <v>7.3</v>
      </c>
    </row>
    <row r="108" spans="1:14" x14ac:dyDescent="0.25">
      <c r="A108" t="s">
        <v>137</v>
      </c>
      <c r="B108" t="s">
        <v>20</v>
      </c>
      <c r="C108" t="s">
        <v>21</v>
      </c>
      <c r="D108" t="s">
        <v>22</v>
      </c>
      <c r="E108" t="s">
        <v>26</v>
      </c>
      <c r="F108" t="s">
        <v>41</v>
      </c>
      <c r="G108" t="s">
        <v>1034</v>
      </c>
      <c r="H108" t="s">
        <v>1041</v>
      </c>
      <c r="I108" s="1">
        <v>43470</v>
      </c>
      <c r="J108" t="s">
        <v>1046</v>
      </c>
      <c r="K108" s="5">
        <v>0.87083333333333324</v>
      </c>
      <c r="L108" t="s">
        <v>28</v>
      </c>
      <c r="M108">
        <v>8.2140000000000004</v>
      </c>
      <c r="N108">
        <v>7.9</v>
      </c>
    </row>
    <row r="109" spans="1:14" x14ac:dyDescent="0.25">
      <c r="A109" t="s">
        <v>138</v>
      </c>
      <c r="B109" t="s">
        <v>13</v>
      </c>
      <c r="C109" t="s">
        <v>14</v>
      </c>
      <c r="D109" t="s">
        <v>22</v>
      </c>
      <c r="E109" t="s">
        <v>26</v>
      </c>
      <c r="F109" t="s">
        <v>31</v>
      </c>
      <c r="G109" t="s">
        <v>1037</v>
      </c>
      <c r="H109" t="s">
        <v>1043</v>
      </c>
      <c r="I109" s="1">
        <v>43546</v>
      </c>
      <c r="J109" t="s">
        <v>1046</v>
      </c>
      <c r="K109" s="5">
        <v>0.84652777777777777</v>
      </c>
      <c r="L109" t="s">
        <v>24</v>
      </c>
      <c r="M109">
        <v>18.638999999999999</v>
      </c>
      <c r="N109">
        <v>7.4</v>
      </c>
    </row>
    <row r="110" spans="1:14" x14ac:dyDescent="0.25">
      <c r="A110" t="s">
        <v>139</v>
      </c>
      <c r="B110" t="s">
        <v>20</v>
      </c>
      <c r="C110" t="s">
        <v>21</v>
      </c>
      <c r="D110" t="s">
        <v>22</v>
      </c>
      <c r="E110" t="s">
        <v>16</v>
      </c>
      <c r="F110" t="s">
        <v>39</v>
      </c>
      <c r="G110" t="s">
        <v>1038</v>
      </c>
      <c r="H110" t="s">
        <v>1043</v>
      </c>
      <c r="I110" s="1">
        <v>43548</v>
      </c>
      <c r="J110" t="s">
        <v>1044</v>
      </c>
      <c r="K110" s="5">
        <v>0.4465277777777778</v>
      </c>
      <c r="L110" t="s">
        <v>24</v>
      </c>
      <c r="M110">
        <v>15.291</v>
      </c>
      <c r="N110">
        <v>4.2</v>
      </c>
    </row>
    <row r="111" spans="1:14" x14ac:dyDescent="0.25">
      <c r="A111" t="s">
        <v>140</v>
      </c>
      <c r="B111" t="s">
        <v>20</v>
      </c>
      <c r="C111" t="s">
        <v>21</v>
      </c>
      <c r="D111" t="s">
        <v>15</v>
      </c>
      <c r="E111" t="s">
        <v>26</v>
      </c>
      <c r="F111" t="s">
        <v>23</v>
      </c>
      <c r="G111" t="s">
        <v>1035</v>
      </c>
      <c r="H111" t="s">
        <v>1043</v>
      </c>
      <c r="I111" s="1">
        <v>43527</v>
      </c>
      <c r="J111" t="s">
        <v>1045</v>
      </c>
      <c r="K111" s="5">
        <v>0.60416666666666663</v>
      </c>
      <c r="L111" t="s">
        <v>24</v>
      </c>
      <c r="M111">
        <v>40.984999999999999</v>
      </c>
      <c r="N111">
        <v>9.1999999999999993</v>
      </c>
    </row>
    <row r="112" spans="1:14" x14ac:dyDescent="0.25">
      <c r="A112" t="s">
        <v>141</v>
      </c>
      <c r="B112" t="s">
        <v>37</v>
      </c>
      <c r="C112" t="s">
        <v>38</v>
      </c>
      <c r="D112" t="s">
        <v>15</v>
      </c>
      <c r="E112" t="s">
        <v>16</v>
      </c>
      <c r="F112" t="s">
        <v>31</v>
      </c>
      <c r="G112" t="s">
        <v>1038</v>
      </c>
      <c r="H112" t="s">
        <v>1042</v>
      </c>
      <c r="I112" s="1">
        <v>43501</v>
      </c>
      <c r="J112" t="s">
        <v>1044</v>
      </c>
      <c r="K112" s="5">
        <v>0.48055555555555557</v>
      </c>
      <c r="L112" t="s">
        <v>18</v>
      </c>
      <c r="M112">
        <v>1.649</v>
      </c>
      <c r="N112">
        <v>4.5999999999999996</v>
      </c>
    </row>
    <row r="113" spans="1:14" x14ac:dyDescent="0.25">
      <c r="A113" t="s">
        <v>142</v>
      </c>
      <c r="B113" t="s">
        <v>20</v>
      </c>
      <c r="C113" t="s">
        <v>21</v>
      </c>
      <c r="D113" t="s">
        <v>15</v>
      </c>
      <c r="E113" t="s">
        <v>16</v>
      </c>
      <c r="F113" t="s">
        <v>17</v>
      </c>
      <c r="G113" t="s">
        <v>1038</v>
      </c>
      <c r="H113" t="s">
        <v>1042</v>
      </c>
      <c r="I113" s="1">
        <v>43501</v>
      </c>
      <c r="J113" t="s">
        <v>1044</v>
      </c>
      <c r="K113" s="5">
        <v>0.44513888888888892</v>
      </c>
      <c r="L113" t="s">
        <v>28</v>
      </c>
      <c r="M113">
        <v>14.7315</v>
      </c>
      <c r="N113">
        <v>7.8</v>
      </c>
    </row>
    <row r="114" spans="1:14" x14ac:dyDescent="0.25">
      <c r="A114" t="s">
        <v>143</v>
      </c>
      <c r="B114" t="s">
        <v>37</v>
      </c>
      <c r="C114" t="s">
        <v>38</v>
      </c>
      <c r="D114" t="s">
        <v>22</v>
      </c>
      <c r="E114" t="s">
        <v>16</v>
      </c>
      <c r="F114" t="s">
        <v>41</v>
      </c>
      <c r="G114" t="s">
        <v>1039</v>
      </c>
      <c r="H114" t="s">
        <v>1042</v>
      </c>
      <c r="I114" s="1">
        <v>43511</v>
      </c>
      <c r="J114" t="s">
        <v>1045</v>
      </c>
      <c r="K114" s="5">
        <v>0.53055555555555556</v>
      </c>
      <c r="L114" t="s">
        <v>24</v>
      </c>
      <c r="M114">
        <v>25.494</v>
      </c>
      <c r="N114">
        <v>8.4</v>
      </c>
    </row>
    <row r="115" spans="1:14" x14ac:dyDescent="0.25">
      <c r="A115" t="s">
        <v>144</v>
      </c>
      <c r="B115" t="s">
        <v>13</v>
      </c>
      <c r="C115" t="s">
        <v>14</v>
      </c>
      <c r="D115" t="s">
        <v>15</v>
      </c>
      <c r="E115" t="s">
        <v>26</v>
      </c>
      <c r="F115" t="s">
        <v>27</v>
      </c>
      <c r="G115" t="s">
        <v>1036</v>
      </c>
      <c r="H115" t="s">
        <v>1041</v>
      </c>
      <c r="I115" s="1">
        <v>43484</v>
      </c>
      <c r="J115" t="s">
        <v>1046</v>
      </c>
      <c r="K115" s="5">
        <v>0.83819444444444446</v>
      </c>
      <c r="L115" t="s">
        <v>18</v>
      </c>
      <c r="M115">
        <v>26.131499999999999</v>
      </c>
      <c r="N115">
        <v>4.3</v>
      </c>
    </row>
    <row r="116" spans="1:14" x14ac:dyDescent="0.25">
      <c r="A116" t="s">
        <v>145</v>
      </c>
      <c r="B116" t="s">
        <v>20</v>
      </c>
      <c r="C116" t="s">
        <v>21</v>
      </c>
      <c r="D116" t="s">
        <v>15</v>
      </c>
      <c r="E116" t="s">
        <v>16</v>
      </c>
      <c r="F116" t="s">
        <v>27</v>
      </c>
      <c r="G116" t="s">
        <v>1037</v>
      </c>
      <c r="H116" t="s">
        <v>1042</v>
      </c>
      <c r="I116" s="1">
        <v>43497</v>
      </c>
      <c r="J116" t="s">
        <v>1046</v>
      </c>
      <c r="K116" s="5">
        <v>0.85486111111111107</v>
      </c>
      <c r="L116" t="s">
        <v>28</v>
      </c>
      <c r="M116">
        <v>36.355499999999999</v>
      </c>
      <c r="N116">
        <v>9.5</v>
      </c>
    </row>
    <row r="117" spans="1:14" x14ac:dyDescent="0.25">
      <c r="A117" t="s">
        <v>146</v>
      </c>
      <c r="B117" t="s">
        <v>20</v>
      </c>
      <c r="C117" t="s">
        <v>21</v>
      </c>
      <c r="D117" t="s">
        <v>22</v>
      </c>
      <c r="E117" t="s">
        <v>16</v>
      </c>
      <c r="F117" t="s">
        <v>41</v>
      </c>
      <c r="G117" t="s">
        <v>1035</v>
      </c>
      <c r="H117" t="s">
        <v>1043</v>
      </c>
      <c r="I117" s="1">
        <v>43526</v>
      </c>
      <c r="J117" t="s">
        <v>1045</v>
      </c>
      <c r="K117" s="5">
        <v>0.54236111111111118</v>
      </c>
      <c r="L117" t="s">
        <v>28</v>
      </c>
      <c r="M117">
        <v>4.0529999999999999</v>
      </c>
      <c r="N117">
        <v>7.1</v>
      </c>
    </row>
    <row r="118" spans="1:14" x14ac:dyDescent="0.25">
      <c r="A118" t="s">
        <v>147</v>
      </c>
      <c r="B118" t="s">
        <v>37</v>
      </c>
      <c r="C118" t="s">
        <v>38</v>
      </c>
      <c r="D118" t="s">
        <v>15</v>
      </c>
      <c r="E118" t="s">
        <v>26</v>
      </c>
      <c r="F118" t="s">
        <v>41</v>
      </c>
      <c r="G118" t="s">
        <v>1035</v>
      </c>
      <c r="H118" t="s">
        <v>1043</v>
      </c>
      <c r="I118" s="1">
        <v>43529</v>
      </c>
      <c r="J118" t="s">
        <v>1045</v>
      </c>
      <c r="K118" s="5">
        <v>0.52013888888888882</v>
      </c>
      <c r="L118" t="s">
        <v>18</v>
      </c>
      <c r="M118">
        <v>5.4850000000000003</v>
      </c>
      <c r="N118">
        <v>5.3</v>
      </c>
    </row>
    <row r="119" spans="1:14" x14ac:dyDescent="0.25">
      <c r="A119" t="s">
        <v>148</v>
      </c>
      <c r="B119" t="s">
        <v>37</v>
      </c>
      <c r="C119" t="s">
        <v>38</v>
      </c>
      <c r="D119" t="s">
        <v>15</v>
      </c>
      <c r="E119" t="s">
        <v>26</v>
      </c>
      <c r="F119" t="s">
        <v>41</v>
      </c>
      <c r="G119" t="s">
        <v>1035</v>
      </c>
      <c r="H119" t="s">
        <v>1041</v>
      </c>
      <c r="I119" s="1">
        <v>43481</v>
      </c>
      <c r="J119" t="s">
        <v>1045</v>
      </c>
      <c r="K119" s="5">
        <v>0.6430555555555556</v>
      </c>
      <c r="L119" t="s">
        <v>18</v>
      </c>
      <c r="M119">
        <v>2.5680000000000001</v>
      </c>
      <c r="N119">
        <v>5.2</v>
      </c>
    </row>
    <row r="120" spans="1:14" x14ac:dyDescent="0.25">
      <c r="A120" t="s">
        <v>149</v>
      </c>
      <c r="B120" t="s">
        <v>13</v>
      </c>
      <c r="C120" t="s">
        <v>14</v>
      </c>
      <c r="D120" t="s">
        <v>22</v>
      </c>
      <c r="E120" t="s">
        <v>16</v>
      </c>
      <c r="F120" t="s">
        <v>39</v>
      </c>
      <c r="G120" t="s">
        <v>1038</v>
      </c>
      <c r="H120" t="s">
        <v>1042</v>
      </c>
      <c r="I120" s="1">
        <v>43498</v>
      </c>
      <c r="J120" t="s">
        <v>1046</v>
      </c>
      <c r="K120" s="5">
        <v>0.8666666666666667</v>
      </c>
      <c r="L120" t="s">
        <v>18</v>
      </c>
      <c r="M120">
        <v>5.48</v>
      </c>
      <c r="N120">
        <v>6</v>
      </c>
    </row>
    <row r="121" spans="1:14" x14ac:dyDescent="0.25">
      <c r="A121" t="s">
        <v>150</v>
      </c>
      <c r="B121" t="s">
        <v>37</v>
      </c>
      <c r="C121" t="s">
        <v>38</v>
      </c>
      <c r="D121" t="s">
        <v>22</v>
      </c>
      <c r="E121" t="s">
        <v>26</v>
      </c>
      <c r="F121" t="s">
        <v>27</v>
      </c>
      <c r="G121" t="s">
        <v>1036</v>
      </c>
      <c r="H121" t="s">
        <v>1041</v>
      </c>
      <c r="I121" s="1">
        <v>43485</v>
      </c>
      <c r="J121" t="s">
        <v>1046</v>
      </c>
      <c r="K121" s="5">
        <v>0.85972222222222217</v>
      </c>
      <c r="L121" t="s">
        <v>18</v>
      </c>
      <c r="M121">
        <v>5.3440000000000003</v>
      </c>
      <c r="N121">
        <v>4.0999999999999996</v>
      </c>
    </row>
    <row r="122" spans="1:14" x14ac:dyDescent="0.25">
      <c r="A122" t="s">
        <v>151</v>
      </c>
      <c r="B122" t="s">
        <v>13</v>
      </c>
      <c r="C122" t="s">
        <v>14</v>
      </c>
      <c r="D122" t="s">
        <v>22</v>
      </c>
      <c r="E122" t="s">
        <v>16</v>
      </c>
      <c r="F122" t="s">
        <v>23</v>
      </c>
      <c r="G122" t="s">
        <v>1039</v>
      </c>
      <c r="H122" t="s">
        <v>1042</v>
      </c>
      <c r="I122" s="1">
        <v>43510</v>
      </c>
      <c r="J122" t="s">
        <v>1046</v>
      </c>
      <c r="K122" s="5">
        <v>0.7104166666666667</v>
      </c>
      <c r="L122" t="s">
        <v>28</v>
      </c>
      <c r="M122">
        <v>39.823999999999998</v>
      </c>
      <c r="N122">
        <v>5.2</v>
      </c>
    </row>
    <row r="123" spans="1:14" x14ac:dyDescent="0.25">
      <c r="A123" t="s">
        <v>152</v>
      </c>
      <c r="B123" t="s">
        <v>20</v>
      </c>
      <c r="C123" t="s">
        <v>21</v>
      </c>
      <c r="D123" t="s">
        <v>15</v>
      </c>
      <c r="E123" t="s">
        <v>26</v>
      </c>
      <c r="F123" t="s">
        <v>31</v>
      </c>
      <c r="G123" t="s">
        <v>1035</v>
      </c>
      <c r="H123" t="s">
        <v>1041</v>
      </c>
      <c r="I123" s="1">
        <v>43477</v>
      </c>
      <c r="J123" t="s">
        <v>1045</v>
      </c>
      <c r="K123" s="5">
        <v>0.50138888888888888</v>
      </c>
      <c r="L123" t="s">
        <v>28</v>
      </c>
      <c r="M123">
        <v>19.992000000000001</v>
      </c>
      <c r="N123">
        <v>6.5</v>
      </c>
    </row>
    <row r="124" spans="1:14" x14ac:dyDescent="0.25">
      <c r="A124" t="s">
        <v>153</v>
      </c>
      <c r="B124" t="s">
        <v>37</v>
      </c>
      <c r="C124" t="s">
        <v>38</v>
      </c>
      <c r="D124" t="s">
        <v>15</v>
      </c>
      <c r="E124" t="s">
        <v>26</v>
      </c>
      <c r="F124" t="s">
        <v>31</v>
      </c>
      <c r="G124" t="s">
        <v>1036</v>
      </c>
      <c r="H124" t="s">
        <v>1043</v>
      </c>
      <c r="I124" s="1">
        <v>43533</v>
      </c>
      <c r="J124" t="s">
        <v>1046</v>
      </c>
      <c r="K124" s="5">
        <v>0.72638888888888886</v>
      </c>
      <c r="L124" t="s">
        <v>28</v>
      </c>
      <c r="M124">
        <v>44.981999999999999</v>
      </c>
      <c r="N124">
        <v>4.2</v>
      </c>
    </row>
    <row r="125" spans="1:14" x14ac:dyDescent="0.25">
      <c r="A125" t="s">
        <v>154</v>
      </c>
      <c r="B125" t="s">
        <v>20</v>
      </c>
      <c r="C125" t="s">
        <v>21</v>
      </c>
      <c r="D125" t="s">
        <v>15</v>
      </c>
      <c r="E125" t="s">
        <v>26</v>
      </c>
      <c r="F125" t="s">
        <v>27</v>
      </c>
      <c r="G125" t="s">
        <v>1036</v>
      </c>
      <c r="H125" t="s">
        <v>1043</v>
      </c>
      <c r="I125" s="1">
        <v>43537</v>
      </c>
      <c r="J125" t="s">
        <v>1046</v>
      </c>
      <c r="K125" s="5">
        <v>0.82777777777777783</v>
      </c>
      <c r="L125" t="s">
        <v>28</v>
      </c>
      <c r="M125">
        <v>25.564</v>
      </c>
      <c r="N125">
        <v>4.5999999999999996</v>
      </c>
    </row>
    <row r="126" spans="1:14" x14ac:dyDescent="0.25">
      <c r="A126" t="s">
        <v>155</v>
      </c>
      <c r="B126" t="s">
        <v>37</v>
      </c>
      <c r="C126" t="s">
        <v>38</v>
      </c>
      <c r="D126" t="s">
        <v>15</v>
      </c>
      <c r="E126" t="s">
        <v>16</v>
      </c>
      <c r="F126" t="s">
        <v>41</v>
      </c>
      <c r="G126" t="s">
        <v>1036</v>
      </c>
      <c r="H126" t="s">
        <v>1043</v>
      </c>
      <c r="I126" s="1">
        <v>43533</v>
      </c>
      <c r="J126" t="s">
        <v>1045</v>
      </c>
      <c r="K126" s="5">
        <v>0.62291666666666667</v>
      </c>
      <c r="L126" t="s">
        <v>18</v>
      </c>
      <c r="M126">
        <v>22.588000000000001</v>
      </c>
      <c r="N126">
        <v>7.3</v>
      </c>
    </row>
    <row r="127" spans="1:14" x14ac:dyDescent="0.25">
      <c r="A127" t="s">
        <v>156</v>
      </c>
      <c r="B127" t="s">
        <v>13</v>
      </c>
      <c r="C127" t="s">
        <v>14</v>
      </c>
      <c r="D127" t="s">
        <v>22</v>
      </c>
      <c r="E127" t="s">
        <v>16</v>
      </c>
      <c r="F127" t="s">
        <v>27</v>
      </c>
      <c r="G127" t="s">
        <v>1036</v>
      </c>
      <c r="H127" t="s">
        <v>1043</v>
      </c>
      <c r="I127" s="1">
        <v>43534</v>
      </c>
      <c r="J127" t="s">
        <v>1046</v>
      </c>
      <c r="K127" s="5">
        <v>0.78055555555555556</v>
      </c>
      <c r="L127" t="s">
        <v>28</v>
      </c>
      <c r="M127">
        <v>32.791499999999999</v>
      </c>
      <c r="N127">
        <v>4.5</v>
      </c>
    </row>
    <row r="128" spans="1:14" x14ac:dyDescent="0.25">
      <c r="A128" t="s">
        <v>157</v>
      </c>
      <c r="B128" t="s">
        <v>13</v>
      </c>
      <c r="C128" t="s">
        <v>14</v>
      </c>
      <c r="D128" t="s">
        <v>22</v>
      </c>
      <c r="E128" t="s">
        <v>16</v>
      </c>
      <c r="F128" t="s">
        <v>31</v>
      </c>
      <c r="G128" t="s">
        <v>1037</v>
      </c>
      <c r="H128" t="s">
        <v>1041</v>
      </c>
      <c r="I128" s="1">
        <v>43492</v>
      </c>
      <c r="J128" t="s">
        <v>1045</v>
      </c>
      <c r="K128" s="5">
        <v>0.55972222222222223</v>
      </c>
      <c r="L128" t="s">
        <v>24</v>
      </c>
      <c r="M128">
        <v>8.0625</v>
      </c>
      <c r="N128">
        <v>9</v>
      </c>
    </row>
    <row r="129" spans="1:14" x14ac:dyDescent="0.25">
      <c r="A129" t="s">
        <v>158</v>
      </c>
      <c r="B129" t="s">
        <v>20</v>
      </c>
      <c r="C129" t="s">
        <v>21</v>
      </c>
      <c r="D129" t="s">
        <v>22</v>
      </c>
      <c r="E129" t="s">
        <v>16</v>
      </c>
      <c r="F129" t="s">
        <v>41</v>
      </c>
      <c r="G129" t="s">
        <v>1034</v>
      </c>
      <c r="H129" t="s">
        <v>1041</v>
      </c>
      <c r="I129" s="1">
        <v>43473</v>
      </c>
      <c r="J129" t="s">
        <v>1046</v>
      </c>
      <c r="K129" s="5">
        <v>0.67847222222222225</v>
      </c>
      <c r="L129" t="s">
        <v>28</v>
      </c>
      <c r="M129">
        <v>14.278499999999999</v>
      </c>
      <c r="N129">
        <v>5.9</v>
      </c>
    </row>
    <row r="130" spans="1:14" x14ac:dyDescent="0.25">
      <c r="A130" t="s">
        <v>159</v>
      </c>
      <c r="B130" t="s">
        <v>20</v>
      </c>
      <c r="C130" t="s">
        <v>21</v>
      </c>
      <c r="D130" t="s">
        <v>15</v>
      </c>
      <c r="E130" t="s">
        <v>16</v>
      </c>
      <c r="F130" t="s">
        <v>39</v>
      </c>
      <c r="G130" t="s">
        <v>1034</v>
      </c>
      <c r="H130" t="s">
        <v>1041</v>
      </c>
      <c r="I130" s="1">
        <v>43473</v>
      </c>
      <c r="J130" t="s">
        <v>1045</v>
      </c>
      <c r="K130" s="5">
        <v>0.6645833333333333</v>
      </c>
      <c r="L130" t="s">
        <v>18</v>
      </c>
      <c r="M130">
        <v>27.416</v>
      </c>
      <c r="N130">
        <v>8.5</v>
      </c>
    </row>
    <row r="131" spans="1:14" x14ac:dyDescent="0.25">
      <c r="A131" t="s">
        <v>160</v>
      </c>
      <c r="B131" t="s">
        <v>37</v>
      </c>
      <c r="C131" t="s">
        <v>38</v>
      </c>
      <c r="D131" t="s">
        <v>22</v>
      </c>
      <c r="E131" t="s">
        <v>16</v>
      </c>
      <c r="F131" t="s">
        <v>31</v>
      </c>
      <c r="G131" t="s">
        <v>1038</v>
      </c>
      <c r="H131" t="s">
        <v>1042</v>
      </c>
      <c r="I131" s="1">
        <v>43504</v>
      </c>
      <c r="J131" t="s">
        <v>1044</v>
      </c>
      <c r="K131" s="5">
        <v>0.46875</v>
      </c>
      <c r="L131" t="s">
        <v>18</v>
      </c>
      <c r="M131">
        <v>40.625999999999998</v>
      </c>
      <c r="N131">
        <v>7.2</v>
      </c>
    </row>
    <row r="132" spans="1:14" x14ac:dyDescent="0.25">
      <c r="A132" t="s">
        <v>161</v>
      </c>
      <c r="B132" t="s">
        <v>37</v>
      </c>
      <c r="C132" t="s">
        <v>38</v>
      </c>
      <c r="D132" t="s">
        <v>22</v>
      </c>
      <c r="E132" t="s">
        <v>16</v>
      </c>
      <c r="F132" t="s">
        <v>41</v>
      </c>
      <c r="G132" t="s">
        <v>1036</v>
      </c>
      <c r="H132" t="s">
        <v>1041</v>
      </c>
      <c r="I132" s="1">
        <v>43490</v>
      </c>
      <c r="J132" t="s">
        <v>1045</v>
      </c>
      <c r="K132" s="5">
        <v>0.5541666666666667</v>
      </c>
      <c r="L132" t="s">
        <v>24</v>
      </c>
      <c r="M132">
        <v>13.867000000000001</v>
      </c>
      <c r="N132">
        <v>7.5</v>
      </c>
    </row>
    <row r="133" spans="1:14" x14ac:dyDescent="0.25">
      <c r="A133" t="s">
        <v>162</v>
      </c>
      <c r="B133" t="s">
        <v>13</v>
      </c>
      <c r="C133" t="s">
        <v>14</v>
      </c>
      <c r="D133" t="s">
        <v>15</v>
      </c>
      <c r="E133" t="s">
        <v>16</v>
      </c>
      <c r="F133" t="s">
        <v>31</v>
      </c>
      <c r="G133" t="s">
        <v>1035</v>
      </c>
      <c r="H133" t="s">
        <v>1043</v>
      </c>
      <c r="I133" s="1">
        <v>43530</v>
      </c>
      <c r="J133" t="s">
        <v>1046</v>
      </c>
      <c r="K133" s="5">
        <v>0.8569444444444444</v>
      </c>
      <c r="L133" t="s">
        <v>24</v>
      </c>
      <c r="M133">
        <v>27.638999999999999</v>
      </c>
      <c r="N133">
        <v>8.3000000000000007</v>
      </c>
    </row>
    <row r="134" spans="1:14" x14ac:dyDescent="0.25">
      <c r="A134" t="s">
        <v>163</v>
      </c>
      <c r="B134" t="s">
        <v>37</v>
      </c>
      <c r="C134" t="s">
        <v>38</v>
      </c>
      <c r="D134" t="s">
        <v>22</v>
      </c>
      <c r="E134" t="s">
        <v>16</v>
      </c>
      <c r="F134" t="s">
        <v>31</v>
      </c>
      <c r="G134" t="s">
        <v>1039</v>
      </c>
      <c r="H134" t="s">
        <v>1042</v>
      </c>
      <c r="I134" s="1">
        <v>43506</v>
      </c>
      <c r="J134" t="s">
        <v>1046</v>
      </c>
      <c r="K134" s="5">
        <v>0.77500000000000002</v>
      </c>
      <c r="L134" t="s">
        <v>24</v>
      </c>
      <c r="M134">
        <v>6.968</v>
      </c>
      <c r="N134">
        <v>7.4</v>
      </c>
    </row>
    <row r="135" spans="1:14" x14ac:dyDescent="0.25">
      <c r="A135" t="s">
        <v>164</v>
      </c>
      <c r="B135" t="s">
        <v>37</v>
      </c>
      <c r="C135" t="s">
        <v>38</v>
      </c>
      <c r="D135" t="s">
        <v>15</v>
      </c>
      <c r="E135" t="s">
        <v>26</v>
      </c>
      <c r="F135" t="s">
        <v>23</v>
      </c>
      <c r="G135" t="s">
        <v>1040</v>
      </c>
      <c r="H135" t="s">
        <v>1042</v>
      </c>
      <c r="I135" s="1">
        <v>43513</v>
      </c>
      <c r="J135" t="s">
        <v>1045</v>
      </c>
      <c r="K135" s="5">
        <v>0.61111111111111105</v>
      </c>
      <c r="L135" t="s">
        <v>28</v>
      </c>
      <c r="M135">
        <v>26.234999999999999</v>
      </c>
      <c r="N135">
        <v>8.8000000000000007</v>
      </c>
    </row>
    <row r="136" spans="1:14" x14ac:dyDescent="0.25">
      <c r="A136" t="s">
        <v>165</v>
      </c>
      <c r="B136" t="s">
        <v>20</v>
      </c>
      <c r="C136" t="s">
        <v>21</v>
      </c>
      <c r="D136" t="s">
        <v>22</v>
      </c>
      <c r="E136" t="s">
        <v>16</v>
      </c>
      <c r="F136" t="s">
        <v>17</v>
      </c>
      <c r="G136" t="s">
        <v>1035</v>
      </c>
      <c r="H136" t="s">
        <v>1043</v>
      </c>
      <c r="I136" s="1">
        <v>43532</v>
      </c>
      <c r="J136" t="s">
        <v>1046</v>
      </c>
      <c r="K136" s="5">
        <v>0.69652777777777775</v>
      </c>
      <c r="L136" t="s">
        <v>18</v>
      </c>
      <c r="M136">
        <v>24.39</v>
      </c>
      <c r="N136">
        <v>5.3</v>
      </c>
    </row>
    <row r="137" spans="1:14" x14ac:dyDescent="0.25">
      <c r="A137" t="s">
        <v>166</v>
      </c>
      <c r="B137" t="s">
        <v>20</v>
      </c>
      <c r="C137" t="s">
        <v>21</v>
      </c>
      <c r="D137" t="s">
        <v>22</v>
      </c>
      <c r="E137" t="s">
        <v>26</v>
      </c>
      <c r="F137" t="s">
        <v>41</v>
      </c>
      <c r="G137" t="s">
        <v>1040</v>
      </c>
      <c r="H137" t="s">
        <v>1042</v>
      </c>
      <c r="I137" s="1">
        <v>43514</v>
      </c>
      <c r="J137" t="s">
        <v>1046</v>
      </c>
      <c r="K137" s="5">
        <v>0.81874999999999998</v>
      </c>
      <c r="L137" t="s">
        <v>24</v>
      </c>
      <c r="M137">
        <v>13.532999999999999</v>
      </c>
      <c r="N137">
        <v>6.2</v>
      </c>
    </row>
    <row r="138" spans="1:14" x14ac:dyDescent="0.25">
      <c r="A138" t="s">
        <v>167</v>
      </c>
      <c r="B138" t="s">
        <v>13</v>
      </c>
      <c r="C138" t="s">
        <v>14</v>
      </c>
      <c r="D138" t="s">
        <v>22</v>
      </c>
      <c r="E138" t="s">
        <v>16</v>
      </c>
      <c r="F138" t="s">
        <v>23</v>
      </c>
      <c r="G138" t="s">
        <v>1035</v>
      </c>
      <c r="H138" t="s">
        <v>1041</v>
      </c>
      <c r="I138" s="1">
        <v>43483</v>
      </c>
      <c r="J138" t="s">
        <v>1046</v>
      </c>
      <c r="K138" s="5">
        <v>0.87430555555555556</v>
      </c>
      <c r="L138" t="s">
        <v>28</v>
      </c>
      <c r="M138">
        <v>6.5774999999999997</v>
      </c>
      <c r="N138">
        <v>8.8000000000000007</v>
      </c>
    </row>
    <row r="139" spans="1:14" x14ac:dyDescent="0.25">
      <c r="A139" t="s">
        <v>168</v>
      </c>
      <c r="B139" t="s">
        <v>13</v>
      </c>
      <c r="C139" t="s">
        <v>14</v>
      </c>
      <c r="D139" t="s">
        <v>15</v>
      </c>
      <c r="E139" t="s">
        <v>16</v>
      </c>
      <c r="F139" t="s">
        <v>27</v>
      </c>
      <c r="G139" t="s">
        <v>1040</v>
      </c>
      <c r="H139" t="s">
        <v>1042</v>
      </c>
      <c r="I139" s="1">
        <v>43514</v>
      </c>
      <c r="J139" t="s">
        <v>1045</v>
      </c>
      <c r="K139" s="5">
        <v>0.65208333333333335</v>
      </c>
      <c r="L139" t="s">
        <v>24</v>
      </c>
      <c r="M139">
        <v>10.326000000000001</v>
      </c>
      <c r="N139">
        <v>9.8000000000000007</v>
      </c>
    </row>
    <row r="140" spans="1:14" x14ac:dyDescent="0.25">
      <c r="A140" t="s">
        <v>169</v>
      </c>
      <c r="B140" t="s">
        <v>37</v>
      </c>
      <c r="C140" t="s">
        <v>38</v>
      </c>
      <c r="D140" t="s">
        <v>22</v>
      </c>
      <c r="E140" t="s">
        <v>26</v>
      </c>
      <c r="F140" t="s">
        <v>31</v>
      </c>
      <c r="G140" t="s">
        <v>1040</v>
      </c>
      <c r="H140" t="s">
        <v>1042</v>
      </c>
      <c r="I140" s="1">
        <v>43512</v>
      </c>
      <c r="J140" t="s">
        <v>1045</v>
      </c>
      <c r="K140" s="5">
        <v>0.51458333333333328</v>
      </c>
      <c r="L140" t="s">
        <v>24</v>
      </c>
      <c r="M140">
        <v>25.954999999999998</v>
      </c>
      <c r="N140">
        <v>8.1999999999999993</v>
      </c>
    </row>
    <row r="141" spans="1:14" x14ac:dyDescent="0.25">
      <c r="A141" t="s">
        <v>170</v>
      </c>
      <c r="B141" t="s">
        <v>13</v>
      </c>
      <c r="C141" t="s">
        <v>14</v>
      </c>
      <c r="D141" t="s">
        <v>22</v>
      </c>
      <c r="E141" t="s">
        <v>26</v>
      </c>
      <c r="F141" t="s">
        <v>31</v>
      </c>
      <c r="G141" t="s">
        <v>1037</v>
      </c>
      <c r="H141" t="s">
        <v>1043</v>
      </c>
      <c r="I141" s="1">
        <v>43540</v>
      </c>
      <c r="J141" t="s">
        <v>1046</v>
      </c>
      <c r="K141" s="5">
        <v>0.80902777777777779</v>
      </c>
      <c r="L141" t="s">
        <v>18</v>
      </c>
      <c r="M141">
        <v>29</v>
      </c>
      <c r="N141">
        <v>9.1999999999999993</v>
      </c>
    </row>
    <row r="142" spans="1:14" x14ac:dyDescent="0.25">
      <c r="A142" t="s">
        <v>171</v>
      </c>
      <c r="B142" t="s">
        <v>20</v>
      </c>
      <c r="C142" t="s">
        <v>21</v>
      </c>
      <c r="D142" t="s">
        <v>15</v>
      </c>
      <c r="E142" t="s">
        <v>16</v>
      </c>
      <c r="F142" t="s">
        <v>31</v>
      </c>
      <c r="G142" t="s">
        <v>1036</v>
      </c>
      <c r="H142" t="s">
        <v>1041</v>
      </c>
      <c r="I142" s="1">
        <v>43488</v>
      </c>
      <c r="J142" t="s">
        <v>1045</v>
      </c>
      <c r="K142" s="5">
        <v>0.54166666666666663</v>
      </c>
      <c r="L142" t="s">
        <v>28</v>
      </c>
      <c r="M142">
        <v>44.9</v>
      </c>
      <c r="N142">
        <v>5.4</v>
      </c>
    </row>
    <row r="143" spans="1:14" x14ac:dyDescent="0.25">
      <c r="A143" t="s">
        <v>172</v>
      </c>
      <c r="B143" t="s">
        <v>20</v>
      </c>
      <c r="C143" t="s">
        <v>21</v>
      </c>
      <c r="D143" t="s">
        <v>15</v>
      </c>
      <c r="E143" t="s">
        <v>26</v>
      </c>
      <c r="F143" t="s">
        <v>17</v>
      </c>
      <c r="G143" t="s">
        <v>1036</v>
      </c>
      <c r="H143" t="s">
        <v>1041</v>
      </c>
      <c r="I143" s="1">
        <v>43490</v>
      </c>
      <c r="J143" t="s">
        <v>1045</v>
      </c>
      <c r="K143" s="5">
        <v>0.57500000000000007</v>
      </c>
      <c r="L143" t="s">
        <v>24</v>
      </c>
      <c r="M143">
        <v>45.25</v>
      </c>
      <c r="N143">
        <v>8.1</v>
      </c>
    </row>
    <row r="144" spans="1:14" x14ac:dyDescent="0.25">
      <c r="A144" t="s">
        <v>173</v>
      </c>
      <c r="B144" t="s">
        <v>20</v>
      </c>
      <c r="C144" t="s">
        <v>21</v>
      </c>
      <c r="D144" t="s">
        <v>15</v>
      </c>
      <c r="E144" t="s">
        <v>16</v>
      </c>
      <c r="F144" t="s">
        <v>17</v>
      </c>
      <c r="G144" t="s">
        <v>1038</v>
      </c>
      <c r="H144" t="s">
        <v>1042</v>
      </c>
      <c r="I144" s="1">
        <v>43501</v>
      </c>
      <c r="J144" t="s">
        <v>1046</v>
      </c>
      <c r="K144" s="5">
        <v>0.83124999999999993</v>
      </c>
      <c r="L144" t="s">
        <v>24</v>
      </c>
      <c r="M144">
        <v>34.299999999999997</v>
      </c>
      <c r="N144">
        <v>9.1</v>
      </c>
    </row>
    <row r="145" spans="1:14" x14ac:dyDescent="0.25">
      <c r="A145" t="s">
        <v>174</v>
      </c>
      <c r="B145" t="s">
        <v>20</v>
      </c>
      <c r="C145" t="s">
        <v>21</v>
      </c>
      <c r="D145" t="s">
        <v>15</v>
      </c>
      <c r="E145" t="s">
        <v>16</v>
      </c>
      <c r="F145" t="s">
        <v>39</v>
      </c>
      <c r="G145" t="s">
        <v>1040</v>
      </c>
      <c r="H145" t="s">
        <v>1042</v>
      </c>
      <c r="I145" s="1">
        <v>43518</v>
      </c>
      <c r="J145" t="s">
        <v>1044</v>
      </c>
      <c r="K145" s="5">
        <v>0.44166666666666665</v>
      </c>
      <c r="L145" t="s">
        <v>28</v>
      </c>
      <c r="M145">
        <v>1.5205</v>
      </c>
      <c r="N145">
        <v>8.4</v>
      </c>
    </row>
    <row r="146" spans="1:14" x14ac:dyDescent="0.25">
      <c r="A146" t="s">
        <v>175</v>
      </c>
      <c r="B146" t="s">
        <v>13</v>
      </c>
      <c r="C146" t="s">
        <v>14</v>
      </c>
      <c r="D146" t="s">
        <v>22</v>
      </c>
      <c r="E146" t="s">
        <v>16</v>
      </c>
      <c r="F146" t="s">
        <v>27</v>
      </c>
      <c r="G146" t="s">
        <v>1036</v>
      </c>
      <c r="H146" t="s">
        <v>1041</v>
      </c>
      <c r="I146" s="1">
        <v>43486</v>
      </c>
      <c r="J146" t="s">
        <v>1046</v>
      </c>
      <c r="K146" s="5">
        <v>0.69236111111111109</v>
      </c>
      <c r="L146" t="s">
        <v>18</v>
      </c>
      <c r="M146">
        <v>23.385000000000002</v>
      </c>
      <c r="N146">
        <v>8</v>
      </c>
    </row>
    <row r="147" spans="1:14" x14ac:dyDescent="0.25">
      <c r="A147" t="s">
        <v>176</v>
      </c>
      <c r="B147" t="s">
        <v>20</v>
      </c>
      <c r="C147" t="s">
        <v>21</v>
      </c>
      <c r="D147" t="s">
        <v>22</v>
      </c>
      <c r="E147" t="s">
        <v>16</v>
      </c>
      <c r="F147" t="s">
        <v>17</v>
      </c>
      <c r="G147" t="s">
        <v>1035</v>
      </c>
      <c r="H147" t="s">
        <v>1043</v>
      </c>
      <c r="I147" s="1">
        <v>43532</v>
      </c>
      <c r="J147" t="s">
        <v>1046</v>
      </c>
      <c r="K147" s="5">
        <v>0.71597222222222223</v>
      </c>
      <c r="L147" t="s">
        <v>28</v>
      </c>
      <c r="M147">
        <v>13.878</v>
      </c>
      <c r="N147">
        <v>9.5</v>
      </c>
    </row>
    <row r="148" spans="1:14" x14ac:dyDescent="0.25">
      <c r="A148" t="s">
        <v>177</v>
      </c>
      <c r="B148" t="s">
        <v>13</v>
      </c>
      <c r="C148" t="s">
        <v>14</v>
      </c>
      <c r="D148" t="s">
        <v>15</v>
      </c>
      <c r="E148" t="s">
        <v>16</v>
      </c>
      <c r="F148" t="s">
        <v>41</v>
      </c>
      <c r="G148" t="s">
        <v>1039</v>
      </c>
      <c r="H148" t="s">
        <v>1042</v>
      </c>
      <c r="I148" s="1">
        <v>43506</v>
      </c>
      <c r="J148" t="s">
        <v>1045</v>
      </c>
      <c r="K148" s="5">
        <v>0.51944444444444449</v>
      </c>
      <c r="L148" t="s">
        <v>18</v>
      </c>
      <c r="M148">
        <v>15.07</v>
      </c>
      <c r="N148">
        <v>9.1999999999999993</v>
      </c>
    </row>
    <row r="149" spans="1:14" x14ac:dyDescent="0.25">
      <c r="A149" t="s">
        <v>178</v>
      </c>
      <c r="B149" t="s">
        <v>20</v>
      </c>
      <c r="C149" t="s">
        <v>21</v>
      </c>
      <c r="D149" t="s">
        <v>22</v>
      </c>
      <c r="E149" t="s">
        <v>26</v>
      </c>
      <c r="F149" t="s">
        <v>17</v>
      </c>
      <c r="G149" t="s">
        <v>1037</v>
      </c>
      <c r="H149" t="s">
        <v>1043</v>
      </c>
      <c r="I149" s="1">
        <v>43543</v>
      </c>
      <c r="J149" t="s">
        <v>1045</v>
      </c>
      <c r="K149" s="5">
        <v>0.53194444444444444</v>
      </c>
      <c r="L149" t="s">
        <v>28</v>
      </c>
      <c r="M149">
        <v>13.228</v>
      </c>
      <c r="N149">
        <v>5.6</v>
      </c>
    </row>
    <row r="150" spans="1:14" x14ac:dyDescent="0.25">
      <c r="A150" t="s">
        <v>179</v>
      </c>
      <c r="B150" t="s">
        <v>37</v>
      </c>
      <c r="C150" t="s">
        <v>38</v>
      </c>
      <c r="D150" t="s">
        <v>15</v>
      </c>
      <c r="E150" t="s">
        <v>26</v>
      </c>
      <c r="F150" t="s">
        <v>27</v>
      </c>
      <c r="G150" t="s">
        <v>1035</v>
      </c>
      <c r="H150" t="s">
        <v>1043</v>
      </c>
      <c r="I150" s="1">
        <v>43530</v>
      </c>
      <c r="J150" t="s">
        <v>1045</v>
      </c>
      <c r="K150" s="5">
        <v>0.62986111111111109</v>
      </c>
      <c r="L150" t="s">
        <v>28</v>
      </c>
      <c r="M150">
        <v>28.744</v>
      </c>
      <c r="N150">
        <v>6.2</v>
      </c>
    </row>
    <row r="151" spans="1:14" x14ac:dyDescent="0.25">
      <c r="A151" t="s">
        <v>180</v>
      </c>
      <c r="B151" t="s">
        <v>13</v>
      </c>
      <c r="C151" t="s">
        <v>14</v>
      </c>
      <c r="D151" t="s">
        <v>22</v>
      </c>
      <c r="E151" t="s">
        <v>26</v>
      </c>
      <c r="F151" t="s">
        <v>17</v>
      </c>
      <c r="G151" t="s">
        <v>1038</v>
      </c>
      <c r="H151" t="s">
        <v>1043</v>
      </c>
      <c r="I151" s="1">
        <v>43551</v>
      </c>
      <c r="J151" t="s">
        <v>1045</v>
      </c>
      <c r="K151" s="5">
        <v>0.57500000000000007</v>
      </c>
      <c r="L151" t="s">
        <v>28</v>
      </c>
      <c r="M151">
        <v>12.984</v>
      </c>
      <c r="N151">
        <v>4.9000000000000004</v>
      </c>
    </row>
    <row r="152" spans="1:14" x14ac:dyDescent="0.25">
      <c r="A152" t="s">
        <v>181</v>
      </c>
      <c r="B152" t="s">
        <v>37</v>
      </c>
      <c r="C152" t="s">
        <v>38</v>
      </c>
      <c r="D152" t="s">
        <v>15</v>
      </c>
      <c r="E152" t="s">
        <v>16</v>
      </c>
      <c r="F152" t="s">
        <v>41</v>
      </c>
      <c r="G152" t="s">
        <v>1038</v>
      </c>
      <c r="H152" t="s">
        <v>1043</v>
      </c>
      <c r="I152" s="1">
        <v>43547</v>
      </c>
      <c r="J152" t="s">
        <v>1046</v>
      </c>
      <c r="K152" s="5">
        <v>0.80555555555555547</v>
      </c>
      <c r="L152" t="s">
        <v>28</v>
      </c>
      <c r="M152">
        <v>18.308</v>
      </c>
      <c r="N152">
        <v>4.8</v>
      </c>
    </row>
    <row r="153" spans="1:14" x14ac:dyDescent="0.25">
      <c r="A153" t="s">
        <v>182</v>
      </c>
      <c r="B153" t="s">
        <v>20</v>
      </c>
      <c r="C153" t="s">
        <v>21</v>
      </c>
      <c r="D153" t="s">
        <v>15</v>
      </c>
      <c r="E153" t="s">
        <v>26</v>
      </c>
      <c r="F153" t="s">
        <v>31</v>
      </c>
      <c r="G153" t="s">
        <v>1036</v>
      </c>
      <c r="H153" t="s">
        <v>1043</v>
      </c>
      <c r="I153" s="1">
        <v>43535</v>
      </c>
      <c r="J153" t="s">
        <v>1046</v>
      </c>
      <c r="K153" s="5">
        <v>0.67152777777777783</v>
      </c>
      <c r="L153" t="s">
        <v>28</v>
      </c>
      <c r="M153">
        <v>12.096</v>
      </c>
      <c r="N153">
        <v>7.3</v>
      </c>
    </row>
    <row r="154" spans="1:14" x14ac:dyDescent="0.25">
      <c r="A154" t="s">
        <v>183</v>
      </c>
      <c r="B154" t="s">
        <v>13</v>
      </c>
      <c r="C154" t="s">
        <v>14</v>
      </c>
      <c r="D154" t="s">
        <v>22</v>
      </c>
      <c r="E154" t="s">
        <v>26</v>
      </c>
      <c r="F154" t="s">
        <v>41</v>
      </c>
      <c r="G154" t="s">
        <v>1037</v>
      </c>
      <c r="H154" t="s">
        <v>1041</v>
      </c>
      <c r="I154" s="1">
        <v>43494</v>
      </c>
      <c r="J154" t="s">
        <v>1044</v>
      </c>
      <c r="K154" s="5">
        <v>0.49722222222222223</v>
      </c>
      <c r="L154" t="s">
        <v>28</v>
      </c>
      <c r="M154">
        <v>37.457999999999998</v>
      </c>
      <c r="N154">
        <v>7.4</v>
      </c>
    </row>
    <row r="155" spans="1:14" x14ac:dyDescent="0.25">
      <c r="A155" t="s">
        <v>184</v>
      </c>
      <c r="B155" t="s">
        <v>20</v>
      </c>
      <c r="C155" t="s">
        <v>21</v>
      </c>
      <c r="D155" t="s">
        <v>22</v>
      </c>
      <c r="E155" t="s">
        <v>16</v>
      </c>
      <c r="F155" t="s">
        <v>39</v>
      </c>
      <c r="G155" t="s">
        <v>1038</v>
      </c>
      <c r="H155" t="s">
        <v>1042</v>
      </c>
      <c r="I155" s="1">
        <v>43503</v>
      </c>
      <c r="J155" t="s">
        <v>1046</v>
      </c>
      <c r="K155" s="5">
        <v>0.76597222222222217</v>
      </c>
      <c r="L155" t="s">
        <v>18</v>
      </c>
      <c r="M155">
        <v>4.944</v>
      </c>
      <c r="N155">
        <v>9.9</v>
      </c>
    </row>
    <row r="156" spans="1:14" x14ac:dyDescent="0.25">
      <c r="A156" t="s">
        <v>185</v>
      </c>
      <c r="B156" t="s">
        <v>20</v>
      </c>
      <c r="C156" t="s">
        <v>21</v>
      </c>
      <c r="D156" t="s">
        <v>22</v>
      </c>
      <c r="E156" t="s">
        <v>16</v>
      </c>
      <c r="F156" t="s">
        <v>31</v>
      </c>
      <c r="G156" t="s">
        <v>1037</v>
      </c>
      <c r="H156" t="s">
        <v>1041</v>
      </c>
      <c r="I156" s="1">
        <v>43493</v>
      </c>
      <c r="J156" t="s">
        <v>1045</v>
      </c>
      <c r="K156" s="5">
        <v>0.54513888888888895</v>
      </c>
      <c r="L156" t="s">
        <v>24</v>
      </c>
      <c r="M156">
        <v>32.387999999999998</v>
      </c>
      <c r="N156">
        <v>9.3000000000000007</v>
      </c>
    </row>
    <row r="157" spans="1:14" x14ac:dyDescent="0.25">
      <c r="A157" t="s">
        <v>186</v>
      </c>
      <c r="B157" t="s">
        <v>13</v>
      </c>
      <c r="C157" t="s">
        <v>14</v>
      </c>
      <c r="D157" t="s">
        <v>15</v>
      </c>
      <c r="E157" t="s">
        <v>26</v>
      </c>
      <c r="F157" t="s">
        <v>39</v>
      </c>
      <c r="G157" t="s">
        <v>1040</v>
      </c>
      <c r="H157" t="s">
        <v>1042</v>
      </c>
      <c r="I157" s="1">
        <v>43516</v>
      </c>
      <c r="J157" t="s">
        <v>1045</v>
      </c>
      <c r="K157" s="5">
        <v>0.66319444444444442</v>
      </c>
      <c r="L157" t="s">
        <v>28</v>
      </c>
      <c r="M157">
        <v>23.072500000000002</v>
      </c>
      <c r="N157">
        <v>9</v>
      </c>
    </row>
    <row r="158" spans="1:14" x14ac:dyDescent="0.25">
      <c r="A158" t="s">
        <v>187</v>
      </c>
      <c r="B158" t="s">
        <v>37</v>
      </c>
      <c r="C158" t="s">
        <v>38</v>
      </c>
      <c r="D158" t="s">
        <v>15</v>
      </c>
      <c r="E158" t="s">
        <v>26</v>
      </c>
      <c r="F158" t="s">
        <v>23</v>
      </c>
      <c r="G158" t="s">
        <v>1040</v>
      </c>
      <c r="H158" t="s">
        <v>1041</v>
      </c>
      <c r="I158" s="1">
        <v>43469</v>
      </c>
      <c r="J158" t="s">
        <v>1046</v>
      </c>
      <c r="K158" s="5">
        <v>0.81944444444444453</v>
      </c>
      <c r="L158" t="s">
        <v>24</v>
      </c>
      <c r="M158">
        <v>3.6084999999999998</v>
      </c>
      <c r="N158">
        <v>6.1</v>
      </c>
    </row>
    <row r="159" spans="1:14" x14ac:dyDescent="0.25">
      <c r="A159" t="s">
        <v>188</v>
      </c>
      <c r="B159" t="s">
        <v>37</v>
      </c>
      <c r="C159" t="s">
        <v>38</v>
      </c>
      <c r="D159" t="s">
        <v>22</v>
      </c>
      <c r="E159" t="s">
        <v>26</v>
      </c>
      <c r="F159" t="s">
        <v>27</v>
      </c>
      <c r="G159" t="s">
        <v>1035</v>
      </c>
      <c r="H159" t="s">
        <v>1043</v>
      </c>
      <c r="I159" s="1">
        <v>43531</v>
      </c>
      <c r="J159" t="s">
        <v>1045</v>
      </c>
      <c r="K159" s="5">
        <v>0.58194444444444449</v>
      </c>
      <c r="L159" t="s">
        <v>18</v>
      </c>
      <c r="M159">
        <v>12.57</v>
      </c>
      <c r="N159">
        <v>9.6999999999999993</v>
      </c>
    </row>
    <row r="160" spans="1:14" x14ac:dyDescent="0.25">
      <c r="A160" t="s">
        <v>189</v>
      </c>
      <c r="B160" t="s">
        <v>37</v>
      </c>
      <c r="C160" t="s">
        <v>38</v>
      </c>
      <c r="D160" t="s">
        <v>15</v>
      </c>
      <c r="E160" t="s">
        <v>26</v>
      </c>
      <c r="F160" t="s">
        <v>17</v>
      </c>
      <c r="G160" t="s">
        <v>1039</v>
      </c>
      <c r="H160" t="s">
        <v>1043</v>
      </c>
      <c r="I160" s="1">
        <v>43554</v>
      </c>
      <c r="J160" t="s">
        <v>1045</v>
      </c>
      <c r="K160" s="5">
        <v>0.61319444444444449</v>
      </c>
      <c r="L160" t="s">
        <v>18</v>
      </c>
      <c r="M160">
        <v>43.749000000000002</v>
      </c>
      <c r="N160">
        <v>6</v>
      </c>
    </row>
    <row r="161" spans="1:14" x14ac:dyDescent="0.25">
      <c r="A161" t="s">
        <v>190</v>
      </c>
      <c r="B161" t="s">
        <v>37</v>
      </c>
      <c r="C161" t="s">
        <v>38</v>
      </c>
      <c r="D161" t="s">
        <v>22</v>
      </c>
      <c r="E161" t="s">
        <v>26</v>
      </c>
      <c r="F161" t="s">
        <v>31</v>
      </c>
      <c r="G161" t="s">
        <v>1038</v>
      </c>
      <c r="H161" t="s">
        <v>1043</v>
      </c>
      <c r="I161" s="1">
        <v>43551</v>
      </c>
      <c r="J161" t="s">
        <v>1046</v>
      </c>
      <c r="K161" s="5">
        <v>0.8041666666666667</v>
      </c>
      <c r="L161" t="s">
        <v>18</v>
      </c>
      <c r="M161">
        <v>28.016999999999999</v>
      </c>
      <c r="N161">
        <v>10</v>
      </c>
    </row>
    <row r="162" spans="1:14" x14ac:dyDescent="0.25">
      <c r="A162" t="s">
        <v>191</v>
      </c>
      <c r="B162" t="s">
        <v>20</v>
      </c>
      <c r="C162" t="s">
        <v>21</v>
      </c>
      <c r="D162" t="s">
        <v>22</v>
      </c>
      <c r="E162" t="s">
        <v>16</v>
      </c>
      <c r="F162" t="s">
        <v>39</v>
      </c>
      <c r="G162" t="s">
        <v>1036</v>
      </c>
      <c r="H162" t="s">
        <v>1041</v>
      </c>
      <c r="I162" s="1">
        <v>43484</v>
      </c>
      <c r="J162" t="s">
        <v>1046</v>
      </c>
      <c r="K162" s="5">
        <v>0.81874999999999998</v>
      </c>
      <c r="L162" t="s">
        <v>28</v>
      </c>
      <c r="M162">
        <v>17.271999999999998</v>
      </c>
      <c r="N162">
        <v>8.3000000000000007</v>
      </c>
    </row>
    <row r="163" spans="1:14" x14ac:dyDescent="0.25">
      <c r="A163" t="s">
        <v>192</v>
      </c>
      <c r="B163" t="s">
        <v>13</v>
      </c>
      <c r="C163" t="s">
        <v>14</v>
      </c>
      <c r="D163" t="s">
        <v>22</v>
      </c>
      <c r="E163" t="s">
        <v>26</v>
      </c>
      <c r="F163" t="s">
        <v>31</v>
      </c>
      <c r="G163" t="s">
        <v>1034</v>
      </c>
      <c r="H163" t="s">
        <v>1042</v>
      </c>
      <c r="I163" s="1">
        <v>43521</v>
      </c>
      <c r="J163" t="s">
        <v>1046</v>
      </c>
      <c r="K163" s="5">
        <v>0.68125000000000002</v>
      </c>
      <c r="L163" t="s">
        <v>24</v>
      </c>
      <c r="M163">
        <v>3.1844999999999999</v>
      </c>
      <c r="N163">
        <v>6</v>
      </c>
    </row>
    <row r="164" spans="1:14" x14ac:dyDescent="0.25">
      <c r="A164" t="s">
        <v>193</v>
      </c>
      <c r="B164" t="s">
        <v>13</v>
      </c>
      <c r="C164" t="s">
        <v>14</v>
      </c>
      <c r="D164" t="s">
        <v>22</v>
      </c>
      <c r="E164" t="s">
        <v>26</v>
      </c>
      <c r="F164" t="s">
        <v>39</v>
      </c>
      <c r="G164" t="s">
        <v>1036</v>
      </c>
      <c r="H164" t="s">
        <v>1043</v>
      </c>
      <c r="I164" s="1">
        <v>43537</v>
      </c>
      <c r="J164" t="s">
        <v>1046</v>
      </c>
      <c r="K164" s="5">
        <v>0.8222222222222223</v>
      </c>
      <c r="L164" t="s">
        <v>28</v>
      </c>
      <c r="M164">
        <v>16.026499999999999</v>
      </c>
      <c r="N164">
        <v>7</v>
      </c>
    </row>
    <row r="165" spans="1:14" x14ac:dyDescent="0.25">
      <c r="A165" t="s">
        <v>194</v>
      </c>
      <c r="B165" t="s">
        <v>20</v>
      </c>
      <c r="C165" t="s">
        <v>21</v>
      </c>
      <c r="D165" t="s">
        <v>22</v>
      </c>
      <c r="E165" t="s">
        <v>26</v>
      </c>
      <c r="F165" t="s">
        <v>31</v>
      </c>
      <c r="G165" t="s">
        <v>1037</v>
      </c>
      <c r="H165" t="s">
        <v>1041</v>
      </c>
      <c r="I165" s="1">
        <v>43495</v>
      </c>
      <c r="J165" t="s">
        <v>1046</v>
      </c>
      <c r="K165" s="5">
        <v>0.8208333333333333</v>
      </c>
      <c r="L165" t="s">
        <v>18</v>
      </c>
      <c r="M165">
        <v>7.64</v>
      </c>
      <c r="N165">
        <v>6.5</v>
      </c>
    </row>
    <row r="166" spans="1:14" x14ac:dyDescent="0.25">
      <c r="A166" t="s">
        <v>195</v>
      </c>
      <c r="B166" t="s">
        <v>37</v>
      </c>
      <c r="C166" t="s">
        <v>38</v>
      </c>
      <c r="D166" t="s">
        <v>22</v>
      </c>
      <c r="E166" t="s">
        <v>26</v>
      </c>
      <c r="F166" t="s">
        <v>39</v>
      </c>
      <c r="G166" t="s">
        <v>1040</v>
      </c>
      <c r="H166" t="s">
        <v>1042</v>
      </c>
      <c r="I166" s="1">
        <v>43516</v>
      </c>
      <c r="J166" t="s">
        <v>1045</v>
      </c>
      <c r="K166" s="5">
        <v>0.64166666666666672</v>
      </c>
      <c r="L166" t="s">
        <v>28</v>
      </c>
      <c r="M166">
        <v>19.95</v>
      </c>
      <c r="N166">
        <v>5.9</v>
      </c>
    </row>
    <row r="167" spans="1:14" x14ac:dyDescent="0.25">
      <c r="A167" t="s">
        <v>196</v>
      </c>
      <c r="B167" t="s">
        <v>37</v>
      </c>
      <c r="C167" t="s">
        <v>38</v>
      </c>
      <c r="D167" t="s">
        <v>15</v>
      </c>
      <c r="E167" t="s">
        <v>26</v>
      </c>
      <c r="F167" t="s">
        <v>17</v>
      </c>
      <c r="G167" t="s">
        <v>1034</v>
      </c>
      <c r="H167" t="s">
        <v>1042</v>
      </c>
      <c r="I167" s="1">
        <v>43521</v>
      </c>
      <c r="J167" t="s">
        <v>1045</v>
      </c>
      <c r="K167" s="5">
        <v>0.59166666666666667</v>
      </c>
      <c r="L167" t="s">
        <v>18</v>
      </c>
      <c r="M167">
        <v>17.027999999999999</v>
      </c>
      <c r="N167">
        <v>5.6</v>
      </c>
    </row>
    <row r="168" spans="1:14" x14ac:dyDescent="0.25">
      <c r="A168" t="s">
        <v>197</v>
      </c>
      <c r="B168" t="s">
        <v>20</v>
      </c>
      <c r="C168" t="s">
        <v>21</v>
      </c>
      <c r="D168" t="s">
        <v>22</v>
      </c>
      <c r="E168" t="s">
        <v>26</v>
      </c>
      <c r="F168" t="s">
        <v>27</v>
      </c>
      <c r="G168" t="s">
        <v>1035</v>
      </c>
      <c r="H168" t="s">
        <v>1041</v>
      </c>
      <c r="I168" s="1">
        <v>43481</v>
      </c>
      <c r="J168" t="s">
        <v>1045</v>
      </c>
      <c r="K168" s="5">
        <v>0.56388888888888888</v>
      </c>
      <c r="L168" t="s">
        <v>24</v>
      </c>
      <c r="M168">
        <v>47.79</v>
      </c>
      <c r="N168">
        <v>4.8</v>
      </c>
    </row>
    <row r="169" spans="1:14" x14ac:dyDescent="0.25">
      <c r="A169" t="s">
        <v>198</v>
      </c>
      <c r="B169" t="s">
        <v>13</v>
      </c>
      <c r="C169" t="s">
        <v>14</v>
      </c>
      <c r="D169" t="s">
        <v>22</v>
      </c>
      <c r="E169" t="s">
        <v>26</v>
      </c>
      <c r="F169" t="s">
        <v>41</v>
      </c>
      <c r="G169" t="s">
        <v>1038</v>
      </c>
      <c r="H169" t="s">
        <v>1042</v>
      </c>
      <c r="I169" s="1">
        <v>43504</v>
      </c>
      <c r="J169" t="s">
        <v>1046</v>
      </c>
      <c r="K169" s="5">
        <v>0.68055555555555547</v>
      </c>
      <c r="L169" t="s">
        <v>28</v>
      </c>
      <c r="M169">
        <v>49.49</v>
      </c>
      <c r="N169">
        <v>8.6999999999999993</v>
      </c>
    </row>
    <row r="170" spans="1:14" x14ac:dyDescent="0.25">
      <c r="A170" t="s">
        <v>199</v>
      </c>
      <c r="B170" t="s">
        <v>13</v>
      </c>
      <c r="C170" t="s">
        <v>14</v>
      </c>
      <c r="D170" t="s">
        <v>22</v>
      </c>
      <c r="E170" t="s">
        <v>26</v>
      </c>
      <c r="F170" t="s">
        <v>39</v>
      </c>
      <c r="G170" t="s">
        <v>1036</v>
      </c>
      <c r="H170" t="s">
        <v>1041</v>
      </c>
      <c r="I170" s="1">
        <v>43484</v>
      </c>
      <c r="J170" t="s">
        <v>1046</v>
      </c>
      <c r="K170" s="5">
        <v>0.68819444444444444</v>
      </c>
      <c r="L170" t="s">
        <v>24</v>
      </c>
      <c r="M170">
        <v>15.384</v>
      </c>
      <c r="N170">
        <v>6.5</v>
      </c>
    </row>
    <row r="171" spans="1:14" x14ac:dyDescent="0.25">
      <c r="A171" t="s">
        <v>200</v>
      </c>
      <c r="B171" t="s">
        <v>13</v>
      </c>
      <c r="C171" t="s">
        <v>14</v>
      </c>
      <c r="D171" t="s">
        <v>15</v>
      </c>
      <c r="E171" t="s">
        <v>26</v>
      </c>
      <c r="F171" t="s">
        <v>31</v>
      </c>
      <c r="G171" t="s">
        <v>1037</v>
      </c>
      <c r="H171" t="s">
        <v>1042</v>
      </c>
      <c r="I171" s="1">
        <v>43497</v>
      </c>
      <c r="J171" t="s">
        <v>1045</v>
      </c>
      <c r="K171" s="5">
        <v>0.63194444444444442</v>
      </c>
      <c r="L171" t="s">
        <v>28</v>
      </c>
      <c r="M171">
        <v>24.332000000000001</v>
      </c>
      <c r="N171">
        <v>8.5</v>
      </c>
    </row>
    <row r="172" spans="1:14" x14ac:dyDescent="0.25">
      <c r="A172" t="s">
        <v>201</v>
      </c>
      <c r="B172" t="s">
        <v>13</v>
      </c>
      <c r="C172" t="s">
        <v>14</v>
      </c>
      <c r="D172" t="s">
        <v>22</v>
      </c>
      <c r="E172" t="s">
        <v>26</v>
      </c>
      <c r="F172" t="s">
        <v>17</v>
      </c>
      <c r="G172" t="s">
        <v>1040</v>
      </c>
      <c r="H172" t="s">
        <v>1041</v>
      </c>
      <c r="I172" s="1">
        <v>43468</v>
      </c>
      <c r="J172" t="s">
        <v>1044</v>
      </c>
      <c r="K172" s="5">
        <v>0.48333333333333334</v>
      </c>
      <c r="L172" t="s">
        <v>18</v>
      </c>
      <c r="M172">
        <v>17.502500000000001</v>
      </c>
      <c r="N172">
        <v>5.5</v>
      </c>
    </row>
    <row r="173" spans="1:14" x14ac:dyDescent="0.25">
      <c r="A173" t="s">
        <v>202</v>
      </c>
      <c r="B173" t="s">
        <v>37</v>
      </c>
      <c r="C173" t="s">
        <v>38</v>
      </c>
      <c r="D173" t="s">
        <v>15</v>
      </c>
      <c r="E173" t="s">
        <v>26</v>
      </c>
      <c r="F173" t="s">
        <v>39</v>
      </c>
      <c r="G173" t="s">
        <v>1037</v>
      </c>
      <c r="H173" t="s">
        <v>1041</v>
      </c>
      <c r="I173" s="1">
        <v>43491</v>
      </c>
      <c r="J173" t="s">
        <v>1045</v>
      </c>
      <c r="K173" s="5">
        <v>0.53125</v>
      </c>
      <c r="L173" t="s">
        <v>28</v>
      </c>
      <c r="M173">
        <v>20.012499999999999</v>
      </c>
      <c r="N173">
        <v>9.4</v>
      </c>
    </row>
    <row r="174" spans="1:14" x14ac:dyDescent="0.25">
      <c r="A174" t="s">
        <v>203</v>
      </c>
      <c r="B174" t="s">
        <v>20</v>
      </c>
      <c r="C174" t="s">
        <v>21</v>
      </c>
      <c r="D174" t="s">
        <v>22</v>
      </c>
      <c r="E174" t="s">
        <v>26</v>
      </c>
      <c r="F174" t="s">
        <v>23</v>
      </c>
      <c r="G174" t="s">
        <v>1035</v>
      </c>
      <c r="H174" t="s">
        <v>1043</v>
      </c>
      <c r="I174" s="1">
        <v>43527</v>
      </c>
      <c r="J174" t="s">
        <v>1046</v>
      </c>
      <c r="K174" s="5">
        <v>0.80347222222222225</v>
      </c>
      <c r="L174" t="s">
        <v>24</v>
      </c>
      <c r="M174">
        <v>8.34</v>
      </c>
      <c r="N174">
        <v>6.3</v>
      </c>
    </row>
    <row r="175" spans="1:14" x14ac:dyDescent="0.25">
      <c r="A175" t="s">
        <v>204</v>
      </c>
      <c r="B175" t="s">
        <v>37</v>
      </c>
      <c r="C175" t="s">
        <v>38</v>
      </c>
      <c r="D175" t="s">
        <v>15</v>
      </c>
      <c r="E175" t="s">
        <v>26</v>
      </c>
      <c r="F175" t="s">
        <v>23</v>
      </c>
      <c r="G175" t="s">
        <v>1036</v>
      </c>
      <c r="H175" t="s">
        <v>1041</v>
      </c>
      <c r="I175" s="1">
        <v>43484</v>
      </c>
      <c r="J175" t="s">
        <v>1046</v>
      </c>
      <c r="K175" s="5">
        <v>0.7319444444444444</v>
      </c>
      <c r="L175" t="s">
        <v>28</v>
      </c>
      <c r="M175">
        <v>15.867000000000001</v>
      </c>
      <c r="N175">
        <v>9.8000000000000007</v>
      </c>
    </row>
    <row r="176" spans="1:14" x14ac:dyDescent="0.25">
      <c r="A176" t="s">
        <v>205</v>
      </c>
      <c r="B176" t="s">
        <v>37</v>
      </c>
      <c r="C176" t="s">
        <v>38</v>
      </c>
      <c r="D176" t="s">
        <v>22</v>
      </c>
      <c r="E176" t="s">
        <v>26</v>
      </c>
      <c r="F176" t="s">
        <v>39</v>
      </c>
      <c r="G176" t="s">
        <v>1035</v>
      </c>
      <c r="H176" t="s">
        <v>1041</v>
      </c>
      <c r="I176" s="1">
        <v>43483</v>
      </c>
      <c r="J176" t="s">
        <v>1045</v>
      </c>
      <c r="K176" s="5">
        <v>0.50277777777777777</v>
      </c>
      <c r="L176" t="s">
        <v>18</v>
      </c>
      <c r="M176">
        <v>7.9160000000000004</v>
      </c>
      <c r="N176">
        <v>8.6999999999999993</v>
      </c>
    </row>
    <row r="177" spans="1:14" x14ac:dyDescent="0.25">
      <c r="A177" t="s">
        <v>206</v>
      </c>
      <c r="B177" t="s">
        <v>13</v>
      </c>
      <c r="C177" t="s">
        <v>14</v>
      </c>
      <c r="D177" t="s">
        <v>15</v>
      </c>
      <c r="E177" t="s">
        <v>26</v>
      </c>
      <c r="F177" t="s">
        <v>27</v>
      </c>
      <c r="G177" t="s">
        <v>1037</v>
      </c>
      <c r="H177" t="s">
        <v>1043</v>
      </c>
      <c r="I177" s="1">
        <v>43545</v>
      </c>
      <c r="J177" t="s">
        <v>1046</v>
      </c>
      <c r="K177" s="5">
        <v>0.68125000000000002</v>
      </c>
      <c r="L177" t="s">
        <v>18</v>
      </c>
      <c r="M177">
        <v>15.228</v>
      </c>
      <c r="N177">
        <v>8.8000000000000007</v>
      </c>
    </row>
    <row r="178" spans="1:14" x14ac:dyDescent="0.25">
      <c r="A178" t="s">
        <v>207</v>
      </c>
      <c r="B178" t="s">
        <v>13</v>
      </c>
      <c r="C178" t="s">
        <v>14</v>
      </c>
      <c r="D178" t="s">
        <v>15</v>
      </c>
      <c r="E178" t="s">
        <v>26</v>
      </c>
      <c r="F178" t="s">
        <v>39</v>
      </c>
      <c r="G178" t="s">
        <v>1035</v>
      </c>
      <c r="H178" t="s">
        <v>1043</v>
      </c>
      <c r="I178" s="1">
        <v>43527</v>
      </c>
      <c r="J178" t="s">
        <v>1046</v>
      </c>
      <c r="K178" s="5">
        <v>0.7090277777777777</v>
      </c>
      <c r="L178" t="s">
        <v>28</v>
      </c>
      <c r="M178">
        <v>8.8680000000000003</v>
      </c>
      <c r="N178">
        <v>9.6</v>
      </c>
    </row>
    <row r="179" spans="1:14" x14ac:dyDescent="0.25">
      <c r="A179" t="s">
        <v>208</v>
      </c>
      <c r="B179" t="s">
        <v>20</v>
      </c>
      <c r="C179" t="s">
        <v>21</v>
      </c>
      <c r="D179" t="s">
        <v>22</v>
      </c>
      <c r="E179" t="s">
        <v>16</v>
      </c>
      <c r="F179" t="s">
        <v>41</v>
      </c>
      <c r="G179" t="s">
        <v>1039</v>
      </c>
      <c r="H179" t="s">
        <v>1042</v>
      </c>
      <c r="I179" s="1">
        <v>43509</v>
      </c>
      <c r="J179" t="s">
        <v>1044</v>
      </c>
      <c r="K179" s="5">
        <v>0.4513888888888889</v>
      </c>
      <c r="L179" t="s">
        <v>28</v>
      </c>
      <c r="M179">
        <v>7.8784999999999998</v>
      </c>
      <c r="N179">
        <v>4.8</v>
      </c>
    </row>
    <row r="180" spans="1:14" x14ac:dyDescent="0.25">
      <c r="A180" t="s">
        <v>209</v>
      </c>
      <c r="B180" t="s">
        <v>13</v>
      </c>
      <c r="C180" t="s">
        <v>14</v>
      </c>
      <c r="D180" t="s">
        <v>22</v>
      </c>
      <c r="E180" t="s">
        <v>26</v>
      </c>
      <c r="F180" t="s">
        <v>39</v>
      </c>
      <c r="G180" t="s">
        <v>1038</v>
      </c>
      <c r="H180" t="s">
        <v>1043</v>
      </c>
      <c r="I180" s="1">
        <v>43547</v>
      </c>
      <c r="J180" t="s">
        <v>1046</v>
      </c>
      <c r="K180" s="5">
        <v>0.8027777777777777</v>
      </c>
      <c r="L180" t="s">
        <v>18</v>
      </c>
      <c r="M180">
        <v>22.164000000000001</v>
      </c>
      <c r="N180">
        <v>4.4000000000000004</v>
      </c>
    </row>
    <row r="181" spans="1:14" x14ac:dyDescent="0.25">
      <c r="A181" t="s">
        <v>210</v>
      </c>
      <c r="B181" t="s">
        <v>20</v>
      </c>
      <c r="C181" t="s">
        <v>21</v>
      </c>
      <c r="D181" t="s">
        <v>15</v>
      </c>
      <c r="E181" t="s">
        <v>26</v>
      </c>
      <c r="F181" t="s">
        <v>17</v>
      </c>
      <c r="G181" t="s">
        <v>1037</v>
      </c>
      <c r="H181" t="s">
        <v>1041</v>
      </c>
      <c r="I181" s="1">
        <v>43493</v>
      </c>
      <c r="J181" t="s">
        <v>1046</v>
      </c>
      <c r="K181" s="5">
        <v>0.69930555555555562</v>
      </c>
      <c r="L181" t="s">
        <v>18</v>
      </c>
      <c r="M181">
        <v>13.02</v>
      </c>
      <c r="N181">
        <v>9.9</v>
      </c>
    </row>
    <row r="182" spans="1:14" x14ac:dyDescent="0.25">
      <c r="A182" t="s">
        <v>211</v>
      </c>
      <c r="B182" t="s">
        <v>20</v>
      </c>
      <c r="C182" t="s">
        <v>21</v>
      </c>
      <c r="D182" t="s">
        <v>22</v>
      </c>
      <c r="E182" t="s">
        <v>26</v>
      </c>
      <c r="F182" t="s">
        <v>41</v>
      </c>
      <c r="G182" t="s">
        <v>1039</v>
      </c>
      <c r="H182" t="s">
        <v>1042</v>
      </c>
      <c r="I182" s="1">
        <v>43505</v>
      </c>
      <c r="J182" t="s">
        <v>1044</v>
      </c>
      <c r="K182" s="5">
        <v>0.41666666666666669</v>
      </c>
      <c r="L182" t="s">
        <v>24</v>
      </c>
      <c r="M182">
        <v>22.491</v>
      </c>
      <c r="N182">
        <v>5.7</v>
      </c>
    </row>
    <row r="183" spans="1:14" x14ac:dyDescent="0.25">
      <c r="A183" t="s">
        <v>212</v>
      </c>
      <c r="B183" t="s">
        <v>20</v>
      </c>
      <c r="C183" t="s">
        <v>21</v>
      </c>
      <c r="D183" t="s">
        <v>15</v>
      </c>
      <c r="E183" t="s">
        <v>26</v>
      </c>
      <c r="F183" t="s">
        <v>39</v>
      </c>
      <c r="G183" t="s">
        <v>1036</v>
      </c>
      <c r="H183" t="s">
        <v>1041</v>
      </c>
      <c r="I183" s="1">
        <v>43488</v>
      </c>
      <c r="J183" t="s">
        <v>1044</v>
      </c>
      <c r="K183" s="5">
        <v>0.49374999999999997</v>
      </c>
      <c r="L183" t="s">
        <v>24</v>
      </c>
      <c r="M183">
        <v>15.388</v>
      </c>
      <c r="N183">
        <v>7.7</v>
      </c>
    </row>
    <row r="184" spans="1:14" x14ac:dyDescent="0.25">
      <c r="A184" t="s">
        <v>213</v>
      </c>
      <c r="B184" t="s">
        <v>13</v>
      </c>
      <c r="C184" t="s">
        <v>14</v>
      </c>
      <c r="D184" t="s">
        <v>15</v>
      </c>
      <c r="E184" t="s">
        <v>26</v>
      </c>
      <c r="F184" t="s">
        <v>31</v>
      </c>
      <c r="G184" t="s">
        <v>1038</v>
      </c>
      <c r="H184" t="s">
        <v>1043</v>
      </c>
      <c r="I184" s="1">
        <v>43547</v>
      </c>
      <c r="J184" t="s">
        <v>1044</v>
      </c>
      <c r="K184" s="5">
        <v>0.4548611111111111</v>
      </c>
      <c r="L184" t="s">
        <v>18</v>
      </c>
      <c r="M184">
        <v>7.75</v>
      </c>
      <c r="N184">
        <v>8</v>
      </c>
    </row>
    <row r="185" spans="1:14" x14ac:dyDescent="0.25">
      <c r="A185" t="s">
        <v>214</v>
      </c>
      <c r="B185" t="s">
        <v>20</v>
      </c>
      <c r="C185" t="s">
        <v>21</v>
      </c>
      <c r="D185" t="s">
        <v>22</v>
      </c>
      <c r="E185" t="s">
        <v>26</v>
      </c>
      <c r="F185" t="s">
        <v>17</v>
      </c>
      <c r="G185" t="s">
        <v>1036</v>
      </c>
      <c r="H185" t="s">
        <v>1041</v>
      </c>
      <c r="I185" s="1">
        <v>43490</v>
      </c>
      <c r="J185" t="s">
        <v>1045</v>
      </c>
      <c r="K185" s="5">
        <v>0.625</v>
      </c>
      <c r="L185" t="s">
        <v>18</v>
      </c>
      <c r="M185">
        <v>13.724</v>
      </c>
      <c r="N185">
        <v>5.7</v>
      </c>
    </row>
    <row r="186" spans="1:14" x14ac:dyDescent="0.25">
      <c r="A186" t="s">
        <v>215</v>
      </c>
      <c r="B186" t="s">
        <v>13</v>
      </c>
      <c r="C186" t="s">
        <v>14</v>
      </c>
      <c r="D186" t="s">
        <v>22</v>
      </c>
      <c r="E186" t="s">
        <v>16</v>
      </c>
      <c r="F186" t="s">
        <v>31</v>
      </c>
      <c r="G186" t="s">
        <v>1035</v>
      </c>
      <c r="H186" t="s">
        <v>1043</v>
      </c>
      <c r="I186" s="1">
        <v>43528</v>
      </c>
      <c r="J186" t="s">
        <v>1044</v>
      </c>
      <c r="K186" s="5">
        <v>0.47152777777777777</v>
      </c>
      <c r="L186" t="s">
        <v>28</v>
      </c>
      <c r="M186">
        <v>4.319</v>
      </c>
      <c r="N186">
        <v>6.7</v>
      </c>
    </row>
    <row r="187" spans="1:14" x14ac:dyDescent="0.25">
      <c r="A187" t="s">
        <v>216</v>
      </c>
      <c r="B187" t="s">
        <v>37</v>
      </c>
      <c r="C187" t="s">
        <v>38</v>
      </c>
      <c r="D187" t="s">
        <v>15</v>
      </c>
      <c r="E187" t="s">
        <v>26</v>
      </c>
      <c r="F187" t="s">
        <v>39</v>
      </c>
      <c r="G187" t="s">
        <v>1035</v>
      </c>
      <c r="H187" t="s">
        <v>1043</v>
      </c>
      <c r="I187" s="1">
        <v>43529</v>
      </c>
      <c r="J187" t="s">
        <v>1046</v>
      </c>
      <c r="K187" s="5">
        <v>0.82361111111111107</v>
      </c>
      <c r="L187" t="s">
        <v>18</v>
      </c>
      <c r="M187">
        <v>2.7120000000000002</v>
      </c>
      <c r="N187">
        <v>8</v>
      </c>
    </row>
    <row r="188" spans="1:14" x14ac:dyDescent="0.25">
      <c r="A188" t="s">
        <v>217</v>
      </c>
      <c r="B188" t="s">
        <v>37</v>
      </c>
      <c r="C188" t="s">
        <v>38</v>
      </c>
      <c r="D188" t="s">
        <v>15</v>
      </c>
      <c r="E188" t="s">
        <v>16</v>
      </c>
      <c r="F188" t="s">
        <v>27</v>
      </c>
      <c r="G188" t="s">
        <v>1035</v>
      </c>
      <c r="H188" t="s">
        <v>1043</v>
      </c>
      <c r="I188" s="1">
        <v>43527</v>
      </c>
      <c r="J188" t="s">
        <v>1046</v>
      </c>
      <c r="K188" s="5">
        <v>0.79166666666666663</v>
      </c>
      <c r="L188" t="s">
        <v>18</v>
      </c>
      <c r="M188">
        <v>37.795999999999999</v>
      </c>
      <c r="N188">
        <v>7.5</v>
      </c>
    </row>
    <row r="189" spans="1:14" x14ac:dyDescent="0.25">
      <c r="A189" t="s">
        <v>218</v>
      </c>
      <c r="B189" t="s">
        <v>37</v>
      </c>
      <c r="C189" t="s">
        <v>38</v>
      </c>
      <c r="D189" t="s">
        <v>15</v>
      </c>
      <c r="E189" t="s">
        <v>26</v>
      </c>
      <c r="F189" t="s">
        <v>27</v>
      </c>
      <c r="G189" t="s">
        <v>1038</v>
      </c>
      <c r="H189" t="s">
        <v>1042</v>
      </c>
      <c r="I189" s="1">
        <v>43504</v>
      </c>
      <c r="J189" t="s">
        <v>1044</v>
      </c>
      <c r="K189" s="5">
        <v>0.45347222222222222</v>
      </c>
      <c r="L189" t="s">
        <v>24</v>
      </c>
      <c r="M189">
        <v>9.2940000000000005</v>
      </c>
      <c r="N189">
        <v>7</v>
      </c>
    </row>
    <row r="190" spans="1:14" x14ac:dyDescent="0.25">
      <c r="A190" t="s">
        <v>219</v>
      </c>
      <c r="B190" t="s">
        <v>13</v>
      </c>
      <c r="C190" t="s">
        <v>14</v>
      </c>
      <c r="D190" t="s">
        <v>22</v>
      </c>
      <c r="E190" t="s">
        <v>26</v>
      </c>
      <c r="F190" t="s">
        <v>27</v>
      </c>
      <c r="G190" t="s">
        <v>1039</v>
      </c>
      <c r="H190" t="s">
        <v>1042</v>
      </c>
      <c r="I190" s="1">
        <v>43506</v>
      </c>
      <c r="J190" t="s">
        <v>1045</v>
      </c>
      <c r="K190" s="5">
        <v>0.53472222222222221</v>
      </c>
      <c r="L190" t="s">
        <v>18</v>
      </c>
      <c r="M190">
        <v>3.7035</v>
      </c>
      <c r="N190">
        <v>9.9</v>
      </c>
    </row>
    <row r="191" spans="1:14" x14ac:dyDescent="0.25">
      <c r="A191" t="s">
        <v>220</v>
      </c>
      <c r="B191" t="s">
        <v>20</v>
      </c>
      <c r="C191" t="s">
        <v>21</v>
      </c>
      <c r="D191" t="s">
        <v>22</v>
      </c>
      <c r="E191" t="s">
        <v>16</v>
      </c>
      <c r="F191" t="s">
        <v>27</v>
      </c>
      <c r="G191" t="s">
        <v>1037</v>
      </c>
      <c r="H191" t="s">
        <v>1041</v>
      </c>
      <c r="I191" s="1">
        <v>43493</v>
      </c>
      <c r="J191" t="s">
        <v>1046</v>
      </c>
      <c r="K191" s="5">
        <v>0.86805555555555547</v>
      </c>
      <c r="L191" t="s">
        <v>28</v>
      </c>
      <c r="M191">
        <v>13.962</v>
      </c>
      <c r="N191">
        <v>5.9</v>
      </c>
    </row>
    <row r="192" spans="1:14" x14ac:dyDescent="0.25">
      <c r="A192" t="s">
        <v>221</v>
      </c>
      <c r="B192" t="s">
        <v>37</v>
      </c>
      <c r="C192" t="s">
        <v>38</v>
      </c>
      <c r="D192" t="s">
        <v>22</v>
      </c>
      <c r="E192" t="s">
        <v>16</v>
      </c>
      <c r="F192" t="s">
        <v>27</v>
      </c>
      <c r="G192" t="s">
        <v>1039</v>
      </c>
      <c r="H192" t="s">
        <v>1042</v>
      </c>
      <c r="I192" s="1">
        <v>43507</v>
      </c>
      <c r="J192" t="s">
        <v>1044</v>
      </c>
      <c r="K192" s="5">
        <v>0.44375000000000003</v>
      </c>
      <c r="L192" t="s">
        <v>28</v>
      </c>
      <c r="M192">
        <v>11.555999999999999</v>
      </c>
      <c r="N192">
        <v>7.2</v>
      </c>
    </row>
    <row r="193" spans="1:14" x14ac:dyDescent="0.25">
      <c r="A193" t="s">
        <v>222</v>
      </c>
      <c r="B193" t="s">
        <v>37</v>
      </c>
      <c r="C193" t="s">
        <v>38</v>
      </c>
      <c r="D193" t="s">
        <v>22</v>
      </c>
      <c r="E193" t="s">
        <v>16</v>
      </c>
      <c r="F193" t="s">
        <v>41</v>
      </c>
      <c r="G193" t="s">
        <v>1035</v>
      </c>
      <c r="H193" t="s">
        <v>1041</v>
      </c>
      <c r="I193" s="1">
        <v>43480</v>
      </c>
      <c r="J193" t="s">
        <v>1045</v>
      </c>
      <c r="K193" s="5">
        <v>0.57013888888888886</v>
      </c>
      <c r="L193" t="s">
        <v>18</v>
      </c>
      <c r="M193">
        <v>7.3520000000000003</v>
      </c>
      <c r="N193">
        <v>4.5999999999999996</v>
      </c>
    </row>
    <row r="194" spans="1:14" x14ac:dyDescent="0.25">
      <c r="A194" t="s">
        <v>223</v>
      </c>
      <c r="B194" t="s">
        <v>20</v>
      </c>
      <c r="C194" t="s">
        <v>21</v>
      </c>
      <c r="D194" t="s">
        <v>22</v>
      </c>
      <c r="E194" t="s">
        <v>16</v>
      </c>
      <c r="F194" t="s">
        <v>39</v>
      </c>
      <c r="G194" t="s">
        <v>1037</v>
      </c>
      <c r="H194" t="s">
        <v>1043</v>
      </c>
      <c r="I194" s="1">
        <v>43540</v>
      </c>
      <c r="J194" t="s">
        <v>1046</v>
      </c>
      <c r="K194" s="5">
        <v>0.79722222222222217</v>
      </c>
      <c r="L194" t="s">
        <v>24</v>
      </c>
      <c r="M194">
        <v>39.51</v>
      </c>
      <c r="N194">
        <v>9.1999999999999993</v>
      </c>
    </row>
    <row r="195" spans="1:14" x14ac:dyDescent="0.25">
      <c r="A195" t="s">
        <v>224</v>
      </c>
      <c r="B195" t="s">
        <v>37</v>
      </c>
      <c r="C195" t="s">
        <v>38</v>
      </c>
      <c r="D195" t="s">
        <v>22</v>
      </c>
      <c r="E195" t="s">
        <v>26</v>
      </c>
      <c r="F195" t="s">
        <v>27</v>
      </c>
      <c r="G195" t="s">
        <v>1037</v>
      </c>
      <c r="H195" t="s">
        <v>1041</v>
      </c>
      <c r="I195" s="1">
        <v>43491</v>
      </c>
      <c r="J195" t="s">
        <v>1046</v>
      </c>
      <c r="K195" s="5">
        <v>0.84930555555555554</v>
      </c>
      <c r="L195" t="s">
        <v>18</v>
      </c>
      <c r="M195">
        <v>5.1100000000000003</v>
      </c>
      <c r="N195">
        <v>5.7</v>
      </c>
    </row>
    <row r="196" spans="1:14" x14ac:dyDescent="0.25">
      <c r="A196" t="s">
        <v>225</v>
      </c>
      <c r="B196" t="s">
        <v>13</v>
      </c>
      <c r="C196" t="s">
        <v>14</v>
      </c>
      <c r="D196" t="s">
        <v>22</v>
      </c>
      <c r="E196" t="s">
        <v>26</v>
      </c>
      <c r="F196" t="s">
        <v>23</v>
      </c>
      <c r="G196" t="s">
        <v>1037</v>
      </c>
      <c r="H196" t="s">
        <v>1043</v>
      </c>
      <c r="I196" s="1">
        <v>43543</v>
      </c>
      <c r="J196" t="s">
        <v>1044</v>
      </c>
      <c r="K196" s="5">
        <v>0.47916666666666669</v>
      </c>
      <c r="L196" t="s">
        <v>28</v>
      </c>
      <c r="M196">
        <v>8.1775000000000002</v>
      </c>
      <c r="N196">
        <v>9.9</v>
      </c>
    </row>
    <row r="197" spans="1:14" x14ac:dyDescent="0.25">
      <c r="A197" t="s">
        <v>226</v>
      </c>
      <c r="B197" t="s">
        <v>20</v>
      </c>
      <c r="C197" t="s">
        <v>21</v>
      </c>
      <c r="D197" t="s">
        <v>15</v>
      </c>
      <c r="E197" t="s">
        <v>16</v>
      </c>
      <c r="F197" t="s">
        <v>41</v>
      </c>
      <c r="G197" t="s">
        <v>1035</v>
      </c>
      <c r="H197" t="s">
        <v>1041</v>
      </c>
      <c r="I197" s="1">
        <v>43478</v>
      </c>
      <c r="J197" t="s">
        <v>1046</v>
      </c>
      <c r="K197" s="5">
        <v>0.8125</v>
      </c>
      <c r="L197" t="s">
        <v>24</v>
      </c>
      <c r="M197">
        <v>3.7145000000000001</v>
      </c>
      <c r="N197">
        <v>5</v>
      </c>
    </row>
    <row r="198" spans="1:14" x14ac:dyDescent="0.25">
      <c r="A198" t="s">
        <v>227</v>
      </c>
      <c r="B198" t="s">
        <v>20</v>
      </c>
      <c r="C198" t="s">
        <v>21</v>
      </c>
      <c r="D198" t="s">
        <v>15</v>
      </c>
      <c r="E198" t="s">
        <v>26</v>
      </c>
      <c r="F198" t="s">
        <v>17</v>
      </c>
      <c r="G198" t="s">
        <v>1038</v>
      </c>
      <c r="H198" t="s">
        <v>1043</v>
      </c>
      <c r="I198" s="1">
        <v>43550</v>
      </c>
      <c r="J198" t="s">
        <v>1046</v>
      </c>
      <c r="K198" s="5">
        <v>0.75208333333333333</v>
      </c>
      <c r="L198" t="s">
        <v>24</v>
      </c>
      <c r="M198">
        <v>4.37</v>
      </c>
      <c r="N198">
        <v>4.9000000000000004</v>
      </c>
    </row>
    <row r="199" spans="1:14" x14ac:dyDescent="0.25">
      <c r="A199" t="s">
        <v>228</v>
      </c>
      <c r="B199" t="s">
        <v>13</v>
      </c>
      <c r="C199" t="s">
        <v>14</v>
      </c>
      <c r="D199" t="s">
        <v>22</v>
      </c>
      <c r="E199" t="s">
        <v>16</v>
      </c>
      <c r="F199" t="s">
        <v>27</v>
      </c>
      <c r="G199" t="s">
        <v>1038</v>
      </c>
      <c r="H199" t="s">
        <v>1043</v>
      </c>
      <c r="I199" s="1">
        <v>43547</v>
      </c>
      <c r="J199" t="s">
        <v>1044</v>
      </c>
      <c r="K199" s="5">
        <v>0.42569444444444443</v>
      </c>
      <c r="L199" t="s">
        <v>18</v>
      </c>
      <c r="M199">
        <v>1.2645</v>
      </c>
      <c r="N199">
        <v>6.1</v>
      </c>
    </row>
    <row r="200" spans="1:14" x14ac:dyDescent="0.25">
      <c r="A200" t="s">
        <v>229</v>
      </c>
      <c r="B200" t="s">
        <v>20</v>
      </c>
      <c r="C200" t="s">
        <v>21</v>
      </c>
      <c r="D200" t="s">
        <v>22</v>
      </c>
      <c r="E200" t="s">
        <v>26</v>
      </c>
      <c r="F200" t="s">
        <v>17</v>
      </c>
      <c r="G200" t="s">
        <v>1036</v>
      </c>
      <c r="H200" t="s">
        <v>1043</v>
      </c>
      <c r="I200" s="1">
        <v>43536</v>
      </c>
      <c r="J200" t="s">
        <v>1046</v>
      </c>
      <c r="K200" s="5">
        <v>0.83194444444444438</v>
      </c>
      <c r="L200" t="s">
        <v>28</v>
      </c>
      <c r="M200">
        <v>8.3000000000000007</v>
      </c>
      <c r="N200">
        <v>8.1999999999999993</v>
      </c>
    </row>
    <row r="201" spans="1:14" x14ac:dyDescent="0.25">
      <c r="A201" t="s">
        <v>230</v>
      </c>
      <c r="B201" t="s">
        <v>20</v>
      </c>
      <c r="C201" t="s">
        <v>21</v>
      </c>
      <c r="D201" t="s">
        <v>15</v>
      </c>
      <c r="E201" t="s">
        <v>16</v>
      </c>
      <c r="F201" t="s">
        <v>39</v>
      </c>
      <c r="G201" t="s">
        <v>1040</v>
      </c>
      <c r="H201" t="s">
        <v>1042</v>
      </c>
      <c r="I201" s="1">
        <v>43513</v>
      </c>
      <c r="J201" t="s">
        <v>1046</v>
      </c>
      <c r="K201" s="5">
        <v>0.83124999999999993</v>
      </c>
      <c r="L201" t="s">
        <v>28</v>
      </c>
      <c r="M201">
        <v>17.8475</v>
      </c>
      <c r="N201">
        <v>5.5</v>
      </c>
    </row>
    <row r="202" spans="1:14" x14ac:dyDescent="0.25">
      <c r="A202" t="s">
        <v>231</v>
      </c>
      <c r="B202" t="s">
        <v>20</v>
      </c>
      <c r="C202" t="s">
        <v>21</v>
      </c>
      <c r="D202" t="s">
        <v>15</v>
      </c>
      <c r="E202" t="s">
        <v>16</v>
      </c>
      <c r="F202" t="s">
        <v>31</v>
      </c>
      <c r="G202" t="s">
        <v>1037</v>
      </c>
      <c r="H202" t="s">
        <v>1041</v>
      </c>
      <c r="I202" s="1">
        <v>43494</v>
      </c>
      <c r="J202" t="s">
        <v>1044</v>
      </c>
      <c r="K202" s="5">
        <v>0.41736111111111113</v>
      </c>
      <c r="L202" t="s">
        <v>28</v>
      </c>
      <c r="M202">
        <v>5.7450000000000001</v>
      </c>
      <c r="N202">
        <v>6.8</v>
      </c>
    </row>
    <row r="203" spans="1:14" x14ac:dyDescent="0.25">
      <c r="A203" t="s">
        <v>232</v>
      </c>
      <c r="B203" t="s">
        <v>37</v>
      </c>
      <c r="C203" t="s">
        <v>38</v>
      </c>
      <c r="D203" t="s">
        <v>15</v>
      </c>
      <c r="E203" t="s">
        <v>16</v>
      </c>
      <c r="F203" t="s">
        <v>23</v>
      </c>
      <c r="G203" t="s">
        <v>1036</v>
      </c>
      <c r="H203" t="s">
        <v>1043</v>
      </c>
      <c r="I203" s="1">
        <v>43539</v>
      </c>
      <c r="J203" t="s">
        <v>1044</v>
      </c>
      <c r="K203" s="5">
        <v>0.49791666666666662</v>
      </c>
      <c r="L203" t="s">
        <v>24</v>
      </c>
      <c r="M203">
        <v>11.497999999999999</v>
      </c>
      <c r="N203">
        <v>6.6</v>
      </c>
    </row>
    <row r="204" spans="1:14" x14ac:dyDescent="0.25">
      <c r="A204" t="s">
        <v>233</v>
      </c>
      <c r="B204" t="s">
        <v>20</v>
      </c>
      <c r="C204" t="s">
        <v>21</v>
      </c>
      <c r="D204" t="s">
        <v>22</v>
      </c>
      <c r="E204" t="s">
        <v>26</v>
      </c>
      <c r="F204" t="s">
        <v>23</v>
      </c>
      <c r="G204" t="s">
        <v>1035</v>
      </c>
      <c r="H204" t="s">
        <v>1041</v>
      </c>
      <c r="I204" s="1">
        <v>43479</v>
      </c>
      <c r="J204" t="s">
        <v>1044</v>
      </c>
      <c r="K204" s="5">
        <v>0.41805555555555557</v>
      </c>
      <c r="L204" t="s">
        <v>24</v>
      </c>
      <c r="M204">
        <v>21.493500000000001</v>
      </c>
      <c r="N204">
        <v>9.8000000000000007</v>
      </c>
    </row>
    <row r="205" spans="1:14" x14ac:dyDescent="0.25">
      <c r="A205" t="s">
        <v>234</v>
      </c>
      <c r="B205" t="s">
        <v>37</v>
      </c>
      <c r="C205" t="s">
        <v>38</v>
      </c>
      <c r="D205" t="s">
        <v>15</v>
      </c>
      <c r="E205" t="s">
        <v>26</v>
      </c>
      <c r="F205" t="s">
        <v>17</v>
      </c>
      <c r="G205" t="s">
        <v>1038</v>
      </c>
      <c r="H205" t="s">
        <v>1042</v>
      </c>
      <c r="I205" s="1">
        <v>43502</v>
      </c>
      <c r="J205" t="s">
        <v>1045</v>
      </c>
      <c r="K205" s="5">
        <v>0.61875000000000002</v>
      </c>
      <c r="L205" t="s">
        <v>18</v>
      </c>
      <c r="M205">
        <v>12.95</v>
      </c>
      <c r="N205">
        <v>8.6999999999999993</v>
      </c>
    </row>
    <row r="206" spans="1:14" x14ac:dyDescent="0.25">
      <c r="A206" t="s">
        <v>235</v>
      </c>
      <c r="B206" t="s">
        <v>37</v>
      </c>
      <c r="C206" t="s">
        <v>38</v>
      </c>
      <c r="D206" t="s">
        <v>15</v>
      </c>
      <c r="E206" t="s">
        <v>26</v>
      </c>
      <c r="F206" t="s">
        <v>27</v>
      </c>
      <c r="G206" t="s">
        <v>1039</v>
      </c>
      <c r="H206" t="s">
        <v>1042</v>
      </c>
      <c r="I206" s="1">
        <v>43511</v>
      </c>
      <c r="J206" t="s">
        <v>1045</v>
      </c>
      <c r="K206" s="5">
        <v>0.52916666666666667</v>
      </c>
      <c r="L206" t="s">
        <v>28</v>
      </c>
      <c r="M206">
        <v>4.4424999999999999</v>
      </c>
      <c r="N206">
        <v>5.4</v>
      </c>
    </row>
    <row r="207" spans="1:14" x14ac:dyDescent="0.25">
      <c r="A207" t="s">
        <v>236</v>
      </c>
      <c r="B207" t="s">
        <v>13</v>
      </c>
      <c r="C207" t="s">
        <v>14</v>
      </c>
      <c r="D207" t="s">
        <v>22</v>
      </c>
      <c r="E207" t="s">
        <v>16</v>
      </c>
      <c r="F207" t="s">
        <v>17</v>
      </c>
      <c r="G207" t="s">
        <v>1040</v>
      </c>
      <c r="H207" t="s">
        <v>1041</v>
      </c>
      <c r="I207" s="1">
        <v>43468</v>
      </c>
      <c r="J207" t="s">
        <v>1045</v>
      </c>
      <c r="K207" s="5">
        <v>0.50138888888888888</v>
      </c>
      <c r="L207" t="s">
        <v>18</v>
      </c>
      <c r="M207">
        <v>10.3635</v>
      </c>
      <c r="N207">
        <v>7.9</v>
      </c>
    </row>
    <row r="208" spans="1:14" x14ac:dyDescent="0.25">
      <c r="A208" t="s">
        <v>237</v>
      </c>
      <c r="B208" t="s">
        <v>20</v>
      </c>
      <c r="C208" t="s">
        <v>21</v>
      </c>
      <c r="D208" t="s">
        <v>15</v>
      </c>
      <c r="E208" t="s">
        <v>16</v>
      </c>
      <c r="F208" t="s">
        <v>23</v>
      </c>
      <c r="G208" t="s">
        <v>1040</v>
      </c>
      <c r="H208" t="s">
        <v>1041</v>
      </c>
      <c r="I208" s="1">
        <v>43469</v>
      </c>
      <c r="J208" t="s">
        <v>1046</v>
      </c>
      <c r="K208" s="5">
        <v>0.7631944444444444</v>
      </c>
      <c r="L208" t="s">
        <v>28</v>
      </c>
      <c r="M208">
        <v>29.9925</v>
      </c>
      <c r="N208">
        <v>9.6999999999999993</v>
      </c>
    </row>
    <row r="209" spans="1:14" x14ac:dyDescent="0.25">
      <c r="A209" t="s">
        <v>238</v>
      </c>
      <c r="B209" t="s">
        <v>20</v>
      </c>
      <c r="C209" t="s">
        <v>21</v>
      </c>
      <c r="D209" t="s">
        <v>15</v>
      </c>
      <c r="E209" t="s">
        <v>16</v>
      </c>
      <c r="F209" t="s">
        <v>27</v>
      </c>
      <c r="G209" t="s">
        <v>1037</v>
      </c>
      <c r="H209" t="s">
        <v>1043</v>
      </c>
      <c r="I209" s="1">
        <v>43542</v>
      </c>
      <c r="J209" t="s">
        <v>1046</v>
      </c>
      <c r="K209" s="5">
        <v>0.73472222222222217</v>
      </c>
      <c r="L209" t="s">
        <v>18</v>
      </c>
      <c r="M209">
        <v>14.265000000000001</v>
      </c>
      <c r="N209">
        <v>7.8</v>
      </c>
    </row>
    <row r="210" spans="1:14" x14ac:dyDescent="0.25">
      <c r="A210" t="s">
        <v>239</v>
      </c>
      <c r="B210" t="s">
        <v>37</v>
      </c>
      <c r="C210" t="s">
        <v>38</v>
      </c>
      <c r="D210" t="s">
        <v>22</v>
      </c>
      <c r="E210" t="s">
        <v>16</v>
      </c>
      <c r="F210" t="s">
        <v>41</v>
      </c>
      <c r="G210" t="s">
        <v>1038</v>
      </c>
      <c r="H210" t="s">
        <v>1043</v>
      </c>
      <c r="I210" s="1">
        <v>43552</v>
      </c>
      <c r="J210" t="s">
        <v>1045</v>
      </c>
      <c r="K210" s="5">
        <v>0.57013888888888886</v>
      </c>
      <c r="L210" t="s">
        <v>18</v>
      </c>
      <c r="M210">
        <v>4.5555000000000003</v>
      </c>
      <c r="N210">
        <v>5.0999999999999996</v>
      </c>
    </row>
    <row r="211" spans="1:14" x14ac:dyDescent="0.25">
      <c r="A211" t="s">
        <v>240</v>
      </c>
      <c r="B211" t="s">
        <v>37</v>
      </c>
      <c r="C211" t="s">
        <v>38</v>
      </c>
      <c r="D211" t="s">
        <v>22</v>
      </c>
      <c r="E211" t="s">
        <v>16</v>
      </c>
      <c r="F211" t="s">
        <v>23</v>
      </c>
      <c r="G211" t="s">
        <v>1035</v>
      </c>
      <c r="H211" t="s">
        <v>1043</v>
      </c>
      <c r="I211" s="1">
        <v>43526</v>
      </c>
      <c r="J211" t="s">
        <v>1046</v>
      </c>
      <c r="K211" s="5">
        <v>0.8208333333333333</v>
      </c>
      <c r="L211" t="s">
        <v>28</v>
      </c>
      <c r="M211">
        <v>44.878500000000003</v>
      </c>
      <c r="N211">
        <v>6.5</v>
      </c>
    </row>
    <row r="212" spans="1:14" x14ac:dyDescent="0.25">
      <c r="A212" t="s">
        <v>241</v>
      </c>
      <c r="B212" t="s">
        <v>13</v>
      </c>
      <c r="C212" t="s">
        <v>14</v>
      </c>
      <c r="D212" t="s">
        <v>22</v>
      </c>
      <c r="E212" t="s">
        <v>26</v>
      </c>
      <c r="F212" t="s">
        <v>23</v>
      </c>
      <c r="G212" t="s">
        <v>1036</v>
      </c>
      <c r="H212" t="s">
        <v>1041</v>
      </c>
      <c r="I212" s="1">
        <v>43490</v>
      </c>
      <c r="J212" t="s">
        <v>1046</v>
      </c>
      <c r="K212" s="5">
        <v>0.85</v>
      </c>
      <c r="L212" t="s">
        <v>18</v>
      </c>
      <c r="M212">
        <v>11.8035</v>
      </c>
      <c r="N212">
        <v>5.9</v>
      </c>
    </row>
    <row r="213" spans="1:14" x14ac:dyDescent="0.25">
      <c r="A213" t="s">
        <v>242</v>
      </c>
      <c r="B213" t="s">
        <v>20</v>
      </c>
      <c r="C213" t="s">
        <v>21</v>
      </c>
      <c r="D213" t="s">
        <v>22</v>
      </c>
      <c r="E213" t="s">
        <v>16</v>
      </c>
      <c r="F213" t="s">
        <v>39</v>
      </c>
      <c r="G213" t="s">
        <v>1035</v>
      </c>
      <c r="H213" t="s">
        <v>1041</v>
      </c>
      <c r="I213" s="1">
        <v>43481</v>
      </c>
      <c r="J213" t="s">
        <v>1046</v>
      </c>
      <c r="K213" s="5">
        <v>0.75555555555555554</v>
      </c>
      <c r="L213" t="s">
        <v>24</v>
      </c>
      <c r="M213">
        <v>41.966999999999999</v>
      </c>
      <c r="N213">
        <v>8.8000000000000007</v>
      </c>
    </row>
    <row r="214" spans="1:14" x14ac:dyDescent="0.25">
      <c r="A214" t="s">
        <v>243</v>
      </c>
      <c r="B214" t="s">
        <v>37</v>
      </c>
      <c r="C214" t="s">
        <v>38</v>
      </c>
      <c r="D214" t="s">
        <v>22</v>
      </c>
      <c r="E214" t="s">
        <v>26</v>
      </c>
      <c r="F214" t="s">
        <v>27</v>
      </c>
      <c r="G214" t="s">
        <v>1037</v>
      </c>
      <c r="H214" t="s">
        <v>1043</v>
      </c>
      <c r="I214" s="1">
        <v>43544</v>
      </c>
      <c r="J214" t="s">
        <v>1046</v>
      </c>
      <c r="K214" s="5">
        <v>0.80347222222222225</v>
      </c>
      <c r="L214" t="s">
        <v>18</v>
      </c>
      <c r="M214">
        <v>23.09</v>
      </c>
      <c r="N214">
        <v>4.9000000000000004</v>
      </c>
    </row>
    <row r="215" spans="1:14" x14ac:dyDescent="0.25">
      <c r="A215" t="s">
        <v>244</v>
      </c>
      <c r="B215" t="s">
        <v>37</v>
      </c>
      <c r="C215" t="s">
        <v>38</v>
      </c>
      <c r="D215" t="s">
        <v>22</v>
      </c>
      <c r="E215" t="s">
        <v>26</v>
      </c>
      <c r="F215" t="s">
        <v>31</v>
      </c>
      <c r="G215" t="s">
        <v>1040</v>
      </c>
      <c r="H215" t="s">
        <v>1041</v>
      </c>
      <c r="I215" s="1">
        <v>43469</v>
      </c>
      <c r="J215" t="s">
        <v>1045</v>
      </c>
      <c r="K215" s="5">
        <v>0.55833333333333335</v>
      </c>
      <c r="L215" t="s">
        <v>28</v>
      </c>
      <c r="M215">
        <v>6.9630000000000001</v>
      </c>
      <c r="N215">
        <v>4.4000000000000004</v>
      </c>
    </row>
    <row r="216" spans="1:14" x14ac:dyDescent="0.25">
      <c r="A216" t="s">
        <v>245</v>
      </c>
      <c r="B216" t="s">
        <v>37</v>
      </c>
      <c r="C216" t="s">
        <v>38</v>
      </c>
      <c r="D216" t="s">
        <v>15</v>
      </c>
      <c r="E216" t="s">
        <v>16</v>
      </c>
      <c r="F216" t="s">
        <v>31</v>
      </c>
      <c r="G216" t="s">
        <v>1036</v>
      </c>
      <c r="H216" t="s">
        <v>1043</v>
      </c>
      <c r="I216" s="1">
        <v>43535</v>
      </c>
      <c r="J216" t="s">
        <v>1045</v>
      </c>
      <c r="K216" s="5">
        <v>0.66180555555555554</v>
      </c>
      <c r="L216" t="s">
        <v>24</v>
      </c>
      <c r="M216">
        <v>10.3635</v>
      </c>
      <c r="N216">
        <v>6.5</v>
      </c>
    </row>
    <row r="217" spans="1:14" x14ac:dyDescent="0.25">
      <c r="A217" t="s">
        <v>246</v>
      </c>
      <c r="B217" t="s">
        <v>13</v>
      </c>
      <c r="C217" t="s">
        <v>14</v>
      </c>
      <c r="D217" t="s">
        <v>22</v>
      </c>
      <c r="E217" t="s">
        <v>26</v>
      </c>
      <c r="F217" t="s">
        <v>27</v>
      </c>
      <c r="G217" t="s">
        <v>1037</v>
      </c>
      <c r="H217" t="s">
        <v>1043</v>
      </c>
      <c r="I217" s="1">
        <v>43546</v>
      </c>
      <c r="J217" t="s">
        <v>1045</v>
      </c>
      <c r="K217" s="5">
        <v>0.62847222222222221</v>
      </c>
      <c r="L217" t="s">
        <v>28</v>
      </c>
      <c r="M217">
        <v>0.91400000000000003</v>
      </c>
      <c r="N217">
        <v>8.3000000000000007</v>
      </c>
    </row>
    <row r="218" spans="1:14" x14ac:dyDescent="0.25">
      <c r="A218" t="s">
        <v>247</v>
      </c>
      <c r="B218" t="s">
        <v>37</v>
      </c>
      <c r="C218" t="s">
        <v>38</v>
      </c>
      <c r="D218" t="s">
        <v>22</v>
      </c>
      <c r="E218" t="s">
        <v>16</v>
      </c>
      <c r="F218" t="s">
        <v>31</v>
      </c>
      <c r="G218" t="s">
        <v>1038</v>
      </c>
      <c r="H218" t="s">
        <v>1043</v>
      </c>
      <c r="I218" s="1">
        <v>43548</v>
      </c>
      <c r="J218" t="s">
        <v>1046</v>
      </c>
      <c r="K218" s="5">
        <v>0.76874999999999993</v>
      </c>
      <c r="L218" t="s">
        <v>24</v>
      </c>
      <c r="M218">
        <v>6.1924999999999999</v>
      </c>
      <c r="N218">
        <v>8.5</v>
      </c>
    </row>
    <row r="219" spans="1:14" x14ac:dyDescent="0.25">
      <c r="A219" t="s">
        <v>248</v>
      </c>
      <c r="B219" t="s">
        <v>13</v>
      </c>
      <c r="C219" t="s">
        <v>14</v>
      </c>
      <c r="D219" t="s">
        <v>15</v>
      </c>
      <c r="E219" t="s">
        <v>16</v>
      </c>
      <c r="F219" t="s">
        <v>23</v>
      </c>
      <c r="G219" t="s">
        <v>1040</v>
      </c>
      <c r="H219" t="s">
        <v>1042</v>
      </c>
      <c r="I219" s="1">
        <v>43517</v>
      </c>
      <c r="J219" t="s">
        <v>1046</v>
      </c>
      <c r="K219" s="5">
        <v>0.70486111111111116</v>
      </c>
      <c r="L219" t="s">
        <v>24</v>
      </c>
      <c r="M219">
        <v>14.196</v>
      </c>
      <c r="N219">
        <v>5.5</v>
      </c>
    </row>
    <row r="220" spans="1:14" x14ac:dyDescent="0.25">
      <c r="A220" t="s">
        <v>249</v>
      </c>
      <c r="B220" t="s">
        <v>37</v>
      </c>
      <c r="C220" t="s">
        <v>38</v>
      </c>
      <c r="D220" t="s">
        <v>22</v>
      </c>
      <c r="E220" t="s">
        <v>26</v>
      </c>
      <c r="F220" t="s">
        <v>41</v>
      </c>
      <c r="G220" t="s">
        <v>1039</v>
      </c>
      <c r="H220" t="s">
        <v>1042</v>
      </c>
      <c r="I220" s="1">
        <v>43508</v>
      </c>
      <c r="J220" t="s">
        <v>1045</v>
      </c>
      <c r="K220" s="5">
        <v>0.54027777777777775</v>
      </c>
      <c r="L220" t="s">
        <v>18</v>
      </c>
      <c r="M220">
        <v>37.948</v>
      </c>
      <c r="N220">
        <v>8.6999999999999993</v>
      </c>
    </row>
    <row r="221" spans="1:14" x14ac:dyDescent="0.25">
      <c r="A221" t="s">
        <v>250</v>
      </c>
      <c r="B221" t="s">
        <v>37</v>
      </c>
      <c r="C221" t="s">
        <v>38</v>
      </c>
      <c r="D221" t="s">
        <v>22</v>
      </c>
      <c r="E221" t="s">
        <v>16</v>
      </c>
      <c r="F221" t="s">
        <v>39</v>
      </c>
      <c r="G221" t="s">
        <v>1036</v>
      </c>
      <c r="H221" t="s">
        <v>1043</v>
      </c>
      <c r="I221" s="1">
        <v>43534</v>
      </c>
      <c r="J221" t="s">
        <v>1046</v>
      </c>
      <c r="K221" s="5">
        <v>0.7909722222222223</v>
      </c>
      <c r="L221" t="s">
        <v>28</v>
      </c>
      <c r="M221">
        <v>8.6010000000000009</v>
      </c>
      <c r="N221">
        <v>7.9</v>
      </c>
    </row>
    <row r="222" spans="1:14" x14ac:dyDescent="0.25">
      <c r="A222" t="s">
        <v>251</v>
      </c>
      <c r="B222" t="s">
        <v>37</v>
      </c>
      <c r="C222" t="s">
        <v>38</v>
      </c>
      <c r="D222" t="s">
        <v>22</v>
      </c>
      <c r="E222" t="s">
        <v>26</v>
      </c>
      <c r="F222" t="s">
        <v>23</v>
      </c>
      <c r="G222" t="s">
        <v>1037</v>
      </c>
      <c r="H222" t="s">
        <v>1041</v>
      </c>
      <c r="I222" s="1">
        <v>43496</v>
      </c>
      <c r="J222" t="s">
        <v>1045</v>
      </c>
      <c r="K222" s="5">
        <v>0.57222222222222219</v>
      </c>
      <c r="L222" t="s">
        <v>18</v>
      </c>
      <c r="M222">
        <v>13.605</v>
      </c>
      <c r="N222">
        <v>6.1</v>
      </c>
    </row>
    <row r="223" spans="1:14" x14ac:dyDescent="0.25">
      <c r="A223" t="s">
        <v>252</v>
      </c>
      <c r="B223" t="s">
        <v>37</v>
      </c>
      <c r="C223" t="s">
        <v>38</v>
      </c>
      <c r="D223" t="s">
        <v>22</v>
      </c>
      <c r="E223" t="s">
        <v>26</v>
      </c>
      <c r="F223" t="s">
        <v>39</v>
      </c>
      <c r="G223" t="s">
        <v>1035</v>
      </c>
      <c r="H223" t="s">
        <v>1043</v>
      </c>
      <c r="I223" s="1">
        <v>43530</v>
      </c>
      <c r="J223" t="s">
        <v>1045</v>
      </c>
      <c r="K223" s="5">
        <v>0.57361111111111118</v>
      </c>
      <c r="L223" t="s">
        <v>18</v>
      </c>
      <c r="M223">
        <v>21.728000000000002</v>
      </c>
      <c r="N223">
        <v>5.4</v>
      </c>
    </row>
    <row r="224" spans="1:14" x14ac:dyDescent="0.25">
      <c r="A224" t="s">
        <v>253</v>
      </c>
      <c r="B224" t="s">
        <v>20</v>
      </c>
      <c r="C224" t="s">
        <v>21</v>
      </c>
      <c r="D224" t="s">
        <v>22</v>
      </c>
      <c r="E224" t="s">
        <v>26</v>
      </c>
      <c r="F224" t="s">
        <v>23</v>
      </c>
      <c r="G224" t="s">
        <v>1040</v>
      </c>
      <c r="H224" t="s">
        <v>1042</v>
      </c>
      <c r="I224" s="1">
        <v>43513</v>
      </c>
      <c r="J224" t="s">
        <v>1046</v>
      </c>
      <c r="K224" s="5">
        <v>0.75416666666666676</v>
      </c>
      <c r="L224" t="s">
        <v>24</v>
      </c>
      <c r="M224">
        <v>2.9525000000000001</v>
      </c>
      <c r="N224">
        <v>9.4</v>
      </c>
    </row>
    <row r="225" spans="1:14" x14ac:dyDescent="0.25">
      <c r="A225" t="s">
        <v>254</v>
      </c>
      <c r="B225" t="s">
        <v>20</v>
      </c>
      <c r="C225" t="s">
        <v>21</v>
      </c>
      <c r="D225" t="s">
        <v>15</v>
      </c>
      <c r="E225" t="s">
        <v>16</v>
      </c>
      <c r="F225" t="s">
        <v>41</v>
      </c>
      <c r="G225" t="s">
        <v>1040</v>
      </c>
      <c r="H225" t="s">
        <v>1042</v>
      </c>
      <c r="I225" s="1">
        <v>43517</v>
      </c>
      <c r="J225" t="s">
        <v>1045</v>
      </c>
      <c r="K225" s="5">
        <v>0.52638888888888891</v>
      </c>
      <c r="L225" t="s">
        <v>24</v>
      </c>
      <c r="M225">
        <v>0.627</v>
      </c>
      <c r="N225">
        <v>8.1999999999999993</v>
      </c>
    </row>
    <row r="226" spans="1:14" x14ac:dyDescent="0.25">
      <c r="A226" t="s">
        <v>255</v>
      </c>
      <c r="B226" t="s">
        <v>13</v>
      </c>
      <c r="C226" t="s">
        <v>14</v>
      </c>
      <c r="D226" t="s">
        <v>22</v>
      </c>
      <c r="E226" t="s">
        <v>26</v>
      </c>
      <c r="F226" t="s">
        <v>39</v>
      </c>
      <c r="G226" t="s">
        <v>1037</v>
      </c>
      <c r="H226" t="s">
        <v>1043</v>
      </c>
      <c r="I226" s="1">
        <v>43544</v>
      </c>
      <c r="J226" t="s">
        <v>1045</v>
      </c>
      <c r="K226" s="5">
        <v>0.66388888888888886</v>
      </c>
      <c r="L226" t="s">
        <v>24</v>
      </c>
      <c r="M226">
        <v>4.3250000000000002</v>
      </c>
      <c r="N226">
        <v>6.2</v>
      </c>
    </row>
    <row r="227" spans="1:14" x14ac:dyDescent="0.25">
      <c r="A227" t="s">
        <v>256</v>
      </c>
      <c r="B227" t="s">
        <v>20</v>
      </c>
      <c r="C227" t="s">
        <v>21</v>
      </c>
      <c r="D227" t="s">
        <v>15</v>
      </c>
      <c r="E227" t="s">
        <v>16</v>
      </c>
      <c r="F227" t="s">
        <v>31</v>
      </c>
      <c r="G227" t="s">
        <v>1034</v>
      </c>
      <c r="H227" t="s">
        <v>1041</v>
      </c>
      <c r="I227" s="1">
        <v>43476</v>
      </c>
      <c r="J227" t="s">
        <v>1045</v>
      </c>
      <c r="K227" s="5">
        <v>0.60347222222222219</v>
      </c>
      <c r="L227" t="s">
        <v>28</v>
      </c>
      <c r="M227">
        <v>8.7159999999999993</v>
      </c>
      <c r="N227">
        <v>9.6999999999999993</v>
      </c>
    </row>
    <row r="228" spans="1:14" x14ac:dyDescent="0.25">
      <c r="A228" t="s">
        <v>257</v>
      </c>
      <c r="B228" t="s">
        <v>37</v>
      </c>
      <c r="C228" t="s">
        <v>38</v>
      </c>
      <c r="D228" t="s">
        <v>15</v>
      </c>
      <c r="E228" t="s">
        <v>26</v>
      </c>
      <c r="F228" t="s">
        <v>17</v>
      </c>
      <c r="G228" t="s">
        <v>1037</v>
      </c>
      <c r="H228" t="s">
        <v>1041</v>
      </c>
      <c r="I228" s="1">
        <v>43491</v>
      </c>
      <c r="J228" t="s">
        <v>1046</v>
      </c>
      <c r="K228" s="5">
        <v>0.80138888888888893</v>
      </c>
      <c r="L228" t="s">
        <v>18</v>
      </c>
      <c r="M228">
        <v>31.2165</v>
      </c>
      <c r="N228">
        <v>4</v>
      </c>
    </row>
    <row r="229" spans="1:14" x14ac:dyDescent="0.25">
      <c r="A229" t="s">
        <v>258</v>
      </c>
      <c r="B229" t="s">
        <v>20</v>
      </c>
      <c r="C229" t="s">
        <v>21</v>
      </c>
      <c r="D229" t="s">
        <v>15</v>
      </c>
      <c r="E229" t="s">
        <v>26</v>
      </c>
      <c r="F229" t="s">
        <v>23</v>
      </c>
      <c r="G229" t="s">
        <v>1037</v>
      </c>
      <c r="H229" t="s">
        <v>1041</v>
      </c>
      <c r="I229" s="1">
        <v>43496</v>
      </c>
      <c r="J229" t="s">
        <v>1046</v>
      </c>
      <c r="K229" s="5">
        <v>0.68333333333333324</v>
      </c>
      <c r="L229" t="s">
        <v>18</v>
      </c>
      <c r="M229">
        <v>7.4119999999999999</v>
      </c>
      <c r="N229">
        <v>9.6999999999999993</v>
      </c>
    </row>
    <row r="230" spans="1:14" x14ac:dyDescent="0.25">
      <c r="A230" t="s">
        <v>259</v>
      </c>
      <c r="B230" t="s">
        <v>37</v>
      </c>
      <c r="C230" t="s">
        <v>38</v>
      </c>
      <c r="D230" t="s">
        <v>15</v>
      </c>
      <c r="E230" t="s">
        <v>16</v>
      </c>
      <c r="F230" t="s">
        <v>23</v>
      </c>
      <c r="G230" t="s">
        <v>1034</v>
      </c>
      <c r="H230" t="s">
        <v>1042</v>
      </c>
      <c r="I230" s="1">
        <v>43522</v>
      </c>
      <c r="J230" t="s">
        <v>1044</v>
      </c>
      <c r="K230" s="5">
        <v>0.45277777777777778</v>
      </c>
      <c r="L230" t="s">
        <v>24</v>
      </c>
      <c r="M230">
        <v>27.21</v>
      </c>
      <c r="N230">
        <v>5.3</v>
      </c>
    </row>
    <row r="231" spans="1:14" x14ac:dyDescent="0.25">
      <c r="A231" t="s">
        <v>260</v>
      </c>
      <c r="B231" t="s">
        <v>13</v>
      </c>
      <c r="C231" t="s">
        <v>14</v>
      </c>
      <c r="D231" t="s">
        <v>22</v>
      </c>
      <c r="E231" t="s">
        <v>16</v>
      </c>
      <c r="F231" t="s">
        <v>27</v>
      </c>
      <c r="G231" t="s">
        <v>1036</v>
      </c>
      <c r="H231" t="s">
        <v>1043</v>
      </c>
      <c r="I231" s="1">
        <v>43535</v>
      </c>
      <c r="J231" t="s">
        <v>1045</v>
      </c>
      <c r="K231" s="5">
        <v>0.53819444444444442</v>
      </c>
      <c r="L231" t="s">
        <v>18</v>
      </c>
      <c r="M231">
        <v>25.367999999999999</v>
      </c>
      <c r="N231">
        <v>7.4</v>
      </c>
    </row>
    <row r="232" spans="1:14" x14ac:dyDescent="0.25">
      <c r="A232" t="s">
        <v>261</v>
      </c>
      <c r="B232" t="s">
        <v>37</v>
      </c>
      <c r="C232" t="s">
        <v>38</v>
      </c>
      <c r="D232" t="s">
        <v>22</v>
      </c>
      <c r="E232" t="s">
        <v>16</v>
      </c>
      <c r="F232" t="s">
        <v>41</v>
      </c>
      <c r="G232" t="s">
        <v>1037</v>
      </c>
      <c r="H232" t="s">
        <v>1041</v>
      </c>
      <c r="I232" s="1">
        <v>43491</v>
      </c>
      <c r="J232" t="s">
        <v>1046</v>
      </c>
      <c r="K232" s="5">
        <v>0.81111111111111101</v>
      </c>
      <c r="L232" t="s">
        <v>24</v>
      </c>
      <c r="M232">
        <v>8.1370000000000005</v>
      </c>
      <c r="N232">
        <v>6.5</v>
      </c>
    </row>
    <row r="233" spans="1:14" x14ac:dyDescent="0.25">
      <c r="A233" t="s">
        <v>262</v>
      </c>
      <c r="B233" t="s">
        <v>37</v>
      </c>
      <c r="C233" t="s">
        <v>38</v>
      </c>
      <c r="D233" t="s">
        <v>15</v>
      </c>
      <c r="E233" t="s">
        <v>16</v>
      </c>
      <c r="F233" t="s">
        <v>23</v>
      </c>
      <c r="G233" t="s">
        <v>1036</v>
      </c>
      <c r="H233" t="s">
        <v>1043</v>
      </c>
      <c r="I233" s="1">
        <v>43536</v>
      </c>
      <c r="J233" t="s">
        <v>1045</v>
      </c>
      <c r="K233" s="5">
        <v>0.57777777777777783</v>
      </c>
      <c r="L233" t="s">
        <v>28</v>
      </c>
      <c r="M233">
        <v>1.5885</v>
      </c>
      <c r="N233">
        <v>8.6999999999999993</v>
      </c>
    </row>
    <row r="234" spans="1:14" x14ac:dyDescent="0.25">
      <c r="A234" t="s">
        <v>263</v>
      </c>
      <c r="B234" t="s">
        <v>37</v>
      </c>
      <c r="C234" t="s">
        <v>38</v>
      </c>
      <c r="D234" t="s">
        <v>22</v>
      </c>
      <c r="E234" t="s">
        <v>16</v>
      </c>
      <c r="F234" t="s">
        <v>17</v>
      </c>
      <c r="G234" t="s">
        <v>1039</v>
      </c>
      <c r="H234" t="s">
        <v>1042</v>
      </c>
      <c r="I234" s="1">
        <v>43507</v>
      </c>
      <c r="J234" t="s">
        <v>1044</v>
      </c>
      <c r="K234" s="5">
        <v>0.45416666666666666</v>
      </c>
      <c r="L234" t="s">
        <v>24</v>
      </c>
      <c r="M234">
        <v>37.840499999999999</v>
      </c>
      <c r="N234">
        <v>8</v>
      </c>
    </row>
    <row r="235" spans="1:14" x14ac:dyDescent="0.25">
      <c r="A235" t="s">
        <v>264</v>
      </c>
      <c r="B235" t="s">
        <v>37</v>
      </c>
      <c r="C235" t="s">
        <v>38</v>
      </c>
      <c r="D235" t="s">
        <v>15</v>
      </c>
      <c r="E235" t="s">
        <v>26</v>
      </c>
      <c r="F235" t="s">
        <v>41</v>
      </c>
      <c r="G235" t="s">
        <v>1040</v>
      </c>
      <c r="H235" t="s">
        <v>1042</v>
      </c>
      <c r="I235" s="1">
        <v>43517</v>
      </c>
      <c r="J235" t="s">
        <v>1046</v>
      </c>
      <c r="K235" s="5">
        <v>0.7715277777777777</v>
      </c>
      <c r="L235" t="s">
        <v>24</v>
      </c>
      <c r="M235">
        <v>14.763999999999999</v>
      </c>
      <c r="N235">
        <v>6.7</v>
      </c>
    </row>
    <row r="236" spans="1:14" x14ac:dyDescent="0.25">
      <c r="A236" t="s">
        <v>265</v>
      </c>
      <c r="B236" t="s">
        <v>13</v>
      </c>
      <c r="C236" t="s">
        <v>14</v>
      </c>
      <c r="D236" t="s">
        <v>15</v>
      </c>
      <c r="E236" t="s">
        <v>26</v>
      </c>
      <c r="F236" t="s">
        <v>17</v>
      </c>
      <c r="G236" t="s">
        <v>1036</v>
      </c>
      <c r="H236" t="s">
        <v>1043</v>
      </c>
      <c r="I236" s="1">
        <v>43533</v>
      </c>
      <c r="J236" t="s">
        <v>1046</v>
      </c>
      <c r="K236" s="5">
        <v>0.76666666666666661</v>
      </c>
      <c r="L236" t="s">
        <v>18</v>
      </c>
      <c r="M236">
        <v>25.97</v>
      </c>
      <c r="N236">
        <v>6.5</v>
      </c>
    </row>
    <row r="237" spans="1:14" x14ac:dyDescent="0.25">
      <c r="A237" t="s">
        <v>266</v>
      </c>
      <c r="B237" t="s">
        <v>13</v>
      </c>
      <c r="C237" t="s">
        <v>14</v>
      </c>
      <c r="D237" t="s">
        <v>22</v>
      </c>
      <c r="E237" t="s">
        <v>16</v>
      </c>
      <c r="F237" t="s">
        <v>31</v>
      </c>
      <c r="G237" t="s">
        <v>1036</v>
      </c>
      <c r="H237" t="s">
        <v>1041</v>
      </c>
      <c r="I237" s="1">
        <v>43485</v>
      </c>
      <c r="J237" t="s">
        <v>1046</v>
      </c>
      <c r="K237" s="5">
        <v>0.75624999999999998</v>
      </c>
      <c r="L237" t="s">
        <v>18</v>
      </c>
      <c r="M237">
        <v>9.3140000000000001</v>
      </c>
      <c r="N237">
        <v>4.0999999999999996</v>
      </c>
    </row>
    <row r="238" spans="1:14" x14ac:dyDescent="0.25">
      <c r="A238" t="s">
        <v>267</v>
      </c>
      <c r="B238" t="s">
        <v>20</v>
      </c>
      <c r="C238" t="s">
        <v>21</v>
      </c>
      <c r="D238" t="s">
        <v>22</v>
      </c>
      <c r="E238" t="s">
        <v>26</v>
      </c>
      <c r="F238" t="s">
        <v>17</v>
      </c>
      <c r="G238" t="s">
        <v>1037</v>
      </c>
      <c r="H238" t="s">
        <v>1041</v>
      </c>
      <c r="I238" s="1">
        <v>43493</v>
      </c>
      <c r="J238" t="s">
        <v>1045</v>
      </c>
      <c r="K238" s="5">
        <v>0.63611111111111118</v>
      </c>
      <c r="L238" t="s">
        <v>28</v>
      </c>
      <c r="M238">
        <v>4.3525</v>
      </c>
      <c r="N238">
        <v>4.9000000000000004</v>
      </c>
    </row>
    <row r="239" spans="1:14" x14ac:dyDescent="0.25">
      <c r="A239" t="s">
        <v>268</v>
      </c>
      <c r="B239" t="s">
        <v>20</v>
      </c>
      <c r="C239" t="s">
        <v>21</v>
      </c>
      <c r="D239" t="s">
        <v>15</v>
      </c>
      <c r="E239" t="s">
        <v>16</v>
      </c>
      <c r="F239" t="s">
        <v>41</v>
      </c>
      <c r="G239" t="s">
        <v>1035</v>
      </c>
      <c r="H239" t="s">
        <v>1043</v>
      </c>
      <c r="I239" s="1">
        <v>43529</v>
      </c>
      <c r="J239" t="s">
        <v>1046</v>
      </c>
      <c r="K239" s="5">
        <v>0.71319444444444446</v>
      </c>
      <c r="L239" t="s">
        <v>28</v>
      </c>
      <c r="M239">
        <v>11.055</v>
      </c>
      <c r="N239">
        <v>8.6</v>
      </c>
    </row>
    <row r="240" spans="1:14" x14ac:dyDescent="0.25">
      <c r="A240" t="s">
        <v>269</v>
      </c>
      <c r="B240" t="s">
        <v>37</v>
      </c>
      <c r="C240" t="s">
        <v>38</v>
      </c>
      <c r="D240" t="s">
        <v>15</v>
      </c>
      <c r="E240" t="s">
        <v>16</v>
      </c>
      <c r="F240" t="s">
        <v>23</v>
      </c>
      <c r="G240" t="s">
        <v>1035</v>
      </c>
      <c r="H240" t="s">
        <v>1043</v>
      </c>
      <c r="I240" s="1">
        <v>43526</v>
      </c>
      <c r="J240" t="s">
        <v>1046</v>
      </c>
      <c r="K240" s="5">
        <v>0.80972222222222223</v>
      </c>
      <c r="L240" t="s">
        <v>24</v>
      </c>
      <c r="M240">
        <v>3.3050000000000002</v>
      </c>
      <c r="N240">
        <v>4.3</v>
      </c>
    </row>
    <row r="241" spans="1:14" x14ac:dyDescent="0.25">
      <c r="A241" t="s">
        <v>270</v>
      </c>
      <c r="B241" t="s">
        <v>13</v>
      </c>
      <c r="C241" t="s">
        <v>14</v>
      </c>
      <c r="D241" t="s">
        <v>22</v>
      </c>
      <c r="E241" t="s">
        <v>26</v>
      </c>
      <c r="F241" t="s">
        <v>41</v>
      </c>
      <c r="G241" t="s">
        <v>1034</v>
      </c>
      <c r="H241" t="s">
        <v>1041</v>
      </c>
      <c r="I241" s="1">
        <v>43476</v>
      </c>
      <c r="J241" t="s">
        <v>1044</v>
      </c>
      <c r="K241" s="5">
        <v>0.47222222222222227</v>
      </c>
      <c r="L241" t="s">
        <v>18</v>
      </c>
      <c r="M241">
        <v>4.4844999999999997</v>
      </c>
      <c r="N241">
        <v>4.9000000000000004</v>
      </c>
    </row>
    <row r="242" spans="1:14" x14ac:dyDescent="0.25">
      <c r="A242" t="s">
        <v>271</v>
      </c>
      <c r="B242" t="s">
        <v>13</v>
      </c>
      <c r="C242" t="s">
        <v>14</v>
      </c>
      <c r="D242" t="s">
        <v>22</v>
      </c>
      <c r="E242" t="s">
        <v>26</v>
      </c>
      <c r="F242" t="s">
        <v>39</v>
      </c>
      <c r="G242" t="s">
        <v>1034</v>
      </c>
      <c r="H242" t="s">
        <v>1041</v>
      </c>
      <c r="I242" s="1">
        <v>43476</v>
      </c>
      <c r="J242" t="s">
        <v>1046</v>
      </c>
      <c r="K242" s="5">
        <v>0.7006944444444444</v>
      </c>
      <c r="L242" t="s">
        <v>28</v>
      </c>
      <c r="M242">
        <v>11.223000000000001</v>
      </c>
      <c r="N242">
        <v>5.6</v>
      </c>
    </row>
    <row r="243" spans="1:14" x14ac:dyDescent="0.25">
      <c r="A243" t="s">
        <v>272</v>
      </c>
      <c r="B243" t="s">
        <v>13</v>
      </c>
      <c r="C243" t="s">
        <v>14</v>
      </c>
      <c r="D243" t="s">
        <v>22</v>
      </c>
      <c r="E243" t="s">
        <v>26</v>
      </c>
      <c r="F243" t="s">
        <v>17</v>
      </c>
      <c r="G243" t="s">
        <v>1036</v>
      </c>
      <c r="H243" t="s">
        <v>1043</v>
      </c>
      <c r="I243" s="1">
        <v>43535</v>
      </c>
      <c r="J243" t="s">
        <v>1045</v>
      </c>
      <c r="K243" s="5">
        <v>0.50069444444444444</v>
      </c>
      <c r="L243" t="s">
        <v>28</v>
      </c>
      <c r="M243">
        <v>5.9770000000000003</v>
      </c>
      <c r="N243">
        <v>5.8</v>
      </c>
    </row>
    <row r="244" spans="1:14" x14ac:dyDescent="0.25">
      <c r="A244" t="s">
        <v>273</v>
      </c>
      <c r="B244" t="s">
        <v>20</v>
      </c>
      <c r="C244" t="s">
        <v>21</v>
      </c>
      <c r="D244" t="s">
        <v>15</v>
      </c>
      <c r="E244" t="s">
        <v>26</v>
      </c>
      <c r="F244" t="s">
        <v>41</v>
      </c>
      <c r="G244" t="s">
        <v>1034</v>
      </c>
      <c r="H244" t="s">
        <v>1042</v>
      </c>
      <c r="I244" s="1">
        <v>43524</v>
      </c>
      <c r="J244" t="s">
        <v>1046</v>
      </c>
      <c r="K244" s="5">
        <v>0.77569444444444446</v>
      </c>
      <c r="L244" t="s">
        <v>28</v>
      </c>
      <c r="M244">
        <v>9.32</v>
      </c>
      <c r="N244">
        <v>6</v>
      </c>
    </row>
    <row r="245" spans="1:14" x14ac:dyDescent="0.25">
      <c r="A245" t="s">
        <v>274</v>
      </c>
      <c r="B245" t="s">
        <v>13</v>
      </c>
      <c r="C245" t="s">
        <v>14</v>
      </c>
      <c r="D245" t="s">
        <v>15</v>
      </c>
      <c r="E245" t="s">
        <v>26</v>
      </c>
      <c r="F245" t="s">
        <v>27</v>
      </c>
      <c r="G245" t="s">
        <v>1034</v>
      </c>
      <c r="H245" t="s">
        <v>1041</v>
      </c>
      <c r="I245" s="1">
        <v>43470</v>
      </c>
      <c r="J245" t="s">
        <v>1044</v>
      </c>
      <c r="K245" s="5">
        <v>0.47569444444444442</v>
      </c>
      <c r="L245" t="s">
        <v>24</v>
      </c>
      <c r="M245">
        <v>12.53</v>
      </c>
      <c r="N245">
        <v>4.2</v>
      </c>
    </row>
    <row r="246" spans="1:14" x14ac:dyDescent="0.25">
      <c r="A246" t="s">
        <v>275</v>
      </c>
      <c r="B246" t="s">
        <v>37</v>
      </c>
      <c r="C246" t="s">
        <v>38</v>
      </c>
      <c r="D246" t="s">
        <v>22</v>
      </c>
      <c r="E246" t="s">
        <v>26</v>
      </c>
      <c r="F246" t="s">
        <v>27</v>
      </c>
      <c r="G246" t="s">
        <v>1038</v>
      </c>
      <c r="H246" t="s">
        <v>1042</v>
      </c>
      <c r="I246" s="1">
        <v>43498</v>
      </c>
      <c r="J246" t="s">
        <v>1046</v>
      </c>
      <c r="K246" s="5">
        <v>0.77916666666666667</v>
      </c>
      <c r="L246" t="s">
        <v>28</v>
      </c>
      <c r="M246">
        <v>37.548000000000002</v>
      </c>
      <c r="N246">
        <v>8.3000000000000007</v>
      </c>
    </row>
    <row r="247" spans="1:14" x14ac:dyDescent="0.25">
      <c r="A247" t="s">
        <v>276</v>
      </c>
      <c r="B247" t="s">
        <v>13</v>
      </c>
      <c r="C247" t="s">
        <v>14</v>
      </c>
      <c r="D247" t="s">
        <v>15</v>
      </c>
      <c r="E247" t="s">
        <v>26</v>
      </c>
      <c r="F247" t="s">
        <v>27</v>
      </c>
      <c r="G247" t="s">
        <v>1040</v>
      </c>
      <c r="H247" t="s">
        <v>1041</v>
      </c>
      <c r="I247" s="1">
        <v>43466</v>
      </c>
      <c r="J247" t="s">
        <v>1045</v>
      </c>
      <c r="K247" s="5">
        <v>0.61597222222222225</v>
      </c>
      <c r="L247" t="s">
        <v>24</v>
      </c>
      <c r="M247">
        <v>19.036000000000001</v>
      </c>
      <c r="N247">
        <v>5.7</v>
      </c>
    </row>
    <row r="248" spans="1:14" x14ac:dyDescent="0.25">
      <c r="A248" t="s">
        <v>277</v>
      </c>
      <c r="B248" t="s">
        <v>37</v>
      </c>
      <c r="C248" t="s">
        <v>38</v>
      </c>
      <c r="D248" t="s">
        <v>15</v>
      </c>
      <c r="E248" t="s">
        <v>16</v>
      </c>
      <c r="F248" t="s">
        <v>23</v>
      </c>
      <c r="G248" t="s">
        <v>1039</v>
      </c>
      <c r="H248" t="s">
        <v>1042</v>
      </c>
      <c r="I248" s="1">
        <v>43505</v>
      </c>
      <c r="J248" t="s">
        <v>1046</v>
      </c>
      <c r="K248" s="5">
        <v>0.82152777777777775</v>
      </c>
      <c r="L248" t="s">
        <v>24</v>
      </c>
      <c r="M248">
        <v>12.21</v>
      </c>
      <c r="N248">
        <v>4.8</v>
      </c>
    </row>
    <row r="249" spans="1:14" x14ac:dyDescent="0.25">
      <c r="A249" t="s">
        <v>278</v>
      </c>
      <c r="B249" t="s">
        <v>13</v>
      </c>
      <c r="C249" t="s">
        <v>14</v>
      </c>
      <c r="D249" t="s">
        <v>15</v>
      </c>
      <c r="E249" t="s">
        <v>26</v>
      </c>
      <c r="F249" t="s">
        <v>41</v>
      </c>
      <c r="G249" t="s">
        <v>1036</v>
      </c>
      <c r="H249" t="s">
        <v>1041</v>
      </c>
      <c r="I249" s="1">
        <v>43488</v>
      </c>
      <c r="J249" t="s">
        <v>1045</v>
      </c>
      <c r="K249" s="5">
        <v>0.58611111111111114</v>
      </c>
      <c r="L249" t="s">
        <v>18</v>
      </c>
      <c r="M249">
        <v>4.4850000000000003</v>
      </c>
      <c r="N249">
        <v>6.8</v>
      </c>
    </row>
    <row r="250" spans="1:14" x14ac:dyDescent="0.25">
      <c r="A250" t="s">
        <v>279</v>
      </c>
      <c r="B250" t="s">
        <v>13</v>
      </c>
      <c r="C250" t="s">
        <v>14</v>
      </c>
      <c r="D250" t="s">
        <v>15</v>
      </c>
      <c r="E250" t="s">
        <v>26</v>
      </c>
      <c r="F250" t="s">
        <v>23</v>
      </c>
      <c r="G250" t="s">
        <v>1034</v>
      </c>
      <c r="H250" t="s">
        <v>1041</v>
      </c>
      <c r="I250" s="1">
        <v>43472</v>
      </c>
      <c r="J250" t="s">
        <v>1046</v>
      </c>
      <c r="K250" s="5">
        <v>0.6743055555555556</v>
      </c>
      <c r="L250" t="s">
        <v>28</v>
      </c>
      <c r="M250">
        <v>15.544</v>
      </c>
      <c r="N250">
        <v>8.8000000000000007</v>
      </c>
    </row>
    <row r="251" spans="1:14" x14ac:dyDescent="0.25">
      <c r="A251" t="s">
        <v>280</v>
      </c>
      <c r="B251" t="s">
        <v>37</v>
      </c>
      <c r="C251" t="s">
        <v>38</v>
      </c>
      <c r="D251" t="s">
        <v>22</v>
      </c>
      <c r="E251" t="s">
        <v>26</v>
      </c>
      <c r="F251" t="s">
        <v>39</v>
      </c>
      <c r="G251" t="s">
        <v>1035</v>
      </c>
      <c r="H251" t="s">
        <v>1041</v>
      </c>
      <c r="I251" s="1">
        <v>43479</v>
      </c>
      <c r="J251" t="s">
        <v>1046</v>
      </c>
      <c r="K251" s="5">
        <v>0.79583333333333339</v>
      </c>
      <c r="L251" t="s">
        <v>28</v>
      </c>
      <c r="M251">
        <v>25.571000000000002</v>
      </c>
      <c r="N251">
        <v>4.2</v>
      </c>
    </row>
    <row r="252" spans="1:14" x14ac:dyDescent="0.25">
      <c r="A252" t="s">
        <v>281</v>
      </c>
      <c r="B252" t="s">
        <v>37</v>
      </c>
      <c r="C252" t="s">
        <v>38</v>
      </c>
      <c r="D252" t="s">
        <v>15</v>
      </c>
      <c r="E252" t="s">
        <v>26</v>
      </c>
      <c r="F252" t="s">
        <v>39</v>
      </c>
      <c r="G252" t="s">
        <v>1038</v>
      </c>
      <c r="H252" t="s">
        <v>1042</v>
      </c>
      <c r="I252" s="1">
        <v>43498</v>
      </c>
      <c r="J252" t="s">
        <v>1045</v>
      </c>
      <c r="K252" s="5">
        <v>0.64861111111111114</v>
      </c>
      <c r="L252" t="s">
        <v>18</v>
      </c>
      <c r="M252">
        <v>20.947500000000002</v>
      </c>
      <c r="N252">
        <v>6.4</v>
      </c>
    </row>
    <row r="253" spans="1:14" x14ac:dyDescent="0.25">
      <c r="A253" t="s">
        <v>282</v>
      </c>
      <c r="B253" t="s">
        <v>20</v>
      </c>
      <c r="C253" t="s">
        <v>21</v>
      </c>
      <c r="D253" t="s">
        <v>15</v>
      </c>
      <c r="E253" t="s">
        <v>26</v>
      </c>
      <c r="F253" t="s">
        <v>41</v>
      </c>
      <c r="G253" t="s">
        <v>1037</v>
      </c>
      <c r="H253" t="s">
        <v>1043</v>
      </c>
      <c r="I253" s="1">
        <v>43541</v>
      </c>
      <c r="J253" t="s">
        <v>1046</v>
      </c>
      <c r="K253" s="5">
        <v>0.79583333333333339</v>
      </c>
      <c r="L253" t="s">
        <v>28</v>
      </c>
      <c r="M253">
        <v>17.594999999999999</v>
      </c>
      <c r="N253">
        <v>8.4</v>
      </c>
    </row>
    <row r="254" spans="1:14" x14ac:dyDescent="0.25">
      <c r="A254" t="s">
        <v>283</v>
      </c>
      <c r="B254" t="s">
        <v>20</v>
      </c>
      <c r="C254" t="s">
        <v>21</v>
      </c>
      <c r="D254" t="s">
        <v>22</v>
      </c>
      <c r="E254" t="s">
        <v>16</v>
      </c>
      <c r="F254" t="s">
        <v>31</v>
      </c>
      <c r="G254" t="s">
        <v>1035</v>
      </c>
      <c r="H254" t="s">
        <v>1043</v>
      </c>
      <c r="I254" s="1">
        <v>43526</v>
      </c>
      <c r="J254" t="s">
        <v>1046</v>
      </c>
      <c r="K254" s="5">
        <v>0.8222222222222223</v>
      </c>
      <c r="L254" t="s">
        <v>28</v>
      </c>
      <c r="M254">
        <v>1.4390000000000001</v>
      </c>
      <c r="N254">
        <v>7.2</v>
      </c>
    </row>
    <row r="255" spans="1:14" x14ac:dyDescent="0.25">
      <c r="A255" t="s">
        <v>284</v>
      </c>
      <c r="B255" t="s">
        <v>13</v>
      </c>
      <c r="C255" t="s">
        <v>14</v>
      </c>
      <c r="D255" t="s">
        <v>22</v>
      </c>
      <c r="E255" t="s">
        <v>26</v>
      </c>
      <c r="F255" t="s">
        <v>27</v>
      </c>
      <c r="G255" t="s">
        <v>1037</v>
      </c>
      <c r="H255" t="s">
        <v>1043</v>
      </c>
      <c r="I255" s="1">
        <v>43540</v>
      </c>
      <c r="J255" t="s">
        <v>1044</v>
      </c>
      <c r="K255" s="5">
        <v>0.47361111111111115</v>
      </c>
      <c r="L255" t="s">
        <v>24</v>
      </c>
      <c r="M255">
        <v>4.75</v>
      </c>
      <c r="N255">
        <v>5.2</v>
      </c>
    </row>
    <row r="256" spans="1:14" x14ac:dyDescent="0.25">
      <c r="A256" t="s">
        <v>285</v>
      </c>
      <c r="B256" t="s">
        <v>13</v>
      </c>
      <c r="C256" t="s">
        <v>14</v>
      </c>
      <c r="D256" t="s">
        <v>15</v>
      </c>
      <c r="E256" t="s">
        <v>26</v>
      </c>
      <c r="F256" t="s">
        <v>27</v>
      </c>
      <c r="G256" t="s">
        <v>1034</v>
      </c>
      <c r="H256" t="s">
        <v>1041</v>
      </c>
      <c r="I256" s="1">
        <v>43471</v>
      </c>
      <c r="J256" t="s">
        <v>1044</v>
      </c>
      <c r="K256" s="5">
        <v>0.47430555555555554</v>
      </c>
      <c r="L256" t="s">
        <v>24</v>
      </c>
      <c r="M256">
        <v>23.56</v>
      </c>
      <c r="N256">
        <v>8.9</v>
      </c>
    </row>
    <row r="257" spans="1:14" x14ac:dyDescent="0.25">
      <c r="A257" t="s">
        <v>286</v>
      </c>
      <c r="B257" t="s">
        <v>37</v>
      </c>
      <c r="C257" t="s">
        <v>38</v>
      </c>
      <c r="D257" t="s">
        <v>15</v>
      </c>
      <c r="E257" t="s">
        <v>26</v>
      </c>
      <c r="F257" t="s">
        <v>41</v>
      </c>
      <c r="G257" t="s">
        <v>1037</v>
      </c>
      <c r="H257" t="s">
        <v>1041</v>
      </c>
      <c r="I257" s="1">
        <v>43494</v>
      </c>
      <c r="J257" t="s">
        <v>1045</v>
      </c>
      <c r="K257" s="5">
        <v>0.59166666666666667</v>
      </c>
      <c r="L257" t="s">
        <v>24</v>
      </c>
      <c r="M257">
        <v>6.524</v>
      </c>
      <c r="N257">
        <v>9</v>
      </c>
    </row>
    <row r="258" spans="1:14" x14ac:dyDescent="0.25">
      <c r="A258" t="s">
        <v>287</v>
      </c>
      <c r="B258" t="s">
        <v>13</v>
      </c>
      <c r="C258" t="s">
        <v>14</v>
      </c>
      <c r="D258" t="s">
        <v>15</v>
      </c>
      <c r="E258" t="s">
        <v>26</v>
      </c>
      <c r="F258" t="s">
        <v>23</v>
      </c>
      <c r="G258" t="s">
        <v>1037</v>
      </c>
      <c r="H258" t="s">
        <v>1041</v>
      </c>
      <c r="I258" s="1">
        <v>43496</v>
      </c>
      <c r="J258" t="s">
        <v>1044</v>
      </c>
      <c r="K258" s="5">
        <v>0.44861111111111113</v>
      </c>
      <c r="L258" t="s">
        <v>28</v>
      </c>
      <c r="M258">
        <v>3.3174999999999999</v>
      </c>
      <c r="N258">
        <v>9.6999999999999993</v>
      </c>
    </row>
    <row r="259" spans="1:14" x14ac:dyDescent="0.25">
      <c r="A259" t="s">
        <v>288</v>
      </c>
      <c r="B259" t="s">
        <v>13</v>
      </c>
      <c r="C259" t="s">
        <v>14</v>
      </c>
      <c r="D259" t="s">
        <v>15</v>
      </c>
      <c r="E259" t="s">
        <v>26</v>
      </c>
      <c r="F259" t="s">
        <v>27</v>
      </c>
      <c r="G259" t="s">
        <v>1038</v>
      </c>
      <c r="H259" t="s">
        <v>1042</v>
      </c>
      <c r="I259" s="1">
        <v>43501</v>
      </c>
      <c r="J259" t="s">
        <v>1044</v>
      </c>
      <c r="K259" s="5">
        <v>0.42777777777777781</v>
      </c>
      <c r="L259" t="s">
        <v>18</v>
      </c>
      <c r="M259">
        <v>7.7729999999999997</v>
      </c>
      <c r="N259">
        <v>8.6999999999999993</v>
      </c>
    </row>
    <row r="260" spans="1:14" x14ac:dyDescent="0.25">
      <c r="A260" t="s">
        <v>289</v>
      </c>
      <c r="B260" t="s">
        <v>13</v>
      </c>
      <c r="C260" t="s">
        <v>14</v>
      </c>
      <c r="D260" t="s">
        <v>15</v>
      </c>
      <c r="E260" t="s">
        <v>26</v>
      </c>
      <c r="F260" t="s">
        <v>23</v>
      </c>
      <c r="G260" t="s">
        <v>1039</v>
      </c>
      <c r="H260" t="s">
        <v>1042</v>
      </c>
      <c r="I260" s="1">
        <v>43509</v>
      </c>
      <c r="J260" t="s">
        <v>1045</v>
      </c>
      <c r="K260" s="5">
        <v>0.52638888888888891</v>
      </c>
      <c r="L260" t="s">
        <v>18</v>
      </c>
      <c r="M260">
        <v>6.45</v>
      </c>
      <c r="N260">
        <v>6.5</v>
      </c>
    </row>
    <row r="261" spans="1:14" x14ac:dyDescent="0.25">
      <c r="A261" t="s">
        <v>290</v>
      </c>
      <c r="B261" t="s">
        <v>20</v>
      </c>
      <c r="C261" t="s">
        <v>21</v>
      </c>
      <c r="D261" t="s">
        <v>15</v>
      </c>
      <c r="E261" t="s">
        <v>26</v>
      </c>
      <c r="F261" t="s">
        <v>23</v>
      </c>
      <c r="G261" t="s">
        <v>1038</v>
      </c>
      <c r="H261" t="s">
        <v>1042</v>
      </c>
      <c r="I261" s="1">
        <v>43503</v>
      </c>
      <c r="J261" t="s">
        <v>1045</v>
      </c>
      <c r="K261" s="5">
        <v>0.54513888888888895</v>
      </c>
      <c r="L261" t="s">
        <v>28</v>
      </c>
      <c r="M261">
        <v>13.188000000000001</v>
      </c>
      <c r="N261">
        <v>6.9</v>
      </c>
    </row>
    <row r="262" spans="1:14" x14ac:dyDescent="0.25">
      <c r="A262" t="s">
        <v>291</v>
      </c>
      <c r="B262" t="s">
        <v>13</v>
      </c>
      <c r="C262" t="s">
        <v>14</v>
      </c>
      <c r="D262" t="s">
        <v>22</v>
      </c>
      <c r="E262" t="s">
        <v>16</v>
      </c>
      <c r="F262" t="s">
        <v>23</v>
      </c>
      <c r="G262" t="s">
        <v>1037</v>
      </c>
      <c r="H262" t="s">
        <v>1043</v>
      </c>
      <c r="I262" s="1">
        <v>43543</v>
      </c>
      <c r="J262" t="s">
        <v>1045</v>
      </c>
      <c r="K262" s="5">
        <v>0.55902777777777779</v>
      </c>
      <c r="L262" t="s">
        <v>18</v>
      </c>
      <c r="M262">
        <v>33.777000000000001</v>
      </c>
      <c r="N262">
        <v>6.2</v>
      </c>
    </row>
    <row r="263" spans="1:14" x14ac:dyDescent="0.25">
      <c r="A263" t="s">
        <v>292</v>
      </c>
      <c r="B263" t="s">
        <v>20</v>
      </c>
      <c r="C263" t="s">
        <v>21</v>
      </c>
      <c r="D263" t="s">
        <v>22</v>
      </c>
      <c r="E263" t="s">
        <v>16</v>
      </c>
      <c r="F263" t="s">
        <v>41</v>
      </c>
      <c r="G263" t="s">
        <v>1035</v>
      </c>
      <c r="H263" t="s">
        <v>1043</v>
      </c>
      <c r="I263" s="1">
        <v>43531</v>
      </c>
      <c r="J263" t="s">
        <v>1045</v>
      </c>
      <c r="K263" s="5">
        <v>0.62013888888888891</v>
      </c>
      <c r="L263" t="s">
        <v>18</v>
      </c>
      <c r="M263">
        <v>3.29</v>
      </c>
      <c r="N263">
        <v>5.6</v>
      </c>
    </row>
    <row r="264" spans="1:14" x14ac:dyDescent="0.25">
      <c r="A264" t="s">
        <v>293</v>
      </c>
      <c r="B264" t="s">
        <v>37</v>
      </c>
      <c r="C264" t="s">
        <v>38</v>
      </c>
      <c r="D264" t="s">
        <v>15</v>
      </c>
      <c r="E264" t="s">
        <v>16</v>
      </c>
      <c r="F264" t="s">
        <v>41</v>
      </c>
      <c r="G264" t="s">
        <v>1036</v>
      </c>
      <c r="H264" t="s">
        <v>1043</v>
      </c>
      <c r="I264" s="1">
        <v>43537</v>
      </c>
      <c r="J264" t="s">
        <v>1046</v>
      </c>
      <c r="K264" s="5">
        <v>0.80694444444444446</v>
      </c>
      <c r="L264" t="s">
        <v>24</v>
      </c>
      <c r="M264">
        <v>7.66</v>
      </c>
      <c r="N264">
        <v>5.7</v>
      </c>
    </row>
    <row r="265" spans="1:14" x14ac:dyDescent="0.25">
      <c r="A265" t="s">
        <v>294</v>
      </c>
      <c r="B265" t="s">
        <v>13</v>
      </c>
      <c r="C265" t="s">
        <v>14</v>
      </c>
      <c r="D265" t="s">
        <v>15</v>
      </c>
      <c r="E265" t="s">
        <v>16</v>
      </c>
      <c r="F265" t="s">
        <v>31</v>
      </c>
      <c r="G265" t="s">
        <v>1039</v>
      </c>
      <c r="H265" t="s">
        <v>1042</v>
      </c>
      <c r="I265" s="1">
        <v>43505</v>
      </c>
      <c r="J265" t="s">
        <v>1044</v>
      </c>
      <c r="K265" s="5">
        <v>0.45833333333333331</v>
      </c>
      <c r="L265" t="s">
        <v>24</v>
      </c>
      <c r="M265">
        <v>11.12</v>
      </c>
      <c r="N265">
        <v>4.2</v>
      </c>
    </row>
    <row r="266" spans="1:14" x14ac:dyDescent="0.25">
      <c r="A266" t="s">
        <v>295</v>
      </c>
      <c r="B266" t="s">
        <v>37</v>
      </c>
      <c r="C266" t="s">
        <v>38</v>
      </c>
      <c r="D266" t="s">
        <v>22</v>
      </c>
      <c r="E266" t="s">
        <v>26</v>
      </c>
      <c r="F266" t="s">
        <v>31</v>
      </c>
      <c r="G266" t="s">
        <v>1034</v>
      </c>
      <c r="H266" t="s">
        <v>1042</v>
      </c>
      <c r="I266" s="1">
        <v>43522</v>
      </c>
      <c r="J266" t="s">
        <v>1046</v>
      </c>
      <c r="K266" s="5">
        <v>0.80833333333333324</v>
      </c>
      <c r="L266" t="s">
        <v>18</v>
      </c>
      <c r="M266">
        <v>2.7225000000000001</v>
      </c>
      <c r="N266">
        <v>7.9</v>
      </c>
    </row>
    <row r="267" spans="1:14" x14ac:dyDescent="0.25">
      <c r="A267" t="s">
        <v>296</v>
      </c>
      <c r="B267" t="s">
        <v>13</v>
      </c>
      <c r="C267" t="s">
        <v>14</v>
      </c>
      <c r="D267" t="s">
        <v>15</v>
      </c>
      <c r="E267" t="s">
        <v>16</v>
      </c>
      <c r="F267" t="s">
        <v>31</v>
      </c>
      <c r="G267" t="s">
        <v>1036</v>
      </c>
      <c r="H267" t="s">
        <v>1043</v>
      </c>
      <c r="I267" s="1">
        <v>43536</v>
      </c>
      <c r="J267" t="s">
        <v>1045</v>
      </c>
      <c r="K267" s="5">
        <v>0.52986111111111112</v>
      </c>
      <c r="L267" t="s">
        <v>28</v>
      </c>
      <c r="M267">
        <v>34.44</v>
      </c>
      <c r="N267">
        <v>8.6999999999999993</v>
      </c>
    </row>
    <row r="268" spans="1:14" x14ac:dyDescent="0.25">
      <c r="A268" t="s">
        <v>297</v>
      </c>
      <c r="B268" t="s">
        <v>20</v>
      </c>
      <c r="C268" t="s">
        <v>21</v>
      </c>
      <c r="D268" t="s">
        <v>22</v>
      </c>
      <c r="E268" t="s">
        <v>26</v>
      </c>
      <c r="F268" t="s">
        <v>27</v>
      </c>
      <c r="G268" t="s">
        <v>1036</v>
      </c>
      <c r="H268" t="s">
        <v>1043</v>
      </c>
      <c r="I268" s="1">
        <v>43538</v>
      </c>
      <c r="J268" t="s">
        <v>1046</v>
      </c>
      <c r="K268" s="5">
        <v>0.72361111111111109</v>
      </c>
      <c r="L268" t="s">
        <v>28</v>
      </c>
      <c r="M268">
        <v>7.0940000000000003</v>
      </c>
      <c r="N268">
        <v>6.9</v>
      </c>
    </row>
    <row r="269" spans="1:14" x14ac:dyDescent="0.25">
      <c r="A269" t="s">
        <v>298</v>
      </c>
      <c r="B269" t="s">
        <v>37</v>
      </c>
      <c r="C269" t="s">
        <v>38</v>
      </c>
      <c r="D269" t="s">
        <v>15</v>
      </c>
      <c r="E269" t="s">
        <v>16</v>
      </c>
      <c r="F269" t="s">
        <v>39</v>
      </c>
      <c r="G269" t="s">
        <v>1034</v>
      </c>
      <c r="H269" t="s">
        <v>1041</v>
      </c>
      <c r="I269" s="1">
        <v>43473</v>
      </c>
      <c r="J269" t="s">
        <v>1046</v>
      </c>
      <c r="K269" s="5">
        <v>0.87152777777777779</v>
      </c>
      <c r="L269" t="s">
        <v>24</v>
      </c>
      <c r="M269">
        <v>37.299999999999997</v>
      </c>
      <c r="N269">
        <v>9.5</v>
      </c>
    </row>
    <row r="270" spans="1:14" x14ac:dyDescent="0.25">
      <c r="A270" t="s">
        <v>299</v>
      </c>
      <c r="B270" t="s">
        <v>13</v>
      </c>
      <c r="C270" t="s">
        <v>14</v>
      </c>
      <c r="D270" t="s">
        <v>15</v>
      </c>
      <c r="E270" t="s">
        <v>26</v>
      </c>
      <c r="F270" t="s">
        <v>27</v>
      </c>
      <c r="G270" t="s">
        <v>1034</v>
      </c>
      <c r="H270" t="s">
        <v>1041</v>
      </c>
      <c r="I270" s="1">
        <v>43470</v>
      </c>
      <c r="J270" t="s">
        <v>1046</v>
      </c>
      <c r="K270" s="5">
        <v>0.67013888888888884</v>
      </c>
      <c r="L270" t="s">
        <v>28</v>
      </c>
      <c r="M270">
        <v>14.148</v>
      </c>
      <c r="N270">
        <v>4.4000000000000004</v>
      </c>
    </row>
    <row r="271" spans="1:14" x14ac:dyDescent="0.25">
      <c r="A271" t="s">
        <v>300</v>
      </c>
      <c r="B271" t="s">
        <v>13</v>
      </c>
      <c r="C271" t="s">
        <v>14</v>
      </c>
      <c r="D271" t="s">
        <v>15</v>
      </c>
      <c r="E271" t="s">
        <v>16</v>
      </c>
      <c r="F271" t="s">
        <v>27</v>
      </c>
      <c r="G271" t="s">
        <v>1040</v>
      </c>
      <c r="H271" t="s">
        <v>1041</v>
      </c>
      <c r="I271" s="1">
        <v>43469</v>
      </c>
      <c r="J271" t="s">
        <v>1045</v>
      </c>
      <c r="K271" s="5">
        <v>0.56527777777777777</v>
      </c>
      <c r="L271" t="s">
        <v>18</v>
      </c>
      <c r="M271">
        <v>17.77</v>
      </c>
      <c r="N271">
        <v>7</v>
      </c>
    </row>
    <row r="272" spans="1:14" x14ac:dyDescent="0.25">
      <c r="A272" t="s">
        <v>301</v>
      </c>
      <c r="B272" t="s">
        <v>37</v>
      </c>
      <c r="C272" t="s">
        <v>38</v>
      </c>
      <c r="D272" t="s">
        <v>22</v>
      </c>
      <c r="E272" t="s">
        <v>16</v>
      </c>
      <c r="F272" t="s">
        <v>31</v>
      </c>
      <c r="G272" t="s">
        <v>1035</v>
      </c>
      <c r="H272" t="s">
        <v>1043</v>
      </c>
      <c r="I272" s="1">
        <v>43530</v>
      </c>
      <c r="J272" t="s">
        <v>1046</v>
      </c>
      <c r="K272" s="5">
        <v>0.75902777777777775</v>
      </c>
      <c r="L272" t="s">
        <v>18</v>
      </c>
      <c r="M272">
        <v>16.857500000000002</v>
      </c>
      <c r="N272">
        <v>6.3</v>
      </c>
    </row>
    <row r="273" spans="1:14" x14ac:dyDescent="0.25">
      <c r="A273" t="s">
        <v>302</v>
      </c>
      <c r="B273" t="s">
        <v>20</v>
      </c>
      <c r="C273" t="s">
        <v>21</v>
      </c>
      <c r="D273" t="s">
        <v>15</v>
      </c>
      <c r="E273" t="s">
        <v>16</v>
      </c>
      <c r="F273" t="s">
        <v>17</v>
      </c>
      <c r="G273" t="s">
        <v>1040</v>
      </c>
      <c r="H273" t="s">
        <v>1041</v>
      </c>
      <c r="I273" s="1">
        <v>43468</v>
      </c>
      <c r="J273" t="s">
        <v>1046</v>
      </c>
      <c r="K273" s="5">
        <v>0.80347222222222225</v>
      </c>
      <c r="L273" t="s">
        <v>24</v>
      </c>
      <c r="M273">
        <v>2.1120000000000001</v>
      </c>
      <c r="N273">
        <v>9.6999999999999993</v>
      </c>
    </row>
    <row r="274" spans="1:14" x14ac:dyDescent="0.25">
      <c r="A274" t="s">
        <v>303</v>
      </c>
      <c r="B274" t="s">
        <v>13</v>
      </c>
      <c r="C274" t="s">
        <v>14</v>
      </c>
      <c r="D274" t="s">
        <v>15</v>
      </c>
      <c r="E274" t="s">
        <v>16</v>
      </c>
      <c r="F274" t="s">
        <v>27</v>
      </c>
      <c r="G274" t="s">
        <v>1034</v>
      </c>
      <c r="H274" t="s">
        <v>1041</v>
      </c>
      <c r="I274" s="1">
        <v>43472</v>
      </c>
      <c r="J274" t="s">
        <v>1044</v>
      </c>
      <c r="K274" s="5">
        <v>0.48888888888888887</v>
      </c>
      <c r="L274" t="s">
        <v>28</v>
      </c>
      <c r="M274">
        <v>9.6929999999999996</v>
      </c>
      <c r="N274">
        <v>8.8000000000000007</v>
      </c>
    </row>
    <row r="275" spans="1:14" x14ac:dyDescent="0.25">
      <c r="A275" t="s">
        <v>304</v>
      </c>
      <c r="B275" t="s">
        <v>13</v>
      </c>
      <c r="C275" t="s">
        <v>14</v>
      </c>
      <c r="D275" t="s">
        <v>22</v>
      </c>
      <c r="E275" t="s">
        <v>16</v>
      </c>
      <c r="F275" t="s">
        <v>27</v>
      </c>
      <c r="G275" t="s">
        <v>1037</v>
      </c>
      <c r="H275" t="s">
        <v>1041</v>
      </c>
      <c r="I275" s="1">
        <v>43492</v>
      </c>
      <c r="J275" t="s">
        <v>1045</v>
      </c>
      <c r="K275" s="5">
        <v>0.66041666666666665</v>
      </c>
      <c r="L275" t="s">
        <v>24</v>
      </c>
      <c r="M275">
        <v>1.2030000000000001</v>
      </c>
      <c r="N275">
        <v>5.0999999999999996</v>
      </c>
    </row>
    <row r="276" spans="1:14" x14ac:dyDescent="0.25">
      <c r="A276" t="s">
        <v>305</v>
      </c>
      <c r="B276" t="s">
        <v>37</v>
      </c>
      <c r="C276" t="s">
        <v>38</v>
      </c>
      <c r="D276" t="s">
        <v>22</v>
      </c>
      <c r="E276" t="s">
        <v>16</v>
      </c>
      <c r="F276" t="s">
        <v>17</v>
      </c>
      <c r="G276" t="s">
        <v>1034</v>
      </c>
      <c r="H276" t="s">
        <v>1042</v>
      </c>
      <c r="I276" s="1">
        <v>43522</v>
      </c>
      <c r="J276" t="s">
        <v>1046</v>
      </c>
      <c r="K276" s="5">
        <v>0.70277777777777783</v>
      </c>
      <c r="L276" t="s">
        <v>18</v>
      </c>
      <c r="M276">
        <v>29.913</v>
      </c>
      <c r="N276">
        <v>7.9</v>
      </c>
    </row>
    <row r="277" spans="1:14" x14ac:dyDescent="0.25">
      <c r="A277" t="s">
        <v>306</v>
      </c>
      <c r="B277" t="s">
        <v>37</v>
      </c>
      <c r="C277" t="s">
        <v>38</v>
      </c>
      <c r="D277" t="s">
        <v>22</v>
      </c>
      <c r="E277" t="s">
        <v>26</v>
      </c>
      <c r="F277" t="s">
        <v>41</v>
      </c>
      <c r="G277" t="s">
        <v>1034</v>
      </c>
      <c r="H277" t="s">
        <v>1041</v>
      </c>
      <c r="I277" s="1">
        <v>43472</v>
      </c>
      <c r="J277" t="s">
        <v>1046</v>
      </c>
      <c r="K277" s="5">
        <v>0.86944444444444446</v>
      </c>
      <c r="L277" t="s">
        <v>24</v>
      </c>
      <c r="M277">
        <v>16.7895</v>
      </c>
      <c r="N277">
        <v>6.2</v>
      </c>
    </row>
    <row r="278" spans="1:14" x14ac:dyDescent="0.25">
      <c r="A278" t="s">
        <v>307</v>
      </c>
      <c r="B278" t="s">
        <v>20</v>
      </c>
      <c r="C278" t="s">
        <v>21</v>
      </c>
      <c r="D278" t="s">
        <v>15</v>
      </c>
      <c r="E278" t="s">
        <v>16</v>
      </c>
      <c r="F278" t="s">
        <v>27</v>
      </c>
      <c r="G278" t="s">
        <v>1034</v>
      </c>
      <c r="H278" t="s">
        <v>1041</v>
      </c>
      <c r="I278" s="1">
        <v>43472</v>
      </c>
      <c r="J278" t="s">
        <v>1046</v>
      </c>
      <c r="K278" s="5">
        <v>0.73333333333333339</v>
      </c>
      <c r="L278" t="s">
        <v>24</v>
      </c>
      <c r="M278">
        <v>10.91</v>
      </c>
      <c r="N278">
        <v>7.1</v>
      </c>
    </row>
    <row r="279" spans="1:14" x14ac:dyDescent="0.25">
      <c r="A279" t="s">
        <v>308</v>
      </c>
      <c r="B279" t="s">
        <v>20</v>
      </c>
      <c r="C279" t="s">
        <v>21</v>
      </c>
      <c r="D279" t="s">
        <v>22</v>
      </c>
      <c r="E279" t="s">
        <v>16</v>
      </c>
      <c r="F279" t="s">
        <v>41</v>
      </c>
      <c r="G279" t="s">
        <v>1038</v>
      </c>
      <c r="H279" t="s">
        <v>1042</v>
      </c>
      <c r="I279" s="1">
        <v>43498</v>
      </c>
      <c r="J279" t="s">
        <v>1045</v>
      </c>
      <c r="K279" s="5">
        <v>0.55763888888888891</v>
      </c>
      <c r="L279" t="s">
        <v>18</v>
      </c>
      <c r="M279">
        <v>19.084</v>
      </c>
      <c r="N279">
        <v>6.4</v>
      </c>
    </row>
    <row r="280" spans="1:14" x14ac:dyDescent="0.25">
      <c r="A280" t="s">
        <v>309</v>
      </c>
      <c r="B280" t="s">
        <v>20</v>
      </c>
      <c r="C280" t="s">
        <v>21</v>
      </c>
      <c r="D280" t="s">
        <v>15</v>
      </c>
      <c r="E280" t="s">
        <v>26</v>
      </c>
      <c r="F280" t="s">
        <v>41</v>
      </c>
      <c r="G280" t="s">
        <v>1037</v>
      </c>
      <c r="H280" t="s">
        <v>1043</v>
      </c>
      <c r="I280" s="1">
        <v>43544</v>
      </c>
      <c r="J280" t="s">
        <v>1046</v>
      </c>
      <c r="K280" s="5">
        <v>0.68611111111111101</v>
      </c>
      <c r="L280" t="s">
        <v>24</v>
      </c>
      <c r="M280">
        <v>35.494999999999997</v>
      </c>
      <c r="N280">
        <v>5.7</v>
      </c>
    </row>
    <row r="281" spans="1:14" x14ac:dyDescent="0.25">
      <c r="A281" t="s">
        <v>310</v>
      </c>
      <c r="B281" t="s">
        <v>13</v>
      </c>
      <c r="C281" t="s">
        <v>14</v>
      </c>
      <c r="D281" t="s">
        <v>15</v>
      </c>
      <c r="E281" t="s">
        <v>26</v>
      </c>
      <c r="F281" t="s">
        <v>31</v>
      </c>
      <c r="G281" t="s">
        <v>1037</v>
      </c>
      <c r="H281" t="s">
        <v>1043</v>
      </c>
      <c r="I281" s="1">
        <v>43544</v>
      </c>
      <c r="J281" t="s">
        <v>1046</v>
      </c>
      <c r="K281" s="5">
        <v>0.83124999999999993</v>
      </c>
      <c r="L281" t="s">
        <v>28</v>
      </c>
      <c r="M281">
        <v>22.01</v>
      </c>
      <c r="N281">
        <v>9.6</v>
      </c>
    </row>
    <row r="282" spans="1:14" x14ac:dyDescent="0.25">
      <c r="A282" t="s">
        <v>311</v>
      </c>
      <c r="B282" t="s">
        <v>13</v>
      </c>
      <c r="C282" t="s">
        <v>14</v>
      </c>
      <c r="D282" t="s">
        <v>22</v>
      </c>
      <c r="E282" t="s">
        <v>16</v>
      </c>
      <c r="F282" t="s">
        <v>27</v>
      </c>
      <c r="G282" t="s">
        <v>1039</v>
      </c>
      <c r="H282" t="s">
        <v>1042</v>
      </c>
      <c r="I282" s="1">
        <v>43511</v>
      </c>
      <c r="J282" t="s">
        <v>1046</v>
      </c>
      <c r="K282" s="5">
        <v>0.7090277777777777</v>
      </c>
      <c r="L282" t="s">
        <v>28</v>
      </c>
      <c r="M282">
        <v>27.984000000000002</v>
      </c>
      <c r="N282">
        <v>6.4</v>
      </c>
    </row>
    <row r="283" spans="1:14" x14ac:dyDescent="0.25">
      <c r="A283" t="s">
        <v>312</v>
      </c>
      <c r="B283" t="s">
        <v>20</v>
      </c>
      <c r="C283" t="s">
        <v>21</v>
      </c>
      <c r="D283" t="s">
        <v>22</v>
      </c>
      <c r="E283" t="s">
        <v>26</v>
      </c>
      <c r="F283" t="s">
        <v>27</v>
      </c>
      <c r="G283" t="s">
        <v>1035</v>
      </c>
      <c r="H283" t="s">
        <v>1043</v>
      </c>
      <c r="I283" s="1">
        <v>43530</v>
      </c>
      <c r="J283" t="s">
        <v>1045</v>
      </c>
      <c r="K283" s="5">
        <v>0.56180555555555556</v>
      </c>
      <c r="L283" t="s">
        <v>28</v>
      </c>
      <c r="M283">
        <v>1.85</v>
      </c>
      <c r="N283">
        <v>7.9</v>
      </c>
    </row>
    <row r="284" spans="1:14" x14ac:dyDescent="0.25">
      <c r="A284" t="s">
        <v>313</v>
      </c>
      <c r="B284" t="s">
        <v>13</v>
      </c>
      <c r="C284" t="s">
        <v>14</v>
      </c>
      <c r="D284" t="s">
        <v>22</v>
      </c>
      <c r="E284" t="s">
        <v>16</v>
      </c>
      <c r="F284" t="s">
        <v>31</v>
      </c>
      <c r="G284" t="s">
        <v>1034</v>
      </c>
      <c r="H284" t="s">
        <v>1041</v>
      </c>
      <c r="I284" s="1">
        <v>43471</v>
      </c>
      <c r="J284" t="s">
        <v>1044</v>
      </c>
      <c r="K284" s="5">
        <v>0.46458333333333335</v>
      </c>
      <c r="L284" t="s">
        <v>24</v>
      </c>
      <c r="M284">
        <v>0.76700000000000002</v>
      </c>
      <c r="N284">
        <v>6.5</v>
      </c>
    </row>
    <row r="285" spans="1:14" x14ac:dyDescent="0.25">
      <c r="A285" t="s">
        <v>314</v>
      </c>
      <c r="B285" t="s">
        <v>13</v>
      </c>
      <c r="C285" t="s">
        <v>14</v>
      </c>
      <c r="D285" t="s">
        <v>15</v>
      </c>
      <c r="E285" t="s">
        <v>26</v>
      </c>
      <c r="F285" t="s">
        <v>17</v>
      </c>
      <c r="G285" t="s">
        <v>1035</v>
      </c>
      <c r="H285" t="s">
        <v>1043</v>
      </c>
      <c r="I285" s="1">
        <v>43528</v>
      </c>
      <c r="J285" t="s">
        <v>1045</v>
      </c>
      <c r="K285" s="5">
        <v>0.62638888888888888</v>
      </c>
      <c r="L285" t="s">
        <v>18</v>
      </c>
      <c r="M285">
        <v>29.949000000000002</v>
      </c>
      <c r="N285">
        <v>8.5</v>
      </c>
    </row>
    <row r="286" spans="1:14" x14ac:dyDescent="0.25">
      <c r="A286" t="s">
        <v>315</v>
      </c>
      <c r="B286" t="s">
        <v>13</v>
      </c>
      <c r="C286" t="s">
        <v>14</v>
      </c>
      <c r="D286" t="s">
        <v>15</v>
      </c>
      <c r="E286" t="s">
        <v>16</v>
      </c>
      <c r="F286" t="s">
        <v>17</v>
      </c>
      <c r="G286" t="s">
        <v>1036</v>
      </c>
      <c r="H286" t="s">
        <v>1043</v>
      </c>
      <c r="I286" s="1">
        <v>43536</v>
      </c>
      <c r="J286" t="s">
        <v>1045</v>
      </c>
      <c r="K286" s="5">
        <v>0.59791666666666665</v>
      </c>
      <c r="L286" t="s">
        <v>24</v>
      </c>
      <c r="M286">
        <v>9.5340000000000007</v>
      </c>
      <c r="N286">
        <v>9.1</v>
      </c>
    </row>
    <row r="287" spans="1:14" x14ac:dyDescent="0.25">
      <c r="A287" t="s">
        <v>316</v>
      </c>
      <c r="B287" t="s">
        <v>37</v>
      </c>
      <c r="C287" t="s">
        <v>38</v>
      </c>
      <c r="D287" t="s">
        <v>22</v>
      </c>
      <c r="E287" t="s">
        <v>26</v>
      </c>
      <c r="F287" t="s">
        <v>17</v>
      </c>
      <c r="G287" t="s">
        <v>1040</v>
      </c>
      <c r="H287" t="s">
        <v>1042</v>
      </c>
      <c r="I287" s="1">
        <v>43516</v>
      </c>
      <c r="J287" t="s">
        <v>1046</v>
      </c>
      <c r="K287" s="5">
        <v>0.75069444444444444</v>
      </c>
      <c r="L287" t="s">
        <v>24</v>
      </c>
      <c r="M287">
        <v>16.670000000000002</v>
      </c>
      <c r="N287">
        <v>7.6</v>
      </c>
    </row>
    <row r="288" spans="1:14" x14ac:dyDescent="0.25">
      <c r="A288" t="s">
        <v>317</v>
      </c>
      <c r="B288" t="s">
        <v>20</v>
      </c>
      <c r="C288" t="s">
        <v>21</v>
      </c>
      <c r="D288" t="s">
        <v>15</v>
      </c>
      <c r="E288" t="s">
        <v>26</v>
      </c>
      <c r="F288" t="s">
        <v>27</v>
      </c>
      <c r="G288" t="s">
        <v>1038</v>
      </c>
      <c r="H288" t="s">
        <v>1043</v>
      </c>
      <c r="I288" s="1">
        <v>43548</v>
      </c>
      <c r="J288" t="s">
        <v>1045</v>
      </c>
      <c r="K288" s="5">
        <v>0.61736111111111114</v>
      </c>
      <c r="L288" t="s">
        <v>24</v>
      </c>
      <c r="M288">
        <v>3.7429999999999999</v>
      </c>
      <c r="N288">
        <v>6.9</v>
      </c>
    </row>
    <row r="289" spans="1:14" x14ac:dyDescent="0.25">
      <c r="A289" t="s">
        <v>318</v>
      </c>
      <c r="B289" t="s">
        <v>20</v>
      </c>
      <c r="C289" t="s">
        <v>21</v>
      </c>
      <c r="D289" t="s">
        <v>22</v>
      </c>
      <c r="E289" t="s">
        <v>16</v>
      </c>
      <c r="F289" t="s">
        <v>31</v>
      </c>
      <c r="G289" t="s">
        <v>1037</v>
      </c>
      <c r="H289" t="s">
        <v>1041</v>
      </c>
      <c r="I289" s="1">
        <v>43496</v>
      </c>
      <c r="J289" t="s">
        <v>1045</v>
      </c>
      <c r="K289" s="5">
        <v>0.50138888888888888</v>
      </c>
      <c r="L289" t="s">
        <v>24</v>
      </c>
      <c r="M289">
        <v>10.6875</v>
      </c>
      <c r="N289">
        <v>9.5</v>
      </c>
    </row>
    <row r="290" spans="1:14" x14ac:dyDescent="0.25">
      <c r="A290" t="s">
        <v>319</v>
      </c>
      <c r="B290" t="s">
        <v>37</v>
      </c>
      <c r="C290" t="s">
        <v>38</v>
      </c>
      <c r="D290" t="s">
        <v>22</v>
      </c>
      <c r="E290" t="s">
        <v>16</v>
      </c>
      <c r="F290" t="s">
        <v>39</v>
      </c>
      <c r="G290" t="s">
        <v>1036</v>
      </c>
      <c r="H290" t="s">
        <v>1041</v>
      </c>
      <c r="I290" s="1">
        <v>43490</v>
      </c>
      <c r="J290" t="s">
        <v>1045</v>
      </c>
      <c r="K290" s="5">
        <v>0.5625</v>
      </c>
      <c r="L290" t="s">
        <v>28</v>
      </c>
      <c r="M290">
        <v>16.9785</v>
      </c>
      <c r="N290">
        <v>5.2</v>
      </c>
    </row>
    <row r="291" spans="1:14" x14ac:dyDescent="0.25">
      <c r="A291" t="s">
        <v>320</v>
      </c>
      <c r="B291" t="s">
        <v>13</v>
      </c>
      <c r="C291" t="s">
        <v>14</v>
      </c>
      <c r="D291" t="s">
        <v>15</v>
      </c>
      <c r="E291" t="s">
        <v>16</v>
      </c>
      <c r="F291" t="s">
        <v>27</v>
      </c>
      <c r="G291" t="s">
        <v>1038</v>
      </c>
      <c r="H291" t="s">
        <v>1042</v>
      </c>
      <c r="I291" s="1">
        <v>43499</v>
      </c>
      <c r="J291" t="s">
        <v>1045</v>
      </c>
      <c r="K291" s="5">
        <v>0.60972222222222217</v>
      </c>
      <c r="L291" t="s">
        <v>24</v>
      </c>
      <c r="M291">
        <v>33.207999999999998</v>
      </c>
      <c r="N291">
        <v>4.2</v>
      </c>
    </row>
    <row r="292" spans="1:14" x14ac:dyDescent="0.25">
      <c r="A292" t="s">
        <v>321</v>
      </c>
      <c r="B292" t="s">
        <v>37</v>
      </c>
      <c r="C292" t="s">
        <v>38</v>
      </c>
      <c r="D292" t="s">
        <v>15</v>
      </c>
      <c r="E292" t="s">
        <v>26</v>
      </c>
      <c r="F292" t="s">
        <v>23</v>
      </c>
      <c r="G292" t="s">
        <v>1036</v>
      </c>
      <c r="H292" t="s">
        <v>1041</v>
      </c>
      <c r="I292" s="1">
        <v>43489</v>
      </c>
      <c r="J292" t="s">
        <v>1046</v>
      </c>
      <c r="K292" s="5">
        <v>0.73402777777777783</v>
      </c>
      <c r="L292" t="s">
        <v>28</v>
      </c>
      <c r="M292">
        <v>20.149999999999999</v>
      </c>
      <c r="N292">
        <v>7</v>
      </c>
    </row>
    <row r="293" spans="1:14" x14ac:dyDescent="0.25">
      <c r="A293" t="s">
        <v>322</v>
      </c>
      <c r="B293" t="s">
        <v>20</v>
      </c>
      <c r="C293" t="s">
        <v>21</v>
      </c>
      <c r="D293" t="s">
        <v>22</v>
      </c>
      <c r="E293" t="s">
        <v>26</v>
      </c>
      <c r="F293" t="s">
        <v>23</v>
      </c>
      <c r="G293" t="s">
        <v>1036</v>
      </c>
      <c r="H293" t="s">
        <v>1043</v>
      </c>
      <c r="I293" s="1">
        <v>43538</v>
      </c>
      <c r="J293" t="s">
        <v>1046</v>
      </c>
      <c r="K293" s="5">
        <v>0.72222222222222221</v>
      </c>
      <c r="L293" t="s">
        <v>18</v>
      </c>
      <c r="M293">
        <v>9.7475000000000005</v>
      </c>
      <c r="N293">
        <v>6</v>
      </c>
    </row>
    <row r="294" spans="1:14" x14ac:dyDescent="0.25">
      <c r="A294" t="s">
        <v>323</v>
      </c>
      <c r="B294" t="s">
        <v>13</v>
      </c>
      <c r="C294" t="s">
        <v>14</v>
      </c>
      <c r="D294" t="s">
        <v>15</v>
      </c>
      <c r="E294" t="s">
        <v>16</v>
      </c>
      <c r="F294" t="s">
        <v>23</v>
      </c>
      <c r="G294" t="s">
        <v>1040</v>
      </c>
      <c r="H294" t="s">
        <v>1042</v>
      </c>
      <c r="I294" s="1">
        <v>43514</v>
      </c>
      <c r="J294" t="s">
        <v>1046</v>
      </c>
      <c r="K294" s="5">
        <v>0.8534722222222223</v>
      </c>
      <c r="L294" t="s">
        <v>24</v>
      </c>
      <c r="M294">
        <v>3.1240000000000001</v>
      </c>
      <c r="N294">
        <v>4.7</v>
      </c>
    </row>
    <row r="295" spans="1:14" x14ac:dyDescent="0.25">
      <c r="A295" t="s">
        <v>324</v>
      </c>
      <c r="B295" t="s">
        <v>13</v>
      </c>
      <c r="C295" t="s">
        <v>14</v>
      </c>
      <c r="D295" t="s">
        <v>15</v>
      </c>
      <c r="E295" t="s">
        <v>16</v>
      </c>
      <c r="F295" t="s">
        <v>39</v>
      </c>
      <c r="G295" t="s">
        <v>1036</v>
      </c>
      <c r="H295" t="s">
        <v>1041</v>
      </c>
      <c r="I295" s="1">
        <v>43486</v>
      </c>
      <c r="J295" t="s">
        <v>1044</v>
      </c>
      <c r="K295" s="5">
        <v>0.41666666666666669</v>
      </c>
      <c r="L295" t="s">
        <v>24</v>
      </c>
      <c r="M295">
        <v>3.6360000000000001</v>
      </c>
      <c r="N295">
        <v>7.1</v>
      </c>
    </row>
    <row r="296" spans="1:14" x14ac:dyDescent="0.25">
      <c r="A296" t="s">
        <v>325</v>
      </c>
      <c r="B296" t="s">
        <v>37</v>
      </c>
      <c r="C296" t="s">
        <v>38</v>
      </c>
      <c r="D296" t="s">
        <v>22</v>
      </c>
      <c r="E296" t="s">
        <v>26</v>
      </c>
      <c r="F296" t="s">
        <v>17</v>
      </c>
      <c r="G296" t="s">
        <v>1036</v>
      </c>
      <c r="H296" t="s">
        <v>1043</v>
      </c>
      <c r="I296" s="1">
        <v>43537</v>
      </c>
      <c r="J296" t="s">
        <v>1044</v>
      </c>
      <c r="K296" s="5">
        <v>0.49027777777777781</v>
      </c>
      <c r="L296" t="s">
        <v>18</v>
      </c>
      <c r="M296">
        <v>9.0549999999999997</v>
      </c>
      <c r="N296">
        <v>5.9</v>
      </c>
    </row>
    <row r="297" spans="1:14" x14ac:dyDescent="0.25">
      <c r="A297" t="s">
        <v>326</v>
      </c>
      <c r="B297" t="s">
        <v>20</v>
      </c>
      <c r="C297" t="s">
        <v>21</v>
      </c>
      <c r="D297" t="s">
        <v>15</v>
      </c>
      <c r="E297" t="s">
        <v>16</v>
      </c>
      <c r="F297" t="s">
        <v>23</v>
      </c>
      <c r="G297" t="s">
        <v>1035</v>
      </c>
      <c r="H297" t="s">
        <v>1043</v>
      </c>
      <c r="I297" s="1">
        <v>43527</v>
      </c>
      <c r="J297" t="s">
        <v>1045</v>
      </c>
      <c r="K297" s="5">
        <v>0.5708333333333333</v>
      </c>
      <c r="L297" t="s">
        <v>24</v>
      </c>
      <c r="M297">
        <v>12.98</v>
      </c>
      <c r="N297">
        <v>7.5</v>
      </c>
    </row>
    <row r="298" spans="1:14" x14ac:dyDescent="0.25">
      <c r="A298" t="s">
        <v>327</v>
      </c>
      <c r="B298" t="s">
        <v>20</v>
      </c>
      <c r="C298" t="s">
        <v>21</v>
      </c>
      <c r="D298" t="s">
        <v>22</v>
      </c>
      <c r="E298" t="s">
        <v>26</v>
      </c>
      <c r="F298" t="s">
        <v>23</v>
      </c>
      <c r="G298" t="s">
        <v>1038</v>
      </c>
      <c r="H298" t="s">
        <v>1043</v>
      </c>
      <c r="I298" s="1">
        <v>43553</v>
      </c>
      <c r="J298" t="s">
        <v>1045</v>
      </c>
      <c r="K298" s="5">
        <v>0.61388888888888882</v>
      </c>
      <c r="L298" t="s">
        <v>24</v>
      </c>
      <c r="M298">
        <v>5.7679999999999998</v>
      </c>
      <c r="N298">
        <v>6.4</v>
      </c>
    </row>
    <row r="299" spans="1:14" x14ac:dyDescent="0.25">
      <c r="A299" t="s">
        <v>328</v>
      </c>
      <c r="B299" t="s">
        <v>13</v>
      </c>
      <c r="C299" t="s">
        <v>14</v>
      </c>
      <c r="D299" t="s">
        <v>15</v>
      </c>
      <c r="E299" t="s">
        <v>26</v>
      </c>
      <c r="F299" t="s">
        <v>27</v>
      </c>
      <c r="G299" t="s">
        <v>1034</v>
      </c>
      <c r="H299" t="s">
        <v>1041</v>
      </c>
      <c r="I299" s="1">
        <v>43475</v>
      </c>
      <c r="J299" t="s">
        <v>1045</v>
      </c>
      <c r="K299" s="5">
        <v>0.59444444444444444</v>
      </c>
      <c r="L299" t="s">
        <v>18</v>
      </c>
      <c r="M299">
        <v>23.513999999999999</v>
      </c>
      <c r="N299">
        <v>5.8</v>
      </c>
    </row>
    <row r="300" spans="1:14" x14ac:dyDescent="0.25">
      <c r="A300" t="s">
        <v>329</v>
      </c>
      <c r="B300" t="s">
        <v>13</v>
      </c>
      <c r="C300" t="s">
        <v>14</v>
      </c>
      <c r="D300" t="s">
        <v>15</v>
      </c>
      <c r="E300" t="s">
        <v>26</v>
      </c>
      <c r="F300" t="s">
        <v>27</v>
      </c>
      <c r="G300" t="s">
        <v>1036</v>
      </c>
      <c r="H300" t="s">
        <v>1041</v>
      </c>
      <c r="I300" s="1">
        <v>43490</v>
      </c>
      <c r="J300" t="s">
        <v>1045</v>
      </c>
      <c r="K300" s="5">
        <v>0.66249999999999998</v>
      </c>
      <c r="L300" t="s">
        <v>24</v>
      </c>
      <c r="M300">
        <v>12.002000000000001</v>
      </c>
      <c r="N300">
        <v>4.5</v>
      </c>
    </row>
    <row r="301" spans="1:14" x14ac:dyDescent="0.25">
      <c r="A301" t="s">
        <v>330</v>
      </c>
      <c r="B301" t="s">
        <v>20</v>
      </c>
      <c r="C301" t="s">
        <v>21</v>
      </c>
      <c r="D301" t="s">
        <v>15</v>
      </c>
      <c r="E301" t="s">
        <v>16</v>
      </c>
      <c r="F301" t="s">
        <v>27</v>
      </c>
      <c r="G301" t="s">
        <v>1036</v>
      </c>
      <c r="H301" t="s">
        <v>1041</v>
      </c>
      <c r="I301" s="1">
        <v>43484</v>
      </c>
      <c r="J301" t="s">
        <v>1044</v>
      </c>
      <c r="K301" s="5">
        <v>0.43124999999999997</v>
      </c>
      <c r="L301" t="s">
        <v>24</v>
      </c>
      <c r="M301">
        <v>4.4305000000000003</v>
      </c>
      <c r="N301">
        <v>7.7</v>
      </c>
    </row>
    <row r="302" spans="1:14" x14ac:dyDescent="0.25">
      <c r="A302" t="s">
        <v>331</v>
      </c>
      <c r="B302" t="s">
        <v>20</v>
      </c>
      <c r="C302" t="s">
        <v>21</v>
      </c>
      <c r="D302" t="s">
        <v>22</v>
      </c>
      <c r="E302" t="s">
        <v>26</v>
      </c>
      <c r="F302" t="s">
        <v>41</v>
      </c>
      <c r="G302" t="s">
        <v>1040</v>
      </c>
      <c r="H302" t="s">
        <v>1041</v>
      </c>
      <c r="I302" s="1">
        <v>43467</v>
      </c>
      <c r="J302" t="s">
        <v>1046</v>
      </c>
      <c r="K302" s="5">
        <v>0.75624999999999998</v>
      </c>
      <c r="L302" t="s">
        <v>28</v>
      </c>
      <c r="M302">
        <v>9.9819999999999993</v>
      </c>
      <c r="N302">
        <v>6.7</v>
      </c>
    </row>
    <row r="303" spans="1:14" x14ac:dyDescent="0.25">
      <c r="A303" t="s">
        <v>332</v>
      </c>
      <c r="B303" t="s">
        <v>37</v>
      </c>
      <c r="C303" t="s">
        <v>38</v>
      </c>
      <c r="D303" t="s">
        <v>15</v>
      </c>
      <c r="E303" t="s">
        <v>26</v>
      </c>
      <c r="F303" t="s">
        <v>17</v>
      </c>
      <c r="G303" t="s">
        <v>1036</v>
      </c>
      <c r="H303" t="s">
        <v>1043</v>
      </c>
      <c r="I303" s="1">
        <v>43536</v>
      </c>
      <c r="J303" t="s">
        <v>1046</v>
      </c>
      <c r="K303" s="5">
        <v>0.69861111111111107</v>
      </c>
      <c r="L303" t="s">
        <v>28</v>
      </c>
      <c r="M303">
        <v>1.9504999999999999</v>
      </c>
      <c r="N303">
        <v>4.7</v>
      </c>
    </row>
    <row r="304" spans="1:14" x14ac:dyDescent="0.25">
      <c r="A304" t="s">
        <v>333</v>
      </c>
      <c r="B304" t="s">
        <v>20</v>
      </c>
      <c r="C304" t="s">
        <v>21</v>
      </c>
      <c r="D304" t="s">
        <v>22</v>
      </c>
      <c r="E304" t="s">
        <v>26</v>
      </c>
      <c r="F304" t="s">
        <v>39</v>
      </c>
      <c r="G304" t="s">
        <v>1034</v>
      </c>
      <c r="H304" t="s">
        <v>1042</v>
      </c>
      <c r="I304" s="1">
        <v>43521</v>
      </c>
      <c r="J304" t="s">
        <v>1045</v>
      </c>
      <c r="K304" s="5">
        <v>0.64652777777777781</v>
      </c>
      <c r="L304" t="s">
        <v>24</v>
      </c>
      <c r="M304">
        <v>2.4304999999999999</v>
      </c>
      <c r="N304">
        <v>4.4000000000000004</v>
      </c>
    </row>
    <row r="305" spans="1:14" x14ac:dyDescent="0.25">
      <c r="A305" t="s">
        <v>334</v>
      </c>
      <c r="B305" t="s">
        <v>13</v>
      </c>
      <c r="C305" t="s">
        <v>14</v>
      </c>
      <c r="D305" t="s">
        <v>22</v>
      </c>
      <c r="E305" t="s">
        <v>16</v>
      </c>
      <c r="F305" t="s">
        <v>23</v>
      </c>
      <c r="G305" t="s">
        <v>1037</v>
      </c>
      <c r="H305" t="s">
        <v>1043</v>
      </c>
      <c r="I305" s="1">
        <v>43542</v>
      </c>
      <c r="J305" t="s">
        <v>1046</v>
      </c>
      <c r="K305" s="5">
        <v>0.71875</v>
      </c>
      <c r="L305" t="s">
        <v>28</v>
      </c>
      <c r="M305">
        <v>10.238</v>
      </c>
      <c r="N305">
        <v>4.7</v>
      </c>
    </row>
    <row r="306" spans="1:14" x14ac:dyDescent="0.25">
      <c r="A306" t="s">
        <v>335</v>
      </c>
      <c r="B306" t="s">
        <v>37</v>
      </c>
      <c r="C306" t="s">
        <v>38</v>
      </c>
      <c r="D306" t="s">
        <v>22</v>
      </c>
      <c r="E306" t="s">
        <v>16</v>
      </c>
      <c r="F306" t="s">
        <v>23</v>
      </c>
      <c r="G306" t="s">
        <v>1034</v>
      </c>
      <c r="H306" t="s">
        <v>1042</v>
      </c>
      <c r="I306" s="1">
        <v>43519</v>
      </c>
      <c r="J306" t="s">
        <v>1045</v>
      </c>
      <c r="K306" s="5">
        <v>0.52013888888888882</v>
      </c>
      <c r="L306" t="s">
        <v>24</v>
      </c>
      <c r="M306">
        <v>5.984</v>
      </c>
      <c r="N306">
        <v>8.6</v>
      </c>
    </row>
    <row r="307" spans="1:14" x14ac:dyDescent="0.25">
      <c r="A307" t="s">
        <v>336</v>
      </c>
      <c r="B307" t="s">
        <v>13</v>
      </c>
      <c r="C307" t="s">
        <v>14</v>
      </c>
      <c r="D307" t="s">
        <v>15</v>
      </c>
      <c r="E307" t="s">
        <v>26</v>
      </c>
      <c r="F307" t="s">
        <v>23</v>
      </c>
      <c r="G307" t="s">
        <v>1038</v>
      </c>
      <c r="H307" t="s">
        <v>1043</v>
      </c>
      <c r="I307" s="1">
        <v>43550</v>
      </c>
      <c r="J307" t="s">
        <v>1046</v>
      </c>
      <c r="K307" s="5">
        <v>0.84305555555555556</v>
      </c>
      <c r="L307" t="s">
        <v>18</v>
      </c>
      <c r="M307">
        <v>25.27</v>
      </c>
      <c r="N307">
        <v>4.3</v>
      </c>
    </row>
    <row r="308" spans="1:14" x14ac:dyDescent="0.25">
      <c r="A308" t="s">
        <v>337</v>
      </c>
      <c r="B308" t="s">
        <v>13</v>
      </c>
      <c r="C308" t="s">
        <v>14</v>
      </c>
      <c r="D308" t="s">
        <v>22</v>
      </c>
      <c r="E308" t="s">
        <v>16</v>
      </c>
      <c r="F308" t="s">
        <v>31</v>
      </c>
      <c r="G308" t="s">
        <v>1039</v>
      </c>
      <c r="H308" t="s">
        <v>1043</v>
      </c>
      <c r="I308" s="1">
        <v>43554</v>
      </c>
      <c r="J308" t="s">
        <v>1045</v>
      </c>
      <c r="K308" s="5">
        <v>0.55694444444444446</v>
      </c>
      <c r="L308" t="s">
        <v>24</v>
      </c>
      <c r="M308">
        <v>14.080500000000001</v>
      </c>
      <c r="N308">
        <v>9.6</v>
      </c>
    </row>
    <row r="309" spans="1:14" x14ac:dyDescent="0.25">
      <c r="A309" t="s">
        <v>338</v>
      </c>
      <c r="B309" t="s">
        <v>13</v>
      </c>
      <c r="C309" t="s">
        <v>14</v>
      </c>
      <c r="D309" t="s">
        <v>15</v>
      </c>
      <c r="E309" t="s">
        <v>16</v>
      </c>
      <c r="F309" t="s">
        <v>27</v>
      </c>
      <c r="G309" t="s">
        <v>1040</v>
      </c>
      <c r="H309" t="s">
        <v>1042</v>
      </c>
      <c r="I309" s="1">
        <v>43513</v>
      </c>
      <c r="J309" t="s">
        <v>1046</v>
      </c>
      <c r="K309" s="5">
        <v>0.71458333333333324</v>
      </c>
      <c r="L309" t="s">
        <v>24</v>
      </c>
      <c r="M309">
        <v>35.515999999999998</v>
      </c>
      <c r="N309">
        <v>4.0999999999999996</v>
      </c>
    </row>
    <row r="310" spans="1:14" x14ac:dyDescent="0.25">
      <c r="A310" t="s">
        <v>339</v>
      </c>
      <c r="B310" t="s">
        <v>13</v>
      </c>
      <c r="C310" t="s">
        <v>14</v>
      </c>
      <c r="D310" t="s">
        <v>15</v>
      </c>
      <c r="E310" t="s">
        <v>16</v>
      </c>
      <c r="F310" t="s">
        <v>23</v>
      </c>
      <c r="G310" t="s">
        <v>1037</v>
      </c>
      <c r="H310" t="s">
        <v>1043</v>
      </c>
      <c r="I310" s="1">
        <v>43545</v>
      </c>
      <c r="J310" t="s">
        <v>1044</v>
      </c>
      <c r="K310" s="5">
        <v>0.44444444444444442</v>
      </c>
      <c r="L310" t="s">
        <v>18</v>
      </c>
      <c r="M310">
        <v>3.972</v>
      </c>
      <c r="N310">
        <v>4.7</v>
      </c>
    </row>
    <row r="311" spans="1:14" x14ac:dyDescent="0.25">
      <c r="A311" t="s">
        <v>340</v>
      </c>
      <c r="B311" t="s">
        <v>13</v>
      </c>
      <c r="C311" t="s">
        <v>14</v>
      </c>
      <c r="D311" t="s">
        <v>22</v>
      </c>
      <c r="E311" t="s">
        <v>16</v>
      </c>
      <c r="F311" t="s">
        <v>41</v>
      </c>
      <c r="G311" t="s">
        <v>1035</v>
      </c>
      <c r="H311" t="s">
        <v>1043</v>
      </c>
      <c r="I311" s="1">
        <v>43529</v>
      </c>
      <c r="J311" t="s">
        <v>1046</v>
      </c>
      <c r="K311" s="5">
        <v>0.73819444444444438</v>
      </c>
      <c r="L311" t="s">
        <v>24</v>
      </c>
      <c r="M311">
        <v>8.1910000000000007</v>
      </c>
      <c r="N311">
        <v>7.8</v>
      </c>
    </row>
    <row r="312" spans="1:14" x14ac:dyDescent="0.25">
      <c r="A312" t="s">
        <v>341</v>
      </c>
      <c r="B312" t="s">
        <v>37</v>
      </c>
      <c r="C312" t="s">
        <v>38</v>
      </c>
      <c r="D312" t="s">
        <v>15</v>
      </c>
      <c r="E312" t="s">
        <v>26</v>
      </c>
      <c r="F312" t="s">
        <v>31</v>
      </c>
      <c r="G312" t="s">
        <v>1037</v>
      </c>
      <c r="H312" t="s">
        <v>1041</v>
      </c>
      <c r="I312" s="1">
        <v>43496</v>
      </c>
      <c r="J312" t="s">
        <v>1045</v>
      </c>
      <c r="K312" s="5">
        <v>0.58611111111111114</v>
      </c>
      <c r="L312" t="s">
        <v>24</v>
      </c>
      <c r="M312">
        <v>23.978999999999999</v>
      </c>
      <c r="N312">
        <v>5.5</v>
      </c>
    </row>
    <row r="313" spans="1:14" x14ac:dyDescent="0.25">
      <c r="A313" t="s">
        <v>342</v>
      </c>
      <c r="B313" t="s">
        <v>20</v>
      </c>
      <c r="C313" t="s">
        <v>21</v>
      </c>
      <c r="D313" t="s">
        <v>15</v>
      </c>
      <c r="E313" t="s">
        <v>26</v>
      </c>
      <c r="F313" t="s">
        <v>41</v>
      </c>
      <c r="G313" t="s">
        <v>1038</v>
      </c>
      <c r="H313" t="s">
        <v>1042</v>
      </c>
      <c r="I313" s="1">
        <v>43501</v>
      </c>
      <c r="J313" t="s">
        <v>1046</v>
      </c>
      <c r="K313" s="5">
        <v>0.79513888888888884</v>
      </c>
      <c r="L313" t="s">
        <v>18</v>
      </c>
      <c r="M313">
        <v>6.9329999999999998</v>
      </c>
      <c r="N313">
        <v>9.6999999999999993</v>
      </c>
    </row>
    <row r="314" spans="1:14" x14ac:dyDescent="0.25">
      <c r="A314" t="s">
        <v>343</v>
      </c>
      <c r="B314" t="s">
        <v>13</v>
      </c>
      <c r="C314" t="s">
        <v>14</v>
      </c>
      <c r="D314" t="s">
        <v>15</v>
      </c>
      <c r="E314" t="s">
        <v>16</v>
      </c>
      <c r="F314" t="s">
        <v>39</v>
      </c>
      <c r="G314" t="s">
        <v>1037</v>
      </c>
      <c r="H314" t="s">
        <v>1042</v>
      </c>
      <c r="I314" s="1">
        <v>43497</v>
      </c>
      <c r="J314" t="s">
        <v>1044</v>
      </c>
      <c r="K314" s="5">
        <v>0.42222222222222222</v>
      </c>
      <c r="L314" t="s">
        <v>28</v>
      </c>
      <c r="M314">
        <v>3.5575000000000001</v>
      </c>
      <c r="N314">
        <v>4.4000000000000004</v>
      </c>
    </row>
    <row r="315" spans="1:14" x14ac:dyDescent="0.25">
      <c r="A315" t="s">
        <v>344</v>
      </c>
      <c r="B315" t="s">
        <v>13</v>
      </c>
      <c r="C315" t="s">
        <v>14</v>
      </c>
      <c r="D315" t="s">
        <v>15</v>
      </c>
      <c r="E315" t="s">
        <v>16</v>
      </c>
      <c r="F315" t="s">
        <v>17</v>
      </c>
      <c r="G315" t="s">
        <v>1035</v>
      </c>
      <c r="H315" t="s">
        <v>1043</v>
      </c>
      <c r="I315" s="1">
        <v>43531</v>
      </c>
      <c r="J315" t="s">
        <v>1045</v>
      </c>
      <c r="K315" s="5">
        <v>0.54999999999999993</v>
      </c>
      <c r="L315" t="s">
        <v>24</v>
      </c>
      <c r="M315">
        <v>6.9974999999999996</v>
      </c>
      <c r="N315">
        <v>5</v>
      </c>
    </row>
    <row r="316" spans="1:14" x14ac:dyDescent="0.25">
      <c r="A316" t="s">
        <v>345</v>
      </c>
      <c r="B316" t="s">
        <v>20</v>
      </c>
      <c r="C316" t="s">
        <v>21</v>
      </c>
      <c r="D316" t="s">
        <v>15</v>
      </c>
      <c r="E316" t="s">
        <v>16</v>
      </c>
      <c r="F316" t="s">
        <v>23</v>
      </c>
      <c r="G316" t="s">
        <v>1039</v>
      </c>
      <c r="H316" t="s">
        <v>1042</v>
      </c>
      <c r="I316" s="1">
        <v>43506</v>
      </c>
      <c r="J316" t="s">
        <v>1046</v>
      </c>
      <c r="K316" s="5">
        <v>0.86875000000000002</v>
      </c>
      <c r="L316" t="s">
        <v>24</v>
      </c>
      <c r="M316">
        <v>39.064999999999998</v>
      </c>
      <c r="N316">
        <v>4.4000000000000004</v>
      </c>
    </row>
    <row r="317" spans="1:14" x14ac:dyDescent="0.25">
      <c r="A317" t="s">
        <v>346</v>
      </c>
      <c r="B317" t="s">
        <v>20</v>
      </c>
      <c r="C317" t="s">
        <v>21</v>
      </c>
      <c r="D317" t="s">
        <v>15</v>
      </c>
      <c r="E317" t="s">
        <v>26</v>
      </c>
      <c r="F317" t="s">
        <v>39</v>
      </c>
      <c r="G317" t="s">
        <v>1039</v>
      </c>
      <c r="H317" t="s">
        <v>1042</v>
      </c>
      <c r="I317" s="1">
        <v>43510</v>
      </c>
      <c r="J317" t="s">
        <v>1046</v>
      </c>
      <c r="K317" s="5">
        <v>0.7284722222222223</v>
      </c>
      <c r="L317" t="s">
        <v>24</v>
      </c>
      <c r="M317">
        <v>9.9369999999999994</v>
      </c>
      <c r="N317">
        <v>5.2</v>
      </c>
    </row>
    <row r="318" spans="1:14" x14ac:dyDescent="0.25">
      <c r="A318" t="s">
        <v>347</v>
      </c>
      <c r="B318" t="s">
        <v>20</v>
      </c>
      <c r="C318" t="s">
        <v>21</v>
      </c>
      <c r="D318" t="s">
        <v>15</v>
      </c>
      <c r="E318" t="s">
        <v>16</v>
      </c>
      <c r="F318" t="s">
        <v>39</v>
      </c>
      <c r="G318" t="s">
        <v>1039</v>
      </c>
      <c r="H318" t="s">
        <v>1042</v>
      </c>
      <c r="I318" s="1">
        <v>43505</v>
      </c>
      <c r="J318" t="s">
        <v>1044</v>
      </c>
      <c r="K318" s="5">
        <v>0.43402777777777773</v>
      </c>
      <c r="L318" t="s">
        <v>24</v>
      </c>
      <c r="M318">
        <v>3.1619999999999999</v>
      </c>
      <c r="N318">
        <v>7.3</v>
      </c>
    </row>
    <row r="319" spans="1:14" x14ac:dyDescent="0.25">
      <c r="A319" t="s">
        <v>348</v>
      </c>
      <c r="B319" t="s">
        <v>20</v>
      </c>
      <c r="C319" t="s">
        <v>21</v>
      </c>
      <c r="D319" t="s">
        <v>15</v>
      </c>
      <c r="E319" t="s">
        <v>26</v>
      </c>
      <c r="F319" t="s">
        <v>23</v>
      </c>
      <c r="G319" t="s">
        <v>1034</v>
      </c>
      <c r="H319" t="s">
        <v>1041</v>
      </c>
      <c r="I319" s="1">
        <v>43475</v>
      </c>
      <c r="J319" t="s">
        <v>1044</v>
      </c>
      <c r="K319" s="5">
        <v>0.48194444444444445</v>
      </c>
      <c r="L319" t="s">
        <v>24</v>
      </c>
      <c r="M319">
        <v>18.697500000000002</v>
      </c>
      <c r="N319">
        <v>4.9000000000000004</v>
      </c>
    </row>
    <row r="320" spans="1:14" x14ac:dyDescent="0.25">
      <c r="A320" t="s">
        <v>349</v>
      </c>
      <c r="B320" t="s">
        <v>20</v>
      </c>
      <c r="C320" t="s">
        <v>21</v>
      </c>
      <c r="D320" t="s">
        <v>15</v>
      </c>
      <c r="E320" t="s">
        <v>16</v>
      </c>
      <c r="F320" t="s">
        <v>17</v>
      </c>
      <c r="G320" t="s">
        <v>1036</v>
      </c>
      <c r="H320" t="s">
        <v>1043</v>
      </c>
      <c r="I320" s="1">
        <v>43535</v>
      </c>
      <c r="J320" t="s">
        <v>1046</v>
      </c>
      <c r="K320" s="5">
        <v>0.79027777777777775</v>
      </c>
      <c r="L320" t="s">
        <v>28</v>
      </c>
      <c r="M320">
        <v>10.384499999999999</v>
      </c>
      <c r="N320">
        <v>8.1</v>
      </c>
    </row>
    <row r="321" spans="1:14" x14ac:dyDescent="0.25">
      <c r="A321" t="s">
        <v>350</v>
      </c>
      <c r="B321" t="s">
        <v>20</v>
      </c>
      <c r="C321" t="s">
        <v>21</v>
      </c>
      <c r="D321" t="s">
        <v>15</v>
      </c>
      <c r="E321" t="s">
        <v>26</v>
      </c>
      <c r="F321" t="s">
        <v>17</v>
      </c>
      <c r="G321" t="s">
        <v>1040</v>
      </c>
      <c r="H321" t="s">
        <v>1042</v>
      </c>
      <c r="I321" s="1">
        <v>43514</v>
      </c>
      <c r="J321" t="s">
        <v>1046</v>
      </c>
      <c r="K321" s="5">
        <v>0.68611111111111101</v>
      </c>
      <c r="L321" t="s">
        <v>18</v>
      </c>
      <c r="M321">
        <v>8.8140000000000001</v>
      </c>
      <c r="N321">
        <v>8.4</v>
      </c>
    </row>
    <row r="322" spans="1:14" x14ac:dyDescent="0.25">
      <c r="A322" t="s">
        <v>351</v>
      </c>
      <c r="B322" t="s">
        <v>20</v>
      </c>
      <c r="C322" t="s">
        <v>21</v>
      </c>
      <c r="D322" t="s">
        <v>22</v>
      </c>
      <c r="E322" t="s">
        <v>16</v>
      </c>
      <c r="F322" t="s">
        <v>39</v>
      </c>
      <c r="G322" t="s">
        <v>1034</v>
      </c>
      <c r="H322" t="s">
        <v>1042</v>
      </c>
      <c r="I322" s="1">
        <v>43522</v>
      </c>
      <c r="J322" t="s">
        <v>1046</v>
      </c>
      <c r="K322" s="5">
        <v>0.85138888888888886</v>
      </c>
      <c r="L322" t="s">
        <v>24</v>
      </c>
      <c r="M322">
        <v>10.3185</v>
      </c>
      <c r="N322">
        <v>5.5</v>
      </c>
    </row>
    <row r="323" spans="1:14" x14ac:dyDescent="0.25">
      <c r="A323" t="s">
        <v>352</v>
      </c>
      <c r="B323" t="s">
        <v>20</v>
      </c>
      <c r="C323" t="s">
        <v>21</v>
      </c>
      <c r="D323" t="s">
        <v>22</v>
      </c>
      <c r="E323" t="s">
        <v>16</v>
      </c>
      <c r="F323" t="s">
        <v>17</v>
      </c>
      <c r="G323" t="s">
        <v>1035</v>
      </c>
      <c r="H323" t="s">
        <v>1041</v>
      </c>
      <c r="I323" s="1">
        <v>43483</v>
      </c>
      <c r="J323" t="s">
        <v>1045</v>
      </c>
      <c r="K323" s="5">
        <v>0.63055555555555554</v>
      </c>
      <c r="L323" t="s">
        <v>24</v>
      </c>
      <c r="M323">
        <v>1.9710000000000001</v>
      </c>
      <c r="N323">
        <v>8.4</v>
      </c>
    </row>
    <row r="324" spans="1:14" x14ac:dyDescent="0.25">
      <c r="A324" t="s">
        <v>353</v>
      </c>
      <c r="B324" t="s">
        <v>13</v>
      </c>
      <c r="C324" t="s">
        <v>14</v>
      </c>
      <c r="D324" t="s">
        <v>22</v>
      </c>
      <c r="E324" t="s">
        <v>26</v>
      </c>
      <c r="F324" t="s">
        <v>17</v>
      </c>
      <c r="G324" t="s">
        <v>1039</v>
      </c>
      <c r="H324" t="s">
        <v>1042</v>
      </c>
      <c r="I324" s="1">
        <v>43511</v>
      </c>
      <c r="J324" t="s">
        <v>1046</v>
      </c>
      <c r="K324" s="5">
        <v>0.75208333333333333</v>
      </c>
      <c r="L324" t="s">
        <v>18</v>
      </c>
      <c r="M324">
        <v>4.5780000000000003</v>
      </c>
      <c r="N324">
        <v>9.8000000000000007</v>
      </c>
    </row>
    <row r="325" spans="1:14" x14ac:dyDescent="0.25">
      <c r="A325" t="s">
        <v>354</v>
      </c>
      <c r="B325" t="s">
        <v>13</v>
      </c>
      <c r="C325" t="s">
        <v>14</v>
      </c>
      <c r="D325" t="s">
        <v>22</v>
      </c>
      <c r="E325" t="s">
        <v>16</v>
      </c>
      <c r="F325" t="s">
        <v>41</v>
      </c>
      <c r="G325" t="s">
        <v>1035</v>
      </c>
      <c r="H325" t="s">
        <v>1043</v>
      </c>
      <c r="I325" s="1">
        <v>43532</v>
      </c>
      <c r="J325" t="s">
        <v>1045</v>
      </c>
      <c r="K325" s="5">
        <v>0.55625000000000002</v>
      </c>
      <c r="L325" t="s">
        <v>24</v>
      </c>
      <c r="M325">
        <v>15.442500000000001</v>
      </c>
      <c r="N325">
        <v>6.7</v>
      </c>
    </row>
    <row r="326" spans="1:14" x14ac:dyDescent="0.25">
      <c r="A326" t="s">
        <v>355</v>
      </c>
      <c r="B326" t="s">
        <v>13</v>
      </c>
      <c r="C326" t="s">
        <v>14</v>
      </c>
      <c r="D326" t="s">
        <v>22</v>
      </c>
      <c r="E326" t="s">
        <v>26</v>
      </c>
      <c r="F326" t="s">
        <v>27</v>
      </c>
      <c r="G326" t="s">
        <v>1035</v>
      </c>
      <c r="H326" t="s">
        <v>1041</v>
      </c>
      <c r="I326" s="1">
        <v>43482</v>
      </c>
      <c r="J326" t="s">
        <v>1045</v>
      </c>
      <c r="K326" s="5">
        <v>0.53333333333333333</v>
      </c>
      <c r="L326" t="s">
        <v>28</v>
      </c>
      <c r="M326">
        <v>6.4560000000000004</v>
      </c>
      <c r="N326">
        <v>9.4</v>
      </c>
    </row>
    <row r="327" spans="1:14" x14ac:dyDescent="0.25">
      <c r="A327" t="s">
        <v>356</v>
      </c>
      <c r="B327" t="s">
        <v>37</v>
      </c>
      <c r="C327" t="s">
        <v>38</v>
      </c>
      <c r="D327" t="s">
        <v>22</v>
      </c>
      <c r="E327" t="s">
        <v>26</v>
      </c>
      <c r="F327" t="s">
        <v>31</v>
      </c>
      <c r="G327" t="s">
        <v>1036</v>
      </c>
      <c r="H327" t="s">
        <v>1043</v>
      </c>
      <c r="I327" s="1">
        <v>43536</v>
      </c>
      <c r="J327" t="s">
        <v>1046</v>
      </c>
      <c r="K327" s="5">
        <v>0.82847222222222217</v>
      </c>
      <c r="L327" t="s">
        <v>18</v>
      </c>
      <c r="M327">
        <v>19.547999999999998</v>
      </c>
      <c r="N327">
        <v>6.4</v>
      </c>
    </row>
    <row r="328" spans="1:14" x14ac:dyDescent="0.25">
      <c r="A328" t="s">
        <v>357</v>
      </c>
      <c r="B328" t="s">
        <v>13</v>
      </c>
      <c r="C328" t="s">
        <v>14</v>
      </c>
      <c r="D328" t="s">
        <v>15</v>
      </c>
      <c r="E328" t="s">
        <v>26</v>
      </c>
      <c r="F328" t="s">
        <v>39</v>
      </c>
      <c r="G328" t="s">
        <v>1036</v>
      </c>
      <c r="H328" t="s">
        <v>1043</v>
      </c>
      <c r="I328" s="1">
        <v>43533</v>
      </c>
      <c r="J328" t="s">
        <v>1046</v>
      </c>
      <c r="K328" s="5">
        <v>0.79791666666666661</v>
      </c>
      <c r="L328" t="s">
        <v>24</v>
      </c>
      <c r="M328">
        <v>24.945</v>
      </c>
      <c r="N328">
        <v>5.4</v>
      </c>
    </row>
    <row r="329" spans="1:14" x14ac:dyDescent="0.25">
      <c r="A329" t="s">
        <v>358</v>
      </c>
      <c r="B329" t="s">
        <v>20</v>
      </c>
      <c r="C329" t="s">
        <v>21</v>
      </c>
      <c r="D329" t="s">
        <v>15</v>
      </c>
      <c r="E329" t="s">
        <v>26</v>
      </c>
      <c r="F329" t="s">
        <v>39</v>
      </c>
      <c r="G329" t="s">
        <v>1036</v>
      </c>
      <c r="H329" t="s">
        <v>1043</v>
      </c>
      <c r="I329" s="1">
        <v>43536</v>
      </c>
      <c r="J329" t="s">
        <v>1046</v>
      </c>
      <c r="K329" s="5">
        <v>0.6875</v>
      </c>
      <c r="L329" t="s">
        <v>24</v>
      </c>
      <c r="M329">
        <v>18.852</v>
      </c>
      <c r="N329">
        <v>8.6</v>
      </c>
    </row>
    <row r="330" spans="1:14" x14ac:dyDescent="0.25">
      <c r="A330" t="s">
        <v>359</v>
      </c>
      <c r="B330" t="s">
        <v>37</v>
      </c>
      <c r="C330" t="s">
        <v>38</v>
      </c>
      <c r="D330" t="s">
        <v>15</v>
      </c>
      <c r="E330" t="s">
        <v>26</v>
      </c>
      <c r="F330" t="s">
        <v>17</v>
      </c>
      <c r="G330" t="s">
        <v>1036</v>
      </c>
      <c r="H330" t="s">
        <v>1041</v>
      </c>
      <c r="I330" s="1">
        <v>43490</v>
      </c>
      <c r="J330" t="s">
        <v>1044</v>
      </c>
      <c r="K330" s="5">
        <v>0.42430555555555555</v>
      </c>
      <c r="L330" t="s">
        <v>28</v>
      </c>
      <c r="M330">
        <v>10.226000000000001</v>
      </c>
      <c r="N330">
        <v>4</v>
      </c>
    </row>
    <row r="331" spans="1:14" x14ac:dyDescent="0.25">
      <c r="A331" t="s">
        <v>360</v>
      </c>
      <c r="B331" t="s">
        <v>13</v>
      </c>
      <c r="C331" t="s">
        <v>14</v>
      </c>
      <c r="D331" t="s">
        <v>15</v>
      </c>
      <c r="E331" t="s">
        <v>26</v>
      </c>
      <c r="F331" t="s">
        <v>23</v>
      </c>
      <c r="G331" t="s">
        <v>1038</v>
      </c>
      <c r="H331" t="s">
        <v>1043</v>
      </c>
      <c r="I331" s="1">
        <v>43549</v>
      </c>
      <c r="J331" t="s">
        <v>1045</v>
      </c>
      <c r="K331" s="5">
        <v>0.54652777777777783</v>
      </c>
      <c r="L331" t="s">
        <v>24</v>
      </c>
      <c r="M331">
        <v>7.2720000000000002</v>
      </c>
      <c r="N331">
        <v>7.6</v>
      </c>
    </row>
    <row r="332" spans="1:14" x14ac:dyDescent="0.25">
      <c r="A332" t="s">
        <v>361</v>
      </c>
      <c r="B332" t="s">
        <v>37</v>
      </c>
      <c r="C332" t="s">
        <v>38</v>
      </c>
      <c r="D332" t="s">
        <v>22</v>
      </c>
      <c r="E332" t="s">
        <v>26</v>
      </c>
      <c r="F332" t="s">
        <v>27</v>
      </c>
      <c r="G332" t="s">
        <v>1038</v>
      </c>
      <c r="H332" t="s">
        <v>1042</v>
      </c>
      <c r="I332" s="1">
        <v>43503</v>
      </c>
      <c r="J332" t="s">
        <v>1046</v>
      </c>
      <c r="K332" s="5">
        <v>0.78333333333333333</v>
      </c>
      <c r="L332" t="s">
        <v>24</v>
      </c>
      <c r="M332">
        <v>9.9090000000000007</v>
      </c>
      <c r="N332">
        <v>6.8</v>
      </c>
    </row>
    <row r="333" spans="1:14" x14ac:dyDescent="0.25">
      <c r="A333" t="s">
        <v>362</v>
      </c>
      <c r="B333" t="s">
        <v>13</v>
      </c>
      <c r="C333" t="s">
        <v>14</v>
      </c>
      <c r="D333" t="s">
        <v>22</v>
      </c>
      <c r="E333" t="s">
        <v>26</v>
      </c>
      <c r="F333" t="s">
        <v>39</v>
      </c>
      <c r="G333" t="s">
        <v>1040</v>
      </c>
      <c r="H333" t="s">
        <v>1042</v>
      </c>
      <c r="I333" s="1">
        <v>43513</v>
      </c>
      <c r="J333" t="s">
        <v>1046</v>
      </c>
      <c r="K333" s="5">
        <v>0.7270833333333333</v>
      </c>
      <c r="L333" t="s">
        <v>28</v>
      </c>
      <c r="M333">
        <v>4.9349999999999996</v>
      </c>
      <c r="N333">
        <v>9.1</v>
      </c>
    </row>
    <row r="334" spans="1:14" x14ac:dyDescent="0.25">
      <c r="A334" t="s">
        <v>363</v>
      </c>
      <c r="B334" t="s">
        <v>13</v>
      </c>
      <c r="C334" t="s">
        <v>14</v>
      </c>
      <c r="D334" t="s">
        <v>22</v>
      </c>
      <c r="E334" t="s">
        <v>26</v>
      </c>
      <c r="F334" t="s">
        <v>41</v>
      </c>
      <c r="G334" t="s">
        <v>1038</v>
      </c>
      <c r="H334" t="s">
        <v>1042</v>
      </c>
      <c r="I334" s="1">
        <v>43499</v>
      </c>
      <c r="J334" t="s">
        <v>1045</v>
      </c>
      <c r="K334" s="5">
        <v>0.66597222222222219</v>
      </c>
      <c r="L334" t="s">
        <v>24</v>
      </c>
      <c r="M334">
        <v>19.254999999999999</v>
      </c>
      <c r="N334">
        <v>5.5</v>
      </c>
    </row>
    <row r="335" spans="1:14" x14ac:dyDescent="0.25">
      <c r="A335" t="s">
        <v>364</v>
      </c>
      <c r="B335" t="s">
        <v>13</v>
      </c>
      <c r="C335" t="s">
        <v>14</v>
      </c>
      <c r="D335" t="s">
        <v>15</v>
      </c>
      <c r="E335" t="s">
        <v>26</v>
      </c>
      <c r="F335" t="s">
        <v>39</v>
      </c>
      <c r="G335" t="s">
        <v>1036</v>
      </c>
      <c r="H335" t="s">
        <v>1043</v>
      </c>
      <c r="I335" s="1">
        <v>43538</v>
      </c>
      <c r="J335" t="s">
        <v>1044</v>
      </c>
      <c r="K335" s="5">
        <v>0.47291666666666665</v>
      </c>
      <c r="L335" t="s">
        <v>28</v>
      </c>
      <c r="M335">
        <v>2.3479999999999999</v>
      </c>
      <c r="N335">
        <v>7.9</v>
      </c>
    </row>
    <row r="336" spans="1:14" x14ac:dyDescent="0.25">
      <c r="A336" t="s">
        <v>365</v>
      </c>
      <c r="B336" t="s">
        <v>20</v>
      </c>
      <c r="C336" t="s">
        <v>21</v>
      </c>
      <c r="D336" t="s">
        <v>15</v>
      </c>
      <c r="E336" t="s">
        <v>26</v>
      </c>
      <c r="F336" t="s">
        <v>31</v>
      </c>
      <c r="G336" t="s">
        <v>1038</v>
      </c>
      <c r="H336" t="s">
        <v>1043</v>
      </c>
      <c r="I336" s="1">
        <v>43548</v>
      </c>
      <c r="J336" t="s">
        <v>1045</v>
      </c>
      <c r="K336" s="5">
        <v>0.57500000000000007</v>
      </c>
      <c r="L336" t="s">
        <v>18</v>
      </c>
      <c r="M336">
        <v>3.6749999999999998</v>
      </c>
      <c r="N336">
        <v>8.5</v>
      </c>
    </row>
    <row r="337" spans="1:14" x14ac:dyDescent="0.25">
      <c r="A337" t="s">
        <v>366</v>
      </c>
      <c r="B337" t="s">
        <v>13</v>
      </c>
      <c r="C337" t="s">
        <v>14</v>
      </c>
      <c r="D337" t="s">
        <v>15</v>
      </c>
      <c r="E337" t="s">
        <v>16</v>
      </c>
      <c r="F337" t="s">
        <v>23</v>
      </c>
      <c r="G337" t="s">
        <v>1037</v>
      </c>
      <c r="H337" t="s">
        <v>1043</v>
      </c>
      <c r="I337" s="1">
        <v>43545</v>
      </c>
      <c r="J337" t="s">
        <v>1044</v>
      </c>
      <c r="K337" s="5">
        <v>0.4284722222222222</v>
      </c>
      <c r="L337" t="s">
        <v>28</v>
      </c>
      <c r="M337">
        <v>7.1124999999999998</v>
      </c>
      <c r="N337">
        <v>9.1</v>
      </c>
    </row>
    <row r="338" spans="1:14" x14ac:dyDescent="0.25">
      <c r="A338" t="s">
        <v>367</v>
      </c>
      <c r="B338" t="s">
        <v>13</v>
      </c>
      <c r="C338" t="s">
        <v>14</v>
      </c>
      <c r="D338" t="s">
        <v>22</v>
      </c>
      <c r="E338" t="s">
        <v>26</v>
      </c>
      <c r="F338" t="s">
        <v>41</v>
      </c>
      <c r="G338" t="s">
        <v>1037</v>
      </c>
      <c r="H338" t="s">
        <v>1043</v>
      </c>
      <c r="I338" s="1">
        <v>43543</v>
      </c>
      <c r="J338" t="s">
        <v>1045</v>
      </c>
      <c r="K338" s="5">
        <v>0.65902777777777777</v>
      </c>
      <c r="L338" t="s">
        <v>18</v>
      </c>
      <c r="M338">
        <v>34.380000000000003</v>
      </c>
      <c r="N338">
        <v>7.5</v>
      </c>
    </row>
    <row r="339" spans="1:14" x14ac:dyDescent="0.25">
      <c r="A339" t="s">
        <v>368</v>
      </c>
      <c r="B339" t="s">
        <v>37</v>
      </c>
      <c r="C339" t="s">
        <v>38</v>
      </c>
      <c r="D339" t="s">
        <v>22</v>
      </c>
      <c r="E339" t="s">
        <v>16</v>
      </c>
      <c r="F339" t="s">
        <v>31</v>
      </c>
      <c r="G339" t="s">
        <v>1034</v>
      </c>
      <c r="H339" t="s">
        <v>1042</v>
      </c>
      <c r="I339" s="1">
        <v>43520</v>
      </c>
      <c r="J339" t="s">
        <v>1045</v>
      </c>
      <c r="K339" s="5">
        <v>0.54305555555555551</v>
      </c>
      <c r="L339" t="s">
        <v>24</v>
      </c>
      <c r="M339">
        <v>17.385000000000002</v>
      </c>
      <c r="N339">
        <v>5.2</v>
      </c>
    </row>
    <row r="340" spans="1:14" x14ac:dyDescent="0.25">
      <c r="A340" t="s">
        <v>369</v>
      </c>
      <c r="B340" t="s">
        <v>20</v>
      </c>
      <c r="C340" t="s">
        <v>21</v>
      </c>
      <c r="D340" t="s">
        <v>22</v>
      </c>
      <c r="E340" t="s">
        <v>16</v>
      </c>
      <c r="F340" t="s">
        <v>23</v>
      </c>
      <c r="G340" t="s">
        <v>1038</v>
      </c>
      <c r="H340" t="s">
        <v>1043</v>
      </c>
      <c r="I340" s="1">
        <v>43552</v>
      </c>
      <c r="J340" t="s">
        <v>1045</v>
      </c>
      <c r="K340" s="5">
        <v>0.54027777777777775</v>
      </c>
      <c r="L340" t="s">
        <v>28</v>
      </c>
      <c r="M340">
        <v>7.1475</v>
      </c>
      <c r="N340">
        <v>9.5</v>
      </c>
    </row>
    <row r="341" spans="1:14" x14ac:dyDescent="0.25">
      <c r="A341" t="s">
        <v>370</v>
      </c>
      <c r="B341" t="s">
        <v>37</v>
      </c>
      <c r="C341" t="s">
        <v>38</v>
      </c>
      <c r="D341" t="s">
        <v>15</v>
      </c>
      <c r="E341" t="s">
        <v>16</v>
      </c>
      <c r="F341" t="s">
        <v>39</v>
      </c>
      <c r="G341" t="s">
        <v>1038</v>
      </c>
      <c r="H341" t="s">
        <v>1042</v>
      </c>
      <c r="I341" s="1">
        <v>43501</v>
      </c>
      <c r="J341" t="s">
        <v>1045</v>
      </c>
      <c r="K341" s="5">
        <v>0.6430555555555556</v>
      </c>
      <c r="L341" t="s">
        <v>28</v>
      </c>
      <c r="M341">
        <v>19.268999999999998</v>
      </c>
      <c r="N341">
        <v>8.9</v>
      </c>
    </row>
    <row r="342" spans="1:14" x14ac:dyDescent="0.25">
      <c r="A342" t="s">
        <v>371</v>
      </c>
      <c r="B342" t="s">
        <v>37</v>
      </c>
      <c r="C342" t="s">
        <v>38</v>
      </c>
      <c r="D342" t="s">
        <v>15</v>
      </c>
      <c r="E342" t="s">
        <v>26</v>
      </c>
      <c r="F342" t="s">
        <v>23</v>
      </c>
      <c r="G342" t="s">
        <v>1039</v>
      </c>
      <c r="H342" t="s">
        <v>1042</v>
      </c>
      <c r="I342" s="1">
        <v>43506</v>
      </c>
      <c r="J342" t="s">
        <v>1046</v>
      </c>
      <c r="K342" s="5">
        <v>0.76597222222222217</v>
      </c>
      <c r="L342" t="s">
        <v>28</v>
      </c>
      <c r="M342">
        <v>7.2134999999999998</v>
      </c>
      <c r="N342">
        <v>7.8</v>
      </c>
    </row>
    <row r="343" spans="1:14" x14ac:dyDescent="0.25">
      <c r="A343" t="s">
        <v>372</v>
      </c>
      <c r="B343" t="s">
        <v>37</v>
      </c>
      <c r="C343" t="s">
        <v>38</v>
      </c>
      <c r="D343" t="s">
        <v>15</v>
      </c>
      <c r="E343" t="s">
        <v>16</v>
      </c>
      <c r="F343" t="s">
        <v>17</v>
      </c>
      <c r="G343" t="s">
        <v>1035</v>
      </c>
      <c r="H343" t="s">
        <v>1043</v>
      </c>
      <c r="I343" s="1">
        <v>43529</v>
      </c>
      <c r="J343" t="s">
        <v>1046</v>
      </c>
      <c r="K343" s="5">
        <v>0.79583333333333339</v>
      </c>
      <c r="L343" t="s">
        <v>18</v>
      </c>
      <c r="M343">
        <v>19.589500000000001</v>
      </c>
      <c r="N343">
        <v>8.9</v>
      </c>
    </row>
    <row r="344" spans="1:14" x14ac:dyDescent="0.25">
      <c r="A344" t="s">
        <v>373</v>
      </c>
      <c r="B344" t="s">
        <v>37</v>
      </c>
      <c r="C344" t="s">
        <v>38</v>
      </c>
      <c r="D344" t="s">
        <v>15</v>
      </c>
      <c r="E344" t="s">
        <v>16</v>
      </c>
      <c r="F344" t="s">
        <v>17</v>
      </c>
      <c r="G344" t="s">
        <v>1039</v>
      </c>
      <c r="H344" t="s">
        <v>1042</v>
      </c>
      <c r="I344" s="1">
        <v>43511</v>
      </c>
      <c r="J344" t="s">
        <v>1046</v>
      </c>
      <c r="K344" s="5">
        <v>0.84791666666666676</v>
      </c>
      <c r="L344" t="s">
        <v>24</v>
      </c>
      <c r="M344">
        <v>26.914999999999999</v>
      </c>
      <c r="N344">
        <v>7.7</v>
      </c>
    </row>
    <row r="345" spans="1:14" x14ac:dyDescent="0.25">
      <c r="A345" t="s">
        <v>374</v>
      </c>
      <c r="B345" t="s">
        <v>20</v>
      </c>
      <c r="C345" t="s">
        <v>21</v>
      </c>
      <c r="D345" t="s">
        <v>22</v>
      </c>
      <c r="E345" t="s">
        <v>16</v>
      </c>
      <c r="F345" t="s">
        <v>39</v>
      </c>
      <c r="G345" t="s">
        <v>1037</v>
      </c>
      <c r="H345" t="s">
        <v>1041</v>
      </c>
      <c r="I345" s="1">
        <v>43495</v>
      </c>
      <c r="J345" t="s">
        <v>1046</v>
      </c>
      <c r="K345" s="5">
        <v>0.68333333333333324</v>
      </c>
      <c r="L345" t="s">
        <v>18</v>
      </c>
      <c r="M345">
        <v>24.2575</v>
      </c>
      <c r="N345">
        <v>9.3000000000000007</v>
      </c>
    </row>
    <row r="346" spans="1:14" x14ac:dyDescent="0.25">
      <c r="A346" t="s">
        <v>375</v>
      </c>
      <c r="B346" t="s">
        <v>13</v>
      </c>
      <c r="C346" t="s">
        <v>14</v>
      </c>
      <c r="D346" t="s">
        <v>22</v>
      </c>
      <c r="E346" t="s">
        <v>26</v>
      </c>
      <c r="F346" t="s">
        <v>31</v>
      </c>
      <c r="G346" t="s">
        <v>1039</v>
      </c>
      <c r="H346" t="s">
        <v>1042</v>
      </c>
      <c r="I346" s="1">
        <v>43510</v>
      </c>
      <c r="J346" t="s">
        <v>1045</v>
      </c>
      <c r="K346" s="5">
        <v>0.62777777777777777</v>
      </c>
      <c r="L346" t="s">
        <v>24</v>
      </c>
      <c r="M346">
        <v>6.6974999999999998</v>
      </c>
      <c r="N346">
        <v>6.2</v>
      </c>
    </row>
    <row r="347" spans="1:14" x14ac:dyDescent="0.25">
      <c r="A347" t="s">
        <v>376</v>
      </c>
      <c r="B347" t="s">
        <v>13</v>
      </c>
      <c r="C347" t="s">
        <v>14</v>
      </c>
      <c r="D347" t="s">
        <v>22</v>
      </c>
      <c r="E347" t="s">
        <v>16</v>
      </c>
      <c r="F347" t="s">
        <v>41</v>
      </c>
      <c r="G347" t="s">
        <v>1034</v>
      </c>
      <c r="H347" t="s">
        <v>1042</v>
      </c>
      <c r="I347" s="1">
        <v>43523</v>
      </c>
      <c r="J347" t="s">
        <v>1046</v>
      </c>
      <c r="K347" s="5">
        <v>0.67361111111111116</v>
      </c>
      <c r="L347" t="s">
        <v>18</v>
      </c>
      <c r="M347">
        <v>35.0685</v>
      </c>
      <c r="N347">
        <v>7.6</v>
      </c>
    </row>
    <row r="348" spans="1:14" x14ac:dyDescent="0.25">
      <c r="A348" t="s">
        <v>377</v>
      </c>
      <c r="B348" t="s">
        <v>13</v>
      </c>
      <c r="C348" t="s">
        <v>14</v>
      </c>
      <c r="D348" t="s">
        <v>15</v>
      </c>
      <c r="E348" t="s">
        <v>26</v>
      </c>
      <c r="F348" t="s">
        <v>23</v>
      </c>
      <c r="G348" t="s">
        <v>1038</v>
      </c>
      <c r="H348" t="s">
        <v>1042</v>
      </c>
      <c r="I348" s="1">
        <v>43500</v>
      </c>
      <c r="J348" t="s">
        <v>1045</v>
      </c>
      <c r="K348" s="5">
        <v>0.50972222222222219</v>
      </c>
      <c r="L348" t="s">
        <v>24</v>
      </c>
      <c r="M348">
        <v>3.5975000000000001</v>
      </c>
      <c r="N348">
        <v>7.3</v>
      </c>
    </row>
    <row r="349" spans="1:14" x14ac:dyDescent="0.25">
      <c r="A349" t="s">
        <v>378</v>
      </c>
      <c r="B349" t="s">
        <v>20</v>
      </c>
      <c r="C349" t="s">
        <v>21</v>
      </c>
      <c r="D349" t="s">
        <v>15</v>
      </c>
      <c r="E349" t="s">
        <v>16</v>
      </c>
      <c r="F349" t="s">
        <v>27</v>
      </c>
      <c r="G349" t="s">
        <v>1036</v>
      </c>
      <c r="H349" t="s">
        <v>1041</v>
      </c>
      <c r="I349" s="1">
        <v>43485</v>
      </c>
      <c r="J349" t="s">
        <v>1044</v>
      </c>
      <c r="K349" s="5">
        <v>0.42569444444444443</v>
      </c>
      <c r="L349" t="s">
        <v>24</v>
      </c>
      <c r="M349">
        <v>35.700000000000003</v>
      </c>
      <c r="N349">
        <v>4.7</v>
      </c>
    </row>
    <row r="350" spans="1:14" x14ac:dyDescent="0.25">
      <c r="A350" t="s">
        <v>379</v>
      </c>
      <c r="B350" t="s">
        <v>13</v>
      </c>
      <c r="C350" t="s">
        <v>14</v>
      </c>
      <c r="D350" t="s">
        <v>22</v>
      </c>
      <c r="E350" t="s">
        <v>26</v>
      </c>
      <c r="F350" t="s">
        <v>23</v>
      </c>
      <c r="G350" t="s">
        <v>1038</v>
      </c>
      <c r="H350" t="s">
        <v>1043</v>
      </c>
      <c r="I350" s="1">
        <v>43552</v>
      </c>
      <c r="J350" t="s">
        <v>1046</v>
      </c>
      <c r="K350" s="5">
        <v>0.73472222222222217</v>
      </c>
      <c r="L350" t="s">
        <v>24</v>
      </c>
      <c r="M350">
        <v>9.1069999999999993</v>
      </c>
      <c r="N350">
        <v>5.0999999999999996</v>
      </c>
    </row>
    <row r="351" spans="1:14" x14ac:dyDescent="0.25">
      <c r="A351" t="s">
        <v>380</v>
      </c>
      <c r="B351" t="s">
        <v>37</v>
      </c>
      <c r="C351" t="s">
        <v>38</v>
      </c>
      <c r="D351" t="s">
        <v>22</v>
      </c>
      <c r="E351" t="s">
        <v>16</v>
      </c>
      <c r="F351" t="s">
        <v>17</v>
      </c>
      <c r="G351" t="s">
        <v>1034</v>
      </c>
      <c r="H351" t="s">
        <v>1042</v>
      </c>
      <c r="I351" s="1">
        <v>43523</v>
      </c>
      <c r="J351" t="s">
        <v>1044</v>
      </c>
      <c r="K351" s="5">
        <v>0.46249999999999997</v>
      </c>
      <c r="L351" t="s">
        <v>28</v>
      </c>
      <c r="M351">
        <v>6.75</v>
      </c>
      <c r="N351">
        <v>4.8</v>
      </c>
    </row>
    <row r="352" spans="1:14" x14ac:dyDescent="0.25">
      <c r="A352" t="s">
        <v>381</v>
      </c>
      <c r="B352" t="s">
        <v>20</v>
      </c>
      <c r="C352" t="s">
        <v>21</v>
      </c>
      <c r="D352" t="s">
        <v>15</v>
      </c>
      <c r="E352" t="s">
        <v>16</v>
      </c>
      <c r="F352" t="s">
        <v>41</v>
      </c>
      <c r="G352" t="s">
        <v>1039</v>
      </c>
      <c r="H352" t="s">
        <v>1042</v>
      </c>
      <c r="I352" s="1">
        <v>43511</v>
      </c>
      <c r="J352" t="s">
        <v>1045</v>
      </c>
      <c r="K352" s="5">
        <v>0.62013888888888891</v>
      </c>
      <c r="L352" t="s">
        <v>28</v>
      </c>
      <c r="M352">
        <v>49.65</v>
      </c>
      <c r="N352">
        <v>6.6</v>
      </c>
    </row>
    <row r="353" spans="1:14" x14ac:dyDescent="0.25">
      <c r="A353" t="s">
        <v>382</v>
      </c>
      <c r="B353" t="s">
        <v>13</v>
      </c>
      <c r="C353" t="s">
        <v>14</v>
      </c>
      <c r="D353" t="s">
        <v>22</v>
      </c>
      <c r="E353" t="s">
        <v>26</v>
      </c>
      <c r="F353" t="s">
        <v>23</v>
      </c>
      <c r="G353" t="s">
        <v>1037</v>
      </c>
      <c r="H353" t="s">
        <v>1041</v>
      </c>
      <c r="I353" s="1">
        <v>43491</v>
      </c>
      <c r="J353" t="s">
        <v>1046</v>
      </c>
      <c r="K353" s="5">
        <v>0.76527777777777783</v>
      </c>
      <c r="L353" t="s">
        <v>24</v>
      </c>
      <c r="M353">
        <v>18.0915</v>
      </c>
      <c r="N353">
        <v>5.5</v>
      </c>
    </row>
    <row r="354" spans="1:14" x14ac:dyDescent="0.25">
      <c r="A354" t="s">
        <v>383</v>
      </c>
      <c r="B354" t="s">
        <v>37</v>
      </c>
      <c r="C354" t="s">
        <v>38</v>
      </c>
      <c r="D354" t="s">
        <v>15</v>
      </c>
      <c r="E354" t="s">
        <v>16</v>
      </c>
      <c r="F354" t="s">
        <v>41</v>
      </c>
      <c r="G354" t="s">
        <v>1036</v>
      </c>
      <c r="H354" t="s">
        <v>1043</v>
      </c>
      <c r="I354" s="1">
        <v>43538</v>
      </c>
      <c r="J354" t="s">
        <v>1046</v>
      </c>
      <c r="K354" s="5">
        <v>0.79305555555555562</v>
      </c>
      <c r="L354" t="s">
        <v>28</v>
      </c>
      <c r="M354">
        <v>19.1555</v>
      </c>
      <c r="N354">
        <v>8.5</v>
      </c>
    </row>
    <row r="355" spans="1:14" x14ac:dyDescent="0.25">
      <c r="A355" t="s">
        <v>384</v>
      </c>
      <c r="B355" t="s">
        <v>37</v>
      </c>
      <c r="C355" t="s">
        <v>38</v>
      </c>
      <c r="D355" t="s">
        <v>15</v>
      </c>
      <c r="E355" t="s">
        <v>26</v>
      </c>
      <c r="F355" t="s">
        <v>27</v>
      </c>
      <c r="G355" t="s">
        <v>1035</v>
      </c>
      <c r="H355" t="s">
        <v>1043</v>
      </c>
      <c r="I355" s="1">
        <v>43526</v>
      </c>
      <c r="J355" t="s">
        <v>1045</v>
      </c>
      <c r="K355" s="5">
        <v>0.59444444444444444</v>
      </c>
      <c r="L355" t="s">
        <v>24</v>
      </c>
      <c r="M355">
        <v>12.15</v>
      </c>
      <c r="N355">
        <v>4.8</v>
      </c>
    </row>
    <row r="356" spans="1:14" x14ac:dyDescent="0.25">
      <c r="A356" t="s">
        <v>385</v>
      </c>
      <c r="B356" t="s">
        <v>20</v>
      </c>
      <c r="C356" t="s">
        <v>21</v>
      </c>
      <c r="D356" t="s">
        <v>22</v>
      </c>
      <c r="E356" t="s">
        <v>16</v>
      </c>
      <c r="F356" t="s">
        <v>23</v>
      </c>
      <c r="G356" t="s">
        <v>1035</v>
      </c>
      <c r="H356" t="s">
        <v>1043</v>
      </c>
      <c r="I356" s="1">
        <v>43528</v>
      </c>
      <c r="J356" t="s">
        <v>1045</v>
      </c>
      <c r="K356" s="5">
        <v>0.65555555555555556</v>
      </c>
      <c r="L356" t="s">
        <v>24</v>
      </c>
      <c r="M356">
        <v>1.512</v>
      </c>
      <c r="N356">
        <v>8.4</v>
      </c>
    </row>
    <row r="357" spans="1:14" x14ac:dyDescent="0.25">
      <c r="A357" t="s">
        <v>386</v>
      </c>
      <c r="B357" t="s">
        <v>37</v>
      </c>
      <c r="C357" t="s">
        <v>38</v>
      </c>
      <c r="D357" t="s">
        <v>15</v>
      </c>
      <c r="E357" t="s">
        <v>16</v>
      </c>
      <c r="F357" t="s">
        <v>39</v>
      </c>
      <c r="G357" t="s">
        <v>1034</v>
      </c>
      <c r="H357" t="s">
        <v>1041</v>
      </c>
      <c r="I357" s="1">
        <v>43472</v>
      </c>
      <c r="J357" t="s">
        <v>1045</v>
      </c>
      <c r="K357" s="5">
        <v>0.51388888888888895</v>
      </c>
      <c r="L357" t="s">
        <v>28</v>
      </c>
      <c r="M357">
        <v>17.827999999999999</v>
      </c>
      <c r="N357">
        <v>7.8</v>
      </c>
    </row>
    <row r="358" spans="1:14" x14ac:dyDescent="0.25">
      <c r="A358" t="s">
        <v>387</v>
      </c>
      <c r="B358" t="s">
        <v>20</v>
      </c>
      <c r="C358" t="s">
        <v>21</v>
      </c>
      <c r="D358" t="s">
        <v>22</v>
      </c>
      <c r="E358" t="s">
        <v>16</v>
      </c>
      <c r="F358" t="s">
        <v>41</v>
      </c>
      <c r="G358" t="s">
        <v>1035</v>
      </c>
      <c r="H358" t="s">
        <v>1043</v>
      </c>
      <c r="I358" s="1">
        <v>43532</v>
      </c>
      <c r="J358" t="s">
        <v>1046</v>
      </c>
      <c r="K358" s="5">
        <v>0.8340277777777777</v>
      </c>
      <c r="L358" t="s">
        <v>28</v>
      </c>
      <c r="M358">
        <v>18.774999999999999</v>
      </c>
      <c r="N358">
        <v>9.3000000000000007</v>
      </c>
    </row>
    <row r="359" spans="1:14" x14ac:dyDescent="0.25">
      <c r="A359" t="s">
        <v>388</v>
      </c>
      <c r="B359" t="s">
        <v>20</v>
      </c>
      <c r="C359" t="s">
        <v>21</v>
      </c>
      <c r="D359" t="s">
        <v>22</v>
      </c>
      <c r="E359" t="s">
        <v>16</v>
      </c>
      <c r="F359" t="s">
        <v>31</v>
      </c>
      <c r="G359" t="s">
        <v>1034</v>
      </c>
      <c r="H359" t="s">
        <v>1041</v>
      </c>
      <c r="I359" s="1">
        <v>43474</v>
      </c>
      <c r="J359" t="s">
        <v>1045</v>
      </c>
      <c r="K359" s="5">
        <v>0.57291666666666663</v>
      </c>
      <c r="L359" t="s">
        <v>24</v>
      </c>
      <c r="M359">
        <v>47.72</v>
      </c>
      <c r="N359">
        <v>5.2</v>
      </c>
    </row>
    <row r="360" spans="1:14" x14ac:dyDescent="0.25">
      <c r="A360" t="s">
        <v>389</v>
      </c>
      <c r="B360" t="s">
        <v>37</v>
      </c>
      <c r="C360" t="s">
        <v>38</v>
      </c>
      <c r="D360" t="s">
        <v>22</v>
      </c>
      <c r="E360" t="s">
        <v>26</v>
      </c>
      <c r="F360" t="s">
        <v>23</v>
      </c>
      <c r="G360" t="s">
        <v>1034</v>
      </c>
      <c r="H360" t="s">
        <v>1043</v>
      </c>
      <c r="I360" s="1">
        <v>43525</v>
      </c>
      <c r="J360" t="s">
        <v>1045</v>
      </c>
      <c r="K360" s="5">
        <v>0.65277777777777779</v>
      </c>
      <c r="L360" t="s">
        <v>18</v>
      </c>
      <c r="M360">
        <v>4.125</v>
      </c>
      <c r="N360">
        <v>6.5</v>
      </c>
    </row>
    <row r="361" spans="1:14" x14ac:dyDescent="0.25">
      <c r="A361" t="s">
        <v>390</v>
      </c>
      <c r="B361" t="s">
        <v>37</v>
      </c>
      <c r="C361" t="s">
        <v>38</v>
      </c>
      <c r="D361" t="s">
        <v>22</v>
      </c>
      <c r="E361" t="s">
        <v>26</v>
      </c>
      <c r="F361" t="s">
        <v>31</v>
      </c>
      <c r="G361" t="s">
        <v>1037</v>
      </c>
      <c r="H361" t="s">
        <v>1043</v>
      </c>
      <c r="I361" s="1">
        <v>43540</v>
      </c>
      <c r="J361" t="s">
        <v>1046</v>
      </c>
      <c r="K361" s="5">
        <v>0.70694444444444438</v>
      </c>
      <c r="L361" t="s">
        <v>24</v>
      </c>
      <c r="M361">
        <v>3.7484999999999999</v>
      </c>
      <c r="N361">
        <v>5.6</v>
      </c>
    </row>
    <row r="362" spans="1:14" x14ac:dyDescent="0.25">
      <c r="A362" t="s">
        <v>391</v>
      </c>
      <c r="B362" t="s">
        <v>13</v>
      </c>
      <c r="C362" t="s">
        <v>14</v>
      </c>
      <c r="D362" t="s">
        <v>15</v>
      </c>
      <c r="E362" t="s">
        <v>26</v>
      </c>
      <c r="F362" t="s">
        <v>39</v>
      </c>
      <c r="G362" t="s">
        <v>1040</v>
      </c>
      <c r="H362" t="s">
        <v>1042</v>
      </c>
      <c r="I362" s="1">
        <v>43513</v>
      </c>
      <c r="J362" t="s">
        <v>1044</v>
      </c>
      <c r="K362" s="5">
        <v>0.46666666666666662</v>
      </c>
      <c r="L362" t="s">
        <v>28</v>
      </c>
      <c r="M362">
        <v>32.384</v>
      </c>
      <c r="N362">
        <v>7.4</v>
      </c>
    </row>
    <row r="363" spans="1:14" x14ac:dyDescent="0.25">
      <c r="A363" t="s">
        <v>392</v>
      </c>
      <c r="B363" t="s">
        <v>20</v>
      </c>
      <c r="C363" t="s">
        <v>21</v>
      </c>
      <c r="D363" t="s">
        <v>22</v>
      </c>
      <c r="E363" t="s">
        <v>16</v>
      </c>
      <c r="F363" t="s">
        <v>39</v>
      </c>
      <c r="G363" t="s">
        <v>1034</v>
      </c>
      <c r="H363" t="s">
        <v>1042</v>
      </c>
      <c r="I363" s="1">
        <v>43523</v>
      </c>
      <c r="J363" t="s">
        <v>1045</v>
      </c>
      <c r="K363" s="5">
        <v>0.6333333333333333</v>
      </c>
      <c r="L363" t="s">
        <v>24</v>
      </c>
      <c r="M363">
        <v>37.787999999999997</v>
      </c>
      <c r="N363">
        <v>9.1</v>
      </c>
    </row>
    <row r="364" spans="1:14" x14ac:dyDescent="0.25">
      <c r="A364" t="s">
        <v>393</v>
      </c>
      <c r="B364" t="s">
        <v>20</v>
      </c>
      <c r="C364" t="s">
        <v>21</v>
      </c>
      <c r="D364" t="s">
        <v>22</v>
      </c>
      <c r="E364" t="s">
        <v>26</v>
      </c>
      <c r="F364" t="s">
        <v>39</v>
      </c>
      <c r="G364" t="s">
        <v>1035</v>
      </c>
      <c r="H364" t="s">
        <v>1043</v>
      </c>
      <c r="I364" s="1">
        <v>43531</v>
      </c>
      <c r="J364" t="s">
        <v>1046</v>
      </c>
      <c r="K364" s="5">
        <v>0.85902777777777783</v>
      </c>
      <c r="L364" t="s">
        <v>18</v>
      </c>
      <c r="M364">
        <v>9.9789999999999992</v>
      </c>
      <c r="N364">
        <v>8</v>
      </c>
    </row>
    <row r="365" spans="1:14" x14ac:dyDescent="0.25">
      <c r="A365" t="s">
        <v>394</v>
      </c>
      <c r="B365" t="s">
        <v>13</v>
      </c>
      <c r="C365" t="s">
        <v>14</v>
      </c>
      <c r="D365" t="s">
        <v>22</v>
      </c>
      <c r="E365" t="s">
        <v>26</v>
      </c>
      <c r="F365" t="s">
        <v>27</v>
      </c>
      <c r="G365" t="s">
        <v>1036</v>
      </c>
      <c r="H365" t="s">
        <v>1041</v>
      </c>
      <c r="I365" s="1">
        <v>43486</v>
      </c>
      <c r="J365" t="s">
        <v>1046</v>
      </c>
      <c r="K365" s="5">
        <v>0.73888888888888893</v>
      </c>
      <c r="L365" t="s">
        <v>24</v>
      </c>
      <c r="M365">
        <v>21.966000000000001</v>
      </c>
      <c r="N365">
        <v>7.2</v>
      </c>
    </row>
    <row r="366" spans="1:14" x14ac:dyDescent="0.25">
      <c r="A366" t="s">
        <v>395</v>
      </c>
      <c r="B366" t="s">
        <v>20</v>
      </c>
      <c r="C366" t="s">
        <v>21</v>
      </c>
      <c r="D366" t="s">
        <v>22</v>
      </c>
      <c r="E366" t="s">
        <v>16</v>
      </c>
      <c r="F366" t="s">
        <v>39</v>
      </c>
      <c r="G366" t="s">
        <v>1040</v>
      </c>
      <c r="H366" t="s">
        <v>1042</v>
      </c>
      <c r="I366" s="1">
        <v>43515</v>
      </c>
      <c r="J366" t="s">
        <v>1046</v>
      </c>
      <c r="K366" s="5">
        <v>0.68263888888888891</v>
      </c>
      <c r="L366" t="s">
        <v>24</v>
      </c>
      <c r="M366">
        <v>8.2479999999999993</v>
      </c>
      <c r="N366">
        <v>7.1</v>
      </c>
    </row>
    <row r="367" spans="1:14" x14ac:dyDescent="0.25">
      <c r="A367" t="s">
        <v>396</v>
      </c>
      <c r="B367" t="s">
        <v>20</v>
      </c>
      <c r="C367" t="s">
        <v>21</v>
      </c>
      <c r="D367" t="s">
        <v>22</v>
      </c>
      <c r="E367" t="s">
        <v>16</v>
      </c>
      <c r="F367" t="s">
        <v>41</v>
      </c>
      <c r="G367" t="s">
        <v>1034</v>
      </c>
      <c r="H367" t="s">
        <v>1041</v>
      </c>
      <c r="I367" s="1">
        <v>43471</v>
      </c>
      <c r="J367" t="s">
        <v>1045</v>
      </c>
      <c r="K367" s="5">
        <v>0.5083333333333333</v>
      </c>
      <c r="L367" t="s">
        <v>24</v>
      </c>
      <c r="M367">
        <v>16.335999999999999</v>
      </c>
      <c r="N367">
        <v>9.1</v>
      </c>
    </row>
    <row r="368" spans="1:14" x14ac:dyDescent="0.25">
      <c r="A368" t="s">
        <v>397</v>
      </c>
      <c r="B368" t="s">
        <v>20</v>
      </c>
      <c r="C368" t="s">
        <v>21</v>
      </c>
      <c r="D368" t="s">
        <v>22</v>
      </c>
      <c r="E368" t="s">
        <v>16</v>
      </c>
      <c r="F368" t="s">
        <v>23</v>
      </c>
      <c r="G368" t="s">
        <v>1036</v>
      </c>
      <c r="H368" t="s">
        <v>1043</v>
      </c>
      <c r="I368" s="1">
        <v>43538</v>
      </c>
      <c r="J368" t="s">
        <v>1046</v>
      </c>
      <c r="K368" s="5">
        <v>0.81458333333333333</v>
      </c>
      <c r="L368" t="s">
        <v>24</v>
      </c>
      <c r="M368">
        <v>23.094000000000001</v>
      </c>
      <c r="N368">
        <v>5.6</v>
      </c>
    </row>
    <row r="369" spans="1:14" x14ac:dyDescent="0.25">
      <c r="A369" t="s">
        <v>398</v>
      </c>
      <c r="B369" t="s">
        <v>13</v>
      </c>
      <c r="C369" t="s">
        <v>14</v>
      </c>
      <c r="D369" t="s">
        <v>15</v>
      </c>
      <c r="E369" t="s">
        <v>26</v>
      </c>
      <c r="F369" t="s">
        <v>27</v>
      </c>
      <c r="G369" t="s">
        <v>1038</v>
      </c>
      <c r="H369" t="s">
        <v>1043</v>
      </c>
      <c r="I369" s="1">
        <v>43548</v>
      </c>
      <c r="J369" t="s">
        <v>1044</v>
      </c>
      <c r="K369" s="5">
        <v>0.4368055555555555</v>
      </c>
      <c r="L369" t="s">
        <v>24</v>
      </c>
      <c r="M369">
        <v>13.188000000000001</v>
      </c>
      <c r="N369">
        <v>6</v>
      </c>
    </row>
    <row r="370" spans="1:14" x14ac:dyDescent="0.25">
      <c r="A370" t="s">
        <v>399</v>
      </c>
      <c r="B370" t="s">
        <v>20</v>
      </c>
      <c r="C370" t="s">
        <v>21</v>
      </c>
      <c r="D370" t="s">
        <v>22</v>
      </c>
      <c r="E370" t="s">
        <v>16</v>
      </c>
      <c r="F370" t="s">
        <v>31</v>
      </c>
      <c r="G370" t="s">
        <v>1037</v>
      </c>
      <c r="H370" t="s">
        <v>1041</v>
      </c>
      <c r="I370" s="1">
        <v>43492</v>
      </c>
      <c r="J370" t="s">
        <v>1045</v>
      </c>
      <c r="K370" s="5">
        <v>0.60277777777777775</v>
      </c>
      <c r="L370" t="s">
        <v>24</v>
      </c>
      <c r="M370">
        <v>7.18</v>
      </c>
      <c r="N370">
        <v>5.4</v>
      </c>
    </row>
    <row r="371" spans="1:14" x14ac:dyDescent="0.25">
      <c r="A371" t="s">
        <v>400</v>
      </c>
      <c r="B371" t="s">
        <v>13</v>
      </c>
      <c r="C371" t="s">
        <v>14</v>
      </c>
      <c r="D371" t="s">
        <v>15</v>
      </c>
      <c r="E371" t="s">
        <v>26</v>
      </c>
      <c r="F371" t="s">
        <v>23</v>
      </c>
      <c r="G371" t="s">
        <v>1035</v>
      </c>
      <c r="H371" t="s">
        <v>1043</v>
      </c>
      <c r="I371" s="1">
        <v>43530</v>
      </c>
      <c r="J371" t="s">
        <v>1045</v>
      </c>
      <c r="K371" s="5">
        <v>0.53194444444444444</v>
      </c>
      <c r="L371" t="s">
        <v>28</v>
      </c>
      <c r="M371">
        <v>9.6750000000000007</v>
      </c>
      <c r="N371">
        <v>7.8</v>
      </c>
    </row>
    <row r="372" spans="1:14" x14ac:dyDescent="0.25">
      <c r="A372" t="s">
        <v>401</v>
      </c>
      <c r="B372" t="s">
        <v>37</v>
      </c>
      <c r="C372" t="s">
        <v>38</v>
      </c>
      <c r="D372" t="s">
        <v>15</v>
      </c>
      <c r="E372" t="s">
        <v>16</v>
      </c>
      <c r="F372" t="s">
        <v>23</v>
      </c>
      <c r="G372" t="s">
        <v>1038</v>
      </c>
      <c r="H372" t="s">
        <v>1042</v>
      </c>
      <c r="I372" s="1">
        <v>43498</v>
      </c>
      <c r="J372" t="s">
        <v>1046</v>
      </c>
      <c r="K372" s="5">
        <v>0.81944444444444453</v>
      </c>
      <c r="L372" t="s">
        <v>24</v>
      </c>
      <c r="M372">
        <v>9.1910000000000007</v>
      </c>
      <c r="N372">
        <v>9.9</v>
      </c>
    </row>
    <row r="373" spans="1:14" x14ac:dyDescent="0.25">
      <c r="A373" t="s">
        <v>402</v>
      </c>
      <c r="B373" t="s">
        <v>37</v>
      </c>
      <c r="C373" t="s">
        <v>38</v>
      </c>
      <c r="D373" t="s">
        <v>22</v>
      </c>
      <c r="E373" t="s">
        <v>16</v>
      </c>
      <c r="F373" t="s">
        <v>41</v>
      </c>
      <c r="G373" t="s">
        <v>1036</v>
      </c>
      <c r="H373" t="s">
        <v>1041</v>
      </c>
      <c r="I373" s="1">
        <v>43490</v>
      </c>
      <c r="J373" t="s">
        <v>1046</v>
      </c>
      <c r="K373" s="5">
        <v>0.81874999999999998</v>
      </c>
      <c r="L373" t="s">
        <v>28</v>
      </c>
      <c r="M373">
        <v>6.0960000000000001</v>
      </c>
      <c r="N373">
        <v>4.9000000000000004</v>
      </c>
    </row>
    <row r="374" spans="1:14" x14ac:dyDescent="0.25">
      <c r="A374" t="s">
        <v>403</v>
      </c>
      <c r="B374" t="s">
        <v>20</v>
      </c>
      <c r="C374" t="s">
        <v>21</v>
      </c>
      <c r="D374" t="s">
        <v>22</v>
      </c>
      <c r="E374" t="s">
        <v>16</v>
      </c>
      <c r="F374" t="s">
        <v>27</v>
      </c>
      <c r="G374" t="s">
        <v>1036</v>
      </c>
      <c r="H374" t="s">
        <v>1043</v>
      </c>
      <c r="I374" s="1">
        <v>43538</v>
      </c>
      <c r="J374" t="s">
        <v>1046</v>
      </c>
      <c r="K374" s="5">
        <v>0.74583333333333324</v>
      </c>
      <c r="L374" t="s">
        <v>18</v>
      </c>
      <c r="M374">
        <v>21.033000000000001</v>
      </c>
      <c r="N374">
        <v>5.2</v>
      </c>
    </row>
    <row r="375" spans="1:14" x14ac:dyDescent="0.25">
      <c r="A375" t="s">
        <v>404</v>
      </c>
      <c r="B375" t="s">
        <v>20</v>
      </c>
      <c r="C375" t="s">
        <v>21</v>
      </c>
      <c r="D375" t="s">
        <v>22</v>
      </c>
      <c r="E375" t="s">
        <v>26</v>
      </c>
      <c r="F375" t="s">
        <v>41</v>
      </c>
      <c r="G375" t="s">
        <v>1037</v>
      </c>
      <c r="H375" t="s">
        <v>1041</v>
      </c>
      <c r="I375" s="1">
        <v>43494</v>
      </c>
      <c r="J375" t="s">
        <v>1045</v>
      </c>
      <c r="K375" s="5">
        <v>0.51736111111111105</v>
      </c>
      <c r="L375" t="s">
        <v>24</v>
      </c>
      <c r="M375">
        <v>12.624000000000001</v>
      </c>
      <c r="N375">
        <v>8.9</v>
      </c>
    </row>
    <row r="376" spans="1:14" x14ac:dyDescent="0.25">
      <c r="A376" t="s">
        <v>405</v>
      </c>
      <c r="B376" t="s">
        <v>13</v>
      </c>
      <c r="C376" t="s">
        <v>14</v>
      </c>
      <c r="D376" t="s">
        <v>22</v>
      </c>
      <c r="E376" t="s">
        <v>16</v>
      </c>
      <c r="F376" t="s">
        <v>27</v>
      </c>
      <c r="G376" t="s">
        <v>1040</v>
      </c>
      <c r="H376" t="s">
        <v>1041</v>
      </c>
      <c r="I376" s="1">
        <v>43468</v>
      </c>
      <c r="J376" t="s">
        <v>1046</v>
      </c>
      <c r="K376" s="5">
        <v>0.69930555555555562</v>
      </c>
      <c r="L376" t="s">
        <v>28</v>
      </c>
      <c r="M376">
        <v>16.772500000000001</v>
      </c>
      <c r="N376">
        <v>9.1</v>
      </c>
    </row>
    <row r="377" spans="1:14" x14ac:dyDescent="0.25">
      <c r="A377" t="s">
        <v>406</v>
      </c>
      <c r="B377" t="s">
        <v>13</v>
      </c>
      <c r="C377" t="s">
        <v>14</v>
      </c>
      <c r="D377" t="s">
        <v>15</v>
      </c>
      <c r="E377" t="s">
        <v>16</v>
      </c>
      <c r="F377" t="s">
        <v>41</v>
      </c>
      <c r="G377" t="s">
        <v>1035</v>
      </c>
      <c r="H377" t="s">
        <v>1041</v>
      </c>
      <c r="I377" s="1">
        <v>43479</v>
      </c>
      <c r="J377" t="s">
        <v>1045</v>
      </c>
      <c r="K377" s="5">
        <v>0.53611111111111109</v>
      </c>
      <c r="L377" t="s">
        <v>18</v>
      </c>
      <c r="M377">
        <v>24.175000000000001</v>
      </c>
      <c r="N377">
        <v>7</v>
      </c>
    </row>
    <row r="378" spans="1:14" x14ac:dyDescent="0.25">
      <c r="A378" t="s">
        <v>407</v>
      </c>
      <c r="B378" t="s">
        <v>37</v>
      </c>
      <c r="C378" t="s">
        <v>38</v>
      </c>
      <c r="D378" t="s">
        <v>15</v>
      </c>
      <c r="E378" t="s">
        <v>16</v>
      </c>
      <c r="F378" t="s">
        <v>27</v>
      </c>
      <c r="G378" t="s">
        <v>1034</v>
      </c>
      <c r="H378" t="s">
        <v>1041</v>
      </c>
      <c r="I378" s="1">
        <v>43470</v>
      </c>
      <c r="J378" t="s">
        <v>1046</v>
      </c>
      <c r="K378" s="5">
        <v>0.82638888888888884</v>
      </c>
      <c r="L378" t="s">
        <v>28</v>
      </c>
      <c r="M378">
        <v>15.920999999999999</v>
      </c>
      <c r="N378">
        <v>9.6</v>
      </c>
    </row>
    <row r="379" spans="1:14" x14ac:dyDescent="0.25">
      <c r="A379" t="s">
        <v>408</v>
      </c>
      <c r="B379" t="s">
        <v>20</v>
      </c>
      <c r="C379" t="s">
        <v>21</v>
      </c>
      <c r="D379" t="s">
        <v>22</v>
      </c>
      <c r="E379" t="s">
        <v>26</v>
      </c>
      <c r="F379" t="s">
        <v>31</v>
      </c>
      <c r="G379" t="s">
        <v>1040</v>
      </c>
      <c r="H379" t="s">
        <v>1042</v>
      </c>
      <c r="I379" s="1">
        <v>43518</v>
      </c>
      <c r="J379" t="s">
        <v>1046</v>
      </c>
      <c r="K379" s="5">
        <v>0.76180555555555562</v>
      </c>
      <c r="L379" t="s">
        <v>18</v>
      </c>
      <c r="M379">
        <v>33.421500000000002</v>
      </c>
      <c r="N379">
        <v>8.6999999999999993</v>
      </c>
    </row>
    <row r="380" spans="1:14" x14ac:dyDescent="0.25">
      <c r="A380" t="s">
        <v>409</v>
      </c>
      <c r="B380" t="s">
        <v>20</v>
      </c>
      <c r="C380" t="s">
        <v>21</v>
      </c>
      <c r="D380" t="s">
        <v>15</v>
      </c>
      <c r="E380" t="s">
        <v>26</v>
      </c>
      <c r="F380" t="s">
        <v>41</v>
      </c>
      <c r="G380" t="s">
        <v>1038</v>
      </c>
      <c r="H380" t="s">
        <v>1042</v>
      </c>
      <c r="I380" s="1">
        <v>43502</v>
      </c>
      <c r="J380" t="s">
        <v>1046</v>
      </c>
      <c r="K380" s="5">
        <v>0.72222222222222221</v>
      </c>
      <c r="L380" t="s">
        <v>18</v>
      </c>
      <c r="M380">
        <v>19.396000000000001</v>
      </c>
      <c r="N380">
        <v>9.4</v>
      </c>
    </row>
    <row r="381" spans="1:14" x14ac:dyDescent="0.25">
      <c r="A381" t="s">
        <v>410</v>
      </c>
      <c r="B381" t="s">
        <v>37</v>
      </c>
      <c r="C381" t="s">
        <v>38</v>
      </c>
      <c r="D381" t="s">
        <v>22</v>
      </c>
      <c r="E381" t="s">
        <v>16</v>
      </c>
      <c r="F381" t="s">
        <v>23</v>
      </c>
      <c r="G381" t="s">
        <v>1037</v>
      </c>
      <c r="H381" t="s">
        <v>1041</v>
      </c>
      <c r="I381" s="1">
        <v>43495</v>
      </c>
      <c r="J381" t="s">
        <v>1045</v>
      </c>
      <c r="K381" s="5">
        <v>0.56388888888888888</v>
      </c>
      <c r="L381" t="s">
        <v>28</v>
      </c>
      <c r="M381">
        <v>4.7300000000000004</v>
      </c>
      <c r="N381">
        <v>4</v>
      </c>
    </row>
    <row r="382" spans="1:14" x14ac:dyDescent="0.25">
      <c r="A382" t="s">
        <v>411</v>
      </c>
      <c r="B382" t="s">
        <v>13</v>
      </c>
      <c r="C382" t="s">
        <v>14</v>
      </c>
      <c r="D382" t="s">
        <v>15</v>
      </c>
      <c r="E382" t="s">
        <v>26</v>
      </c>
      <c r="F382" t="s">
        <v>31</v>
      </c>
      <c r="G382" t="s">
        <v>1034</v>
      </c>
      <c r="H382" t="s">
        <v>1041</v>
      </c>
      <c r="I382" s="1">
        <v>43476</v>
      </c>
      <c r="J382" t="s">
        <v>1044</v>
      </c>
      <c r="K382" s="5">
        <v>0.44236111111111115</v>
      </c>
      <c r="L382" t="s">
        <v>28</v>
      </c>
      <c r="M382">
        <v>16.466000000000001</v>
      </c>
      <c r="N382">
        <v>7.5</v>
      </c>
    </row>
    <row r="383" spans="1:14" x14ac:dyDescent="0.25">
      <c r="A383" t="s">
        <v>412</v>
      </c>
      <c r="B383" t="s">
        <v>20</v>
      </c>
      <c r="C383" t="s">
        <v>21</v>
      </c>
      <c r="D383" t="s">
        <v>22</v>
      </c>
      <c r="E383" t="s">
        <v>16</v>
      </c>
      <c r="F383" t="s">
        <v>23</v>
      </c>
      <c r="G383" t="s">
        <v>1037</v>
      </c>
      <c r="H383" t="s">
        <v>1043</v>
      </c>
      <c r="I383" s="1">
        <v>43543</v>
      </c>
      <c r="J383" t="s">
        <v>1045</v>
      </c>
      <c r="K383" s="5">
        <v>0.60763888888888895</v>
      </c>
      <c r="L383" t="s">
        <v>24</v>
      </c>
      <c r="M383">
        <v>2.661</v>
      </c>
      <c r="N383">
        <v>4.2</v>
      </c>
    </row>
    <row r="384" spans="1:14" x14ac:dyDescent="0.25">
      <c r="A384" t="s">
        <v>413</v>
      </c>
      <c r="B384" t="s">
        <v>37</v>
      </c>
      <c r="C384" t="s">
        <v>38</v>
      </c>
      <c r="D384" t="s">
        <v>22</v>
      </c>
      <c r="E384" t="s">
        <v>16</v>
      </c>
      <c r="F384" t="s">
        <v>39</v>
      </c>
      <c r="G384" t="s">
        <v>1035</v>
      </c>
      <c r="H384" t="s">
        <v>1041</v>
      </c>
      <c r="I384" s="1">
        <v>43479</v>
      </c>
      <c r="J384" t="s">
        <v>1045</v>
      </c>
      <c r="K384" s="5">
        <v>0.50624999999999998</v>
      </c>
      <c r="L384" t="s">
        <v>24</v>
      </c>
      <c r="M384">
        <v>24.922499999999999</v>
      </c>
      <c r="N384">
        <v>9.9</v>
      </c>
    </row>
    <row r="385" spans="1:14" x14ac:dyDescent="0.25">
      <c r="A385" t="s">
        <v>414</v>
      </c>
      <c r="B385" t="s">
        <v>20</v>
      </c>
      <c r="C385" t="s">
        <v>21</v>
      </c>
      <c r="D385" t="s">
        <v>15</v>
      </c>
      <c r="E385" t="s">
        <v>16</v>
      </c>
      <c r="F385" t="s">
        <v>39</v>
      </c>
      <c r="G385" t="s">
        <v>1034</v>
      </c>
      <c r="H385" t="s">
        <v>1043</v>
      </c>
      <c r="I385" s="1">
        <v>43525</v>
      </c>
      <c r="J385" t="s">
        <v>1045</v>
      </c>
      <c r="K385" s="5">
        <v>0.64722222222222225</v>
      </c>
      <c r="L385" t="s">
        <v>18</v>
      </c>
      <c r="M385">
        <v>14.978</v>
      </c>
      <c r="N385">
        <v>4.2</v>
      </c>
    </row>
    <row r="386" spans="1:14" x14ac:dyDescent="0.25">
      <c r="A386" t="s">
        <v>415</v>
      </c>
      <c r="B386" t="s">
        <v>13</v>
      </c>
      <c r="C386" t="s">
        <v>14</v>
      </c>
      <c r="D386" t="s">
        <v>22</v>
      </c>
      <c r="E386" t="s">
        <v>16</v>
      </c>
      <c r="F386" t="s">
        <v>39</v>
      </c>
      <c r="G386" t="s">
        <v>1034</v>
      </c>
      <c r="H386" t="s">
        <v>1041</v>
      </c>
      <c r="I386" s="1">
        <v>43471</v>
      </c>
      <c r="J386" t="s">
        <v>1045</v>
      </c>
      <c r="K386" s="5">
        <v>0.58194444444444449</v>
      </c>
      <c r="L386" t="s">
        <v>18</v>
      </c>
      <c r="M386">
        <v>10.234999999999999</v>
      </c>
      <c r="N386">
        <v>9.9</v>
      </c>
    </row>
    <row r="387" spans="1:14" x14ac:dyDescent="0.25">
      <c r="A387" t="s">
        <v>416</v>
      </c>
      <c r="B387" t="s">
        <v>37</v>
      </c>
      <c r="C387" t="s">
        <v>38</v>
      </c>
      <c r="D387" t="s">
        <v>15</v>
      </c>
      <c r="E387" t="s">
        <v>26</v>
      </c>
      <c r="F387" t="s">
        <v>31</v>
      </c>
      <c r="G387" t="s">
        <v>1037</v>
      </c>
      <c r="H387" t="s">
        <v>1041</v>
      </c>
      <c r="I387" s="1">
        <v>43496</v>
      </c>
      <c r="J387" t="s">
        <v>1045</v>
      </c>
      <c r="K387" s="5">
        <v>0.55486111111111114</v>
      </c>
      <c r="L387" t="s">
        <v>24</v>
      </c>
      <c r="M387">
        <v>3.7909999999999999</v>
      </c>
      <c r="N387">
        <v>5.8</v>
      </c>
    </row>
    <row r="388" spans="1:14" x14ac:dyDescent="0.25">
      <c r="A388" t="s">
        <v>417</v>
      </c>
      <c r="B388" t="s">
        <v>20</v>
      </c>
      <c r="C388" t="s">
        <v>21</v>
      </c>
      <c r="D388" t="s">
        <v>22</v>
      </c>
      <c r="E388" t="s">
        <v>26</v>
      </c>
      <c r="F388" t="s">
        <v>39</v>
      </c>
      <c r="G388" t="s">
        <v>1036</v>
      </c>
      <c r="H388" t="s">
        <v>1043</v>
      </c>
      <c r="I388" s="1">
        <v>43535</v>
      </c>
      <c r="J388" t="s">
        <v>1045</v>
      </c>
      <c r="K388" s="5">
        <v>0.56736111111111109</v>
      </c>
      <c r="L388" t="s">
        <v>24</v>
      </c>
      <c r="M388">
        <v>14.031000000000001</v>
      </c>
      <c r="N388">
        <v>6</v>
      </c>
    </row>
    <row r="389" spans="1:14" x14ac:dyDescent="0.25">
      <c r="A389" t="s">
        <v>418</v>
      </c>
      <c r="B389" t="s">
        <v>13</v>
      </c>
      <c r="C389" t="s">
        <v>14</v>
      </c>
      <c r="D389" t="s">
        <v>22</v>
      </c>
      <c r="E389" t="s">
        <v>16</v>
      </c>
      <c r="F389" t="s">
        <v>17</v>
      </c>
      <c r="G389" t="s">
        <v>1040</v>
      </c>
      <c r="H389" t="s">
        <v>1042</v>
      </c>
      <c r="I389" s="1">
        <v>43516</v>
      </c>
      <c r="J389" t="s">
        <v>1046</v>
      </c>
      <c r="K389" s="5">
        <v>0.7006944444444444</v>
      </c>
      <c r="L389" t="s">
        <v>28</v>
      </c>
      <c r="M389">
        <v>16.16</v>
      </c>
      <c r="N389">
        <v>10</v>
      </c>
    </row>
    <row r="390" spans="1:14" x14ac:dyDescent="0.25">
      <c r="A390" t="s">
        <v>419</v>
      </c>
      <c r="B390" t="s">
        <v>20</v>
      </c>
      <c r="C390" t="s">
        <v>21</v>
      </c>
      <c r="D390" t="s">
        <v>15</v>
      </c>
      <c r="E390" t="s">
        <v>16</v>
      </c>
      <c r="F390" t="s">
        <v>41</v>
      </c>
      <c r="G390" t="s">
        <v>1037</v>
      </c>
      <c r="H390" t="s">
        <v>1041</v>
      </c>
      <c r="I390" s="1">
        <v>43492</v>
      </c>
      <c r="J390" t="s">
        <v>1045</v>
      </c>
      <c r="K390" s="5">
        <v>0.62152777777777779</v>
      </c>
      <c r="L390" t="s">
        <v>18</v>
      </c>
      <c r="M390">
        <v>24.331499999999998</v>
      </c>
      <c r="N390">
        <v>9.5</v>
      </c>
    </row>
    <row r="391" spans="1:14" x14ac:dyDescent="0.25">
      <c r="A391" t="s">
        <v>420</v>
      </c>
      <c r="B391" t="s">
        <v>37</v>
      </c>
      <c r="C391" t="s">
        <v>38</v>
      </c>
      <c r="D391" t="s">
        <v>22</v>
      </c>
      <c r="E391" t="s">
        <v>26</v>
      </c>
      <c r="F391" t="s">
        <v>39</v>
      </c>
      <c r="G391" t="s">
        <v>1036</v>
      </c>
      <c r="H391" t="s">
        <v>1043</v>
      </c>
      <c r="I391" s="1">
        <v>43534</v>
      </c>
      <c r="J391" t="s">
        <v>1045</v>
      </c>
      <c r="K391" s="5">
        <v>0.58611111111111114</v>
      </c>
      <c r="L391" t="s">
        <v>28</v>
      </c>
      <c r="M391">
        <v>6.3769999999999998</v>
      </c>
      <c r="N391">
        <v>6.6</v>
      </c>
    </row>
    <row r="392" spans="1:14" x14ac:dyDescent="0.25">
      <c r="A392" t="s">
        <v>421</v>
      </c>
      <c r="B392" t="s">
        <v>20</v>
      </c>
      <c r="C392" t="s">
        <v>21</v>
      </c>
      <c r="D392" t="s">
        <v>15</v>
      </c>
      <c r="E392" t="s">
        <v>16</v>
      </c>
      <c r="F392" t="s">
        <v>41</v>
      </c>
      <c r="G392" t="s">
        <v>1039</v>
      </c>
      <c r="H392" t="s">
        <v>1042</v>
      </c>
      <c r="I392" s="1">
        <v>43511</v>
      </c>
      <c r="J392" t="s">
        <v>1045</v>
      </c>
      <c r="K392" s="5">
        <v>0.52152777777777781</v>
      </c>
      <c r="L392" t="s">
        <v>24</v>
      </c>
      <c r="M392">
        <v>12.071999999999999</v>
      </c>
      <c r="N392">
        <v>8.1</v>
      </c>
    </row>
    <row r="393" spans="1:14" x14ac:dyDescent="0.25">
      <c r="A393" t="s">
        <v>422</v>
      </c>
      <c r="B393" t="s">
        <v>37</v>
      </c>
      <c r="C393" t="s">
        <v>38</v>
      </c>
      <c r="D393" t="s">
        <v>22</v>
      </c>
      <c r="E393" t="s">
        <v>16</v>
      </c>
      <c r="F393" t="s">
        <v>41</v>
      </c>
      <c r="G393" t="s">
        <v>1037</v>
      </c>
      <c r="H393" t="s">
        <v>1041</v>
      </c>
      <c r="I393" s="1">
        <v>43491</v>
      </c>
      <c r="J393" t="s">
        <v>1045</v>
      </c>
      <c r="K393" s="5">
        <v>0.61875000000000002</v>
      </c>
      <c r="L393" t="s">
        <v>24</v>
      </c>
      <c r="M393">
        <v>18.975000000000001</v>
      </c>
      <c r="N393">
        <v>9.6999999999999993</v>
      </c>
    </row>
    <row r="394" spans="1:14" x14ac:dyDescent="0.25">
      <c r="A394" t="s">
        <v>423</v>
      </c>
      <c r="B394" t="s">
        <v>13</v>
      </c>
      <c r="C394" t="s">
        <v>14</v>
      </c>
      <c r="D394" t="s">
        <v>15</v>
      </c>
      <c r="E394" t="s">
        <v>26</v>
      </c>
      <c r="F394" t="s">
        <v>23</v>
      </c>
      <c r="G394" t="s">
        <v>1039</v>
      </c>
      <c r="H394" t="s">
        <v>1042</v>
      </c>
      <c r="I394" s="1">
        <v>43509</v>
      </c>
      <c r="J394" t="s">
        <v>1046</v>
      </c>
      <c r="K394" s="5">
        <v>0.76874999999999993</v>
      </c>
      <c r="L394" t="s">
        <v>18</v>
      </c>
      <c r="M394">
        <v>3.8410000000000002</v>
      </c>
      <c r="N394">
        <v>7.2</v>
      </c>
    </row>
    <row r="395" spans="1:14" x14ac:dyDescent="0.25">
      <c r="A395" t="s">
        <v>424</v>
      </c>
      <c r="B395" t="s">
        <v>13</v>
      </c>
      <c r="C395" t="s">
        <v>14</v>
      </c>
      <c r="D395" t="s">
        <v>15</v>
      </c>
      <c r="E395" t="s">
        <v>16</v>
      </c>
      <c r="F395" t="s">
        <v>31</v>
      </c>
      <c r="G395" t="s">
        <v>1036</v>
      </c>
      <c r="H395" t="s">
        <v>1043</v>
      </c>
      <c r="I395" s="1">
        <v>43533</v>
      </c>
      <c r="J395" t="s">
        <v>1045</v>
      </c>
      <c r="K395" s="5">
        <v>0.53125</v>
      </c>
      <c r="L395" t="s">
        <v>28</v>
      </c>
      <c r="M395">
        <v>26.13</v>
      </c>
      <c r="N395">
        <v>6.2</v>
      </c>
    </row>
    <row r="396" spans="1:14" x14ac:dyDescent="0.25">
      <c r="A396" t="s">
        <v>425</v>
      </c>
      <c r="B396" t="s">
        <v>13</v>
      </c>
      <c r="C396" t="s">
        <v>14</v>
      </c>
      <c r="D396" t="s">
        <v>22</v>
      </c>
      <c r="E396" t="s">
        <v>16</v>
      </c>
      <c r="F396" t="s">
        <v>17</v>
      </c>
      <c r="G396" t="s">
        <v>1035</v>
      </c>
      <c r="H396" t="s">
        <v>1043</v>
      </c>
      <c r="I396" s="1">
        <v>43530</v>
      </c>
      <c r="J396" t="s">
        <v>1044</v>
      </c>
      <c r="K396" s="5">
        <v>0.44166666666666665</v>
      </c>
      <c r="L396" t="s">
        <v>18</v>
      </c>
      <c r="M396">
        <v>3.9870000000000001</v>
      </c>
      <c r="N396">
        <v>7.3</v>
      </c>
    </row>
    <row r="397" spans="1:14" x14ac:dyDescent="0.25">
      <c r="A397" t="s">
        <v>426</v>
      </c>
      <c r="B397" t="s">
        <v>13</v>
      </c>
      <c r="C397" t="s">
        <v>14</v>
      </c>
      <c r="D397" t="s">
        <v>22</v>
      </c>
      <c r="E397" t="s">
        <v>16</v>
      </c>
      <c r="F397" t="s">
        <v>17</v>
      </c>
      <c r="G397" t="s">
        <v>1036</v>
      </c>
      <c r="H397" t="s">
        <v>1041</v>
      </c>
      <c r="I397" s="1">
        <v>43489</v>
      </c>
      <c r="J397" t="s">
        <v>1046</v>
      </c>
      <c r="K397" s="5">
        <v>0.85833333333333339</v>
      </c>
      <c r="L397" t="s">
        <v>18</v>
      </c>
      <c r="M397">
        <v>19.375</v>
      </c>
      <c r="N397">
        <v>4.3</v>
      </c>
    </row>
    <row r="398" spans="1:14" x14ac:dyDescent="0.25">
      <c r="A398" t="s">
        <v>427</v>
      </c>
      <c r="B398" t="s">
        <v>13</v>
      </c>
      <c r="C398" t="s">
        <v>14</v>
      </c>
      <c r="D398" t="s">
        <v>22</v>
      </c>
      <c r="E398" t="s">
        <v>16</v>
      </c>
      <c r="F398" t="s">
        <v>39</v>
      </c>
      <c r="G398" t="s">
        <v>1036</v>
      </c>
      <c r="H398" t="s">
        <v>1043</v>
      </c>
      <c r="I398" s="1">
        <v>43537</v>
      </c>
      <c r="J398" t="s">
        <v>1045</v>
      </c>
      <c r="K398" s="5">
        <v>0.59444444444444444</v>
      </c>
      <c r="L398" t="s">
        <v>18</v>
      </c>
      <c r="M398">
        <v>13.567500000000001</v>
      </c>
      <c r="N398">
        <v>4.5999999999999996</v>
      </c>
    </row>
    <row r="399" spans="1:14" x14ac:dyDescent="0.25">
      <c r="A399" t="s">
        <v>428</v>
      </c>
      <c r="B399" t="s">
        <v>37</v>
      </c>
      <c r="C399" t="s">
        <v>38</v>
      </c>
      <c r="D399" t="s">
        <v>22</v>
      </c>
      <c r="E399" t="s">
        <v>26</v>
      </c>
      <c r="F399" t="s">
        <v>27</v>
      </c>
      <c r="G399" t="s">
        <v>1036</v>
      </c>
      <c r="H399" t="s">
        <v>1043</v>
      </c>
      <c r="I399" s="1">
        <v>43539</v>
      </c>
      <c r="J399" t="s">
        <v>1044</v>
      </c>
      <c r="K399" s="5">
        <v>0.43472222222222223</v>
      </c>
      <c r="L399" t="s">
        <v>24</v>
      </c>
      <c r="M399">
        <v>6.1154999999999999</v>
      </c>
      <c r="N399">
        <v>5.8</v>
      </c>
    </row>
    <row r="400" spans="1:14" x14ac:dyDescent="0.25">
      <c r="A400" t="s">
        <v>429</v>
      </c>
      <c r="B400" t="s">
        <v>37</v>
      </c>
      <c r="C400" t="s">
        <v>38</v>
      </c>
      <c r="D400" t="s">
        <v>15</v>
      </c>
      <c r="E400" t="s">
        <v>16</v>
      </c>
      <c r="F400" t="s">
        <v>17</v>
      </c>
      <c r="G400" t="s">
        <v>1035</v>
      </c>
      <c r="H400" t="s">
        <v>1043</v>
      </c>
      <c r="I400" s="1">
        <v>43529</v>
      </c>
      <c r="J400" t="s">
        <v>1045</v>
      </c>
      <c r="K400" s="5">
        <v>0.5625</v>
      </c>
      <c r="L400" t="s">
        <v>28</v>
      </c>
      <c r="M400">
        <v>12.318</v>
      </c>
      <c r="N400">
        <v>8.3000000000000007</v>
      </c>
    </row>
    <row r="401" spans="1:14" x14ac:dyDescent="0.25">
      <c r="A401" t="s">
        <v>430</v>
      </c>
      <c r="B401" t="s">
        <v>37</v>
      </c>
      <c r="C401" t="s">
        <v>38</v>
      </c>
      <c r="D401" t="s">
        <v>15</v>
      </c>
      <c r="E401" t="s">
        <v>26</v>
      </c>
      <c r="F401" t="s">
        <v>23</v>
      </c>
      <c r="G401" t="s">
        <v>1035</v>
      </c>
      <c r="H401" t="s">
        <v>1043</v>
      </c>
      <c r="I401" s="1">
        <v>43528</v>
      </c>
      <c r="J401" t="s">
        <v>1046</v>
      </c>
      <c r="K401" s="5">
        <v>0.68611111111111101</v>
      </c>
      <c r="L401" t="s">
        <v>24</v>
      </c>
      <c r="M401">
        <v>8.6579999999999995</v>
      </c>
      <c r="N401">
        <v>8</v>
      </c>
    </row>
    <row r="402" spans="1:14" x14ac:dyDescent="0.25">
      <c r="A402" t="s">
        <v>431</v>
      </c>
      <c r="B402" t="s">
        <v>20</v>
      </c>
      <c r="C402" t="s">
        <v>21</v>
      </c>
      <c r="D402" t="s">
        <v>22</v>
      </c>
      <c r="E402" t="s">
        <v>16</v>
      </c>
      <c r="F402" t="s">
        <v>39</v>
      </c>
      <c r="G402" t="s">
        <v>1038</v>
      </c>
      <c r="H402" t="s">
        <v>1043</v>
      </c>
      <c r="I402" s="1">
        <v>43549</v>
      </c>
      <c r="J402" t="s">
        <v>1046</v>
      </c>
      <c r="K402" s="5">
        <v>0.84583333333333333</v>
      </c>
      <c r="L402" t="s">
        <v>28</v>
      </c>
      <c r="M402">
        <v>11.829000000000001</v>
      </c>
      <c r="N402">
        <v>9.4</v>
      </c>
    </row>
    <row r="403" spans="1:14" x14ac:dyDescent="0.25">
      <c r="A403" t="s">
        <v>432</v>
      </c>
      <c r="B403" t="s">
        <v>20</v>
      </c>
      <c r="C403" t="s">
        <v>21</v>
      </c>
      <c r="D403" t="s">
        <v>22</v>
      </c>
      <c r="E403" t="s">
        <v>26</v>
      </c>
      <c r="F403" t="s">
        <v>27</v>
      </c>
      <c r="G403" t="s">
        <v>1036</v>
      </c>
      <c r="H403" t="s">
        <v>1043</v>
      </c>
      <c r="I403" s="1">
        <v>43536</v>
      </c>
      <c r="J403" t="s">
        <v>1046</v>
      </c>
      <c r="K403" s="5">
        <v>0.83611111111111114</v>
      </c>
      <c r="L403" t="s">
        <v>28</v>
      </c>
      <c r="M403">
        <v>9.2439999999999998</v>
      </c>
      <c r="N403">
        <v>6.2</v>
      </c>
    </row>
    <row r="404" spans="1:14" x14ac:dyDescent="0.25">
      <c r="A404" t="s">
        <v>433</v>
      </c>
      <c r="B404" t="s">
        <v>20</v>
      </c>
      <c r="C404" t="s">
        <v>21</v>
      </c>
      <c r="D404" t="s">
        <v>15</v>
      </c>
      <c r="E404" t="s">
        <v>26</v>
      </c>
      <c r="F404" t="s">
        <v>27</v>
      </c>
      <c r="G404" t="s">
        <v>1038</v>
      </c>
      <c r="H404" t="s">
        <v>1042</v>
      </c>
      <c r="I404" s="1">
        <v>43500</v>
      </c>
      <c r="J404" t="s">
        <v>1045</v>
      </c>
      <c r="K404" s="5">
        <v>0.56805555555555554</v>
      </c>
      <c r="L404" t="s">
        <v>18</v>
      </c>
      <c r="M404">
        <v>0.69899999999999995</v>
      </c>
      <c r="N404">
        <v>9.8000000000000007</v>
      </c>
    </row>
    <row r="405" spans="1:14" x14ac:dyDescent="0.25">
      <c r="A405" t="s">
        <v>434</v>
      </c>
      <c r="B405" t="s">
        <v>37</v>
      </c>
      <c r="C405" t="s">
        <v>38</v>
      </c>
      <c r="D405" t="s">
        <v>22</v>
      </c>
      <c r="E405" t="s">
        <v>16</v>
      </c>
      <c r="F405" t="s">
        <v>41</v>
      </c>
      <c r="G405" t="s">
        <v>1040</v>
      </c>
      <c r="H405" t="s">
        <v>1042</v>
      </c>
      <c r="I405" s="1">
        <v>43518</v>
      </c>
      <c r="J405" t="s">
        <v>1044</v>
      </c>
      <c r="K405" s="5">
        <v>0.4465277777777778</v>
      </c>
      <c r="L405" t="s">
        <v>18</v>
      </c>
      <c r="M405">
        <v>9.9375</v>
      </c>
      <c r="N405">
        <v>9.6</v>
      </c>
    </row>
    <row r="406" spans="1:14" x14ac:dyDescent="0.25">
      <c r="A406" t="s">
        <v>435</v>
      </c>
      <c r="B406" t="s">
        <v>20</v>
      </c>
      <c r="C406" t="s">
        <v>21</v>
      </c>
      <c r="D406" t="s">
        <v>15</v>
      </c>
      <c r="E406" t="s">
        <v>16</v>
      </c>
      <c r="F406" t="s">
        <v>41</v>
      </c>
      <c r="G406" t="s">
        <v>1040</v>
      </c>
      <c r="H406" t="s">
        <v>1042</v>
      </c>
      <c r="I406" s="1">
        <v>43512</v>
      </c>
      <c r="J406" t="s">
        <v>1046</v>
      </c>
      <c r="K406" s="5">
        <v>0.72916666666666663</v>
      </c>
      <c r="L406" t="s">
        <v>18</v>
      </c>
      <c r="M406">
        <v>34.226500000000001</v>
      </c>
      <c r="N406">
        <v>4.9000000000000004</v>
      </c>
    </row>
    <row r="407" spans="1:14" x14ac:dyDescent="0.25">
      <c r="A407" t="s">
        <v>436</v>
      </c>
      <c r="B407" t="s">
        <v>13</v>
      </c>
      <c r="C407" t="s">
        <v>14</v>
      </c>
      <c r="D407" t="s">
        <v>15</v>
      </c>
      <c r="E407" t="s">
        <v>26</v>
      </c>
      <c r="F407" t="s">
        <v>31</v>
      </c>
      <c r="G407" t="s">
        <v>1036</v>
      </c>
      <c r="H407" t="s">
        <v>1041</v>
      </c>
      <c r="I407" s="1">
        <v>43484</v>
      </c>
      <c r="J407" t="s">
        <v>1045</v>
      </c>
      <c r="K407" s="5">
        <v>0.64444444444444449</v>
      </c>
      <c r="L407" t="s">
        <v>28</v>
      </c>
      <c r="M407">
        <v>13.452</v>
      </c>
      <c r="N407">
        <v>8</v>
      </c>
    </row>
    <row r="408" spans="1:14" x14ac:dyDescent="0.25">
      <c r="A408" t="s">
        <v>437</v>
      </c>
      <c r="B408" t="s">
        <v>13</v>
      </c>
      <c r="C408" t="s">
        <v>14</v>
      </c>
      <c r="D408" t="s">
        <v>22</v>
      </c>
      <c r="E408" t="s">
        <v>26</v>
      </c>
      <c r="F408" t="s">
        <v>39</v>
      </c>
      <c r="G408" t="s">
        <v>1034</v>
      </c>
      <c r="H408" t="s">
        <v>1041</v>
      </c>
      <c r="I408" s="1">
        <v>43476</v>
      </c>
      <c r="J408" t="s">
        <v>1046</v>
      </c>
      <c r="K408" s="5">
        <v>0.79652777777777783</v>
      </c>
      <c r="L408" t="s">
        <v>28</v>
      </c>
      <c r="M408">
        <v>3.4474999999999998</v>
      </c>
      <c r="N408">
        <v>7.8</v>
      </c>
    </row>
    <row r="409" spans="1:14" x14ac:dyDescent="0.25">
      <c r="A409" t="s">
        <v>438</v>
      </c>
      <c r="B409" t="s">
        <v>37</v>
      </c>
      <c r="C409" t="s">
        <v>38</v>
      </c>
      <c r="D409" t="s">
        <v>15</v>
      </c>
      <c r="E409" t="s">
        <v>16</v>
      </c>
      <c r="F409" t="s">
        <v>41</v>
      </c>
      <c r="G409" t="s">
        <v>1040</v>
      </c>
      <c r="H409" t="s">
        <v>1041</v>
      </c>
      <c r="I409" s="1">
        <v>43469</v>
      </c>
      <c r="J409" t="s">
        <v>1046</v>
      </c>
      <c r="K409" s="5">
        <v>0.79236111111111107</v>
      </c>
      <c r="L409" t="s">
        <v>24</v>
      </c>
      <c r="M409">
        <v>13.742000000000001</v>
      </c>
      <c r="N409">
        <v>4.0999999999999996</v>
      </c>
    </row>
    <row r="410" spans="1:14" x14ac:dyDescent="0.25">
      <c r="A410" t="s">
        <v>439</v>
      </c>
      <c r="B410" t="s">
        <v>13</v>
      </c>
      <c r="C410" t="s">
        <v>14</v>
      </c>
      <c r="D410" t="s">
        <v>22</v>
      </c>
      <c r="E410" t="s">
        <v>16</v>
      </c>
      <c r="F410" t="s">
        <v>27</v>
      </c>
      <c r="G410" t="s">
        <v>1035</v>
      </c>
      <c r="H410" t="s">
        <v>1043</v>
      </c>
      <c r="I410" s="1">
        <v>43528</v>
      </c>
      <c r="J410" t="s">
        <v>1046</v>
      </c>
      <c r="K410" s="5">
        <v>0.82500000000000007</v>
      </c>
      <c r="L410" t="s">
        <v>18</v>
      </c>
      <c r="M410">
        <v>11.305999999999999</v>
      </c>
      <c r="N410">
        <v>5.5</v>
      </c>
    </row>
    <row r="411" spans="1:14" x14ac:dyDescent="0.25">
      <c r="A411" t="s">
        <v>440</v>
      </c>
      <c r="B411" t="s">
        <v>20</v>
      </c>
      <c r="C411" t="s">
        <v>21</v>
      </c>
      <c r="D411" t="s">
        <v>22</v>
      </c>
      <c r="E411" t="s">
        <v>16</v>
      </c>
      <c r="F411" t="s">
        <v>41</v>
      </c>
      <c r="G411" t="s">
        <v>1037</v>
      </c>
      <c r="H411" t="s">
        <v>1041</v>
      </c>
      <c r="I411" s="1">
        <v>43493</v>
      </c>
      <c r="J411" t="s">
        <v>1046</v>
      </c>
      <c r="K411" s="5">
        <v>0.80833333333333324</v>
      </c>
      <c r="L411" t="s">
        <v>18</v>
      </c>
      <c r="M411">
        <v>5.9550000000000001</v>
      </c>
      <c r="N411">
        <v>5.4</v>
      </c>
    </row>
    <row r="412" spans="1:14" x14ac:dyDescent="0.25">
      <c r="A412" t="s">
        <v>441</v>
      </c>
      <c r="B412" t="s">
        <v>37</v>
      </c>
      <c r="C412" t="s">
        <v>38</v>
      </c>
      <c r="D412" t="s">
        <v>22</v>
      </c>
      <c r="E412" t="s">
        <v>16</v>
      </c>
      <c r="F412" t="s">
        <v>17</v>
      </c>
      <c r="G412" t="s">
        <v>1040</v>
      </c>
      <c r="H412" t="s">
        <v>1041</v>
      </c>
      <c r="I412" s="1">
        <v>43467</v>
      </c>
      <c r="J412" t="s">
        <v>1045</v>
      </c>
      <c r="K412" s="5">
        <v>0.54166666666666663</v>
      </c>
      <c r="L412" t="s">
        <v>24</v>
      </c>
      <c r="M412">
        <v>17.105</v>
      </c>
      <c r="N412">
        <v>5.0999999999999996</v>
      </c>
    </row>
    <row r="413" spans="1:14" x14ac:dyDescent="0.25">
      <c r="A413" t="s">
        <v>442</v>
      </c>
      <c r="B413" t="s">
        <v>37</v>
      </c>
      <c r="C413" t="s">
        <v>38</v>
      </c>
      <c r="D413" t="s">
        <v>22</v>
      </c>
      <c r="E413" t="s">
        <v>26</v>
      </c>
      <c r="F413" t="s">
        <v>31</v>
      </c>
      <c r="G413" t="s">
        <v>1036</v>
      </c>
      <c r="H413" t="s">
        <v>1041</v>
      </c>
      <c r="I413" s="1">
        <v>43490</v>
      </c>
      <c r="J413" t="s">
        <v>1045</v>
      </c>
      <c r="K413" s="5">
        <v>0.60347222222222219</v>
      </c>
      <c r="L413" t="s">
        <v>18</v>
      </c>
      <c r="M413">
        <v>2.1869999999999998</v>
      </c>
      <c r="N413">
        <v>6.9</v>
      </c>
    </row>
    <row r="414" spans="1:14" x14ac:dyDescent="0.25">
      <c r="A414" t="s">
        <v>443</v>
      </c>
      <c r="B414" t="s">
        <v>13</v>
      </c>
      <c r="C414" t="s">
        <v>14</v>
      </c>
      <c r="D414" t="s">
        <v>15</v>
      </c>
      <c r="E414" t="s">
        <v>26</v>
      </c>
      <c r="F414" t="s">
        <v>17</v>
      </c>
      <c r="G414" t="s">
        <v>1040</v>
      </c>
      <c r="H414" t="s">
        <v>1041</v>
      </c>
      <c r="I414" s="1">
        <v>43469</v>
      </c>
      <c r="J414" t="s">
        <v>1045</v>
      </c>
      <c r="K414" s="5">
        <v>0.55625000000000002</v>
      </c>
      <c r="L414" t="s">
        <v>24</v>
      </c>
      <c r="M414">
        <v>5.2424999999999997</v>
      </c>
      <c r="N414">
        <v>7.8</v>
      </c>
    </row>
    <row r="415" spans="1:14" x14ac:dyDescent="0.25">
      <c r="A415" t="s">
        <v>444</v>
      </c>
      <c r="B415" t="s">
        <v>13</v>
      </c>
      <c r="C415" t="s">
        <v>14</v>
      </c>
      <c r="D415" t="s">
        <v>22</v>
      </c>
      <c r="E415" t="s">
        <v>26</v>
      </c>
      <c r="F415" t="s">
        <v>31</v>
      </c>
      <c r="G415" t="s">
        <v>1036</v>
      </c>
      <c r="H415" t="s">
        <v>1043</v>
      </c>
      <c r="I415" s="1">
        <v>43534</v>
      </c>
      <c r="J415" t="s">
        <v>1046</v>
      </c>
      <c r="K415" s="5">
        <v>0.78819444444444453</v>
      </c>
      <c r="L415" t="s">
        <v>18</v>
      </c>
      <c r="M415">
        <v>3.8759999999999999</v>
      </c>
      <c r="N415">
        <v>6.6</v>
      </c>
    </row>
    <row r="416" spans="1:14" x14ac:dyDescent="0.25">
      <c r="A416" t="s">
        <v>445</v>
      </c>
      <c r="B416" t="s">
        <v>13</v>
      </c>
      <c r="C416" t="s">
        <v>14</v>
      </c>
      <c r="D416" t="s">
        <v>22</v>
      </c>
      <c r="E416" t="s">
        <v>26</v>
      </c>
      <c r="F416" t="s">
        <v>27</v>
      </c>
      <c r="G416" t="s">
        <v>1037</v>
      </c>
      <c r="H416" t="s">
        <v>1043</v>
      </c>
      <c r="I416" s="1">
        <v>43546</v>
      </c>
      <c r="J416" t="s">
        <v>1046</v>
      </c>
      <c r="K416" s="5">
        <v>0.81666666666666676</v>
      </c>
      <c r="L416" t="s">
        <v>18</v>
      </c>
      <c r="M416">
        <v>20.372</v>
      </c>
      <c r="N416">
        <v>9.1999999999999993</v>
      </c>
    </row>
    <row r="417" spans="1:14" x14ac:dyDescent="0.25">
      <c r="A417" t="s">
        <v>446</v>
      </c>
      <c r="B417" t="s">
        <v>37</v>
      </c>
      <c r="C417" t="s">
        <v>38</v>
      </c>
      <c r="D417" t="s">
        <v>22</v>
      </c>
      <c r="E417" t="s">
        <v>26</v>
      </c>
      <c r="F417" t="s">
        <v>17</v>
      </c>
      <c r="G417" t="s">
        <v>1036</v>
      </c>
      <c r="H417" t="s">
        <v>1041</v>
      </c>
      <c r="I417" s="1">
        <v>43490</v>
      </c>
      <c r="J417" t="s">
        <v>1046</v>
      </c>
      <c r="K417" s="5">
        <v>0.68611111111111101</v>
      </c>
      <c r="L417" t="s">
        <v>18</v>
      </c>
      <c r="M417">
        <v>4.8055000000000003</v>
      </c>
      <c r="N417">
        <v>7.8</v>
      </c>
    </row>
    <row r="418" spans="1:14" x14ac:dyDescent="0.25">
      <c r="A418" t="s">
        <v>447</v>
      </c>
      <c r="B418" t="s">
        <v>20</v>
      </c>
      <c r="C418" t="s">
        <v>21</v>
      </c>
      <c r="D418" t="s">
        <v>22</v>
      </c>
      <c r="E418" t="s">
        <v>16</v>
      </c>
      <c r="F418" t="s">
        <v>27</v>
      </c>
      <c r="G418" t="s">
        <v>1034</v>
      </c>
      <c r="H418" t="s">
        <v>1041</v>
      </c>
      <c r="I418" s="1">
        <v>43473</v>
      </c>
      <c r="J418" t="s">
        <v>1045</v>
      </c>
      <c r="K418" s="5">
        <v>0.57500000000000007</v>
      </c>
      <c r="L418" t="s">
        <v>28</v>
      </c>
      <c r="M418">
        <v>9.0760000000000005</v>
      </c>
      <c r="N418">
        <v>8.6999999999999993</v>
      </c>
    </row>
    <row r="419" spans="1:14" x14ac:dyDescent="0.25">
      <c r="A419" t="s">
        <v>448</v>
      </c>
      <c r="B419" t="s">
        <v>20</v>
      </c>
      <c r="C419" t="s">
        <v>21</v>
      </c>
      <c r="D419" t="s">
        <v>15</v>
      </c>
      <c r="E419" t="s">
        <v>16</v>
      </c>
      <c r="F419" t="s">
        <v>17</v>
      </c>
      <c r="G419" t="s">
        <v>1036</v>
      </c>
      <c r="H419" t="s">
        <v>1041</v>
      </c>
      <c r="I419" s="1">
        <v>43487</v>
      </c>
      <c r="J419" t="s">
        <v>1044</v>
      </c>
      <c r="K419" s="5">
        <v>0.45624999999999999</v>
      </c>
      <c r="L419" t="s">
        <v>18</v>
      </c>
      <c r="M419">
        <v>4.0754999999999999</v>
      </c>
      <c r="N419">
        <v>9.1999999999999993</v>
      </c>
    </row>
    <row r="420" spans="1:14" x14ac:dyDescent="0.25">
      <c r="A420" t="s">
        <v>449</v>
      </c>
      <c r="B420" t="s">
        <v>37</v>
      </c>
      <c r="C420" t="s">
        <v>38</v>
      </c>
      <c r="D420" t="s">
        <v>22</v>
      </c>
      <c r="E420" t="s">
        <v>16</v>
      </c>
      <c r="F420" t="s">
        <v>17</v>
      </c>
      <c r="G420" t="s">
        <v>1035</v>
      </c>
      <c r="H420" t="s">
        <v>1041</v>
      </c>
      <c r="I420" s="1">
        <v>43477</v>
      </c>
      <c r="J420" t="s">
        <v>1046</v>
      </c>
      <c r="K420" s="5">
        <v>0.71736111111111101</v>
      </c>
      <c r="L420" t="s">
        <v>18</v>
      </c>
      <c r="M420">
        <v>5.7220000000000004</v>
      </c>
      <c r="N420">
        <v>8.3000000000000007</v>
      </c>
    </row>
    <row r="421" spans="1:14" x14ac:dyDescent="0.25">
      <c r="A421" t="s">
        <v>450</v>
      </c>
      <c r="B421" t="s">
        <v>13</v>
      </c>
      <c r="C421" t="s">
        <v>14</v>
      </c>
      <c r="D421" t="s">
        <v>15</v>
      </c>
      <c r="E421" t="s">
        <v>16</v>
      </c>
      <c r="F421" t="s">
        <v>23</v>
      </c>
      <c r="G421" t="s">
        <v>1038</v>
      </c>
      <c r="H421" t="s">
        <v>1042</v>
      </c>
      <c r="I421" s="1">
        <v>43500</v>
      </c>
      <c r="J421" t="s">
        <v>1044</v>
      </c>
      <c r="K421" s="5">
        <v>0.43263888888888885</v>
      </c>
      <c r="L421" t="s">
        <v>24</v>
      </c>
      <c r="M421">
        <v>8.827</v>
      </c>
      <c r="N421">
        <v>8.1999999999999993</v>
      </c>
    </row>
    <row r="422" spans="1:14" x14ac:dyDescent="0.25">
      <c r="A422" t="s">
        <v>451</v>
      </c>
      <c r="B422" t="s">
        <v>20</v>
      </c>
      <c r="C422" t="s">
        <v>21</v>
      </c>
      <c r="D422" t="s">
        <v>15</v>
      </c>
      <c r="E422" t="s">
        <v>16</v>
      </c>
      <c r="F422" t="s">
        <v>39</v>
      </c>
      <c r="G422" t="s">
        <v>1038</v>
      </c>
      <c r="H422" t="s">
        <v>1043</v>
      </c>
      <c r="I422" s="1">
        <v>43552</v>
      </c>
      <c r="J422" t="s">
        <v>1045</v>
      </c>
      <c r="K422" s="5">
        <v>0.58124999999999993</v>
      </c>
      <c r="L422" t="s">
        <v>18</v>
      </c>
      <c r="M422">
        <v>5.79</v>
      </c>
      <c r="N422">
        <v>7.5</v>
      </c>
    </row>
    <row r="423" spans="1:14" x14ac:dyDescent="0.25">
      <c r="A423" t="s">
        <v>452</v>
      </c>
      <c r="B423" t="s">
        <v>20</v>
      </c>
      <c r="C423" t="s">
        <v>21</v>
      </c>
      <c r="D423" t="s">
        <v>22</v>
      </c>
      <c r="E423" t="s">
        <v>16</v>
      </c>
      <c r="F423" t="s">
        <v>23</v>
      </c>
      <c r="G423" t="s">
        <v>1036</v>
      </c>
      <c r="H423" t="s">
        <v>1041</v>
      </c>
      <c r="I423" s="1">
        <v>43488</v>
      </c>
      <c r="J423" t="s">
        <v>1045</v>
      </c>
      <c r="K423" s="5">
        <v>0.56180555555555556</v>
      </c>
      <c r="L423" t="s">
        <v>24</v>
      </c>
      <c r="M423">
        <v>12.6075</v>
      </c>
      <c r="N423">
        <v>9.8000000000000007</v>
      </c>
    </row>
    <row r="424" spans="1:14" x14ac:dyDescent="0.25">
      <c r="A424" t="s">
        <v>453</v>
      </c>
      <c r="B424" t="s">
        <v>20</v>
      </c>
      <c r="C424" t="s">
        <v>21</v>
      </c>
      <c r="D424" t="s">
        <v>15</v>
      </c>
      <c r="E424" t="s">
        <v>16</v>
      </c>
      <c r="F424" t="s">
        <v>41</v>
      </c>
      <c r="G424" t="s">
        <v>1038</v>
      </c>
      <c r="H424" t="s">
        <v>1042</v>
      </c>
      <c r="I424" s="1">
        <v>43504</v>
      </c>
      <c r="J424" t="s">
        <v>1045</v>
      </c>
      <c r="K424" s="5">
        <v>0.54166666666666663</v>
      </c>
      <c r="L424" t="s">
        <v>28</v>
      </c>
      <c r="M424">
        <v>48.604999999999997</v>
      </c>
      <c r="N424">
        <v>8.6999999999999993</v>
      </c>
    </row>
    <row r="425" spans="1:14" x14ac:dyDescent="0.25">
      <c r="A425" t="s">
        <v>454</v>
      </c>
      <c r="B425" t="s">
        <v>37</v>
      </c>
      <c r="C425" t="s">
        <v>38</v>
      </c>
      <c r="D425" t="s">
        <v>15</v>
      </c>
      <c r="E425" t="s">
        <v>26</v>
      </c>
      <c r="F425" t="s">
        <v>41</v>
      </c>
      <c r="G425" t="s">
        <v>1037</v>
      </c>
      <c r="H425" t="s">
        <v>1043</v>
      </c>
      <c r="I425" s="1">
        <v>43543</v>
      </c>
      <c r="J425" t="s">
        <v>1046</v>
      </c>
      <c r="K425" s="5">
        <v>0.8208333333333333</v>
      </c>
      <c r="L425" t="s">
        <v>28</v>
      </c>
      <c r="M425">
        <v>10.167999999999999</v>
      </c>
      <c r="N425">
        <v>6.7</v>
      </c>
    </row>
    <row r="426" spans="1:14" x14ac:dyDescent="0.25">
      <c r="A426" t="s">
        <v>455</v>
      </c>
      <c r="B426" t="s">
        <v>20</v>
      </c>
      <c r="C426" t="s">
        <v>21</v>
      </c>
      <c r="D426" t="s">
        <v>22</v>
      </c>
      <c r="E426" t="s">
        <v>26</v>
      </c>
      <c r="F426" t="s">
        <v>41</v>
      </c>
      <c r="G426" t="s">
        <v>1036</v>
      </c>
      <c r="H426" t="s">
        <v>1043</v>
      </c>
      <c r="I426" s="1">
        <v>43533</v>
      </c>
      <c r="J426" t="s">
        <v>1045</v>
      </c>
      <c r="K426" s="5">
        <v>0.65</v>
      </c>
      <c r="L426" t="s">
        <v>24</v>
      </c>
      <c r="M426">
        <v>0.81399999999999995</v>
      </c>
      <c r="N426">
        <v>5</v>
      </c>
    </row>
    <row r="427" spans="1:14" x14ac:dyDescent="0.25">
      <c r="A427" t="s">
        <v>456</v>
      </c>
      <c r="B427" t="s">
        <v>37</v>
      </c>
      <c r="C427" t="s">
        <v>38</v>
      </c>
      <c r="D427" t="s">
        <v>15</v>
      </c>
      <c r="E427" t="s">
        <v>26</v>
      </c>
      <c r="F427" t="s">
        <v>41</v>
      </c>
      <c r="G427" t="s">
        <v>1040</v>
      </c>
      <c r="H427" t="s">
        <v>1041</v>
      </c>
      <c r="I427" s="1">
        <v>43467</v>
      </c>
      <c r="J427" t="s">
        <v>1045</v>
      </c>
      <c r="K427" s="5">
        <v>0.56944444444444442</v>
      </c>
      <c r="L427" t="s">
        <v>24</v>
      </c>
      <c r="M427">
        <v>18.2745</v>
      </c>
      <c r="N427">
        <v>7</v>
      </c>
    </row>
    <row r="428" spans="1:14" x14ac:dyDescent="0.25">
      <c r="A428" t="s">
        <v>457</v>
      </c>
      <c r="B428" t="s">
        <v>13</v>
      </c>
      <c r="C428" t="s">
        <v>14</v>
      </c>
      <c r="D428" t="s">
        <v>15</v>
      </c>
      <c r="E428" t="s">
        <v>26</v>
      </c>
      <c r="F428" t="s">
        <v>17</v>
      </c>
      <c r="G428" t="s">
        <v>1036</v>
      </c>
      <c r="H428" t="s">
        <v>1041</v>
      </c>
      <c r="I428" s="1">
        <v>43486</v>
      </c>
      <c r="J428" t="s">
        <v>1046</v>
      </c>
      <c r="K428" s="5">
        <v>0.75069444444444444</v>
      </c>
      <c r="L428" t="s">
        <v>24</v>
      </c>
      <c r="M428">
        <v>18.609500000000001</v>
      </c>
      <c r="N428">
        <v>8.9</v>
      </c>
    </row>
    <row r="429" spans="1:14" x14ac:dyDescent="0.25">
      <c r="A429" t="s">
        <v>458</v>
      </c>
      <c r="B429" t="s">
        <v>37</v>
      </c>
      <c r="C429" t="s">
        <v>38</v>
      </c>
      <c r="D429" t="s">
        <v>15</v>
      </c>
      <c r="E429" t="s">
        <v>16</v>
      </c>
      <c r="F429" t="s">
        <v>39</v>
      </c>
      <c r="G429" t="s">
        <v>1037</v>
      </c>
      <c r="H429" t="s">
        <v>1043</v>
      </c>
      <c r="I429" s="1">
        <v>43544</v>
      </c>
      <c r="J429" t="s">
        <v>1045</v>
      </c>
      <c r="K429" s="5">
        <v>0.57847222222222217</v>
      </c>
      <c r="L429" t="s">
        <v>28</v>
      </c>
      <c r="M429">
        <v>3.1305000000000001</v>
      </c>
      <c r="N429">
        <v>8</v>
      </c>
    </row>
    <row r="430" spans="1:14" x14ac:dyDescent="0.25">
      <c r="A430" t="s">
        <v>459</v>
      </c>
      <c r="B430" t="s">
        <v>37</v>
      </c>
      <c r="C430" t="s">
        <v>38</v>
      </c>
      <c r="D430" t="s">
        <v>22</v>
      </c>
      <c r="E430" t="s">
        <v>26</v>
      </c>
      <c r="F430" t="s">
        <v>31</v>
      </c>
      <c r="G430" t="s">
        <v>1034</v>
      </c>
      <c r="H430" t="s">
        <v>1042</v>
      </c>
      <c r="I430" s="1">
        <v>43523</v>
      </c>
      <c r="J430" t="s">
        <v>1046</v>
      </c>
      <c r="K430" s="5">
        <v>0.7270833333333333</v>
      </c>
      <c r="L430" t="s">
        <v>24</v>
      </c>
      <c r="M430">
        <v>16.817499999999999</v>
      </c>
      <c r="N430">
        <v>6.9</v>
      </c>
    </row>
    <row r="431" spans="1:14" x14ac:dyDescent="0.25">
      <c r="A431" t="s">
        <v>460</v>
      </c>
      <c r="B431" t="s">
        <v>13</v>
      </c>
      <c r="C431" t="s">
        <v>14</v>
      </c>
      <c r="D431" t="s">
        <v>15</v>
      </c>
      <c r="E431" t="s">
        <v>16</v>
      </c>
      <c r="F431" t="s">
        <v>27</v>
      </c>
      <c r="G431" t="s">
        <v>1035</v>
      </c>
      <c r="H431" t="s">
        <v>1043</v>
      </c>
      <c r="I431" s="1">
        <v>43532</v>
      </c>
      <c r="J431" t="s">
        <v>1044</v>
      </c>
      <c r="K431" s="5">
        <v>0.45347222222222222</v>
      </c>
      <c r="L431" t="s">
        <v>18</v>
      </c>
      <c r="M431">
        <v>45.325000000000003</v>
      </c>
      <c r="N431">
        <v>7.3</v>
      </c>
    </row>
    <row r="432" spans="1:14" x14ac:dyDescent="0.25">
      <c r="A432" t="s">
        <v>461</v>
      </c>
      <c r="B432" t="s">
        <v>37</v>
      </c>
      <c r="C432" t="s">
        <v>38</v>
      </c>
      <c r="D432" t="s">
        <v>22</v>
      </c>
      <c r="E432" t="s">
        <v>26</v>
      </c>
      <c r="F432" t="s">
        <v>41</v>
      </c>
      <c r="G432" t="s">
        <v>1037</v>
      </c>
      <c r="H432" t="s">
        <v>1041</v>
      </c>
      <c r="I432" s="1">
        <v>43496</v>
      </c>
      <c r="J432" t="s">
        <v>1046</v>
      </c>
      <c r="K432" s="5">
        <v>0.82500000000000007</v>
      </c>
      <c r="L432" t="s">
        <v>28</v>
      </c>
      <c r="M432">
        <v>6.9080000000000004</v>
      </c>
      <c r="N432">
        <v>6.9</v>
      </c>
    </row>
    <row r="433" spans="1:14" x14ac:dyDescent="0.25">
      <c r="A433" t="s">
        <v>462</v>
      </c>
      <c r="B433" t="s">
        <v>20</v>
      </c>
      <c r="C433" t="s">
        <v>21</v>
      </c>
      <c r="D433" t="s">
        <v>22</v>
      </c>
      <c r="E433" t="s">
        <v>26</v>
      </c>
      <c r="F433" t="s">
        <v>39</v>
      </c>
      <c r="G433" t="s">
        <v>1035</v>
      </c>
      <c r="H433" t="s">
        <v>1043</v>
      </c>
      <c r="I433" s="1">
        <v>43532</v>
      </c>
      <c r="J433" t="s">
        <v>1046</v>
      </c>
      <c r="K433" s="5">
        <v>0.70347222222222217</v>
      </c>
      <c r="L433" t="s">
        <v>18</v>
      </c>
      <c r="M433">
        <v>4.327</v>
      </c>
      <c r="N433">
        <v>5.7</v>
      </c>
    </row>
    <row r="434" spans="1:14" x14ac:dyDescent="0.25">
      <c r="A434" t="s">
        <v>463</v>
      </c>
      <c r="B434" t="s">
        <v>13</v>
      </c>
      <c r="C434" t="s">
        <v>14</v>
      </c>
      <c r="D434" t="s">
        <v>22</v>
      </c>
      <c r="E434" t="s">
        <v>16</v>
      </c>
      <c r="F434" t="s">
        <v>23</v>
      </c>
      <c r="G434" t="s">
        <v>1035</v>
      </c>
      <c r="H434" t="s">
        <v>1041</v>
      </c>
      <c r="I434" s="1">
        <v>43478</v>
      </c>
      <c r="J434" t="s">
        <v>1046</v>
      </c>
      <c r="K434" s="5">
        <v>0.80138888888888893</v>
      </c>
      <c r="L434" t="s">
        <v>18</v>
      </c>
      <c r="M434">
        <v>7.0380000000000003</v>
      </c>
      <c r="N434">
        <v>6.4</v>
      </c>
    </row>
    <row r="435" spans="1:14" x14ac:dyDescent="0.25">
      <c r="A435" t="s">
        <v>464</v>
      </c>
      <c r="B435" t="s">
        <v>37</v>
      </c>
      <c r="C435" t="s">
        <v>38</v>
      </c>
      <c r="D435" t="s">
        <v>22</v>
      </c>
      <c r="E435" t="s">
        <v>26</v>
      </c>
      <c r="F435" t="s">
        <v>41</v>
      </c>
      <c r="G435" t="s">
        <v>1036</v>
      </c>
      <c r="H435" t="s">
        <v>1043</v>
      </c>
      <c r="I435" s="1">
        <v>43533</v>
      </c>
      <c r="J435" t="s">
        <v>1045</v>
      </c>
      <c r="K435" s="5">
        <v>0.60833333333333328</v>
      </c>
      <c r="L435" t="s">
        <v>28</v>
      </c>
      <c r="M435">
        <v>33.439</v>
      </c>
      <c r="N435">
        <v>9.6</v>
      </c>
    </row>
    <row r="436" spans="1:14" x14ac:dyDescent="0.25">
      <c r="A436" t="s">
        <v>465</v>
      </c>
      <c r="B436" t="s">
        <v>37</v>
      </c>
      <c r="C436" t="s">
        <v>38</v>
      </c>
      <c r="D436" t="s">
        <v>22</v>
      </c>
      <c r="E436" t="s">
        <v>16</v>
      </c>
      <c r="F436" t="s">
        <v>41</v>
      </c>
      <c r="G436" t="s">
        <v>1040</v>
      </c>
      <c r="H436" t="s">
        <v>1042</v>
      </c>
      <c r="I436" s="1">
        <v>43518</v>
      </c>
      <c r="J436" t="s">
        <v>1046</v>
      </c>
      <c r="K436" s="5">
        <v>0.7631944444444444</v>
      </c>
      <c r="L436" t="s">
        <v>28</v>
      </c>
      <c r="M436">
        <v>2.3719999999999999</v>
      </c>
      <c r="N436">
        <v>6.8</v>
      </c>
    </row>
    <row r="437" spans="1:14" x14ac:dyDescent="0.25">
      <c r="A437" t="s">
        <v>466</v>
      </c>
      <c r="B437" t="s">
        <v>20</v>
      </c>
      <c r="C437" t="s">
        <v>21</v>
      </c>
      <c r="D437" t="s">
        <v>22</v>
      </c>
      <c r="E437" t="s">
        <v>26</v>
      </c>
      <c r="F437" t="s">
        <v>31</v>
      </c>
      <c r="G437" t="s">
        <v>1037</v>
      </c>
      <c r="H437" t="s">
        <v>1043</v>
      </c>
      <c r="I437" s="1">
        <v>43543</v>
      </c>
      <c r="J437" t="s">
        <v>1046</v>
      </c>
      <c r="K437" s="5">
        <v>0.79791666666666661</v>
      </c>
      <c r="L437" t="s">
        <v>18</v>
      </c>
      <c r="M437">
        <v>44.658000000000001</v>
      </c>
      <c r="N437">
        <v>9</v>
      </c>
    </row>
    <row r="438" spans="1:14" x14ac:dyDescent="0.25">
      <c r="A438" t="s">
        <v>467</v>
      </c>
      <c r="B438" t="s">
        <v>20</v>
      </c>
      <c r="C438" t="s">
        <v>21</v>
      </c>
      <c r="D438" t="s">
        <v>15</v>
      </c>
      <c r="E438" t="s">
        <v>26</v>
      </c>
      <c r="F438" t="s">
        <v>31</v>
      </c>
      <c r="G438" t="s">
        <v>1036</v>
      </c>
      <c r="H438" t="s">
        <v>1041</v>
      </c>
      <c r="I438" s="1">
        <v>43485</v>
      </c>
      <c r="J438" t="s">
        <v>1046</v>
      </c>
      <c r="K438" s="5">
        <v>0.70208333333333339</v>
      </c>
      <c r="L438" t="s">
        <v>18</v>
      </c>
      <c r="M438">
        <v>16.585999999999999</v>
      </c>
      <c r="N438">
        <v>9.6</v>
      </c>
    </row>
    <row r="439" spans="1:14" x14ac:dyDescent="0.25">
      <c r="A439" t="s">
        <v>468</v>
      </c>
      <c r="B439" t="s">
        <v>13</v>
      </c>
      <c r="C439" t="s">
        <v>14</v>
      </c>
      <c r="D439" t="s">
        <v>22</v>
      </c>
      <c r="E439" t="s">
        <v>26</v>
      </c>
      <c r="F439" t="s">
        <v>27</v>
      </c>
      <c r="G439" t="s">
        <v>1035</v>
      </c>
      <c r="H439" t="s">
        <v>1043</v>
      </c>
      <c r="I439" s="1">
        <v>43532</v>
      </c>
      <c r="J439" t="s">
        <v>1045</v>
      </c>
      <c r="K439" s="5">
        <v>0.65069444444444446</v>
      </c>
      <c r="L439" t="s">
        <v>28</v>
      </c>
      <c r="M439">
        <v>10.196999999999999</v>
      </c>
      <c r="N439">
        <v>7.7</v>
      </c>
    </row>
    <row r="440" spans="1:14" x14ac:dyDescent="0.25">
      <c r="A440" t="s">
        <v>469</v>
      </c>
      <c r="B440" t="s">
        <v>20</v>
      </c>
      <c r="C440" t="s">
        <v>21</v>
      </c>
      <c r="D440" t="s">
        <v>15</v>
      </c>
      <c r="E440" t="s">
        <v>26</v>
      </c>
      <c r="F440" t="s">
        <v>39</v>
      </c>
      <c r="G440" t="s">
        <v>1035</v>
      </c>
      <c r="H440" t="s">
        <v>1043</v>
      </c>
      <c r="I440" s="1">
        <v>43532</v>
      </c>
      <c r="J440" t="s">
        <v>1046</v>
      </c>
      <c r="K440" s="5">
        <v>0.84375</v>
      </c>
      <c r="L440" t="s">
        <v>18</v>
      </c>
      <c r="M440">
        <v>3.4079999999999999</v>
      </c>
      <c r="N440">
        <v>7</v>
      </c>
    </row>
    <row r="441" spans="1:14" x14ac:dyDescent="0.25">
      <c r="A441" t="s">
        <v>470</v>
      </c>
      <c r="B441" t="s">
        <v>20</v>
      </c>
      <c r="C441" t="s">
        <v>21</v>
      </c>
      <c r="D441" t="s">
        <v>22</v>
      </c>
      <c r="E441" t="s">
        <v>16</v>
      </c>
      <c r="F441" t="s">
        <v>23</v>
      </c>
      <c r="G441" t="s">
        <v>1038</v>
      </c>
      <c r="H441" t="s">
        <v>1042</v>
      </c>
      <c r="I441" s="1">
        <v>43503</v>
      </c>
      <c r="J441" t="s">
        <v>1045</v>
      </c>
      <c r="K441" s="5">
        <v>0.60972222222222217</v>
      </c>
      <c r="L441" t="s">
        <v>28</v>
      </c>
      <c r="M441">
        <v>16.344000000000001</v>
      </c>
      <c r="N441">
        <v>6.5</v>
      </c>
    </row>
    <row r="442" spans="1:14" x14ac:dyDescent="0.25">
      <c r="A442" t="s">
        <v>471</v>
      </c>
      <c r="B442" t="s">
        <v>20</v>
      </c>
      <c r="C442" t="s">
        <v>21</v>
      </c>
      <c r="D442" t="s">
        <v>15</v>
      </c>
      <c r="E442" t="s">
        <v>26</v>
      </c>
      <c r="F442" t="s">
        <v>39</v>
      </c>
      <c r="G442" t="s">
        <v>1035</v>
      </c>
      <c r="H442" t="s">
        <v>1041</v>
      </c>
      <c r="I442" s="1">
        <v>43480</v>
      </c>
      <c r="J442" t="s">
        <v>1046</v>
      </c>
      <c r="K442" s="5">
        <v>0.80902777777777779</v>
      </c>
      <c r="L442" t="s">
        <v>24</v>
      </c>
      <c r="M442">
        <v>4.3600000000000003</v>
      </c>
      <c r="N442">
        <v>8.1</v>
      </c>
    </row>
    <row r="443" spans="1:14" x14ac:dyDescent="0.25">
      <c r="A443" t="s">
        <v>472</v>
      </c>
      <c r="B443" t="s">
        <v>37</v>
      </c>
      <c r="C443" t="s">
        <v>38</v>
      </c>
      <c r="D443" t="s">
        <v>15</v>
      </c>
      <c r="E443" t="s">
        <v>16</v>
      </c>
      <c r="F443" t="s">
        <v>31</v>
      </c>
      <c r="G443" t="s">
        <v>1037</v>
      </c>
      <c r="H443" t="s">
        <v>1043</v>
      </c>
      <c r="I443" s="1">
        <v>43546</v>
      </c>
      <c r="J443" t="s">
        <v>1046</v>
      </c>
      <c r="K443" s="5">
        <v>0.81597222222222221</v>
      </c>
      <c r="L443" t="s">
        <v>28</v>
      </c>
      <c r="M443">
        <v>35.372</v>
      </c>
      <c r="N443">
        <v>4.3</v>
      </c>
    </row>
    <row r="444" spans="1:14" x14ac:dyDescent="0.25">
      <c r="A444" t="s">
        <v>473</v>
      </c>
      <c r="B444" t="s">
        <v>13</v>
      </c>
      <c r="C444" t="s">
        <v>14</v>
      </c>
      <c r="D444" t="s">
        <v>15</v>
      </c>
      <c r="E444" t="s">
        <v>16</v>
      </c>
      <c r="F444" t="s">
        <v>27</v>
      </c>
      <c r="G444" t="s">
        <v>1035</v>
      </c>
      <c r="H444" t="s">
        <v>1041</v>
      </c>
      <c r="I444" s="1">
        <v>43480</v>
      </c>
      <c r="J444" t="s">
        <v>1045</v>
      </c>
      <c r="K444" s="5">
        <v>0.65416666666666667</v>
      </c>
      <c r="L444" t="s">
        <v>28</v>
      </c>
      <c r="M444">
        <v>40.144500000000001</v>
      </c>
      <c r="N444">
        <v>6.5</v>
      </c>
    </row>
    <row r="445" spans="1:14" x14ac:dyDescent="0.25">
      <c r="A445" t="s">
        <v>474</v>
      </c>
      <c r="B445" t="s">
        <v>20</v>
      </c>
      <c r="C445" t="s">
        <v>21</v>
      </c>
      <c r="D445" t="s">
        <v>22</v>
      </c>
      <c r="E445" t="s">
        <v>26</v>
      </c>
      <c r="F445" t="s">
        <v>41</v>
      </c>
      <c r="G445" t="s">
        <v>1034</v>
      </c>
      <c r="H445" t="s">
        <v>1041</v>
      </c>
      <c r="I445" s="1">
        <v>43473</v>
      </c>
      <c r="J445" t="s">
        <v>1045</v>
      </c>
      <c r="K445" s="5">
        <v>0.59097222222222223</v>
      </c>
      <c r="L445" t="s">
        <v>18</v>
      </c>
      <c r="M445">
        <v>0.63900000000000001</v>
      </c>
      <c r="N445">
        <v>9.5</v>
      </c>
    </row>
    <row r="446" spans="1:14" x14ac:dyDescent="0.25">
      <c r="A446" t="s">
        <v>475</v>
      </c>
      <c r="B446" t="s">
        <v>13</v>
      </c>
      <c r="C446" t="s">
        <v>14</v>
      </c>
      <c r="D446" t="s">
        <v>22</v>
      </c>
      <c r="E446" t="s">
        <v>16</v>
      </c>
      <c r="F446" t="s">
        <v>31</v>
      </c>
      <c r="G446" t="s">
        <v>1035</v>
      </c>
      <c r="H446" t="s">
        <v>1041</v>
      </c>
      <c r="I446" s="1">
        <v>43480</v>
      </c>
      <c r="J446" t="s">
        <v>1044</v>
      </c>
      <c r="K446" s="5">
        <v>0.4465277777777778</v>
      </c>
      <c r="L446" t="s">
        <v>24</v>
      </c>
      <c r="M446">
        <v>6.6849999999999996</v>
      </c>
      <c r="N446">
        <v>9.6999999999999993</v>
      </c>
    </row>
    <row r="447" spans="1:14" x14ac:dyDescent="0.25">
      <c r="A447" t="s">
        <v>476</v>
      </c>
      <c r="B447" t="s">
        <v>37</v>
      </c>
      <c r="C447" t="s">
        <v>38</v>
      </c>
      <c r="D447" t="s">
        <v>15</v>
      </c>
      <c r="E447" t="s">
        <v>16</v>
      </c>
      <c r="F447" t="s">
        <v>17</v>
      </c>
      <c r="G447" t="s">
        <v>1037</v>
      </c>
      <c r="H447" t="s">
        <v>1041</v>
      </c>
      <c r="I447" s="1">
        <v>43493</v>
      </c>
      <c r="J447" t="s">
        <v>1046</v>
      </c>
      <c r="K447" s="5">
        <v>0.74861111111111101</v>
      </c>
      <c r="L447" t="s">
        <v>28</v>
      </c>
      <c r="M447">
        <v>0.95750000000000002</v>
      </c>
      <c r="N447">
        <v>9.5</v>
      </c>
    </row>
    <row r="448" spans="1:14" x14ac:dyDescent="0.25">
      <c r="A448" t="s">
        <v>477</v>
      </c>
      <c r="B448" t="s">
        <v>20</v>
      </c>
      <c r="C448" t="s">
        <v>21</v>
      </c>
      <c r="D448" t="s">
        <v>15</v>
      </c>
      <c r="E448" t="s">
        <v>26</v>
      </c>
      <c r="F448" t="s">
        <v>39</v>
      </c>
      <c r="G448" t="s">
        <v>1039</v>
      </c>
      <c r="H448" t="s">
        <v>1042</v>
      </c>
      <c r="I448" s="1">
        <v>43510</v>
      </c>
      <c r="J448" t="s">
        <v>1044</v>
      </c>
      <c r="K448" s="5">
        <v>0.47638888888888892</v>
      </c>
      <c r="L448" t="s">
        <v>28</v>
      </c>
      <c r="M448">
        <v>13.83</v>
      </c>
      <c r="N448">
        <v>8.9</v>
      </c>
    </row>
    <row r="449" spans="1:14" x14ac:dyDescent="0.25">
      <c r="A449" t="s">
        <v>478</v>
      </c>
      <c r="B449" t="s">
        <v>20</v>
      </c>
      <c r="C449" t="s">
        <v>21</v>
      </c>
      <c r="D449" t="s">
        <v>22</v>
      </c>
      <c r="E449" t="s">
        <v>26</v>
      </c>
      <c r="F449" t="s">
        <v>41</v>
      </c>
      <c r="G449" t="s">
        <v>1036</v>
      </c>
      <c r="H449" t="s">
        <v>1043</v>
      </c>
      <c r="I449" s="1">
        <v>43534</v>
      </c>
      <c r="J449" t="s">
        <v>1046</v>
      </c>
      <c r="K449" s="5">
        <v>0.73472222222222217</v>
      </c>
      <c r="L449" t="s">
        <v>28</v>
      </c>
      <c r="M449">
        <v>6.8609999999999998</v>
      </c>
      <c r="N449">
        <v>6.5</v>
      </c>
    </row>
    <row r="450" spans="1:14" x14ac:dyDescent="0.25">
      <c r="A450" t="s">
        <v>479</v>
      </c>
      <c r="B450" t="s">
        <v>37</v>
      </c>
      <c r="C450" t="s">
        <v>38</v>
      </c>
      <c r="D450" t="s">
        <v>15</v>
      </c>
      <c r="E450" t="s">
        <v>16</v>
      </c>
      <c r="F450" t="s">
        <v>17</v>
      </c>
      <c r="G450" t="s">
        <v>1035</v>
      </c>
      <c r="H450" t="s">
        <v>1041</v>
      </c>
      <c r="I450" s="1">
        <v>43477</v>
      </c>
      <c r="J450" t="s">
        <v>1046</v>
      </c>
      <c r="K450" s="5">
        <v>0.83819444444444446</v>
      </c>
      <c r="L450" t="s">
        <v>28</v>
      </c>
      <c r="M450">
        <v>1.3534999999999999</v>
      </c>
      <c r="N450">
        <v>5.3</v>
      </c>
    </row>
    <row r="451" spans="1:14" x14ac:dyDescent="0.25">
      <c r="A451" t="s">
        <v>480</v>
      </c>
      <c r="B451" t="s">
        <v>37</v>
      </c>
      <c r="C451" t="s">
        <v>38</v>
      </c>
      <c r="D451" t="s">
        <v>15</v>
      </c>
      <c r="E451" t="s">
        <v>16</v>
      </c>
      <c r="F451" t="s">
        <v>31</v>
      </c>
      <c r="G451" t="s">
        <v>1038</v>
      </c>
      <c r="H451" t="s">
        <v>1043</v>
      </c>
      <c r="I451" s="1">
        <v>43550</v>
      </c>
      <c r="J451" t="s">
        <v>1044</v>
      </c>
      <c r="K451" s="5">
        <v>0.4597222222222222</v>
      </c>
      <c r="L451" t="s">
        <v>28</v>
      </c>
      <c r="M451">
        <v>1.956</v>
      </c>
      <c r="N451">
        <v>9.6</v>
      </c>
    </row>
    <row r="452" spans="1:14" x14ac:dyDescent="0.25">
      <c r="A452" t="s">
        <v>481</v>
      </c>
      <c r="B452" t="s">
        <v>37</v>
      </c>
      <c r="C452" t="s">
        <v>38</v>
      </c>
      <c r="D452" t="s">
        <v>22</v>
      </c>
      <c r="E452" t="s">
        <v>16</v>
      </c>
      <c r="F452" t="s">
        <v>23</v>
      </c>
      <c r="G452" t="s">
        <v>1040</v>
      </c>
      <c r="H452" t="s">
        <v>1041</v>
      </c>
      <c r="I452" s="1">
        <v>43466</v>
      </c>
      <c r="J452" t="s">
        <v>1046</v>
      </c>
      <c r="K452" s="5">
        <v>0.79652777777777783</v>
      </c>
      <c r="L452" t="s">
        <v>24</v>
      </c>
      <c r="M452">
        <v>22.413</v>
      </c>
      <c r="N452">
        <v>6.7</v>
      </c>
    </row>
    <row r="453" spans="1:14" x14ac:dyDescent="0.25">
      <c r="A453" t="s">
        <v>482</v>
      </c>
      <c r="B453" t="s">
        <v>37</v>
      </c>
      <c r="C453" t="s">
        <v>38</v>
      </c>
      <c r="D453" t="s">
        <v>22</v>
      </c>
      <c r="E453" t="s">
        <v>26</v>
      </c>
      <c r="F453" t="s">
        <v>23</v>
      </c>
      <c r="G453" t="s">
        <v>1040</v>
      </c>
      <c r="H453" t="s">
        <v>1041</v>
      </c>
      <c r="I453" s="1">
        <v>43467</v>
      </c>
      <c r="J453" t="s">
        <v>1046</v>
      </c>
      <c r="K453" s="5">
        <v>0.78472222222222221</v>
      </c>
      <c r="L453" t="s">
        <v>24</v>
      </c>
      <c r="M453">
        <v>6.6029999999999998</v>
      </c>
      <c r="N453">
        <v>7.6</v>
      </c>
    </row>
    <row r="454" spans="1:14" x14ac:dyDescent="0.25">
      <c r="A454" t="s">
        <v>483</v>
      </c>
      <c r="B454" t="s">
        <v>13</v>
      </c>
      <c r="C454" t="s">
        <v>14</v>
      </c>
      <c r="D454" t="s">
        <v>22</v>
      </c>
      <c r="E454" t="s">
        <v>16</v>
      </c>
      <c r="F454" t="s">
        <v>39</v>
      </c>
      <c r="G454" t="s">
        <v>1037</v>
      </c>
      <c r="H454" t="s">
        <v>1043</v>
      </c>
      <c r="I454" s="1">
        <v>43540</v>
      </c>
      <c r="J454" t="s">
        <v>1045</v>
      </c>
      <c r="K454" s="5">
        <v>0.52986111111111112</v>
      </c>
      <c r="L454" t="s">
        <v>18</v>
      </c>
      <c r="M454">
        <v>15.9025</v>
      </c>
      <c r="N454">
        <v>4.8</v>
      </c>
    </row>
    <row r="455" spans="1:14" x14ac:dyDescent="0.25">
      <c r="A455" t="s">
        <v>484</v>
      </c>
      <c r="B455" t="s">
        <v>13</v>
      </c>
      <c r="C455" t="s">
        <v>14</v>
      </c>
      <c r="D455" t="s">
        <v>22</v>
      </c>
      <c r="E455" t="s">
        <v>26</v>
      </c>
      <c r="F455" t="s">
        <v>17</v>
      </c>
      <c r="G455" t="s">
        <v>1035</v>
      </c>
      <c r="H455" t="s">
        <v>1043</v>
      </c>
      <c r="I455" s="1">
        <v>43527</v>
      </c>
      <c r="J455" t="s">
        <v>1045</v>
      </c>
      <c r="K455" s="5">
        <v>0.63124999999999998</v>
      </c>
      <c r="L455" t="s">
        <v>18</v>
      </c>
      <c r="M455">
        <v>1.25</v>
      </c>
      <c r="N455">
        <v>5.5</v>
      </c>
    </row>
    <row r="456" spans="1:14" x14ac:dyDescent="0.25">
      <c r="A456" t="s">
        <v>485</v>
      </c>
      <c r="B456" t="s">
        <v>13</v>
      </c>
      <c r="C456" t="s">
        <v>14</v>
      </c>
      <c r="D456" t="s">
        <v>15</v>
      </c>
      <c r="E456" t="s">
        <v>26</v>
      </c>
      <c r="F456" t="s">
        <v>23</v>
      </c>
      <c r="G456" t="s">
        <v>1037</v>
      </c>
      <c r="H456" t="s">
        <v>1041</v>
      </c>
      <c r="I456" s="1">
        <v>43496</v>
      </c>
      <c r="J456" t="s">
        <v>1045</v>
      </c>
      <c r="K456" s="5">
        <v>0.57430555555555551</v>
      </c>
      <c r="L456" t="s">
        <v>24</v>
      </c>
      <c r="M456">
        <v>4.1539999999999999</v>
      </c>
      <c r="N456">
        <v>4.7</v>
      </c>
    </row>
    <row r="457" spans="1:14" x14ac:dyDescent="0.25">
      <c r="A457" t="s">
        <v>486</v>
      </c>
      <c r="B457" t="s">
        <v>37</v>
      </c>
      <c r="C457" t="s">
        <v>38</v>
      </c>
      <c r="D457" t="s">
        <v>15</v>
      </c>
      <c r="E457" t="s">
        <v>16</v>
      </c>
      <c r="F457" t="s">
        <v>41</v>
      </c>
      <c r="G457" t="s">
        <v>1039</v>
      </c>
      <c r="H457" t="s">
        <v>1042</v>
      </c>
      <c r="I457" s="1">
        <v>43509</v>
      </c>
      <c r="J457" t="s">
        <v>1046</v>
      </c>
      <c r="K457" s="5">
        <v>0.70763888888888893</v>
      </c>
      <c r="L457" t="s">
        <v>24</v>
      </c>
      <c r="M457">
        <v>7.39</v>
      </c>
      <c r="N457">
        <v>6.9</v>
      </c>
    </row>
    <row r="458" spans="1:14" x14ac:dyDescent="0.25">
      <c r="A458" t="s">
        <v>487</v>
      </c>
      <c r="B458" t="s">
        <v>37</v>
      </c>
      <c r="C458" t="s">
        <v>38</v>
      </c>
      <c r="D458" t="s">
        <v>15</v>
      </c>
      <c r="E458" t="s">
        <v>16</v>
      </c>
      <c r="F458" t="s">
        <v>39</v>
      </c>
      <c r="G458" t="s">
        <v>1039</v>
      </c>
      <c r="H458" t="s">
        <v>1042</v>
      </c>
      <c r="I458" s="1">
        <v>43511</v>
      </c>
      <c r="J458" t="s">
        <v>1045</v>
      </c>
      <c r="K458" s="5">
        <v>0.59375</v>
      </c>
      <c r="L458" t="s">
        <v>28</v>
      </c>
      <c r="M458">
        <v>34.83</v>
      </c>
      <c r="N458">
        <v>4.5</v>
      </c>
    </row>
    <row r="459" spans="1:14" x14ac:dyDescent="0.25">
      <c r="A459" t="s">
        <v>488</v>
      </c>
      <c r="B459" t="s">
        <v>37</v>
      </c>
      <c r="C459" t="s">
        <v>38</v>
      </c>
      <c r="D459" t="s">
        <v>22</v>
      </c>
      <c r="E459" t="s">
        <v>26</v>
      </c>
      <c r="F459" t="s">
        <v>23</v>
      </c>
      <c r="G459" t="s">
        <v>1038</v>
      </c>
      <c r="H459" t="s">
        <v>1042</v>
      </c>
      <c r="I459" s="1">
        <v>43503</v>
      </c>
      <c r="J459" t="s">
        <v>1046</v>
      </c>
      <c r="K459" s="5">
        <v>0.85</v>
      </c>
      <c r="L459" t="s">
        <v>24</v>
      </c>
      <c r="M459">
        <v>39.695</v>
      </c>
      <c r="N459">
        <v>6.2</v>
      </c>
    </row>
    <row r="460" spans="1:14" x14ac:dyDescent="0.25">
      <c r="A460" t="s">
        <v>489</v>
      </c>
      <c r="B460" t="s">
        <v>20</v>
      </c>
      <c r="C460" t="s">
        <v>21</v>
      </c>
      <c r="D460" t="s">
        <v>15</v>
      </c>
      <c r="E460" t="s">
        <v>16</v>
      </c>
      <c r="F460" t="s">
        <v>23</v>
      </c>
      <c r="G460" t="s">
        <v>1037</v>
      </c>
      <c r="H460" t="s">
        <v>1041</v>
      </c>
      <c r="I460" s="1">
        <v>43492</v>
      </c>
      <c r="J460" t="s">
        <v>1045</v>
      </c>
      <c r="K460" s="5">
        <v>0.58194444444444449</v>
      </c>
      <c r="L460" t="s">
        <v>24</v>
      </c>
      <c r="M460">
        <v>23.285</v>
      </c>
      <c r="N460">
        <v>7.6</v>
      </c>
    </row>
    <row r="461" spans="1:14" x14ac:dyDescent="0.25">
      <c r="A461" t="s">
        <v>490</v>
      </c>
      <c r="B461" t="s">
        <v>20</v>
      </c>
      <c r="C461" t="s">
        <v>21</v>
      </c>
      <c r="D461" t="s">
        <v>22</v>
      </c>
      <c r="E461" t="s">
        <v>26</v>
      </c>
      <c r="F461" t="s">
        <v>39</v>
      </c>
      <c r="G461" t="s">
        <v>1034</v>
      </c>
      <c r="H461" t="s">
        <v>1042</v>
      </c>
      <c r="I461" s="1">
        <v>43519</v>
      </c>
      <c r="J461" t="s">
        <v>1046</v>
      </c>
      <c r="K461" s="5">
        <v>0.70277777777777783</v>
      </c>
      <c r="L461" t="s">
        <v>28</v>
      </c>
      <c r="M461">
        <v>1.7945</v>
      </c>
      <c r="N461">
        <v>7.9</v>
      </c>
    </row>
    <row r="462" spans="1:14" x14ac:dyDescent="0.25">
      <c r="A462" t="s">
        <v>491</v>
      </c>
      <c r="B462" t="s">
        <v>20</v>
      </c>
      <c r="C462" t="s">
        <v>21</v>
      </c>
      <c r="D462" t="s">
        <v>22</v>
      </c>
      <c r="E462" t="s">
        <v>26</v>
      </c>
      <c r="F462" t="s">
        <v>39</v>
      </c>
      <c r="G462" t="s">
        <v>1038</v>
      </c>
      <c r="H462" t="s">
        <v>1042</v>
      </c>
      <c r="I462" s="1">
        <v>43499</v>
      </c>
      <c r="J462" t="s">
        <v>1045</v>
      </c>
      <c r="K462" s="5">
        <v>0.6381944444444444</v>
      </c>
      <c r="L462" t="s">
        <v>24</v>
      </c>
      <c r="M462">
        <v>10.130000000000001</v>
      </c>
      <c r="N462">
        <v>4.5</v>
      </c>
    </row>
    <row r="463" spans="1:14" x14ac:dyDescent="0.25">
      <c r="A463" t="s">
        <v>492</v>
      </c>
      <c r="B463" t="s">
        <v>37</v>
      </c>
      <c r="C463" t="s">
        <v>38</v>
      </c>
      <c r="D463" t="s">
        <v>15</v>
      </c>
      <c r="E463" t="s">
        <v>16</v>
      </c>
      <c r="F463" t="s">
        <v>39</v>
      </c>
      <c r="G463" t="s">
        <v>1035</v>
      </c>
      <c r="H463" t="s">
        <v>1043</v>
      </c>
      <c r="I463" s="1">
        <v>43527</v>
      </c>
      <c r="J463" t="s">
        <v>1045</v>
      </c>
      <c r="K463" s="5">
        <v>0.51736111111111105</v>
      </c>
      <c r="L463" t="s">
        <v>28</v>
      </c>
      <c r="M463">
        <v>36.524999999999999</v>
      </c>
      <c r="N463">
        <v>8.6999999999999993</v>
      </c>
    </row>
    <row r="464" spans="1:14" x14ac:dyDescent="0.25">
      <c r="A464" t="s">
        <v>493</v>
      </c>
      <c r="B464" t="s">
        <v>20</v>
      </c>
      <c r="C464" t="s">
        <v>21</v>
      </c>
      <c r="D464" t="s">
        <v>22</v>
      </c>
      <c r="E464" t="s">
        <v>16</v>
      </c>
      <c r="F464" t="s">
        <v>31</v>
      </c>
      <c r="G464" t="s">
        <v>1038</v>
      </c>
      <c r="H464" t="s">
        <v>1042</v>
      </c>
      <c r="I464" s="1">
        <v>43499</v>
      </c>
      <c r="J464" t="s">
        <v>1044</v>
      </c>
      <c r="K464" s="5">
        <v>0.41805555555555557</v>
      </c>
      <c r="L464" t="s">
        <v>24</v>
      </c>
      <c r="M464">
        <v>14.79</v>
      </c>
      <c r="N464">
        <v>6.1</v>
      </c>
    </row>
    <row r="465" spans="1:14" x14ac:dyDescent="0.25">
      <c r="A465" t="s">
        <v>494</v>
      </c>
      <c r="B465" t="s">
        <v>20</v>
      </c>
      <c r="C465" t="s">
        <v>21</v>
      </c>
      <c r="D465" t="s">
        <v>15</v>
      </c>
      <c r="E465" t="s">
        <v>16</v>
      </c>
      <c r="F465" t="s">
        <v>39</v>
      </c>
      <c r="G465" t="s">
        <v>1037</v>
      </c>
      <c r="H465" t="s">
        <v>1043</v>
      </c>
      <c r="I465" s="1">
        <v>43541</v>
      </c>
      <c r="J465" t="s">
        <v>1046</v>
      </c>
      <c r="K465" s="5">
        <v>0.79027777777777775</v>
      </c>
      <c r="L465" t="s">
        <v>24</v>
      </c>
      <c r="M465">
        <v>1.131</v>
      </c>
      <c r="N465">
        <v>6.4</v>
      </c>
    </row>
    <row r="466" spans="1:14" x14ac:dyDescent="0.25">
      <c r="A466" t="s">
        <v>495</v>
      </c>
      <c r="B466" t="s">
        <v>13</v>
      </c>
      <c r="C466" t="s">
        <v>14</v>
      </c>
      <c r="D466" t="s">
        <v>15</v>
      </c>
      <c r="E466" t="s">
        <v>26</v>
      </c>
      <c r="F466" t="s">
        <v>39</v>
      </c>
      <c r="G466" t="s">
        <v>1038</v>
      </c>
      <c r="H466" t="s">
        <v>1043</v>
      </c>
      <c r="I466" s="1">
        <v>43552</v>
      </c>
      <c r="J466" t="s">
        <v>1045</v>
      </c>
      <c r="K466" s="5">
        <v>0.64652777777777781</v>
      </c>
      <c r="L466" t="s">
        <v>28</v>
      </c>
      <c r="M466">
        <v>12.835000000000001</v>
      </c>
      <c r="N466">
        <v>9.1</v>
      </c>
    </row>
    <row r="467" spans="1:14" x14ac:dyDescent="0.25">
      <c r="A467" t="s">
        <v>496</v>
      </c>
      <c r="B467" t="s">
        <v>20</v>
      </c>
      <c r="C467" t="s">
        <v>21</v>
      </c>
      <c r="D467" t="s">
        <v>15</v>
      </c>
      <c r="E467" t="s">
        <v>16</v>
      </c>
      <c r="F467" t="s">
        <v>31</v>
      </c>
      <c r="G467" t="s">
        <v>1035</v>
      </c>
      <c r="H467" t="s">
        <v>1043</v>
      </c>
      <c r="I467" s="1">
        <v>43526</v>
      </c>
      <c r="J467" t="s">
        <v>1044</v>
      </c>
      <c r="K467" s="5">
        <v>0.47361111111111115</v>
      </c>
      <c r="L467" t="s">
        <v>28</v>
      </c>
      <c r="M467">
        <v>27.274999999999999</v>
      </c>
      <c r="N467">
        <v>7.1</v>
      </c>
    </row>
    <row r="468" spans="1:14" x14ac:dyDescent="0.25">
      <c r="A468" t="s">
        <v>497</v>
      </c>
      <c r="B468" t="s">
        <v>20</v>
      </c>
      <c r="C468" t="s">
        <v>21</v>
      </c>
      <c r="D468" t="s">
        <v>15</v>
      </c>
      <c r="E468" t="s">
        <v>16</v>
      </c>
      <c r="F468" t="s">
        <v>17</v>
      </c>
      <c r="G468" t="s">
        <v>1038</v>
      </c>
      <c r="H468" t="s">
        <v>1042</v>
      </c>
      <c r="I468" s="1">
        <v>43504</v>
      </c>
      <c r="J468" t="s">
        <v>1045</v>
      </c>
      <c r="K468" s="5">
        <v>0.54999999999999993</v>
      </c>
      <c r="L468" t="s">
        <v>28</v>
      </c>
      <c r="M468">
        <v>13.0025</v>
      </c>
      <c r="N468">
        <v>7.7</v>
      </c>
    </row>
    <row r="469" spans="1:14" x14ac:dyDescent="0.25">
      <c r="A469" t="s">
        <v>498</v>
      </c>
      <c r="B469" t="s">
        <v>37</v>
      </c>
      <c r="C469" t="s">
        <v>38</v>
      </c>
      <c r="D469" t="s">
        <v>22</v>
      </c>
      <c r="E469" t="s">
        <v>26</v>
      </c>
      <c r="F469" t="s">
        <v>31</v>
      </c>
      <c r="G469" t="s">
        <v>1037</v>
      </c>
      <c r="H469" t="s">
        <v>1043</v>
      </c>
      <c r="I469" s="1">
        <v>43546</v>
      </c>
      <c r="J469" t="s">
        <v>1046</v>
      </c>
      <c r="K469" s="5">
        <v>0.7729166666666667</v>
      </c>
      <c r="L469" t="s">
        <v>24</v>
      </c>
      <c r="M469">
        <v>11.106</v>
      </c>
      <c r="N469">
        <v>4.5</v>
      </c>
    </row>
    <row r="470" spans="1:14" x14ac:dyDescent="0.25">
      <c r="A470" t="s">
        <v>499</v>
      </c>
      <c r="B470" t="s">
        <v>20</v>
      </c>
      <c r="C470" t="s">
        <v>21</v>
      </c>
      <c r="D470" t="s">
        <v>22</v>
      </c>
      <c r="E470" t="s">
        <v>26</v>
      </c>
      <c r="F470" t="s">
        <v>39</v>
      </c>
      <c r="G470" t="s">
        <v>1039</v>
      </c>
      <c r="H470" t="s">
        <v>1042</v>
      </c>
      <c r="I470" s="1">
        <v>43505</v>
      </c>
      <c r="J470" t="s">
        <v>1044</v>
      </c>
      <c r="K470" s="5">
        <v>0.41805555555555557</v>
      </c>
      <c r="L470" t="s">
        <v>18</v>
      </c>
      <c r="M470">
        <v>1.079</v>
      </c>
      <c r="N470">
        <v>7.2</v>
      </c>
    </row>
    <row r="471" spans="1:14" x14ac:dyDescent="0.25">
      <c r="A471" t="s">
        <v>500</v>
      </c>
      <c r="B471" t="s">
        <v>20</v>
      </c>
      <c r="C471" t="s">
        <v>21</v>
      </c>
      <c r="D471" t="s">
        <v>15</v>
      </c>
      <c r="E471" t="s">
        <v>16</v>
      </c>
      <c r="F471" t="s">
        <v>23</v>
      </c>
      <c r="G471" t="s">
        <v>1039</v>
      </c>
      <c r="H471" t="s">
        <v>1042</v>
      </c>
      <c r="I471" s="1">
        <v>43511</v>
      </c>
      <c r="J471" t="s">
        <v>1044</v>
      </c>
      <c r="K471" s="5">
        <v>0.47291666666666665</v>
      </c>
      <c r="L471" t="s">
        <v>24</v>
      </c>
      <c r="M471">
        <v>4.9420000000000002</v>
      </c>
      <c r="N471">
        <v>8.4</v>
      </c>
    </row>
    <row r="472" spans="1:14" x14ac:dyDescent="0.25">
      <c r="A472" t="s">
        <v>501</v>
      </c>
      <c r="B472" t="s">
        <v>20</v>
      </c>
      <c r="C472" t="s">
        <v>21</v>
      </c>
      <c r="D472" t="s">
        <v>15</v>
      </c>
      <c r="E472" t="s">
        <v>16</v>
      </c>
      <c r="F472" t="s">
        <v>27</v>
      </c>
      <c r="G472" t="s">
        <v>1036</v>
      </c>
      <c r="H472" t="s">
        <v>1041</v>
      </c>
      <c r="I472" s="1">
        <v>43488</v>
      </c>
      <c r="J472" t="s">
        <v>1045</v>
      </c>
      <c r="K472" s="5">
        <v>0.50694444444444442</v>
      </c>
      <c r="L472" t="s">
        <v>18</v>
      </c>
      <c r="M472">
        <v>25.131</v>
      </c>
      <c r="N472">
        <v>5.4</v>
      </c>
    </row>
    <row r="473" spans="1:14" x14ac:dyDescent="0.25">
      <c r="A473" t="s">
        <v>502</v>
      </c>
      <c r="B473" t="s">
        <v>13</v>
      </c>
      <c r="C473" t="s">
        <v>14</v>
      </c>
      <c r="D473" t="s">
        <v>15</v>
      </c>
      <c r="E473" t="s">
        <v>16</v>
      </c>
      <c r="F473" t="s">
        <v>31</v>
      </c>
      <c r="G473" t="s">
        <v>1036</v>
      </c>
      <c r="H473" t="s">
        <v>1041</v>
      </c>
      <c r="I473" s="1">
        <v>43490</v>
      </c>
      <c r="J473" t="s">
        <v>1044</v>
      </c>
      <c r="K473" s="5">
        <v>0.4861111111111111</v>
      </c>
      <c r="L473" t="s">
        <v>24</v>
      </c>
      <c r="M473">
        <v>8.01</v>
      </c>
      <c r="N473">
        <v>9.6999999999999993</v>
      </c>
    </row>
    <row r="474" spans="1:14" x14ac:dyDescent="0.25">
      <c r="A474" t="s">
        <v>503</v>
      </c>
      <c r="B474" t="s">
        <v>13</v>
      </c>
      <c r="C474" t="s">
        <v>14</v>
      </c>
      <c r="D474" t="s">
        <v>15</v>
      </c>
      <c r="E474" t="s">
        <v>26</v>
      </c>
      <c r="F474" t="s">
        <v>41</v>
      </c>
      <c r="G474" t="s">
        <v>1038</v>
      </c>
      <c r="H474" t="s">
        <v>1042</v>
      </c>
      <c r="I474" s="1">
        <v>43498</v>
      </c>
      <c r="J474" t="s">
        <v>1046</v>
      </c>
      <c r="K474" s="5">
        <v>0.7715277777777777</v>
      </c>
      <c r="L474" t="s">
        <v>28</v>
      </c>
      <c r="M474">
        <v>21.565000000000001</v>
      </c>
      <c r="N474">
        <v>5.5</v>
      </c>
    </row>
    <row r="475" spans="1:14" x14ac:dyDescent="0.25">
      <c r="A475" t="s">
        <v>504</v>
      </c>
      <c r="B475" t="s">
        <v>37</v>
      </c>
      <c r="C475" t="s">
        <v>38</v>
      </c>
      <c r="D475" t="s">
        <v>15</v>
      </c>
      <c r="E475" t="s">
        <v>26</v>
      </c>
      <c r="F475" t="s">
        <v>17</v>
      </c>
      <c r="G475" t="s">
        <v>1039</v>
      </c>
      <c r="H475" t="s">
        <v>1043</v>
      </c>
      <c r="I475" s="1">
        <v>43554</v>
      </c>
      <c r="J475" t="s">
        <v>1046</v>
      </c>
      <c r="K475" s="5">
        <v>0.74861111111111101</v>
      </c>
      <c r="L475" t="s">
        <v>24</v>
      </c>
      <c r="M475">
        <v>29.027999999999999</v>
      </c>
      <c r="N475">
        <v>4.5999999999999996</v>
      </c>
    </row>
    <row r="476" spans="1:14" x14ac:dyDescent="0.25">
      <c r="A476" t="s">
        <v>505</v>
      </c>
      <c r="B476" t="s">
        <v>13</v>
      </c>
      <c r="C476" t="s">
        <v>14</v>
      </c>
      <c r="D476" t="s">
        <v>15</v>
      </c>
      <c r="E476" t="s">
        <v>16</v>
      </c>
      <c r="F476" t="s">
        <v>23</v>
      </c>
      <c r="G476" t="s">
        <v>1039</v>
      </c>
      <c r="H476" t="s">
        <v>1043</v>
      </c>
      <c r="I476" s="1">
        <v>43554</v>
      </c>
      <c r="J476" t="s">
        <v>1046</v>
      </c>
      <c r="K476" s="5">
        <v>0.71111111111111114</v>
      </c>
      <c r="L476" t="s">
        <v>24</v>
      </c>
      <c r="M476">
        <v>16.11</v>
      </c>
      <c r="N476">
        <v>6.6</v>
      </c>
    </row>
    <row r="477" spans="1:14" x14ac:dyDescent="0.25">
      <c r="A477" t="s">
        <v>506</v>
      </c>
      <c r="B477" t="s">
        <v>13</v>
      </c>
      <c r="C477" t="s">
        <v>14</v>
      </c>
      <c r="D477" t="s">
        <v>22</v>
      </c>
      <c r="E477" t="s">
        <v>26</v>
      </c>
      <c r="F477" t="s">
        <v>17</v>
      </c>
      <c r="G477" t="s">
        <v>1034</v>
      </c>
      <c r="H477" t="s">
        <v>1042</v>
      </c>
      <c r="I477" s="1">
        <v>43521</v>
      </c>
      <c r="J477" t="s">
        <v>1046</v>
      </c>
      <c r="K477" s="5">
        <v>0.85763888888888884</v>
      </c>
      <c r="L477" t="s">
        <v>28</v>
      </c>
      <c r="M477">
        <v>9.7769999999999992</v>
      </c>
      <c r="N477">
        <v>6.3</v>
      </c>
    </row>
    <row r="478" spans="1:14" x14ac:dyDescent="0.25">
      <c r="A478" t="s">
        <v>507</v>
      </c>
      <c r="B478" t="s">
        <v>13</v>
      </c>
      <c r="C478" t="s">
        <v>14</v>
      </c>
      <c r="D478" t="s">
        <v>22</v>
      </c>
      <c r="E478" t="s">
        <v>16</v>
      </c>
      <c r="F478" t="s">
        <v>31</v>
      </c>
      <c r="G478" t="s">
        <v>1037</v>
      </c>
      <c r="H478" t="s">
        <v>1043</v>
      </c>
      <c r="I478" s="1">
        <v>43542</v>
      </c>
      <c r="J478" t="s">
        <v>1046</v>
      </c>
      <c r="K478" s="5">
        <v>0.67361111111111116</v>
      </c>
      <c r="L478" t="s">
        <v>28</v>
      </c>
      <c r="M478">
        <v>8.3149999999999995</v>
      </c>
      <c r="N478">
        <v>4.2</v>
      </c>
    </row>
    <row r="479" spans="1:14" x14ac:dyDescent="0.25">
      <c r="A479" t="s">
        <v>508</v>
      </c>
      <c r="B479" t="s">
        <v>20</v>
      </c>
      <c r="C479" t="s">
        <v>21</v>
      </c>
      <c r="D479" t="s">
        <v>22</v>
      </c>
      <c r="E479" t="s">
        <v>26</v>
      </c>
      <c r="F479" t="s">
        <v>23</v>
      </c>
      <c r="G479" t="s">
        <v>1035</v>
      </c>
      <c r="H479" t="s">
        <v>1043</v>
      </c>
      <c r="I479" s="1">
        <v>43531</v>
      </c>
      <c r="J479" t="s">
        <v>1046</v>
      </c>
      <c r="K479" s="5">
        <v>0.70416666666666661</v>
      </c>
      <c r="L479" t="s">
        <v>18</v>
      </c>
      <c r="M479">
        <v>16.814</v>
      </c>
      <c r="N479">
        <v>4.4000000000000004</v>
      </c>
    </row>
    <row r="480" spans="1:14" x14ac:dyDescent="0.25">
      <c r="A480" t="s">
        <v>509</v>
      </c>
      <c r="B480" t="s">
        <v>37</v>
      </c>
      <c r="C480" t="s">
        <v>38</v>
      </c>
      <c r="D480" t="s">
        <v>22</v>
      </c>
      <c r="E480" t="s">
        <v>26</v>
      </c>
      <c r="F480" t="s">
        <v>31</v>
      </c>
      <c r="G480" t="s">
        <v>1037</v>
      </c>
      <c r="H480" t="s">
        <v>1043</v>
      </c>
      <c r="I480" s="1">
        <v>43540</v>
      </c>
      <c r="J480" t="s">
        <v>1044</v>
      </c>
      <c r="K480" s="5">
        <v>0.42430555555555555</v>
      </c>
      <c r="L480" t="s">
        <v>18</v>
      </c>
      <c r="M480">
        <v>17.184999999999999</v>
      </c>
      <c r="N480">
        <v>6.7</v>
      </c>
    </row>
    <row r="481" spans="1:14" x14ac:dyDescent="0.25">
      <c r="A481" t="s">
        <v>510</v>
      </c>
      <c r="B481" t="s">
        <v>13</v>
      </c>
      <c r="C481" t="s">
        <v>14</v>
      </c>
      <c r="D481" t="s">
        <v>22</v>
      </c>
      <c r="E481" t="s">
        <v>26</v>
      </c>
      <c r="F481" t="s">
        <v>23</v>
      </c>
      <c r="G481" t="s">
        <v>1037</v>
      </c>
      <c r="H481" t="s">
        <v>1041</v>
      </c>
      <c r="I481" s="1">
        <v>43494</v>
      </c>
      <c r="J481" t="s">
        <v>1044</v>
      </c>
      <c r="K481" s="5">
        <v>0.47638888888888892</v>
      </c>
      <c r="L481" t="s">
        <v>18</v>
      </c>
      <c r="M481">
        <v>1.93</v>
      </c>
      <c r="N481">
        <v>6.7</v>
      </c>
    </row>
    <row r="482" spans="1:14" x14ac:dyDescent="0.25">
      <c r="A482" t="s">
        <v>511</v>
      </c>
      <c r="B482" t="s">
        <v>20</v>
      </c>
      <c r="C482" t="s">
        <v>21</v>
      </c>
      <c r="D482" t="s">
        <v>22</v>
      </c>
      <c r="E482" t="s">
        <v>26</v>
      </c>
      <c r="F482" t="s">
        <v>39</v>
      </c>
      <c r="G482" t="s">
        <v>1038</v>
      </c>
      <c r="H482" t="s">
        <v>1042</v>
      </c>
      <c r="I482" s="1">
        <v>43498</v>
      </c>
      <c r="J482" t="s">
        <v>1046</v>
      </c>
      <c r="K482" s="5">
        <v>0.8534722222222223</v>
      </c>
      <c r="L482" t="s">
        <v>24</v>
      </c>
      <c r="M482">
        <v>26.388000000000002</v>
      </c>
      <c r="N482">
        <v>8.4</v>
      </c>
    </row>
    <row r="483" spans="1:14" x14ac:dyDescent="0.25">
      <c r="A483" t="s">
        <v>512</v>
      </c>
      <c r="B483" t="s">
        <v>20</v>
      </c>
      <c r="C483" t="s">
        <v>21</v>
      </c>
      <c r="D483" t="s">
        <v>22</v>
      </c>
      <c r="E483" t="s">
        <v>16</v>
      </c>
      <c r="F483" t="s">
        <v>23</v>
      </c>
      <c r="G483" t="s">
        <v>1039</v>
      </c>
      <c r="H483" t="s">
        <v>1042</v>
      </c>
      <c r="I483" s="1">
        <v>43511</v>
      </c>
      <c r="J483" t="s">
        <v>1045</v>
      </c>
      <c r="K483" s="5">
        <v>0.5083333333333333</v>
      </c>
      <c r="L483" t="s">
        <v>24</v>
      </c>
      <c r="M483">
        <v>16.399999999999999</v>
      </c>
      <c r="N483">
        <v>6.2</v>
      </c>
    </row>
    <row r="484" spans="1:14" x14ac:dyDescent="0.25">
      <c r="A484" t="s">
        <v>513</v>
      </c>
      <c r="B484" t="s">
        <v>13</v>
      </c>
      <c r="C484" t="s">
        <v>14</v>
      </c>
      <c r="D484" t="s">
        <v>22</v>
      </c>
      <c r="E484" t="s">
        <v>26</v>
      </c>
      <c r="F484" t="s">
        <v>31</v>
      </c>
      <c r="G484" t="s">
        <v>1034</v>
      </c>
      <c r="H484" t="s">
        <v>1041</v>
      </c>
      <c r="I484" s="1">
        <v>43473</v>
      </c>
      <c r="J484" t="s">
        <v>1045</v>
      </c>
      <c r="K484" s="5">
        <v>0.54513888888888895</v>
      </c>
      <c r="L484" t="s">
        <v>18</v>
      </c>
      <c r="M484">
        <v>9.2850000000000001</v>
      </c>
      <c r="N484">
        <v>5</v>
      </c>
    </row>
    <row r="485" spans="1:14" x14ac:dyDescent="0.25">
      <c r="A485" t="s">
        <v>514</v>
      </c>
      <c r="B485" t="s">
        <v>37</v>
      </c>
      <c r="C485" t="s">
        <v>38</v>
      </c>
      <c r="D485" t="s">
        <v>15</v>
      </c>
      <c r="E485" t="s">
        <v>26</v>
      </c>
      <c r="F485" t="s">
        <v>27</v>
      </c>
      <c r="G485" t="s">
        <v>1039</v>
      </c>
      <c r="H485" t="s">
        <v>1042</v>
      </c>
      <c r="I485" s="1">
        <v>43508</v>
      </c>
      <c r="J485" t="s">
        <v>1046</v>
      </c>
      <c r="K485" s="5">
        <v>0.67986111111111114</v>
      </c>
      <c r="L485" t="s">
        <v>24</v>
      </c>
      <c r="M485">
        <v>30.19</v>
      </c>
      <c r="N485">
        <v>6</v>
      </c>
    </row>
    <row r="486" spans="1:14" x14ac:dyDescent="0.25">
      <c r="A486" t="s">
        <v>515</v>
      </c>
      <c r="B486" t="s">
        <v>20</v>
      </c>
      <c r="C486" t="s">
        <v>21</v>
      </c>
      <c r="D486" t="s">
        <v>15</v>
      </c>
      <c r="E486" t="s">
        <v>16</v>
      </c>
      <c r="F486" t="s">
        <v>31</v>
      </c>
      <c r="G486" t="s">
        <v>1040</v>
      </c>
      <c r="H486" t="s">
        <v>1041</v>
      </c>
      <c r="I486" s="1">
        <v>43466</v>
      </c>
      <c r="J486" t="s">
        <v>1046</v>
      </c>
      <c r="K486" s="5">
        <v>0.82500000000000007</v>
      </c>
      <c r="L486" t="s">
        <v>28</v>
      </c>
      <c r="M486">
        <v>18.489999999999998</v>
      </c>
      <c r="N486">
        <v>7</v>
      </c>
    </row>
    <row r="487" spans="1:14" x14ac:dyDescent="0.25">
      <c r="A487" t="s">
        <v>516</v>
      </c>
      <c r="B487" t="s">
        <v>37</v>
      </c>
      <c r="C487" t="s">
        <v>38</v>
      </c>
      <c r="D487" t="s">
        <v>15</v>
      </c>
      <c r="E487" t="s">
        <v>16</v>
      </c>
      <c r="F487" t="s">
        <v>31</v>
      </c>
      <c r="G487" t="s">
        <v>1037</v>
      </c>
      <c r="H487" t="s">
        <v>1043</v>
      </c>
      <c r="I487" s="1">
        <v>43545</v>
      </c>
      <c r="J487" t="s">
        <v>1045</v>
      </c>
      <c r="K487" s="5">
        <v>0.64236111111111105</v>
      </c>
      <c r="L487" t="s">
        <v>18</v>
      </c>
      <c r="M487">
        <v>9.8979999999999997</v>
      </c>
      <c r="N487">
        <v>6.6</v>
      </c>
    </row>
    <row r="488" spans="1:14" x14ac:dyDescent="0.25">
      <c r="A488" t="s">
        <v>517</v>
      </c>
      <c r="B488" t="s">
        <v>37</v>
      </c>
      <c r="C488" t="s">
        <v>38</v>
      </c>
      <c r="D488" t="s">
        <v>22</v>
      </c>
      <c r="E488" t="s">
        <v>16</v>
      </c>
      <c r="F488" t="s">
        <v>41</v>
      </c>
      <c r="G488" t="s">
        <v>1034</v>
      </c>
      <c r="H488" t="s">
        <v>1042</v>
      </c>
      <c r="I488" s="1">
        <v>43524</v>
      </c>
      <c r="J488" t="s">
        <v>1045</v>
      </c>
      <c r="K488" s="5">
        <v>0.61249999999999993</v>
      </c>
      <c r="L488" t="s">
        <v>24</v>
      </c>
      <c r="M488">
        <v>20.545000000000002</v>
      </c>
      <c r="N488">
        <v>7.3</v>
      </c>
    </row>
    <row r="489" spans="1:14" x14ac:dyDescent="0.25">
      <c r="A489" t="s">
        <v>518</v>
      </c>
      <c r="B489" t="s">
        <v>13</v>
      </c>
      <c r="C489" t="s">
        <v>14</v>
      </c>
      <c r="D489" t="s">
        <v>22</v>
      </c>
      <c r="E489" t="s">
        <v>26</v>
      </c>
      <c r="F489" t="s">
        <v>41</v>
      </c>
      <c r="G489" t="s">
        <v>1038</v>
      </c>
      <c r="H489" t="s">
        <v>1043</v>
      </c>
      <c r="I489" s="1">
        <v>43547</v>
      </c>
      <c r="J489" t="s">
        <v>1046</v>
      </c>
      <c r="K489" s="5">
        <v>0.7909722222222223</v>
      </c>
      <c r="L489" t="s">
        <v>18</v>
      </c>
      <c r="M489">
        <v>7.43</v>
      </c>
      <c r="N489">
        <v>8.3000000000000007</v>
      </c>
    </row>
    <row r="490" spans="1:14" x14ac:dyDescent="0.25">
      <c r="A490" t="s">
        <v>519</v>
      </c>
      <c r="B490" t="s">
        <v>20</v>
      </c>
      <c r="C490" t="s">
        <v>21</v>
      </c>
      <c r="D490" t="s">
        <v>22</v>
      </c>
      <c r="E490" t="s">
        <v>26</v>
      </c>
      <c r="F490" t="s">
        <v>27</v>
      </c>
      <c r="G490" t="s">
        <v>1037</v>
      </c>
      <c r="H490" t="s">
        <v>1041</v>
      </c>
      <c r="I490" s="1">
        <v>43495</v>
      </c>
      <c r="J490" t="s">
        <v>1046</v>
      </c>
      <c r="K490" s="5">
        <v>0.86597222222222225</v>
      </c>
      <c r="L490" t="s">
        <v>24</v>
      </c>
      <c r="M490">
        <v>1.1479999999999999</v>
      </c>
      <c r="N490">
        <v>4.3</v>
      </c>
    </row>
    <row r="491" spans="1:14" x14ac:dyDescent="0.25">
      <c r="A491" t="s">
        <v>520</v>
      </c>
      <c r="B491" t="s">
        <v>37</v>
      </c>
      <c r="C491" t="s">
        <v>38</v>
      </c>
      <c r="D491" t="s">
        <v>15</v>
      </c>
      <c r="E491" t="s">
        <v>16</v>
      </c>
      <c r="F491" t="s">
        <v>27</v>
      </c>
      <c r="G491" t="s">
        <v>1038</v>
      </c>
      <c r="H491" t="s">
        <v>1042</v>
      </c>
      <c r="I491" s="1">
        <v>43500</v>
      </c>
      <c r="J491" t="s">
        <v>1045</v>
      </c>
      <c r="K491" s="5">
        <v>0.55625000000000002</v>
      </c>
      <c r="L491" t="s">
        <v>18</v>
      </c>
      <c r="M491">
        <v>34.956000000000003</v>
      </c>
      <c r="N491">
        <v>9.8000000000000007</v>
      </c>
    </row>
    <row r="492" spans="1:14" x14ac:dyDescent="0.25">
      <c r="A492" t="s">
        <v>521</v>
      </c>
      <c r="B492" t="s">
        <v>37</v>
      </c>
      <c r="C492" t="s">
        <v>38</v>
      </c>
      <c r="D492" t="s">
        <v>22</v>
      </c>
      <c r="E492" t="s">
        <v>16</v>
      </c>
      <c r="F492" t="s">
        <v>41</v>
      </c>
      <c r="G492" t="s">
        <v>1036</v>
      </c>
      <c r="H492" t="s">
        <v>1043</v>
      </c>
      <c r="I492" s="1">
        <v>43537</v>
      </c>
      <c r="J492" t="s">
        <v>1046</v>
      </c>
      <c r="K492" s="5">
        <v>0.82500000000000007</v>
      </c>
      <c r="L492" t="s">
        <v>18</v>
      </c>
      <c r="M492">
        <v>3.47</v>
      </c>
      <c r="N492">
        <v>8.1999999999999993</v>
      </c>
    </row>
    <row r="493" spans="1:14" x14ac:dyDescent="0.25">
      <c r="A493" t="s">
        <v>522</v>
      </c>
      <c r="B493" t="s">
        <v>13</v>
      </c>
      <c r="C493" t="s">
        <v>14</v>
      </c>
      <c r="D493" t="s">
        <v>15</v>
      </c>
      <c r="E493" t="s">
        <v>16</v>
      </c>
      <c r="F493" t="s">
        <v>41</v>
      </c>
      <c r="G493" t="s">
        <v>1036</v>
      </c>
      <c r="H493" t="s">
        <v>1043</v>
      </c>
      <c r="I493" s="1">
        <v>43539</v>
      </c>
      <c r="J493" t="s">
        <v>1046</v>
      </c>
      <c r="K493" s="5">
        <v>0.76388888888888884</v>
      </c>
      <c r="L493" t="s">
        <v>28</v>
      </c>
      <c r="M493">
        <v>9.83</v>
      </c>
      <c r="N493">
        <v>7.2</v>
      </c>
    </row>
    <row r="494" spans="1:14" x14ac:dyDescent="0.25">
      <c r="A494" t="s">
        <v>523</v>
      </c>
      <c r="B494" t="s">
        <v>37</v>
      </c>
      <c r="C494" t="s">
        <v>38</v>
      </c>
      <c r="D494" t="s">
        <v>15</v>
      </c>
      <c r="E494" t="s">
        <v>16</v>
      </c>
      <c r="F494" t="s">
        <v>17</v>
      </c>
      <c r="G494" t="s">
        <v>1035</v>
      </c>
      <c r="H494" t="s">
        <v>1043</v>
      </c>
      <c r="I494" s="1">
        <v>43529</v>
      </c>
      <c r="J494" t="s">
        <v>1046</v>
      </c>
      <c r="K494" s="5">
        <v>0.85</v>
      </c>
      <c r="L494" t="s">
        <v>18</v>
      </c>
      <c r="M494">
        <v>10.128</v>
      </c>
      <c r="N494">
        <v>8.6999999999999993</v>
      </c>
    </row>
    <row r="495" spans="1:14" x14ac:dyDescent="0.25">
      <c r="A495" t="s">
        <v>524</v>
      </c>
      <c r="B495" t="s">
        <v>20</v>
      </c>
      <c r="C495" t="s">
        <v>21</v>
      </c>
      <c r="D495" t="s">
        <v>15</v>
      </c>
      <c r="E495" t="s">
        <v>16</v>
      </c>
      <c r="F495" t="s">
        <v>27</v>
      </c>
      <c r="G495" t="s">
        <v>1035</v>
      </c>
      <c r="H495" t="s">
        <v>1043</v>
      </c>
      <c r="I495" s="1">
        <v>43529</v>
      </c>
      <c r="J495" t="s">
        <v>1045</v>
      </c>
      <c r="K495" s="5">
        <v>0.57222222222222219</v>
      </c>
      <c r="L495" t="s">
        <v>28</v>
      </c>
      <c r="M495">
        <v>6.06</v>
      </c>
      <c r="N495">
        <v>8.4</v>
      </c>
    </row>
    <row r="496" spans="1:14" x14ac:dyDescent="0.25">
      <c r="A496" t="s">
        <v>525</v>
      </c>
      <c r="B496" t="s">
        <v>37</v>
      </c>
      <c r="C496" t="s">
        <v>38</v>
      </c>
      <c r="D496" t="s">
        <v>22</v>
      </c>
      <c r="E496" t="s">
        <v>26</v>
      </c>
      <c r="F496" t="s">
        <v>41</v>
      </c>
      <c r="G496" t="s">
        <v>1034</v>
      </c>
      <c r="H496" t="s">
        <v>1042</v>
      </c>
      <c r="I496" s="1">
        <v>43522</v>
      </c>
      <c r="J496" t="s">
        <v>1044</v>
      </c>
      <c r="K496" s="5">
        <v>0.4916666666666667</v>
      </c>
      <c r="L496" t="s">
        <v>18</v>
      </c>
      <c r="M496">
        <v>9.9890000000000008</v>
      </c>
      <c r="N496">
        <v>7.1</v>
      </c>
    </row>
    <row r="497" spans="1:14" x14ac:dyDescent="0.25">
      <c r="A497" t="s">
        <v>526</v>
      </c>
      <c r="B497" t="s">
        <v>37</v>
      </c>
      <c r="C497" t="s">
        <v>38</v>
      </c>
      <c r="D497" t="s">
        <v>22</v>
      </c>
      <c r="E497" t="s">
        <v>26</v>
      </c>
      <c r="F497" t="s">
        <v>31</v>
      </c>
      <c r="G497" t="s">
        <v>1037</v>
      </c>
      <c r="H497" t="s">
        <v>1043</v>
      </c>
      <c r="I497" s="1">
        <v>43544</v>
      </c>
      <c r="J497" t="s">
        <v>1045</v>
      </c>
      <c r="K497" s="5">
        <v>0.59305555555555556</v>
      </c>
      <c r="L497" t="s">
        <v>24</v>
      </c>
      <c r="M497">
        <v>30.367999999999999</v>
      </c>
      <c r="N497">
        <v>5.5</v>
      </c>
    </row>
    <row r="498" spans="1:14" x14ac:dyDescent="0.25">
      <c r="A498" t="s">
        <v>527</v>
      </c>
      <c r="B498" t="s">
        <v>20</v>
      </c>
      <c r="C498" t="s">
        <v>21</v>
      </c>
      <c r="D498" t="s">
        <v>22</v>
      </c>
      <c r="E498" t="s">
        <v>16</v>
      </c>
      <c r="F498" t="s">
        <v>23</v>
      </c>
      <c r="G498" t="s">
        <v>1040</v>
      </c>
      <c r="H498" t="s">
        <v>1041</v>
      </c>
      <c r="I498" s="1">
        <v>43466</v>
      </c>
      <c r="J498" t="s">
        <v>1045</v>
      </c>
      <c r="K498" s="5">
        <v>0.66041666666666665</v>
      </c>
      <c r="L498" t="s">
        <v>24</v>
      </c>
      <c r="M498">
        <v>6.3220000000000001</v>
      </c>
      <c r="N498">
        <v>8.5</v>
      </c>
    </row>
    <row r="499" spans="1:14" x14ac:dyDescent="0.25">
      <c r="A499" t="s">
        <v>528</v>
      </c>
      <c r="B499" t="s">
        <v>20</v>
      </c>
      <c r="C499" t="s">
        <v>21</v>
      </c>
      <c r="D499" t="s">
        <v>22</v>
      </c>
      <c r="E499" t="s">
        <v>16</v>
      </c>
      <c r="F499" t="s">
        <v>39</v>
      </c>
      <c r="G499" t="s">
        <v>1037</v>
      </c>
      <c r="H499" t="s">
        <v>1041</v>
      </c>
      <c r="I499" s="1">
        <v>43492</v>
      </c>
      <c r="J499" t="s">
        <v>1044</v>
      </c>
      <c r="K499" s="5">
        <v>0.47013888888888888</v>
      </c>
      <c r="L499" t="s">
        <v>24</v>
      </c>
      <c r="M499">
        <v>27.071999999999999</v>
      </c>
      <c r="N499">
        <v>6.2</v>
      </c>
    </row>
    <row r="500" spans="1:14" x14ac:dyDescent="0.25">
      <c r="A500" t="s">
        <v>529</v>
      </c>
      <c r="B500" t="s">
        <v>37</v>
      </c>
      <c r="C500" t="s">
        <v>38</v>
      </c>
      <c r="D500" t="s">
        <v>15</v>
      </c>
      <c r="E500" t="s">
        <v>16</v>
      </c>
      <c r="F500" t="s">
        <v>31</v>
      </c>
      <c r="G500" t="s">
        <v>1036</v>
      </c>
      <c r="H500" t="s">
        <v>1041</v>
      </c>
      <c r="I500" s="1">
        <v>43486</v>
      </c>
      <c r="J500" t="s">
        <v>1046</v>
      </c>
      <c r="K500" s="5">
        <v>0.73333333333333339</v>
      </c>
      <c r="L500" t="s">
        <v>24</v>
      </c>
      <c r="M500">
        <v>4.9065000000000003</v>
      </c>
      <c r="N500">
        <v>8.9</v>
      </c>
    </row>
    <row r="501" spans="1:14" x14ac:dyDescent="0.25">
      <c r="A501" t="s">
        <v>530</v>
      </c>
      <c r="B501" t="s">
        <v>13</v>
      </c>
      <c r="C501" t="s">
        <v>14</v>
      </c>
      <c r="D501" t="s">
        <v>15</v>
      </c>
      <c r="E501" t="s">
        <v>16</v>
      </c>
      <c r="F501" t="s">
        <v>31</v>
      </c>
      <c r="G501" t="s">
        <v>1038</v>
      </c>
      <c r="H501" t="s">
        <v>1042</v>
      </c>
      <c r="I501" s="1">
        <v>43498</v>
      </c>
      <c r="J501" t="s">
        <v>1045</v>
      </c>
      <c r="K501" s="5">
        <v>0.65763888888888888</v>
      </c>
      <c r="L501" t="s">
        <v>24</v>
      </c>
      <c r="M501">
        <v>20.608000000000001</v>
      </c>
      <c r="N501">
        <v>9.6</v>
      </c>
    </row>
    <row r="502" spans="1:14" x14ac:dyDescent="0.25">
      <c r="A502" t="s">
        <v>531</v>
      </c>
      <c r="B502" t="s">
        <v>37</v>
      </c>
      <c r="C502" t="s">
        <v>38</v>
      </c>
      <c r="D502" t="s">
        <v>15</v>
      </c>
      <c r="E502" t="s">
        <v>26</v>
      </c>
      <c r="F502" t="s">
        <v>31</v>
      </c>
      <c r="G502" t="s">
        <v>1038</v>
      </c>
      <c r="H502" t="s">
        <v>1042</v>
      </c>
      <c r="I502" s="1">
        <v>43499</v>
      </c>
      <c r="J502" t="s">
        <v>1045</v>
      </c>
      <c r="K502" s="5">
        <v>0.66180555555555554</v>
      </c>
      <c r="L502" t="s">
        <v>28</v>
      </c>
      <c r="M502">
        <v>3.6985000000000001</v>
      </c>
      <c r="N502">
        <v>5.4</v>
      </c>
    </row>
    <row r="503" spans="1:14" x14ac:dyDescent="0.25">
      <c r="A503" t="s">
        <v>532</v>
      </c>
      <c r="B503" t="s">
        <v>20</v>
      </c>
      <c r="C503" t="s">
        <v>21</v>
      </c>
      <c r="D503" t="s">
        <v>15</v>
      </c>
      <c r="E503" t="s">
        <v>16</v>
      </c>
      <c r="F503" t="s">
        <v>41</v>
      </c>
      <c r="G503" t="s">
        <v>1034</v>
      </c>
      <c r="H503" t="s">
        <v>1041</v>
      </c>
      <c r="I503" s="1">
        <v>43470</v>
      </c>
      <c r="J503" t="s">
        <v>1045</v>
      </c>
      <c r="K503" s="5">
        <v>0.52777777777777779</v>
      </c>
      <c r="L503" t="s">
        <v>18</v>
      </c>
      <c r="M503">
        <v>1.595</v>
      </c>
      <c r="N503">
        <v>9.1</v>
      </c>
    </row>
    <row r="504" spans="1:14" x14ac:dyDescent="0.25">
      <c r="A504" t="s">
        <v>533</v>
      </c>
      <c r="B504" t="s">
        <v>20</v>
      </c>
      <c r="C504" t="s">
        <v>21</v>
      </c>
      <c r="D504" t="s">
        <v>22</v>
      </c>
      <c r="E504" t="s">
        <v>26</v>
      </c>
      <c r="F504" t="s">
        <v>27</v>
      </c>
      <c r="G504" t="s">
        <v>1037</v>
      </c>
      <c r="H504" t="s">
        <v>1041</v>
      </c>
      <c r="I504" s="1">
        <v>43492</v>
      </c>
      <c r="J504" t="s">
        <v>1046</v>
      </c>
      <c r="K504" s="5">
        <v>0.82500000000000007</v>
      </c>
      <c r="L504" t="s">
        <v>18</v>
      </c>
      <c r="M504">
        <v>6.94</v>
      </c>
      <c r="N504">
        <v>9</v>
      </c>
    </row>
    <row r="505" spans="1:14" x14ac:dyDescent="0.25">
      <c r="A505" t="s">
        <v>534</v>
      </c>
      <c r="B505" t="s">
        <v>37</v>
      </c>
      <c r="C505" t="s">
        <v>38</v>
      </c>
      <c r="D505" t="s">
        <v>22</v>
      </c>
      <c r="E505" t="s">
        <v>16</v>
      </c>
      <c r="F505" t="s">
        <v>31</v>
      </c>
      <c r="G505" t="s">
        <v>1038</v>
      </c>
      <c r="H505" t="s">
        <v>1043</v>
      </c>
      <c r="I505" s="1">
        <v>43549</v>
      </c>
      <c r="J505" t="s">
        <v>1046</v>
      </c>
      <c r="K505" s="5">
        <v>0.74513888888888891</v>
      </c>
      <c r="L505" t="s">
        <v>24</v>
      </c>
      <c r="M505">
        <v>9.3309999999999995</v>
      </c>
      <c r="N505">
        <v>6.3</v>
      </c>
    </row>
    <row r="506" spans="1:14" x14ac:dyDescent="0.25">
      <c r="A506" t="s">
        <v>535</v>
      </c>
      <c r="B506" t="s">
        <v>37</v>
      </c>
      <c r="C506" t="s">
        <v>38</v>
      </c>
      <c r="D506" t="s">
        <v>22</v>
      </c>
      <c r="E506" t="s">
        <v>26</v>
      </c>
      <c r="F506" t="s">
        <v>31</v>
      </c>
      <c r="G506" t="s">
        <v>1034</v>
      </c>
      <c r="H506" t="s">
        <v>1042</v>
      </c>
      <c r="I506" s="1">
        <v>43521</v>
      </c>
      <c r="J506" t="s">
        <v>1046</v>
      </c>
      <c r="K506" s="5">
        <v>0.69166666666666676</v>
      </c>
      <c r="L506" t="s">
        <v>28</v>
      </c>
      <c r="M506">
        <v>4.4225000000000003</v>
      </c>
      <c r="N506">
        <v>9.5</v>
      </c>
    </row>
    <row r="507" spans="1:14" x14ac:dyDescent="0.25">
      <c r="A507" t="s">
        <v>536</v>
      </c>
      <c r="B507" t="s">
        <v>13</v>
      </c>
      <c r="C507" t="s">
        <v>14</v>
      </c>
      <c r="D507" t="s">
        <v>15</v>
      </c>
      <c r="E507" t="s">
        <v>26</v>
      </c>
      <c r="F507" t="s">
        <v>23</v>
      </c>
      <c r="G507" t="s">
        <v>1037</v>
      </c>
      <c r="H507" t="s">
        <v>1041</v>
      </c>
      <c r="I507" s="1">
        <v>43493</v>
      </c>
      <c r="J507" t="s">
        <v>1046</v>
      </c>
      <c r="K507" s="5">
        <v>0.87083333333333324</v>
      </c>
      <c r="L507" t="s">
        <v>18</v>
      </c>
      <c r="M507">
        <v>9.6720000000000006</v>
      </c>
      <c r="N507">
        <v>9.8000000000000007</v>
      </c>
    </row>
    <row r="508" spans="1:14" x14ac:dyDescent="0.25">
      <c r="A508" t="s">
        <v>537</v>
      </c>
      <c r="B508" t="s">
        <v>37</v>
      </c>
      <c r="C508" t="s">
        <v>38</v>
      </c>
      <c r="D508" t="s">
        <v>15</v>
      </c>
      <c r="E508" t="s">
        <v>16</v>
      </c>
      <c r="F508" t="s">
        <v>31</v>
      </c>
      <c r="G508" t="s">
        <v>1034</v>
      </c>
      <c r="H508" t="s">
        <v>1041</v>
      </c>
      <c r="I508" s="1">
        <v>43473</v>
      </c>
      <c r="J508" t="s">
        <v>1045</v>
      </c>
      <c r="K508" s="5">
        <v>0.53472222222222221</v>
      </c>
      <c r="L508" t="s">
        <v>24</v>
      </c>
      <c r="M508">
        <v>7.2750000000000004</v>
      </c>
      <c r="N508">
        <v>6.7</v>
      </c>
    </row>
    <row r="509" spans="1:14" x14ac:dyDescent="0.25">
      <c r="A509" t="s">
        <v>538</v>
      </c>
      <c r="B509" t="s">
        <v>37</v>
      </c>
      <c r="C509" t="s">
        <v>38</v>
      </c>
      <c r="D509" t="s">
        <v>22</v>
      </c>
      <c r="E509" t="s">
        <v>16</v>
      </c>
      <c r="F509" t="s">
        <v>39</v>
      </c>
      <c r="G509" t="s">
        <v>1037</v>
      </c>
      <c r="H509" t="s">
        <v>1041</v>
      </c>
      <c r="I509" s="1">
        <v>43494</v>
      </c>
      <c r="J509" t="s">
        <v>1044</v>
      </c>
      <c r="K509" s="5">
        <v>0.45</v>
      </c>
      <c r="L509" t="s">
        <v>28</v>
      </c>
      <c r="M509">
        <v>25.215</v>
      </c>
      <c r="N509">
        <v>7.7</v>
      </c>
    </row>
    <row r="510" spans="1:14" x14ac:dyDescent="0.25">
      <c r="A510" t="s">
        <v>539</v>
      </c>
      <c r="B510" t="s">
        <v>37</v>
      </c>
      <c r="C510" t="s">
        <v>38</v>
      </c>
      <c r="D510" t="s">
        <v>15</v>
      </c>
      <c r="E510" t="s">
        <v>26</v>
      </c>
      <c r="F510" t="s">
        <v>17</v>
      </c>
      <c r="G510" t="s">
        <v>1038</v>
      </c>
      <c r="H510" t="s">
        <v>1043</v>
      </c>
      <c r="I510" s="1">
        <v>43553</v>
      </c>
      <c r="J510" t="s">
        <v>1045</v>
      </c>
      <c r="K510" s="5">
        <v>0.60277777777777775</v>
      </c>
      <c r="L510" t="s">
        <v>24</v>
      </c>
      <c r="M510">
        <v>15.3225</v>
      </c>
      <c r="N510">
        <v>7</v>
      </c>
    </row>
    <row r="511" spans="1:14" x14ac:dyDescent="0.25">
      <c r="A511" t="s">
        <v>540</v>
      </c>
      <c r="B511" t="s">
        <v>20</v>
      </c>
      <c r="C511" t="s">
        <v>21</v>
      </c>
      <c r="D511" t="s">
        <v>15</v>
      </c>
      <c r="E511" t="s">
        <v>16</v>
      </c>
      <c r="F511" t="s">
        <v>27</v>
      </c>
      <c r="G511" t="s">
        <v>1039</v>
      </c>
      <c r="H511" t="s">
        <v>1042</v>
      </c>
      <c r="I511" s="1">
        <v>43505</v>
      </c>
      <c r="J511" t="s">
        <v>1046</v>
      </c>
      <c r="K511" s="5">
        <v>0.71875</v>
      </c>
      <c r="L511" t="s">
        <v>28</v>
      </c>
      <c r="M511">
        <v>4.7850000000000001</v>
      </c>
      <c r="N511">
        <v>5.0999999999999996</v>
      </c>
    </row>
    <row r="512" spans="1:14" x14ac:dyDescent="0.25">
      <c r="A512" t="s">
        <v>541</v>
      </c>
      <c r="B512" t="s">
        <v>37</v>
      </c>
      <c r="C512" t="s">
        <v>38</v>
      </c>
      <c r="D512" t="s">
        <v>15</v>
      </c>
      <c r="E512" t="s">
        <v>16</v>
      </c>
      <c r="F512" t="s">
        <v>31</v>
      </c>
      <c r="G512" t="s">
        <v>1035</v>
      </c>
      <c r="H512" t="s">
        <v>1041</v>
      </c>
      <c r="I512" s="1">
        <v>43481</v>
      </c>
      <c r="J512" t="s">
        <v>1046</v>
      </c>
      <c r="K512" s="5">
        <v>0.75208333333333333</v>
      </c>
      <c r="L512" t="s">
        <v>28</v>
      </c>
      <c r="M512">
        <v>31.759</v>
      </c>
      <c r="N512">
        <v>6.2</v>
      </c>
    </row>
    <row r="513" spans="1:14" x14ac:dyDescent="0.25">
      <c r="A513" t="s">
        <v>542</v>
      </c>
      <c r="B513" t="s">
        <v>13</v>
      </c>
      <c r="C513" t="s">
        <v>14</v>
      </c>
      <c r="D513" t="s">
        <v>22</v>
      </c>
      <c r="E513" t="s">
        <v>16</v>
      </c>
      <c r="F513" t="s">
        <v>27</v>
      </c>
      <c r="G513" t="s">
        <v>1034</v>
      </c>
      <c r="H513" t="s">
        <v>1041</v>
      </c>
      <c r="I513" s="1">
        <v>43470</v>
      </c>
      <c r="J513" t="s">
        <v>1046</v>
      </c>
      <c r="K513" s="5">
        <v>0.7284722222222223</v>
      </c>
      <c r="L513" t="s">
        <v>18</v>
      </c>
      <c r="M513">
        <v>10.727499999999999</v>
      </c>
      <c r="N513">
        <v>6.1</v>
      </c>
    </row>
    <row r="514" spans="1:14" x14ac:dyDescent="0.25">
      <c r="A514" t="s">
        <v>543</v>
      </c>
      <c r="B514" t="s">
        <v>13</v>
      </c>
      <c r="C514" t="s">
        <v>14</v>
      </c>
      <c r="D514" t="s">
        <v>22</v>
      </c>
      <c r="E514" t="s">
        <v>16</v>
      </c>
      <c r="F514" t="s">
        <v>41</v>
      </c>
      <c r="G514" t="s">
        <v>1037</v>
      </c>
      <c r="H514" t="s">
        <v>1041</v>
      </c>
      <c r="I514" s="1">
        <v>43492</v>
      </c>
      <c r="J514" t="s">
        <v>1046</v>
      </c>
      <c r="K514" s="5">
        <v>0.75347222222222221</v>
      </c>
      <c r="L514" t="s">
        <v>18</v>
      </c>
      <c r="M514">
        <v>18.998000000000001</v>
      </c>
      <c r="N514">
        <v>9.3000000000000007</v>
      </c>
    </row>
    <row r="515" spans="1:14" x14ac:dyDescent="0.25">
      <c r="A515" t="s">
        <v>544</v>
      </c>
      <c r="B515" t="s">
        <v>13</v>
      </c>
      <c r="C515" t="s">
        <v>14</v>
      </c>
      <c r="D515" t="s">
        <v>22</v>
      </c>
      <c r="E515" t="s">
        <v>26</v>
      </c>
      <c r="F515" t="s">
        <v>23</v>
      </c>
      <c r="G515" t="s">
        <v>1036</v>
      </c>
      <c r="H515" t="s">
        <v>1043</v>
      </c>
      <c r="I515" s="1">
        <v>43538</v>
      </c>
      <c r="J515" t="s">
        <v>1045</v>
      </c>
      <c r="K515" s="5">
        <v>0.50486111111111109</v>
      </c>
      <c r="L515" t="s">
        <v>24</v>
      </c>
      <c r="M515">
        <v>34.842500000000001</v>
      </c>
      <c r="N515">
        <v>7.6</v>
      </c>
    </row>
    <row r="516" spans="1:14" x14ac:dyDescent="0.25">
      <c r="A516" t="s">
        <v>545</v>
      </c>
      <c r="B516" t="s">
        <v>20</v>
      </c>
      <c r="C516" t="s">
        <v>21</v>
      </c>
      <c r="D516" t="s">
        <v>15</v>
      </c>
      <c r="E516" t="s">
        <v>26</v>
      </c>
      <c r="F516" t="s">
        <v>31</v>
      </c>
      <c r="G516" t="s">
        <v>1034</v>
      </c>
      <c r="H516" t="s">
        <v>1042</v>
      </c>
      <c r="I516" s="1">
        <v>43519</v>
      </c>
      <c r="J516" t="s">
        <v>1046</v>
      </c>
      <c r="K516" s="5">
        <v>0.8256944444444444</v>
      </c>
      <c r="L516" t="s">
        <v>28</v>
      </c>
      <c r="M516">
        <v>20.436499999999999</v>
      </c>
      <c r="N516">
        <v>8.1999999999999993</v>
      </c>
    </row>
    <row r="517" spans="1:14" x14ac:dyDescent="0.25">
      <c r="A517" t="s">
        <v>546</v>
      </c>
      <c r="B517" t="s">
        <v>20</v>
      </c>
      <c r="C517" t="s">
        <v>21</v>
      </c>
      <c r="D517" t="s">
        <v>15</v>
      </c>
      <c r="E517" t="s">
        <v>16</v>
      </c>
      <c r="F517" t="s">
        <v>41</v>
      </c>
      <c r="G517" t="s">
        <v>1037</v>
      </c>
      <c r="H517" t="s">
        <v>1043</v>
      </c>
      <c r="I517" s="1">
        <v>43542</v>
      </c>
      <c r="J517" t="s">
        <v>1045</v>
      </c>
      <c r="K517" s="5">
        <v>0.66111111111111109</v>
      </c>
      <c r="L517" t="s">
        <v>18</v>
      </c>
      <c r="M517">
        <v>2.5735000000000001</v>
      </c>
      <c r="N517">
        <v>8.5</v>
      </c>
    </row>
    <row r="518" spans="1:14" x14ac:dyDescent="0.25">
      <c r="A518" t="s">
        <v>547</v>
      </c>
      <c r="B518" t="s">
        <v>37</v>
      </c>
      <c r="C518" t="s">
        <v>38</v>
      </c>
      <c r="D518" t="s">
        <v>15</v>
      </c>
      <c r="E518" t="s">
        <v>26</v>
      </c>
      <c r="F518" t="s">
        <v>17</v>
      </c>
      <c r="G518" t="s">
        <v>1038</v>
      </c>
      <c r="H518" t="s">
        <v>1043</v>
      </c>
      <c r="I518" s="1">
        <v>43553</v>
      </c>
      <c r="J518" t="s">
        <v>1046</v>
      </c>
      <c r="K518" s="5">
        <v>0.70000000000000007</v>
      </c>
      <c r="L518" t="s">
        <v>18</v>
      </c>
      <c r="M518">
        <v>13.715</v>
      </c>
      <c r="N518">
        <v>9.8000000000000007</v>
      </c>
    </row>
    <row r="519" spans="1:14" x14ac:dyDescent="0.25">
      <c r="A519" t="s">
        <v>548</v>
      </c>
      <c r="B519" t="s">
        <v>20</v>
      </c>
      <c r="C519" t="s">
        <v>21</v>
      </c>
      <c r="D519" t="s">
        <v>15</v>
      </c>
      <c r="E519" t="s">
        <v>26</v>
      </c>
      <c r="F519" t="s">
        <v>27</v>
      </c>
      <c r="G519" t="s">
        <v>1036</v>
      </c>
      <c r="H519" t="s">
        <v>1041</v>
      </c>
      <c r="I519" s="1">
        <v>43487</v>
      </c>
      <c r="J519" t="s">
        <v>1046</v>
      </c>
      <c r="K519" s="5">
        <v>0.8652777777777777</v>
      </c>
      <c r="L519" t="s">
        <v>28</v>
      </c>
      <c r="M519">
        <v>9.8475000000000001</v>
      </c>
      <c r="N519">
        <v>8.6999999999999993</v>
      </c>
    </row>
    <row r="520" spans="1:14" x14ac:dyDescent="0.25">
      <c r="A520" t="s">
        <v>549</v>
      </c>
      <c r="B520" t="s">
        <v>13</v>
      </c>
      <c r="C520" t="s">
        <v>14</v>
      </c>
      <c r="D520" t="s">
        <v>22</v>
      </c>
      <c r="E520" t="s">
        <v>26</v>
      </c>
      <c r="F520" t="s">
        <v>27</v>
      </c>
      <c r="G520" t="s">
        <v>1034</v>
      </c>
      <c r="H520" t="s">
        <v>1043</v>
      </c>
      <c r="I520" s="1">
        <v>43525</v>
      </c>
      <c r="J520" t="s">
        <v>1046</v>
      </c>
      <c r="K520" s="5">
        <v>0.7597222222222223</v>
      </c>
      <c r="L520" t="s">
        <v>18</v>
      </c>
      <c r="M520">
        <v>3.4729999999999999</v>
      </c>
      <c r="N520">
        <v>9.6999999999999993</v>
      </c>
    </row>
    <row r="521" spans="1:14" x14ac:dyDescent="0.25">
      <c r="A521" t="s">
        <v>550</v>
      </c>
      <c r="B521" t="s">
        <v>20</v>
      </c>
      <c r="C521" t="s">
        <v>21</v>
      </c>
      <c r="D521" t="s">
        <v>15</v>
      </c>
      <c r="E521" t="s">
        <v>26</v>
      </c>
      <c r="F521" t="s">
        <v>31</v>
      </c>
      <c r="G521" t="s">
        <v>1035</v>
      </c>
      <c r="H521" t="s">
        <v>1041</v>
      </c>
      <c r="I521" s="1">
        <v>43482</v>
      </c>
      <c r="J521" t="s">
        <v>1045</v>
      </c>
      <c r="K521" s="5">
        <v>0.62847222222222221</v>
      </c>
      <c r="L521" t="s">
        <v>28</v>
      </c>
      <c r="M521">
        <v>17.98</v>
      </c>
      <c r="N521">
        <v>4.3</v>
      </c>
    </row>
    <row r="522" spans="1:14" x14ac:dyDescent="0.25">
      <c r="A522" t="s">
        <v>551</v>
      </c>
      <c r="B522" t="s">
        <v>37</v>
      </c>
      <c r="C522" t="s">
        <v>38</v>
      </c>
      <c r="D522" t="s">
        <v>22</v>
      </c>
      <c r="E522" t="s">
        <v>16</v>
      </c>
      <c r="F522" t="s">
        <v>23</v>
      </c>
      <c r="G522" t="s">
        <v>1038</v>
      </c>
      <c r="H522" t="s">
        <v>1043</v>
      </c>
      <c r="I522" s="1">
        <v>43550</v>
      </c>
      <c r="J522" t="s">
        <v>1044</v>
      </c>
      <c r="K522" s="5">
        <v>0.44027777777777777</v>
      </c>
      <c r="L522" t="s">
        <v>28</v>
      </c>
      <c r="M522">
        <v>6.8564999999999996</v>
      </c>
      <c r="N522">
        <v>7.7</v>
      </c>
    </row>
    <row r="523" spans="1:14" x14ac:dyDescent="0.25">
      <c r="A523" t="s">
        <v>552</v>
      </c>
      <c r="B523" t="s">
        <v>20</v>
      </c>
      <c r="C523" t="s">
        <v>21</v>
      </c>
      <c r="D523" t="s">
        <v>15</v>
      </c>
      <c r="E523" t="s">
        <v>16</v>
      </c>
      <c r="F523" t="s">
        <v>27</v>
      </c>
      <c r="G523" t="s">
        <v>1037</v>
      </c>
      <c r="H523" t="s">
        <v>1043</v>
      </c>
      <c r="I523" s="1">
        <v>43544</v>
      </c>
      <c r="J523" t="s">
        <v>1044</v>
      </c>
      <c r="K523" s="5">
        <v>0.47430555555555554</v>
      </c>
      <c r="L523" t="s">
        <v>24</v>
      </c>
      <c r="M523">
        <v>24.951000000000001</v>
      </c>
      <c r="N523">
        <v>7.3</v>
      </c>
    </row>
    <row r="524" spans="1:14" x14ac:dyDescent="0.25">
      <c r="A524" t="s">
        <v>553</v>
      </c>
      <c r="B524" t="s">
        <v>13</v>
      </c>
      <c r="C524" t="s">
        <v>14</v>
      </c>
      <c r="D524" t="s">
        <v>15</v>
      </c>
      <c r="E524" t="s">
        <v>16</v>
      </c>
      <c r="F524" t="s">
        <v>27</v>
      </c>
      <c r="G524" t="s">
        <v>1038</v>
      </c>
      <c r="H524" t="s">
        <v>1042</v>
      </c>
      <c r="I524" s="1">
        <v>43502</v>
      </c>
      <c r="J524" t="s">
        <v>1045</v>
      </c>
      <c r="K524" s="5">
        <v>0.57986111111111105</v>
      </c>
      <c r="L524" t="s">
        <v>28</v>
      </c>
      <c r="M524">
        <v>11.231999999999999</v>
      </c>
      <c r="N524">
        <v>5.9</v>
      </c>
    </row>
    <row r="525" spans="1:14" x14ac:dyDescent="0.25">
      <c r="A525" t="s">
        <v>554</v>
      </c>
      <c r="B525" t="s">
        <v>20</v>
      </c>
      <c r="C525" t="s">
        <v>21</v>
      </c>
      <c r="D525" t="s">
        <v>22</v>
      </c>
      <c r="E525" t="s">
        <v>26</v>
      </c>
      <c r="F525" t="s">
        <v>17</v>
      </c>
      <c r="G525" t="s">
        <v>1040</v>
      </c>
      <c r="H525" t="s">
        <v>1041</v>
      </c>
      <c r="I525" s="1">
        <v>43466</v>
      </c>
      <c r="J525" t="s">
        <v>1044</v>
      </c>
      <c r="K525" s="5">
        <v>0.48819444444444443</v>
      </c>
      <c r="L525" t="s">
        <v>24</v>
      </c>
      <c r="M525">
        <v>6.2869999999999999</v>
      </c>
      <c r="N525">
        <v>5</v>
      </c>
    </row>
    <row r="526" spans="1:14" x14ac:dyDescent="0.25">
      <c r="A526" t="s">
        <v>555</v>
      </c>
      <c r="B526" t="s">
        <v>13</v>
      </c>
      <c r="C526" t="s">
        <v>14</v>
      </c>
      <c r="D526" t="s">
        <v>22</v>
      </c>
      <c r="E526" t="s">
        <v>26</v>
      </c>
      <c r="F526" t="s">
        <v>39</v>
      </c>
      <c r="G526" t="s">
        <v>1037</v>
      </c>
      <c r="H526" t="s">
        <v>1041</v>
      </c>
      <c r="I526" s="1">
        <v>43492</v>
      </c>
      <c r="J526" t="s">
        <v>1045</v>
      </c>
      <c r="K526" s="5">
        <v>0.60833333333333328</v>
      </c>
      <c r="L526" t="s">
        <v>28</v>
      </c>
      <c r="M526">
        <v>24.513000000000002</v>
      </c>
      <c r="N526">
        <v>8</v>
      </c>
    </row>
    <row r="527" spans="1:14" x14ac:dyDescent="0.25">
      <c r="A527" t="s">
        <v>556</v>
      </c>
      <c r="B527" t="s">
        <v>13</v>
      </c>
      <c r="C527" t="s">
        <v>14</v>
      </c>
      <c r="D527" t="s">
        <v>15</v>
      </c>
      <c r="E527" t="s">
        <v>16</v>
      </c>
      <c r="F527" t="s">
        <v>31</v>
      </c>
      <c r="G527" t="s">
        <v>1034</v>
      </c>
      <c r="H527" t="s">
        <v>1042</v>
      </c>
      <c r="I527" s="1">
        <v>43521</v>
      </c>
      <c r="J527" t="s">
        <v>1046</v>
      </c>
      <c r="K527" s="5">
        <v>0.66875000000000007</v>
      </c>
      <c r="L527" t="s">
        <v>18</v>
      </c>
      <c r="M527">
        <v>22.852499999999999</v>
      </c>
      <c r="N527">
        <v>7.1</v>
      </c>
    </row>
    <row r="528" spans="1:14" x14ac:dyDescent="0.25">
      <c r="A528" t="s">
        <v>557</v>
      </c>
      <c r="B528" t="s">
        <v>37</v>
      </c>
      <c r="C528" t="s">
        <v>38</v>
      </c>
      <c r="D528" t="s">
        <v>22</v>
      </c>
      <c r="E528" t="s">
        <v>26</v>
      </c>
      <c r="F528" t="s">
        <v>41</v>
      </c>
      <c r="G528" t="s">
        <v>1035</v>
      </c>
      <c r="H528" t="s">
        <v>1041</v>
      </c>
      <c r="I528" s="1">
        <v>43481</v>
      </c>
      <c r="J528" t="s">
        <v>1046</v>
      </c>
      <c r="K528" s="5">
        <v>0.8354166666666667</v>
      </c>
      <c r="L528" t="s">
        <v>28</v>
      </c>
      <c r="M528">
        <v>7.8419999999999996</v>
      </c>
      <c r="N528">
        <v>9</v>
      </c>
    </row>
    <row r="529" spans="1:14" x14ac:dyDescent="0.25">
      <c r="A529" t="s">
        <v>558</v>
      </c>
      <c r="B529" t="s">
        <v>37</v>
      </c>
      <c r="C529" t="s">
        <v>38</v>
      </c>
      <c r="D529" t="s">
        <v>15</v>
      </c>
      <c r="E529" t="s">
        <v>26</v>
      </c>
      <c r="F529" t="s">
        <v>41</v>
      </c>
      <c r="G529" t="s">
        <v>1035</v>
      </c>
      <c r="H529" t="s">
        <v>1041</v>
      </c>
      <c r="I529" s="1">
        <v>43478</v>
      </c>
      <c r="J529" t="s">
        <v>1045</v>
      </c>
      <c r="K529" s="5">
        <v>0.62152777777777779</v>
      </c>
      <c r="L529" t="s">
        <v>18</v>
      </c>
      <c r="M529">
        <v>5.9859999999999998</v>
      </c>
      <c r="N529">
        <v>6.7</v>
      </c>
    </row>
    <row r="530" spans="1:14" x14ac:dyDescent="0.25">
      <c r="A530" t="s">
        <v>559</v>
      </c>
      <c r="B530" t="s">
        <v>37</v>
      </c>
      <c r="C530" t="s">
        <v>38</v>
      </c>
      <c r="D530" t="s">
        <v>15</v>
      </c>
      <c r="E530" t="s">
        <v>16</v>
      </c>
      <c r="F530" t="s">
        <v>39</v>
      </c>
      <c r="G530" t="s">
        <v>1038</v>
      </c>
      <c r="H530" t="s">
        <v>1042</v>
      </c>
      <c r="I530" s="1">
        <v>43503</v>
      </c>
      <c r="J530" t="s">
        <v>1044</v>
      </c>
      <c r="K530" s="5">
        <v>0.4777777777777778</v>
      </c>
      <c r="L530" t="s">
        <v>28</v>
      </c>
      <c r="M530">
        <v>27.18</v>
      </c>
      <c r="N530">
        <v>6.1</v>
      </c>
    </row>
    <row r="531" spans="1:14" x14ac:dyDescent="0.25">
      <c r="A531" t="s">
        <v>560</v>
      </c>
      <c r="B531" t="s">
        <v>13</v>
      </c>
      <c r="C531" t="s">
        <v>14</v>
      </c>
      <c r="D531" t="s">
        <v>22</v>
      </c>
      <c r="E531" t="s">
        <v>26</v>
      </c>
      <c r="F531" t="s">
        <v>31</v>
      </c>
      <c r="G531" t="s">
        <v>1040</v>
      </c>
      <c r="H531" t="s">
        <v>1042</v>
      </c>
      <c r="I531" s="1">
        <v>43513</v>
      </c>
      <c r="J531" t="s">
        <v>1046</v>
      </c>
      <c r="K531" s="5">
        <v>0.82013888888888886</v>
      </c>
      <c r="L531" t="s">
        <v>24</v>
      </c>
      <c r="M531">
        <v>44.140500000000003</v>
      </c>
      <c r="N531">
        <v>9.3000000000000007</v>
      </c>
    </row>
    <row r="532" spans="1:14" x14ac:dyDescent="0.25">
      <c r="A532" t="s">
        <v>561</v>
      </c>
      <c r="B532" t="s">
        <v>13</v>
      </c>
      <c r="C532" t="s">
        <v>14</v>
      </c>
      <c r="D532" t="s">
        <v>22</v>
      </c>
      <c r="E532" t="s">
        <v>26</v>
      </c>
      <c r="F532" t="s">
        <v>17</v>
      </c>
      <c r="G532" t="s">
        <v>1039</v>
      </c>
      <c r="H532" t="s">
        <v>1042</v>
      </c>
      <c r="I532" s="1">
        <v>43508</v>
      </c>
      <c r="J532" t="s">
        <v>1046</v>
      </c>
      <c r="K532" s="5">
        <v>0.79236111111111107</v>
      </c>
      <c r="L532" t="s">
        <v>18</v>
      </c>
      <c r="M532">
        <v>7.6289999999999996</v>
      </c>
      <c r="N532">
        <v>7</v>
      </c>
    </row>
    <row r="533" spans="1:14" x14ac:dyDescent="0.25">
      <c r="A533" t="s">
        <v>562</v>
      </c>
      <c r="B533" t="s">
        <v>13</v>
      </c>
      <c r="C533" t="s">
        <v>14</v>
      </c>
      <c r="D533" t="s">
        <v>15</v>
      </c>
      <c r="E533" t="s">
        <v>26</v>
      </c>
      <c r="F533" t="s">
        <v>41</v>
      </c>
      <c r="G533" t="s">
        <v>1036</v>
      </c>
      <c r="H533" t="s">
        <v>1041</v>
      </c>
      <c r="I533" s="1">
        <v>43489</v>
      </c>
      <c r="J533" t="s">
        <v>1046</v>
      </c>
      <c r="K533" s="5">
        <v>0.75277777777777777</v>
      </c>
      <c r="L533" t="s">
        <v>28</v>
      </c>
      <c r="M533">
        <v>34.671999999999997</v>
      </c>
      <c r="N533">
        <v>7.2</v>
      </c>
    </row>
    <row r="534" spans="1:14" x14ac:dyDescent="0.25">
      <c r="A534" t="s">
        <v>563</v>
      </c>
      <c r="B534" t="s">
        <v>37</v>
      </c>
      <c r="C534" t="s">
        <v>38</v>
      </c>
      <c r="D534" t="s">
        <v>22</v>
      </c>
      <c r="E534" t="s">
        <v>26</v>
      </c>
      <c r="F534" t="s">
        <v>23</v>
      </c>
      <c r="G534" t="s">
        <v>1038</v>
      </c>
      <c r="H534" t="s">
        <v>1042</v>
      </c>
      <c r="I534" s="1">
        <v>43502</v>
      </c>
      <c r="J534" t="s">
        <v>1046</v>
      </c>
      <c r="K534" s="5">
        <v>0.80555555555555547</v>
      </c>
      <c r="L534" t="s">
        <v>18</v>
      </c>
      <c r="M534">
        <v>11.475</v>
      </c>
      <c r="N534">
        <v>8.1999999999999993</v>
      </c>
    </row>
    <row r="535" spans="1:14" x14ac:dyDescent="0.25">
      <c r="A535" t="s">
        <v>564</v>
      </c>
      <c r="B535" t="s">
        <v>20</v>
      </c>
      <c r="C535" t="s">
        <v>21</v>
      </c>
      <c r="D535" t="s">
        <v>22</v>
      </c>
      <c r="E535" t="s">
        <v>16</v>
      </c>
      <c r="F535" t="s">
        <v>39</v>
      </c>
      <c r="G535" t="s">
        <v>1038</v>
      </c>
      <c r="H535" t="s">
        <v>1043</v>
      </c>
      <c r="I535" s="1">
        <v>43550</v>
      </c>
      <c r="J535" t="s">
        <v>1044</v>
      </c>
      <c r="K535" s="5">
        <v>0.4381944444444445</v>
      </c>
      <c r="L535" t="s">
        <v>18</v>
      </c>
      <c r="M535">
        <v>7.3395000000000001</v>
      </c>
      <c r="N535">
        <v>8.4</v>
      </c>
    </row>
    <row r="536" spans="1:14" x14ac:dyDescent="0.25">
      <c r="A536" t="s">
        <v>565</v>
      </c>
      <c r="B536" t="s">
        <v>13</v>
      </c>
      <c r="C536" t="s">
        <v>14</v>
      </c>
      <c r="D536" t="s">
        <v>22</v>
      </c>
      <c r="E536" t="s">
        <v>16</v>
      </c>
      <c r="F536" t="s">
        <v>27</v>
      </c>
      <c r="G536" t="s">
        <v>1036</v>
      </c>
      <c r="H536" t="s">
        <v>1043</v>
      </c>
      <c r="I536" s="1">
        <v>43535</v>
      </c>
      <c r="J536" t="s">
        <v>1045</v>
      </c>
      <c r="K536" s="5">
        <v>0.56111111111111112</v>
      </c>
      <c r="L536" t="s">
        <v>18</v>
      </c>
      <c r="M536">
        <v>7.08</v>
      </c>
      <c r="N536">
        <v>6.2</v>
      </c>
    </row>
    <row r="537" spans="1:14" x14ac:dyDescent="0.25">
      <c r="A537" t="s">
        <v>566</v>
      </c>
      <c r="B537" t="s">
        <v>20</v>
      </c>
      <c r="C537" t="s">
        <v>21</v>
      </c>
      <c r="D537" t="s">
        <v>22</v>
      </c>
      <c r="E537" t="s">
        <v>26</v>
      </c>
      <c r="F537" t="s">
        <v>27</v>
      </c>
      <c r="G537" t="s">
        <v>1038</v>
      </c>
      <c r="H537" t="s">
        <v>1042</v>
      </c>
      <c r="I537" s="1">
        <v>43503</v>
      </c>
      <c r="J537" t="s">
        <v>1044</v>
      </c>
      <c r="K537" s="5">
        <v>0.48333333333333334</v>
      </c>
      <c r="L537" t="s">
        <v>18</v>
      </c>
      <c r="M537">
        <v>5.8345000000000002</v>
      </c>
      <c r="N537">
        <v>7.4</v>
      </c>
    </row>
    <row r="538" spans="1:14" x14ac:dyDescent="0.25">
      <c r="A538" t="s">
        <v>567</v>
      </c>
      <c r="B538" t="s">
        <v>37</v>
      </c>
      <c r="C538" t="s">
        <v>38</v>
      </c>
      <c r="D538" t="s">
        <v>15</v>
      </c>
      <c r="E538" t="s">
        <v>16</v>
      </c>
      <c r="F538" t="s">
        <v>41</v>
      </c>
      <c r="G538" t="s">
        <v>1034</v>
      </c>
      <c r="H538" t="s">
        <v>1041</v>
      </c>
      <c r="I538" s="1">
        <v>43470</v>
      </c>
      <c r="J538" t="s">
        <v>1044</v>
      </c>
      <c r="K538" s="5">
        <v>0.48055555555555557</v>
      </c>
      <c r="L538" t="s">
        <v>28</v>
      </c>
      <c r="M538">
        <v>3.698</v>
      </c>
      <c r="N538">
        <v>5</v>
      </c>
    </row>
    <row r="539" spans="1:14" x14ac:dyDescent="0.25">
      <c r="A539" t="s">
        <v>568</v>
      </c>
      <c r="B539" t="s">
        <v>13</v>
      </c>
      <c r="C539" t="s">
        <v>14</v>
      </c>
      <c r="D539" t="s">
        <v>22</v>
      </c>
      <c r="E539" t="s">
        <v>26</v>
      </c>
      <c r="F539" t="s">
        <v>27</v>
      </c>
      <c r="G539" t="s">
        <v>1035</v>
      </c>
      <c r="H539" t="s">
        <v>1043</v>
      </c>
      <c r="I539" s="1">
        <v>43531</v>
      </c>
      <c r="J539" t="s">
        <v>1044</v>
      </c>
      <c r="K539" s="5">
        <v>0.48888888888888887</v>
      </c>
      <c r="L539" t="s">
        <v>18</v>
      </c>
      <c r="M539">
        <v>4.8970000000000002</v>
      </c>
      <c r="N539">
        <v>6.9</v>
      </c>
    </row>
    <row r="540" spans="1:14" x14ac:dyDescent="0.25">
      <c r="A540" t="s">
        <v>569</v>
      </c>
      <c r="B540" t="s">
        <v>13</v>
      </c>
      <c r="C540" t="s">
        <v>14</v>
      </c>
      <c r="D540" t="s">
        <v>22</v>
      </c>
      <c r="E540" t="s">
        <v>16</v>
      </c>
      <c r="F540" t="s">
        <v>41</v>
      </c>
      <c r="G540" t="s">
        <v>1034</v>
      </c>
      <c r="H540" t="s">
        <v>1042</v>
      </c>
      <c r="I540" s="1">
        <v>43521</v>
      </c>
      <c r="J540" t="s">
        <v>1046</v>
      </c>
      <c r="K540" s="5">
        <v>0.71944444444444444</v>
      </c>
      <c r="L540" t="s">
        <v>28</v>
      </c>
      <c r="M540">
        <v>14.61</v>
      </c>
      <c r="N540">
        <v>4.9000000000000004</v>
      </c>
    </row>
    <row r="541" spans="1:14" x14ac:dyDescent="0.25">
      <c r="A541" t="s">
        <v>570</v>
      </c>
      <c r="B541" t="s">
        <v>20</v>
      </c>
      <c r="C541" t="s">
        <v>21</v>
      </c>
      <c r="D541" t="s">
        <v>15</v>
      </c>
      <c r="E541" t="s">
        <v>16</v>
      </c>
      <c r="F541" t="s">
        <v>39</v>
      </c>
      <c r="G541" t="s">
        <v>1037</v>
      </c>
      <c r="H541" t="s">
        <v>1042</v>
      </c>
      <c r="I541" s="1">
        <v>43497</v>
      </c>
      <c r="J541" t="s">
        <v>1046</v>
      </c>
      <c r="K541" s="5">
        <v>0.77986111111111101</v>
      </c>
      <c r="L541" t="s">
        <v>18</v>
      </c>
      <c r="M541">
        <v>26.244</v>
      </c>
      <c r="N541">
        <v>5.0999999999999996</v>
      </c>
    </row>
    <row r="542" spans="1:14" x14ac:dyDescent="0.25">
      <c r="A542" t="s">
        <v>571</v>
      </c>
      <c r="B542" t="s">
        <v>13</v>
      </c>
      <c r="C542" t="s">
        <v>14</v>
      </c>
      <c r="D542" t="s">
        <v>22</v>
      </c>
      <c r="E542" t="s">
        <v>26</v>
      </c>
      <c r="F542" t="s">
        <v>27</v>
      </c>
      <c r="G542" t="s">
        <v>1036</v>
      </c>
      <c r="H542" t="s">
        <v>1041</v>
      </c>
      <c r="I542" s="1">
        <v>43487</v>
      </c>
      <c r="J542" t="s">
        <v>1044</v>
      </c>
      <c r="K542" s="5">
        <v>0.45833333333333331</v>
      </c>
      <c r="L542" t="s">
        <v>18</v>
      </c>
      <c r="M542">
        <v>4.6020000000000003</v>
      </c>
      <c r="N542">
        <v>9.1</v>
      </c>
    </row>
    <row r="543" spans="1:14" x14ac:dyDescent="0.25">
      <c r="A543" t="s">
        <v>572</v>
      </c>
      <c r="B543" t="s">
        <v>20</v>
      </c>
      <c r="C543" t="s">
        <v>21</v>
      </c>
      <c r="D543" t="s">
        <v>15</v>
      </c>
      <c r="E543" t="s">
        <v>26</v>
      </c>
      <c r="F543" t="s">
        <v>17</v>
      </c>
      <c r="G543" t="s">
        <v>1040</v>
      </c>
      <c r="H543" t="s">
        <v>1041</v>
      </c>
      <c r="I543" s="1">
        <v>43468</v>
      </c>
      <c r="J543" t="s">
        <v>1044</v>
      </c>
      <c r="K543" s="5">
        <v>0.4375</v>
      </c>
      <c r="L543" t="s">
        <v>28</v>
      </c>
      <c r="M543">
        <v>3.794</v>
      </c>
      <c r="N543">
        <v>7.1</v>
      </c>
    </row>
    <row r="544" spans="1:14" x14ac:dyDescent="0.25">
      <c r="A544" t="s">
        <v>573</v>
      </c>
      <c r="B544" t="s">
        <v>37</v>
      </c>
      <c r="C544" t="s">
        <v>38</v>
      </c>
      <c r="D544" t="s">
        <v>15</v>
      </c>
      <c r="E544" t="s">
        <v>16</v>
      </c>
      <c r="F544" t="s">
        <v>31</v>
      </c>
      <c r="G544" t="s">
        <v>1039</v>
      </c>
      <c r="H544" t="s">
        <v>1042</v>
      </c>
      <c r="I544" s="1">
        <v>43509</v>
      </c>
      <c r="J544" t="s">
        <v>1045</v>
      </c>
      <c r="K544" s="5">
        <v>0.50972222222222219</v>
      </c>
      <c r="L544" t="s">
        <v>28</v>
      </c>
      <c r="M544">
        <v>4.0359999999999996</v>
      </c>
      <c r="N544">
        <v>5</v>
      </c>
    </row>
    <row r="545" spans="1:14" x14ac:dyDescent="0.25">
      <c r="A545" t="s">
        <v>574</v>
      </c>
      <c r="B545" t="s">
        <v>20</v>
      </c>
      <c r="C545" t="s">
        <v>21</v>
      </c>
      <c r="D545" t="s">
        <v>15</v>
      </c>
      <c r="E545" t="s">
        <v>26</v>
      </c>
      <c r="F545" t="s">
        <v>23</v>
      </c>
      <c r="G545" t="s">
        <v>1037</v>
      </c>
      <c r="H545" t="s">
        <v>1041</v>
      </c>
      <c r="I545" s="1">
        <v>43493</v>
      </c>
      <c r="J545" t="s">
        <v>1046</v>
      </c>
      <c r="K545" s="5">
        <v>0.69652777777777775</v>
      </c>
      <c r="L545" t="s">
        <v>28</v>
      </c>
      <c r="M545">
        <v>5.6310000000000002</v>
      </c>
      <c r="N545">
        <v>5.5</v>
      </c>
    </row>
    <row r="546" spans="1:14" x14ac:dyDescent="0.25">
      <c r="A546" t="s">
        <v>575</v>
      </c>
      <c r="B546" t="s">
        <v>37</v>
      </c>
      <c r="C546" t="s">
        <v>38</v>
      </c>
      <c r="D546" t="s">
        <v>22</v>
      </c>
      <c r="E546" t="s">
        <v>16</v>
      </c>
      <c r="F546" t="s">
        <v>39</v>
      </c>
      <c r="G546" t="s">
        <v>1034</v>
      </c>
      <c r="H546" t="s">
        <v>1041</v>
      </c>
      <c r="I546" s="1">
        <v>43470</v>
      </c>
      <c r="J546" t="s">
        <v>1046</v>
      </c>
      <c r="K546" s="5">
        <v>0.86111111111111116</v>
      </c>
      <c r="L546" t="s">
        <v>28</v>
      </c>
      <c r="M546">
        <v>3.56</v>
      </c>
      <c r="N546">
        <v>9.1999999999999993</v>
      </c>
    </row>
    <row r="547" spans="1:14" x14ac:dyDescent="0.25">
      <c r="A547" t="s">
        <v>576</v>
      </c>
      <c r="B547" t="s">
        <v>37</v>
      </c>
      <c r="C547" t="s">
        <v>38</v>
      </c>
      <c r="D547" t="s">
        <v>15</v>
      </c>
      <c r="E547" t="s">
        <v>26</v>
      </c>
      <c r="F547" t="s">
        <v>27</v>
      </c>
      <c r="G547" t="s">
        <v>1037</v>
      </c>
      <c r="H547" t="s">
        <v>1043</v>
      </c>
      <c r="I547" s="1">
        <v>43543</v>
      </c>
      <c r="J547" t="s">
        <v>1045</v>
      </c>
      <c r="K547" s="5">
        <v>0.56944444444444442</v>
      </c>
      <c r="L547" t="s">
        <v>18</v>
      </c>
      <c r="M547">
        <v>7.7619999999999996</v>
      </c>
      <c r="N547">
        <v>4.9000000000000004</v>
      </c>
    </row>
    <row r="548" spans="1:14" x14ac:dyDescent="0.25">
      <c r="A548" t="s">
        <v>577</v>
      </c>
      <c r="B548" t="s">
        <v>13</v>
      </c>
      <c r="C548" t="s">
        <v>14</v>
      </c>
      <c r="D548" t="s">
        <v>22</v>
      </c>
      <c r="E548" t="s">
        <v>16</v>
      </c>
      <c r="F548" t="s">
        <v>41</v>
      </c>
      <c r="G548" t="s">
        <v>1035</v>
      </c>
      <c r="H548" t="s">
        <v>1041</v>
      </c>
      <c r="I548" s="1">
        <v>43477</v>
      </c>
      <c r="J548" t="s">
        <v>1046</v>
      </c>
      <c r="K548" s="5">
        <v>0.68263888888888891</v>
      </c>
      <c r="L548" t="s">
        <v>18</v>
      </c>
      <c r="M548">
        <v>14.71</v>
      </c>
      <c r="N548">
        <v>8.9</v>
      </c>
    </row>
    <row r="549" spans="1:14" x14ac:dyDescent="0.25">
      <c r="A549" t="s">
        <v>578</v>
      </c>
      <c r="B549" t="s">
        <v>13</v>
      </c>
      <c r="C549" t="s">
        <v>14</v>
      </c>
      <c r="D549" t="s">
        <v>22</v>
      </c>
      <c r="E549" t="s">
        <v>26</v>
      </c>
      <c r="F549" t="s">
        <v>31</v>
      </c>
      <c r="G549" t="s">
        <v>1034</v>
      </c>
      <c r="H549" t="s">
        <v>1041</v>
      </c>
      <c r="I549" s="1">
        <v>43472</v>
      </c>
      <c r="J549" t="s">
        <v>1045</v>
      </c>
      <c r="K549" s="5">
        <v>0.50555555555555554</v>
      </c>
      <c r="L549" t="s">
        <v>28</v>
      </c>
      <c r="M549">
        <v>27.427499999999998</v>
      </c>
      <c r="N549">
        <v>6</v>
      </c>
    </row>
    <row r="550" spans="1:14" x14ac:dyDescent="0.25">
      <c r="A550" t="s">
        <v>579</v>
      </c>
      <c r="B550" t="s">
        <v>37</v>
      </c>
      <c r="C550" t="s">
        <v>38</v>
      </c>
      <c r="D550" t="s">
        <v>22</v>
      </c>
      <c r="E550" t="s">
        <v>16</v>
      </c>
      <c r="F550" t="s">
        <v>31</v>
      </c>
      <c r="G550" t="s">
        <v>1037</v>
      </c>
      <c r="H550" t="s">
        <v>1041</v>
      </c>
      <c r="I550" s="1">
        <v>43491</v>
      </c>
      <c r="J550" t="s">
        <v>1046</v>
      </c>
      <c r="K550" s="5">
        <v>0.73958333333333337</v>
      </c>
      <c r="L550" t="s">
        <v>24</v>
      </c>
      <c r="M550">
        <v>12.885</v>
      </c>
      <c r="N550">
        <v>4.2</v>
      </c>
    </row>
    <row r="551" spans="1:14" x14ac:dyDescent="0.25">
      <c r="A551" t="s">
        <v>580</v>
      </c>
      <c r="B551" t="s">
        <v>13</v>
      </c>
      <c r="C551" t="s">
        <v>14</v>
      </c>
      <c r="D551" t="s">
        <v>22</v>
      </c>
      <c r="E551" t="s">
        <v>16</v>
      </c>
      <c r="F551" t="s">
        <v>23</v>
      </c>
      <c r="G551" t="s">
        <v>1036</v>
      </c>
      <c r="H551" t="s">
        <v>1041</v>
      </c>
      <c r="I551" s="1">
        <v>43488</v>
      </c>
      <c r="J551" t="s">
        <v>1044</v>
      </c>
      <c r="K551" s="5">
        <v>0.43611111111111112</v>
      </c>
      <c r="L551" t="s">
        <v>24</v>
      </c>
      <c r="M551">
        <v>19.818000000000001</v>
      </c>
      <c r="N551">
        <v>7.3</v>
      </c>
    </row>
    <row r="552" spans="1:14" x14ac:dyDescent="0.25">
      <c r="A552" t="s">
        <v>581</v>
      </c>
      <c r="B552" t="s">
        <v>37</v>
      </c>
      <c r="C552" t="s">
        <v>38</v>
      </c>
      <c r="D552" t="s">
        <v>22</v>
      </c>
      <c r="E552" t="s">
        <v>26</v>
      </c>
      <c r="F552" t="s">
        <v>41</v>
      </c>
      <c r="G552" t="s">
        <v>1039</v>
      </c>
      <c r="H552" t="s">
        <v>1042</v>
      </c>
      <c r="I552" s="1">
        <v>43505</v>
      </c>
      <c r="J552" t="s">
        <v>1046</v>
      </c>
      <c r="K552" s="5">
        <v>0.85486111111111107</v>
      </c>
      <c r="L552" t="s">
        <v>18</v>
      </c>
      <c r="M552">
        <v>8.5905000000000005</v>
      </c>
      <c r="N552">
        <v>6.5</v>
      </c>
    </row>
    <row r="553" spans="1:14" x14ac:dyDescent="0.25">
      <c r="A553" t="s">
        <v>582</v>
      </c>
      <c r="B553" t="s">
        <v>37</v>
      </c>
      <c r="C553" t="s">
        <v>38</v>
      </c>
      <c r="D553" t="s">
        <v>22</v>
      </c>
      <c r="E553" t="s">
        <v>16</v>
      </c>
      <c r="F553" t="s">
        <v>41</v>
      </c>
      <c r="G553" t="s">
        <v>1040</v>
      </c>
      <c r="H553" t="s">
        <v>1042</v>
      </c>
      <c r="I553" s="1">
        <v>43518</v>
      </c>
      <c r="J553" t="s">
        <v>1044</v>
      </c>
      <c r="K553" s="5">
        <v>0.45069444444444445</v>
      </c>
      <c r="L553" t="s">
        <v>24</v>
      </c>
      <c r="M553">
        <v>24.439499999999999</v>
      </c>
      <c r="N553">
        <v>8.9</v>
      </c>
    </row>
    <row r="554" spans="1:14" x14ac:dyDescent="0.25">
      <c r="A554" t="s">
        <v>583</v>
      </c>
      <c r="B554" t="s">
        <v>37</v>
      </c>
      <c r="C554" t="s">
        <v>38</v>
      </c>
      <c r="D554" t="s">
        <v>22</v>
      </c>
      <c r="E554" t="s">
        <v>16</v>
      </c>
      <c r="F554" t="s">
        <v>17</v>
      </c>
      <c r="G554" t="s">
        <v>1038</v>
      </c>
      <c r="H554" t="s">
        <v>1042</v>
      </c>
      <c r="I554" s="1">
        <v>43501</v>
      </c>
      <c r="J554" t="s">
        <v>1045</v>
      </c>
      <c r="K554" s="5">
        <v>0.52361111111111114</v>
      </c>
      <c r="L554" t="s">
        <v>24</v>
      </c>
      <c r="M554">
        <v>26.207999999999998</v>
      </c>
      <c r="N554">
        <v>9.6999999999999993</v>
      </c>
    </row>
    <row r="555" spans="1:14" x14ac:dyDescent="0.25">
      <c r="A555" t="s">
        <v>584</v>
      </c>
      <c r="B555" t="s">
        <v>20</v>
      </c>
      <c r="C555" t="s">
        <v>21</v>
      </c>
      <c r="D555" t="s">
        <v>22</v>
      </c>
      <c r="E555" t="s">
        <v>26</v>
      </c>
      <c r="F555" t="s">
        <v>23</v>
      </c>
      <c r="G555" t="s">
        <v>1035</v>
      </c>
      <c r="H555" t="s">
        <v>1043</v>
      </c>
      <c r="I555" s="1">
        <v>43531</v>
      </c>
      <c r="J555" t="s">
        <v>1044</v>
      </c>
      <c r="K555" s="5">
        <v>0.43263888888888885</v>
      </c>
      <c r="L555" t="s">
        <v>28</v>
      </c>
      <c r="M555">
        <v>6.6630000000000003</v>
      </c>
      <c r="N555">
        <v>8.6</v>
      </c>
    </row>
    <row r="556" spans="1:14" x14ac:dyDescent="0.25">
      <c r="A556" t="s">
        <v>585</v>
      </c>
      <c r="B556" t="s">
        <v>13</v>
      </c>
      <c r="C556" t="s">
        <v>14</v>
      </c>
      <c r="D556" t="s">
        <v>15</v>
      </c>
      <c r="E556" t="s">
        <v>26</v>
      </c>
      <c r="F556" t="s">
        <v>23</v>
      </c>
      <c r="G556" t="s">
        <v>1038</v>
      </c>
      <c r="H556" t="s">
        <v>1043</v>
      </c>
      <c r="I556" s="1">
        <v>43549</v>
      </c>
      <c r="J556" t="s">
        <v>1046</v>
      </c>
      <c r="K556" s="5">
        <v>0.78541666666666676</v>
      </c>
      <c r="L556" t="s">
        <v>24</v>
      </c>
      <c r="M556">
        <v>6.7619999999999996</v>
      </c>
      <c r="N556">
        <v>6.9</v>
      </c>
    </row>
    <row r="557" spans="1:14" x14ac:dyDescent="0.25">
      <c r="A557" t="s">
        <v>586</v>
      </c>
      <c r="B557" t="s">
        <v>37</v>
      </c>
      <c r="C557" t="s">
        <v>38</v>
      </c>
      <c r="D557" t="s">
        <v>22</v>
      </c>
      <c r="E557" t="s">
        <v>26</v>
      </c>
      <c r="F557" t="s">
        <v>27</v>
      </c>
      <c r="G557" t="s">
        <v>1036</v>
      </c>
      <c r="H557" t="s">
        <v>1041</v>
      </c>
      <c r="I557" s="1">
        <v>43485</v>
      </c>
      <c r="J557" t="s">
        <v>1045</v>
      </c>
      <c r="K557" s="5">
        <v>0.57291666666666663</v>
      </c>
      <c r="L557" t="s">
        <v>28</v>
      </c>
      <c r="M557">
        <v>5.6219999999999999</v>
      </c>
      <c r="N557">
        <v>7.7</v>
      </c>
    </row>
    <row r="558" spans="1:14" x14ac:dyDescent="0.25">
      <c r="A558" t="s">
        <v>587</v>
      </c>
      <c r="B558" t="s">
        <v>37</v>
      </c>
      <c r="C558" t="s">
        <v>38</v>
      </c>
      <c r="D558" t="s">
        <v>15</v>
      </c>
      <c r="E558" t="s">
        <v>16</v>
      </c>
      <c r="F558" t="s">
        <v>41</v>
      </c>
      <c r="G558" t="s">
        <v>1038</v>
      </c>
      <c r="H558" t="s">
        <v>1042</v>
      </c>
      <c r="I558" s="1">
        <v>43500</v>
      </c>
      <c r="J558" t="s">
        <v>1046</v>
      </c>
      <c r="K558" s="5">
        <v>0.81805555555555554</v>
      </c>
      <c r="L558" t="s">
        <v>24</v>
      </c>
      <c r="M558">
        <v>7.2039999999999997</v>
      </c>
      <c r="N558">
        <v>9.5</v>
      </c>
    </row>
    <row r="559" spans="1:14" x14ac:dyDescent="0.25">
      <c r="A559" t="s">
        <v>588</v>
      </c>
      <c r="B559" t="s">
        <v>20</v>
      </c>
      <c r="C559" t="s">
        <v>21</v>
      </c>
      <c r="D559" t="s">
        <v>15</v>
      </c>
      <c r="E559" t="s">
        <v>16</v>
      </c>
      <c r="F559" t="s">
        <v>39</v>
      </c>
      <c r="G559" t="s">
        <v>1037</v>
      </c>
      <c r="H559" t="s">
        <v>1041</v>
      </c>
      <c r="I559" s="1">
        <v>43495</v>
      </c>
      <c r="J559" t="s">
        <v>1046</v>
      </c>
      <c r="K559" s="5">
        <v>0.84930555555555554</v>
      </c>
      <c r="L559" t="s">
        <v>18</v>
      </c>
      <c r="M559">
        <v>49.26</v>
      </c>
      <c r="N559">
        <v>4.5</v>
      </c>
    </row>
    <row r="560" spans="1:14" x14ac:dyDescent="0.25">
      <c r="A560" t="s">
        <v>589</v>
      </c>
      <c r="B560" t="s">
        <v>13</v>
      </c>
      <c r="C560" t="s">
        <v>14</v>
      </c>
      <c r="D560" t="s">
        <v>15</v>
      </c>
      <c r="E560" t="s">
        <v>26</v>
      </c>
      <c r="F560" t="s">
        <v>39</v>
      </c>
      <c r="G560" t="s">
        <v>1040</v>
      </c>
      <c r="H560" t="s">
        <v>1041</v>
      </c>
      <c r="I560" s="1">
        <v>43467</v>
      </c>
      <c r="J560" t="s">
        <v>1045</v>
      </c>
      <c r="K560" s="5">
        <v>0.64166666666666672</v>
      </c>
      <c r="L560" t="s">
        <v>18</v>
      </c>
      <c r="M560">
        <v>12.497999999999999</v>
      </c>
      <c r="N560">
        <v>5.6</v>
      </c>
    </row>
    <row r="561" spans="1:14" x14ac:dyDescent="0.25">
      <c r="A561" t="s">
        <v>590</v>
      </c>
      <c r="B561" t="s">
        <v>13</v>
      </c>
      <c r="C561" t="s">
        <v>14</v>
      </c>
      <c r="D561" t="s">
        <v>15</v>
      </c>
      <c r="E561" t="s">
        <v>16</v>
      </c>
      <c r="F561" t="s">
        <v>27</v>
      </c>
      <c r="G561" t="s">
        <v>1038</v>
      </c>
      <c r="H561" t="s">
        <v>1043</v>
      </c>
      <c r="I561" s="1">
        <v>43553</v>
      </c>
      <c r="J561" t="s">
        <v>1046</v>
      </c>
      <c r="K561" s="5">
        <v>0.70416666666666661</v>
      </c>
      <c r="L561" t="s">
        <v>18</v>
      </c>
      <c r="M561">
        <v>10.863</v>
      </c>
      <c r="N561">
        <v>8.1999999999999993</v>
      </c>
    </row>
    <row r="562" spans="1:14" x14ac:dyDescent="0.25">
      <c r="A562" t="s">
        <v>591</v>
      </c>
      <c r="B562" t="s">
        <v>37</v>
      </c>
      <c r="C562" t="s">
        <v>38</v>
      </c>
      <c r="D562" t="s">
        <v>22</v>
      </c>
      <c r="E562" t="s">
        <v>26</v>
      </c>
      <c r="F562" t="s">
        <v>23</v>
      </c>
      <c r="G562" t="s">
        <v>1036</v>
      </c>
      <c r="H562" t="s">
        <v>1043</v>
      </c>
      <c r="I562" s="1">
        <v>43538</v>
      </c>
      <c r="J562" t="s">
        <v>1045</v>
      </c>
      <c r="K562" s="5">
        <v>0.52222222222222225</v>
      </c>
      <c r="L562" t="s">
        <v>24</v>
      </c>
      <c r="M562">
        <v>9.7110000000000003</v>
      </c>
      <c r="N562">
        <v>7.3</v>
      </c>
    </row>
    <row r="563" spans="1:14" x14ac:dyDescent="0.25">
      <c r="A563" t="s">
        <v>592</v>
      </c>
      <c r="B563" t="s">
        <v>20</v>
      </c>
      <c r="C563" t="s">
        <v>21</v>
      </c>
      <c r="D563" t="s">
        <v>22</v>
      </c>
      <c r="E563" t="s">
        <v>26</v>
      </c>
      <c r="F563" t="s">
        <v>39</v>
      </c>
      <c r="G563" t="s">
        <v>1039</v>
      </c>
      <c r="H563" t="s">
        <v>1042</v>
      </c>
      <c r="I563" s="1">
        <v>43507</v>
      </c>
      <c r="J563" t="s">
        <v>1045</v>
      </c>
      <c r="K563" s="5">
        <v>0.65416666666666667</v>
      </c>
      <c r="L563" t="s">
        <v>28</v>
      </c>
      <c r="M563">
        <v>44.6</v>
      </c>
      <c r="N563">
        <v>4.4000000000000004</v>
      </c>
    </row>
    <row r="564" spans="1:14" x14ac:dyDescent="0.25">
      <c r="A564" t="s">
        <v>593</v>
      </c>
      <c r="B564" t="s">
        <v>37</v>
      </c>
      <c r="C564" t="s">
        <v>38</v>
      </c>
      <c r="D564" t="s">
        <v>22</v>
      </c>
      <c r="E564" t="s">
        <v>16</v>
      </c>
      <c r="F564" t="s">
        <v>23</v>
      </c>
      <c r="G564" t="s">
        <v>1037</v>
      </c>
      <c r="H564" t="s">
        <v>1041</v>
      </c>
      <c r="I564" s="1">
        <v>43495</v>
      </c>
      <c r="J564" t="s">
        <v>1045</v>
      </c>
      <c r="K564" s="5">
        <v>0.58194444444444449</v>
      </c>
      <c r="L564" t="s">
        <v>18</v>
      </c>
      <c r="M564">
        <v>16.968</v>
      </c>
      <c r="N564">
        <v>5.7</v>
      </c>
    </row>
    <row r="565" spans="1:14" x14ac:dyDescent="0.25">
      <c r="A565" t="s">
        <v>594</v>
      </c>
      <c r="B565" t="s">
        <v>13</v>
      </c>
      <c r="C565" t="s">
        <v>14</v>
      </c>
      <c r="D565" t="s">
        <v>15</v>
      </c>
      <c r="E565" t="s">
        <v>26</v>
      </c>
      <c r="F565" t="s">
        <v>23</v>
      </c>
      <c r="G565" t="s">
        <v>1037</v>
      </c>
      <c r="H565" t="s">
        <v>1043</v>
      </c>
      <c r="I565" s="1">
        <v>43544</v>
      </c>
      <c r="J565" t="s">
        <v>1045</v>
      </c>
      <c r="K565" s="5">
        <v>0.63055555555555554</v>
      </c>
      <c r="L565" t="s">
        <v>18</v>
      </c>
      <c r="M565">
        <v>22.353000000000002</v>
      </c>
      <c r="N565">
        <v>5</v>
      </c>
    </row>
    <row r="566" spans="1:14" x14ac:dyDescent="0.25">
      <c r="A566" t="s">
        <v>595</v>
      </c>
      <c r="B566" t="s">
        <v>37</v>
      </c>
      <c r="C566" t="s">
        <v>38</v>
      </c>
      <c r="D566" t="s">
        <v>22</v>
      </c>
      <c r="E566" t="s">
        <v>26</v>
      </c>
      <c r="F566" t="s">
        <v>41</v>
      </c>
      <c r="G566" t="s">
        <v>1037</v>
      </c>
      <c r="H566" t="s">
        <v>1043</v>
      </c>
      <c r="I566" s="1">
        <v>43544</v>
      </c>
      <c r="J566" t="s">
        <v>1045</v>
      </c>
      <c r="K566" s="5">
        <v>0.54305555555555551</v>
      </c>
      <c r="L566" t="s">
        <v>24</v>
      </c>
      <c r="M566">
        <v>9.9250000000000007</v>
      </c>
      <c r="N566">
        <v>9</v>
      </c>
    </row>
    <row r="567" spans="1:14" x14ac:dyDescent="0.25">
      <c r="A567" t="s">
        <v>596</v>
      </c>
      <c r="B567" t="s">
        <v>13</v>
      </c>
      <c r="C567" t="s">
        <v>14</v>
      </c>
      <c r="D567" t="s">
        <v>22</v>
      </c>
      <c r="E567" t="s">
        <v>16</v>
      </c>
      <c r="F567" t="s">
        <v>39</v>
      </c>
      <c r="G567" t="s">
        <v>1035</v>
      </c>
      <c r="H567" t="s">
        <v>1041</v>
      </c>
      <c r="I567" s="1">
        <v>43482</v>
      </c>
      <c r="J567" t="s">
        <v>1045</v>
      </c>
      <c r="K567" s="5">
        <v>0.54236111111111118</v>
      </c>
      <c r="L567" t="s">
        <v>28</v>
      </c>
      <c r="M567">
        <v>40.604999999999997</v>
      </c>
      <c r="N567">
        <v>6.3</v>
      </c>
    </row>
    <row r="568" spans="1:14" x14ac:dyDescent="0.25">
      <c r="A568" t="s">
        <v>597</v>
      </c>
      <c r="B568" t="s">
        <v>20</v>
      </c>
      <c r="C568" t="s">
        <v>21</v>
      </c>
      <c r="D568" t="s">
        <v>22</v>
      </c>
      <c r="E568" t="s">
        <v>16</v>
      </c>
      <c r="F568" t="s">
        <v>31</v>
      </c>
      <c r="G568" t="s">
        <v>1038</v>
      </c>
      <c r="H568" t="s">
        <v>1042</v>
      </c>
      <c r="I568" s="1">
        <v>43499</v>
      </c>
      <c r="J568" t="s">
        <v>1046</v>
      </c>
      <c r="K568" s="5">
        <v>0.69444444444444453</v>
      </c>
      <c r="L568" t="s">
        <v>28</v>
      </c>
      <c r="M568">
        <v>24.664999999999999</v>
      </c>
      <c r="N568">
        <v>9.4</v>
      </c>
    </row>
    <row r="569" spans="1:14" x14ac:dyDescent="0.25">
      <c r="A569" t="s">
        <v>598</v>
      </c>
      <c r="B569" t="s">
        <v>13</v>
      </c>
      <c r="C569" t="s">
        <v>14</v>
      </c>
      <c r="D569" t="s">
        <v>22</v>
      </c>
      <c r="E569" t="s">
        <v>16</v>
      </c>
      <c r="F569" t="s">
        <v>41</v>
      </c>
      <c r="G569" t="s">
        <v>1040</v>
      </c>
      <c r="H569" t="s">
        <v>1041</v>
      </c>
      <c r="I569" s="1">
        <v>43466</v>
      </c>
      <c r="J569" t="s">
        <v>1045</v>
      </c>
      <c r="K569" s="5">
        <v>0.57986111111111105</v>
      </c>
      <c r="L569" t="s">
        <v>24</v>
      </c>
      <c r="M569">
        <v>29.582999999999998</v>
      </c>
      <c r="N569">
        <v>7.7</v>
      </c>
    </row>
    <row r="570" spans="1:14" x14ac:dyDescent="0.25">
      <c r="A570" t="s">
        <v>599</v>
      </c>
      <c r="B570" t="s">
        <v>37</v>
      </c>
      <c r="C570" t="s">
        <v>38</v>
      </c>
      <c r="D570" t="s">
        <v>22</v>
      </c>
      <c r="E570" t="s">
        <v>16</v>
      </c>
      <c r="F570" t="s">
        <v>41</v>
      </c>
      <c r="G570" t="s">
        <v>1034</v>
      </c>
      <c r="H570" t="s">
        <v>1041</v>
      </c>
      <c r="I570" s="1">
        <v>43475</v>
      </c>
      <c r="J570" t="s">
        <v>1044</v>
      </c>
      <c r="K570" s="5">
        <v>0.43958333333333338</v>
      </c>
      <c r="L570" t="s">
        <v>28</v>
      </c>
      <c r="M570">
        <v>27.951000000000001</v>
      </c>
      <c r="N570">
        <v>5.5</v>
      </c>
    </row>
    <row r="571" spans="1:14" x14ac:dyDescent="0.25">
      <c r="A571" t="s">
        <v>600</v>
      </c>
      <c r="B571" t="s">
        <v>20</v>
      </c>
      <c r="C571" t="s">
        <v>21</v>
      </c>
      <c r="D571" t="s">
        <v>22</v>
      </c>
      <c r="E571" t="s">
        <v>16</v>
      </c>
      <c r="F571" t="s">
        <v>31</v>
      </c>
      <c r="G571" t="s">
        <v>1035</v>
      </c>
      <c r="H571" t="s">
        <v>1043</v>
      </c>
      <c r="I571" s="1">
        <v>43526</v>
      </c>
      <c r="J571" t="s">
        <v>1046</v>
      </c>
      <c r="K571" s="5">
        <v>0.6958333333333333</v>
      </c>
      <c r="L571" t="s">
        <v>18</v>
      </c>
      <c r="M571">
        <v>25.893000000000001</v>
      </c>
      <c r="N571">
        <v>4.0999999999999996</v>
      </c>
    </row>
    <row r="572" spans="1:14" x14ac:dyDescent="0.25">
      <c r="A572" t="s">
        <v>601</v>
      </c>
      <c r="B572" t="s">
        <v>37</v>
      </c>
      <c r="C572" t="s">
        <v>38</v>
      </c>
      <c r="D572" t="s">
        <v>15</v>
      </c>
      <c r="E572" t="s">
        <v>16</v>
      </c>
      <c r="F572" t="s">
        <v>27</v>
      </c>
      <c r="G572" t="s">
        <v>1034</v>
      </c>
      <c r="H572" t="s">
        <v>1042</v>
      </c>
      <c r="I572" s="1">
        <v>43521</v>
      </c>
      <c r="J572" t="s">
        <v>1046</v>
      </c>
      <c r="K572" s="5">
        <v>0.71944444444444444</v>
      </c>
      <c r="L572" t="s">
        <v>28</v>
      </c>
      <c r="M572">
        <v>20.51</v>
      </c>
      <c r="N572">
        <v>7.6</v>
      </c>
    </row>
    <row r="573" spans="1:14" x14ac:dyDescent="0.25">
      <c r="A573" t="s">
        <v>602</v>
      </c>
      <c r="B573" t="s">
        <v>37</v>
      </c>
      <c r="C573" t="s">
        <v>38</v>
      </c>
      <c r="D573" t="s">
        <v>15</v>
      </c>
      <c r="E573" t="s">
        <v>26</v>
      </c>
      <c r="F573" t="s">
        <v>31</v>
      </c>
      <c r="G573" t="s">
        <v>1037</v>
      </c>
      <c r="H573" t="s">
        <v>1041</v>
      </c>
      <c r="I573" s="1">
        <v>43494</v>
      </c>
      <c r="J573" t="s">
        <v>1044</v>
      </c>
      <c r="K573" s="5">
        <v>0.4916666666666667</v>
      </c>
      <c r="L573" t="s">
        <v>24</v>
      </c>
      <c r="M573">
        <v>13.335000000000001</v>
      </c>
      <c r="N573">
        <v>8.6</v>
      </c>
    </row>
    <row r="574" spans="1:14" x14ac:dyDescent="0.25">
      <c r="A574" t="s">
        <v>603</v>
      </c>
      <c r="B574" t="s">
        <v>13</v>
      </c>
      <c r="C574" t="s">
        <v>14</v>
      </c>
      <c r="D574" t="s">
        <v>15</v>
      </c>
      <c r="E574" t="s">
        <v>26</v>
      </c>
      <c r="F574" t="s">
        <v>39</v>
      </c>
      <c r="G574" t="s">
        <v>1036</v>
      </c>
      <c r="H574" t="s">
        <v>1043</v>
      </c>
      <c r="I574" s="1">
        <v>43534</v>
      </c>
      <c r="J574" t="s">
        <v>1046</v>
      </c>
      <c r="K574" s="5">
        <v>0.81597222222222221</v>
      </c>
      <c r="L574" t="s">
        <v>18</v>
      </c>
      <c r="M574">
        <v>3.5455000000000001</v>
      </c>
      <c r="N574">
        <v>8.3000000000000007</v>
      </c>
    </row>
    <row r="575" spans="1:14" x14ac:dyDescent="0.25">
      <c r="A575" t="s">
        <v>604</v>
      </c>
      <c r="B575" t="s">
        <v>37</v>
      </c>
      <c r="C575" t="s">
        <v>38</v>
      </c>
      <c r="D575" t="s">
        <v>22</v>
      </c>
      <c r="E575" t="s">
        <v>26</v>
      </c>
      <c r="F575" t="s">
        <v>39</v>
      </c>
      <c r="G575" t="s">
        <v>1035</v>
      </c>
      <c r="H575" t="s">
        <v>1041</v>
      </c>
      <c r="I575" s="1">
        <v>43478</v>
      </c>
      <c r="J575" t="s">
        <v>1046</v>
      </c>
      <c r="K575" s="5">
        <v>0.82986111111111116</v>
      </c>
      <c r="L575" t="s">
        <v>28</v>
      </c>
      <c r="M575">
        <v>7.2389999999999999</v>
      </c>
      <c r="N575">
        <v>8.1</v>
      </c>
    </row>
    <row r="576" spans="1:14" x14ac:dyDescent="0.25">
      <c r="A576" t="s">
        <v>605</v>
      </c>
      <c r="B576" t="s">
        <v>13</v>
      </c>
      <c r="C576" t="s">
        <v>14</v>
      </c>
      <c r="D576" t="s">
        <v>22</v>
      </c>
      <c r="E576" t="s">
        <v>26</v>
      </c>
      <c r="F576" t="s">
        <v>31</v>
      </c>
      <c r="G576" t="s">
        <v>1037</v>
      </c>
      <c r="H576" t="s">
        <v>1043</v>
      </c>
      <c r="I576" s="1">
        <v>43546</v>
      </c>
      <c r="J576" t="s">
        <v>1045</v>
      </c>
      <c r="K576" s="5">
        <v>0.60625000000000007</v>
      </c>
      <c r="L576" t="s">
        <v>28</v>
      </c>
      <c r="M576">
        <v>21.477499999999999</v>
      </c>
      <c r="N576">
        <v>8.6</v>
      </c>
    </row>
    <row r="577" spans="1:14" x14ac:dyDescent="0.25">
      <c r="A577" t="s">
        <v>606</v>
      </c>
      <c r="B577" t="s">
        <v>37</v>
      </c>
      <c r="C577" t="s">
        <v>38</v>
      </c>
      <c r="D577" t="s">
        <v>15</v>
      </c>
      <c r="E577" t="s">
        <v>26</v>
      </c>
      <c r="F577" t="s">
        <v>41</v>
      </c>
      <c r="G577" t="s">
        <v>1034</v>
      </c>
      <c r="H577" t="s">
        <v>1043</v>
      </c>
      <c r="I577" s="1">
        <v>43525</v>
      </c>
      <c r="J577" t="s">
        <v>1046</v>
      </c>
      <c r="K577" s="5">
        <v>0.8256944444444444</v>
      </c>
      <c r="L577" t="s">
        <v>18</v>
      </c>
      <c r="M577">
        <v>28.458500000000001</v>
      </c>
      <c r="N577">
        <v>6.3</v>
      </c>
    </row>
    <row r="578" spans="1:14" x14ac:dyDescent="0.25">
      <c r="A578" t="s">
        <v>607</v>
      </c>
      <c r="B578" t="s">
        <v>37</v>
      </c>
      <c r="C578" t="s">
        <v>38</v>
      </c>
      <c r="D578" t="s">
        <v>22</v>
      </c>
      <c r="E578" t="s">
        <v>26</v>
      </c>
      <c r="F578" t="s">
        <v>39</v>
      </c>
      <c r="G578" t="s">
        <v>1040</v>
      </c>
      <c r="H578" t="s">
        <v>1042</v>
      </c>
      <c r="I578" s="1">
        <v>43516</v>
      </c>
      <c r="J578" t="s">
        <v>1046</v>
      </c>
      <c r="K578" s="5">
        <v>0.77986111111111101</v>
      </c>
      <c r="L578" t="s">
        <v>24</v>
      </c>
      <c r="M578">
        <v>12.06</v>
      </c>
      <c r="N578">
        <v>5.8</v>
      </c>
    </row>
    <row r="579" spans="1:14" x14ac:dyDescent="0.25">
      <c r="A579" t="s">
        <v>608</v>
      </c>
      <c r="B579" t="s">
        <v>20</v>
      </c>
      <c r="C579" t="s">
        <v>21</v>
      </c>
      <c r="D579" t="s">
        <v>22</v>
      </c>
      <c r="E579" t="s">
        <v>26</v>
      </c>
      <c r="F579" t="s">
        <v>39</v>
      </c>
      <c r="G579" t="s">
        <v>1035</v>
      </c>
      <c r="H579" t="s">
        <v>1041</v>
      </c>
      <c r="I579" s="1">
        <v>43479</v>
      </c>
      <c r="J579" t="s">
        <v>1045</v>
      </c>
      <c r="K579" s="5">
        <v>0.61319444444444449</v>
      </c>
      <c r="L579" t="s">
        <v>18</v>
      </c>
      <c r="M579">
        <v>6.3540000000000001</v>
      </c>
      <c r="N579">
        <v>6.2</v>
      </c>
    </row>
    <row r="580" spans="1:14" x14ac:dyDescent="0.25">
      <c r="A580" t="s">
        <v>609</v>
      </c>
      <c r="B580" t="s">
        <v>13</v>
      </c>
      <c r="C580" t="s">
        <v>14</v>
      </c>
      <c r="D580" t="s">
        <v>22</v>
      </c>
      <c r="E580" t="s">
        <v>16</v>
      </c>
      <c r="F580" t="s">
        <v>17</v>
      </c>
      <c r="G580" t="s">
        <v>1038</v>
      </c>
      <c r="H580" t="s">
        <v>1043</v>
      </c>
      <c r="I580" s="1">
        <v>43550</v>
      </c>
      <c r="J580" t="s">
        <v>1045</v>
      </c>
      <c r="K580" s="5">
        <v>0.57916666666666672</v>
      </c>
      <c r="L580" t="s">
        <v>24</v>
      </c>
      <c r="M580">
        <v>12.853999999999999</v>
      </c>
      <c r="N580">
        <v>7.7</v>
      </c>
    </row>
    <row r="581" spans="1:14" x14ac:dyDescent="0.25">
      <c r="A581" t="s">
        <v>610</v>
      </c>
      <c r="B581" t="s">
        <v>37</v>
      </c>
      <c r="C581" t="s">
        <v>38</v>
      </c>
      <c r="D581" t="s">
        <v>22</v>
      </c>
      <c r="E581" t="s">
        <v>26</v>
      </c>
      <c r="F581" t="s">
        <v>17</v>
      </c>
      <c r="G581" t="s">
        <v>1034</v>
      </c>
      <c r="H581" t="s">
        <v>1043</v>
      </c>
      <c r="I581" s="1">
        <v>43525</v>
      </c>
      <c r="J581" t="s">
        <v>1045</v>
      </c>
      <c r="K581" s="5">
        <v>0.51041666666666663</v>
      </c>
      <c r="L581" t="s">
        <v>18</v>
      </c>
      <c r="M581">
        <v>6.9509999999999996</v>
      </c>
      <c r="N581">
        <v>8.1</v>
      </c>
    </row>
    <row r="582" spans="1:14" x14ac:dyDescent="0.25">
      <c r="A582" t="s">
        <v>611</v>
      </c>
      <c r="B582" t="s">
        <v>20</v>
      </c>
      <c r="C582" t="s">
        <v>21</v>
      </c>
      <c r="D582" t="s">
        <v>22</v>
      </c>
      <c r="E582" t="s">
        <v>26</v>
      </c>
      <c r="F582" t="s">
        <v>39</v>
      </c>
      <c r="G582" t="s">
        <v>1034</v>
      </c>
      <c r="H582" t="s">
        <v>1041</v>
      </c>
      <c r="I582" s="1">
        <v>43472</v>
      </c>
      <c r="J582" t="s">
        <v>1045</v>
      </c>
      <c r="K582" s="5">
        <v>0.52569444444444446</v>
      </c>
      <c r="L582" t="s">
        <v>24</v>
      </c>
      <c r="M582">
        <v>4.0830000000000002</v>
      </c>
      <c r="N582">
        <v>7.3</v>
      </c>
    </row>
    <row r="583" spans="1:14" x14ac:dyDescent="0.25">
      <c r="A583" t="s">
        <v>612</v>
      </c>
      <c r="B583" t="s">
        <v>13</v>
      </c>
      <c r="C583" t="s">
        <v>14</v>
      </c>
      <c r="D583" t="s">
        <v>15</v>
      </c>
      <c r="E583" t="s">
        <v>16</v>
      </c>
      <c r="F583" t="s">
        <v>17</v>
      </c>
      <c r="G583" t="s">
        <v>1037</v>
      </c>
      <c r="H583" t="s">
        <v>1042</v>
      </c>
      <c r="I583" s="1">
        <v>43497</v>
      </c>
      <c r="J583" t="s">
        <v>1046</v>
      </c>
      <c r="K583" s="5">
        <v>0.82916666666666661</v>
      </c>
      <c r="L583" t="s">
        <v>24</v>
      </c>
      <c r="M583">
        <v>15.536</v>
      </c>
      <c r="N583">
        <v>8.4</v>
      </c>
    </row>
    <row r="584" spans="1:14" x14ac:dyDescent="0.25">
      <c r="A584" t="s">
        <v>613</v>
      </c>
      <c r="B584" t="s">
        <v>20</v>
      </c>
      <c r="C584" t="s">
        <v>21</v>
      </c>
      <c r="D584" t="s">
        <v>15</v>
      </c>
      <c r="E584" t="s">
        <v>16</v>
      </c>
      <c r="F584" t="s">
        <v>41</v>
      </c>
      <c r="G584" t="s">
        <v>1039</v>
      </c>
      <c r="H584" t="s">
        <v>1042</v>
      </c>
      <c r="I584" s="1">
        <v>43509</v>
      </c>
      <c r="J584" t="s">
        <v>1045</v>
      </c>
      <c r="K584" s="5">
        <v>0.62916666666666665</v>
      </c>
      <c r="L584" t="s">
        <v>28</v>
      </c>
      <c r="M584">
        <v>9.298</v>
      </c>
      <c r="N584">
        <v>8</v>
      </c>
    </row>
    <row r="585" spans="1:14" x14ac:dyDescent="0.25">
      <c r="A585" t="s">
        <v>614</v>
      </c>
      <c r="B585" t="s">
        <v>37</v>
      </c>
      <c r="C585" t="s">
        <v>38</v>
      </c>
      <c r="D585" t="s">
        <v>15</v>
      </c>
      <c r="E585" t="s">
        <v>16</v>
      </c>
      <c r="F585" t="s">
        <v>41</v>
      </c>
      <c r="G585" t="s">
        <v>1035</v>
      </c>
      <c r="H585" t="s">
        <v>1041</v>
      </c>
      <c r="I585" s="1">
        <v>43479</v>
      </c>
      <c r="J585" t="s">
        <v>1046</v>
      </c>
      <c r="K585" s="5">
        <v>0.75208333333333333</v>
      </c>
      <c r="L585" t="s">
        <v>28</v>
      </c>
      <c r="M585">
        <v>3.6160000000000001</v>
      </c>
      <c r="N585">
        <v>9.5</v>
      </c>
    </row>
    <row r="586" spans="1:14" x14ac:dyDescent="0.25">
      <c r="A586" t="s">
        <v>615</v>
      </c>
      <c r="B586" t="s">
        <v>37</v>
      </c>
      <c r="C586" t="s">
        <v>38</v>
      </c>
      <c r="D586" t="s">
        <v>22</v>
      </c>
      <c r="E586" t="s">
        <v>26</v>
      </c>
      <c r="F586" t="s">
        <v>31</v>
      </c>
      <c r="G586" t="s">
        <v>1036</v>
      </c>
      <c r="H586" t="s">
        <v>1041</v>
      </c>
      <c r="I586" s="1">
        <v>43484</v>
      </c>
      <c r="J586" t="s">
        <v>1045</v>
      </c>
      <c r="K586" s="5">
        <v>0.66527777777777775</v>
      </c>
      <c r="L586" t="s">
        <v>18</v>
      </c>
      <c r="M586">
        <v>9.4589999999999996</v>
      </c>
      <c r="N586">
        <v>7</v>
      </c>
    </row>
    <row r="587" spans="1:14" x14ac:dyDescent="0.25">
      <c r="A587" t="s">
        <v>616</v>
      </c>
      <c r="B587" t="s">
        <v>13</v>
      </c>
      <c r="C587" t="s">
        <v>14</v>
      </c>
      <c r="D587" t="s">
        <v>22</v>
      </c>
      <c r="E587" t="s">
        <v>26</v>
      </c>
      <c r="F587" t="s">
        <v>17</v>
      </c>
      <c r="G587" t="s">
        <v>1036</v>
      </c>
      <c r="H587" t="s">
        <v>1043</v>
      </c>
      <c r="I587" s="1">
        <v>43533</v>
      </c>
      <c r="J587" t="s">
        <v>1045</v>
      </c>
      <c r="K587" s="5">
        <v>0.57847222222222217</v>
      </c>
      <c r="L587" t="s">
        <v>28</v>
      </c>
      <c r="M587">
        <v>10.342000000000001</v>
      </c>
      <c r="N587">
        <v>9.8000000000000007</v>
      </c>
    </row>
    <row r="588" spans="1:14" x14ac:dyDescent="0.25">
      <c r="A588" t="s">
        <v>617</v>
      </c>
      <c r="B588" t="s">
        <v>13</v>
      </c>
      <c r="C588" t="s">
        <v>14</v>
      </c>
      <c r="D588" t="s">
        <v>22</v>
      </c>
      <c r="E588" t="s">
        <v>16</v>
      </c>
      <c r="F588" t="s">
        <v>39</v>
      </c>
      <c r="G588" t="s">
        <v>1038</v>
      </c>
      <c r="H588" t="s">
        <v>1043</v>
      </c>
      <c r="I588" s="1">
        <v>43551</v>
      </c>
      <c r="J588" t="s">
        <v>1045</v>
      </c>
      <c r="K588" s="5">
        <v>0.5854166666666667</v>
      </c>
      <c r="L588" t="s">
        <v>24</v>
      </c>
      <c r="M588">
        <v>7.851</v>
      </c>
      <c r="N588">
        <v>9.1999999999999993</v>
      </c>
    </row>
    <row r="589" spans="1:14" x14ac:dyDescent="0.25">
      <c r="A589" t="s">
        <v>618</v>
      </c>
      <c r="B589" t="s">
        <v>13</v>
      </c>
      <c r="C589" t="s">
        <v>14</v>
      </c>
      <c r="D589" t="s">
        <v>22</v>
      </c>
      <c r="E589" t="s">
        <v>16</v>
      </c>
      <c r="F589" t="s">
        <v>31</v>
      </c>
      <c r="G589" t="s">
        <v>1038</v>
      </c>
      <c r="H589" t="s">
        <v>1042</v>
      </c>
      <c r="I589" s="1">
        <v>43500</v>
      </c>
      <c r="J589" t="s">
        <v>1046</v>
      </c>
      <c r="K589" s="5">
        <v>0.69305555555555554</v>
      </c>
      <c r="L589" t="s">
        <v>18</v>
      </c>
      <c r="M589">
        <v>10.765000000000001</v>
      </c>
      <c r="N589">
        <v>7.7</v>
      </c>
    </row>
    <row r="590" spans="1:14" x14ac:dyDescent="0.25">
      <c r="A590" t="s">
        <v>619</v>
      </c>
      <c r="B590" t="s">
        <v>20</v>
      </c>
      <c r="C590" t="s">
        <v>21</v>
      </c>
      <c r="D590" t="s">
        <v>22</v>
      </c>
      <c r="E590" t="s">
        <v>26</v>
      </c>
      <c r="F590" t="s">
        <v>41</v>
      </c>
      <c r="G590" t="s">
        <v>1036</v>
      </c>
      <c r="H590" t="s">
        <v>1043</v>
      </c>
      <c r="I590" s="1">
        <v>43538</v>
      </c>
      <c r="J590" t="s">
        <v>1044</v>
      </c>
      <c r="K590" s="5">
        <v>0.46319444444444446</v>
      </c>
      <c r="L590" t="s">
        <v>24</v>
      </c>
      <c r="M590">
        <v>29.805</v>
      </c>
      <c r="N590">
        <v>5.3</v>
      </c>
    </row>
    <row r="591" spans="1:14" x14ac:dyDescent="0.25">
      <c r="A591" t="s">
        <v>620</v>
      </c>
      <c r="B591" t="s">
        <v>13</v>
      </c>
      <c r="C591" t="s">
        <v>14</v>
      </c>
      <c r="D591" t="s">
        <v>22</v>
      </c>
      <c r="E591" t="s">
        <v>26</v>
      </c>
      <c r="F591" t="s">
        <v>17</v>
      </c>
      <c r="G591" t="s">
        <v>1035</v>
      </c>
      <c r="H591" t="s">
        <v>1043</v>
      </c>
      <c r="I591" s="1">
        <v>43528</v>
      </c>
      <c r="J591" t="s">
        <v>1045</v>
      </c>
      <c r="K591" s="5">
        <v>0.51597222222222217</v>
      </c>
      <c r="L591" t="s">
        <v>24</v>
      </c>
      <c r="M591">
        <v>3.6549999999999998</v>
      </c>
      <c r="N591">
        <v>4.4000000000000004</v>
      </c>
    </row>
    <row r="592" spans="1:14" x14ac:dyDescent="0.25">
      <c r="A592" t="s">
        <v>621</v>
      </c>
      <c r="B592" t="s">
        <v>20</v>
      </c>
      <c r="C592" t="s">
        <v>21</v>
      </c>
      <c r="D592" t="s">
        <v>15</v>
      </c>
      <c r="E592" t="s">
        <v>26</v>
      </c>
      <c r="F592" t="s">
        <v>17</v>
      </c>
      <c r="G592" t="s">
        <v>1035</v>
      </c>
      <c r="H592" t="s">
        <v>1043</v>
      </c>
      <c r="I592" s="1">
        <v>43527</v>
      </c>
      <c r="J592" t="s">
        <v>1044</v>
      </c>
      <c r="K592" s="5">
        <v>0.45416666666666666</v>
      </c>
      <c r="L592" t="s">
        <v>28</v>
      </c>
      <c r="M592">
        <v>13.959</v>
      </c>
      <c r="N592">
        <v>4.3</v>
      </c>
    </row>
    <row r="593" spans="1:14" x14ac:dyDescent="0.25">
      <c r="A593" t="s">
        <v>622</v>
      </c>
      <c r="B593" t="s">
        <v>20</v>
      </c>
      <c r="C593" t="s">
        <v>21</v>
      </c>
      <c r="D593" t="s">
        <v>15</v>
      </c>
      <c r="E593" t="s">
        <v>16</v>
      </c>
      <c r="F593" t="s">
        <v>27</v>
      </c>
      <c r="G593" t="s">
        <v>1037</v>
      </c>
      <c r="H593" t="s">
        <v>1041</v>
      </c>
      <c r="I593" s="1">
        <v>43492</v>
      </c>
      <c r="J593" t="s">
        <v>1046</v>
      </c>
      <c r="K593" s="5">
        <v>0.73472222222222217</v>
      </c>
      <c r="L593" t="s">
        <v>18</v>
      </c>
      <c r="M593">
        <v>8.484</v>
      </c>
      <c r="N593">
        <v>9.4</v>
      </c>
    </row>
    <row r="594" spans="1:14" x14ac:dyDescent="0.25">
      <c r="A594" t="s">
        <v>623</v>
      </c>
      <c r="B594" t="s">
        <v>13</v>
      </c>
      <c r="C594" t="s">
        <v>14</v>
      </c>
      <c r="D594" t="s">
        <v>15</v>
      </c>
      <c r="E594" t="s">
        <v>16</v>
      </c>
      <c r="F594" t="s">
        <v>31</v>
      </c>
      <c r="G594" t="s">
        <v>1038</v>
      </c>
      <c r="H594" t="s">
        <v>1042</v>
      </c>
      <c r="I594" s="1">
        <v>43503</v>
      </c>
      <c r="J594" t="s">
        <v>1045</v>
      </c>
      <c r="K594" s="5">
        <v>0.59236111111111112</v>
      </c>
      <c r="L594" t="s">
        <v>24</v>
      </c>
      <c r="M594">
        <v>2.2789999999999999</v>
      </c>
      <c r="N594">
        <v>9.8000000000000007</v>
      </c>
    </row>
    <row r="595" spans="1:14" x14ac:dyDescent="0.25">
      <c r="A595" t="s">
        <v>624</v>
      </c>
      <c r="B595" t="s">
        <v>13</v>
      </c>
      <c r="C595" t="s">
        <v>14</v>
      </c>
      <c r="D595" t="s">
        <v>15</v>
      </c>
      <c r="E595" t="s">
        <v>16</v>
      </c>
      <c r="F595" t="s">
        <v>31</v>
      </c>
      <c r="G595" t="s">
        <v>1038</v>
      </c>
      <c r="H595" t="s">
        <v>1042</v>
      </c>
      <c r="I595" s="1">
        <v>43501</v>
      </c>
      <c r="J595" t="s">
        <v>1044</v>
      </c>
      <c r="K595" s="5">
        <v>0.49374999999999997</v>
      </c>
      <c r="L595" t="s">
        <v>18</v>
      </c>
      <c r="M595">
        <v>11.28</v>
      </c>
      <c r="N595">
        <v>4.8</v>
      </c>
    </row>
    <row r="596" spans="1:14" x14ac:dyDescent="0.25">
      <c r="A596" t="s">
        <v>625</v>
      </c>
      <c r="B596" t="s">
        <v>37</v>
      </c>
      <c r="C596" t="s">
        <v>38</v>
      </c>
      <c r="D596" t="s">
        <v>15</v>
      </c>
      <c r="E596" t="s">
        <v>26</v>
      </c>
      <c r="F596" t="s">
        <v>31</v>
      </c>
      <c r="G596" t="s">
        <v>1036</v>
      </c>
      <c r="H596" t="s">
        <v>1043</v>
      </c>
      <c r="I596" s="1">
        <v>43539</v>
      </c>
      <c r="J596" t="s">
        <v>1045</v>
      </c>
      <c r="K596" s="5">
        <v>0.54513888888888895</v>
      </c>
      <c r="L596" t="s">
        <v>24</v>
      </c>
      <c r="M596">
        <v>14.52</v>
      </c>
      <c r="N596">
        <v>5.3</v>
      </c>
    </row>
    <row r="597" spans="1:14" x14ac:dyDescent="0.25">
      <c r="A597" t="s">
        <v>626</v>
      </c>
      <c r="B597" t="s">
        <v>37</v>
      </c>
      <c r="C597" t="s">
        <v>38</v>
      </c>
      <c r="D597" t="s">
        <v>22</v>
      </c>
      <c r="E597" t="s">
        <v>26</v>
      </c>
      <c r="F597" t="s">
        <v>17</v>
      </c>
      <c r="G597" t="s">
        <v>1034</v>
      </c>
      <c r="H597" t="s">
        <v>1043</v>
      </c>
      <c r="I597" s="1">
        <v>43525</v>
      </c>
      <c r="J597" t="s">
        <v>1044</v>
      </c>
      <c r="K597" s="5">
        <v>0.47916666666666669</v>
      </c>
      <c r="L597" t="s">
        <v>28</v>
      </c>
      <c r="M597">
        <v>2.2229999999999999</v>
      </c>
      <c r="N597">
        <v>8.6999999999999993</v>
      </c>
    </row>
    <row r="598" spans="1:14" x14ac:dyDescent="0.25">
      <c r="A598" t="s">
        <v>627</v>
      </c>
      <c r="B598" t="s">
        <v>13</v>
      </c>
      <c r="C598" t="s">
        <v>14</v>
      </c>
      <c r="D598" t="s">
        <v>22</v>
      </c>
      <c r="E598" t="s">
        <v>26</v>
      </c>
      <c r="F598" t="s">
        <v>39</v>
      </c>
      <c r="G598" t="s">
        <v>1039</v>
      </c>
      <c r="H598" t="s">
        <v>1042</v>
      </c>
      <c r="I598" s="1">
        <v>43511</v>
      </c>
      <c r="J598" t="s">
        <v>1045</v>
      </c>
      <c r="K598" s="5">
        <v>0.5625</v>
      </c>
      <c r="L598" t="s">
        <v>28</v>
      </c>
      <c r="M598">
        <v>7.83</v>
      </c>
      <c r="N598">
        <v>9.5</v>
      </c>
    </row>
    <row r="599" spans="1:14" x14ac:dyDescent="0.25">
      <c r="A599" t="s">
        <v>628</v>
      </c>
      <c r="B599" t="s">
        <v>20</v>
      </c>
      <c r="C599" t="s">
        <v>21</v>
      </c>
      <c r="D599" t="s">
        <v>22</v>
      </c>
      <c r="E599" t="s">
        <v>16</v>
      </c>
      <c r="F599" t="s">
        <v>31</v>
      </c>
      <c r="G599" t="s">
        <v>1040</v>
      </c>
      <c r="H599" t="s">
        <v>1042</v>
      </c>
      <c r="I599" s="1">
        <v>43513</v>
      </c>
      <c r="J599" t="s">
        <v>1046</v>
      </c>
      <c r="K599" s="5">
        <v>0.7993055555555556</v>
      </c>
      <c r="L599" t="s">
        <v>18</v>
      </c>
      <c r="M599">
        <v>20.997</v>
      </c>
      <c r="N599">
        <v>5.3</v>
      </c>
    </row>
    <row r="600" spans="1:14" x14ac:dyDescent="0.25">
      <c r="A600" t="s">
        <v>629</v>
      </c>
      <c r="B600" t="s">
        <v>20</v>
      </c>
      <c r="C600" t="s">
        <v>21</v>
      </c>
      <c r="D600" t="s">
        <v>22</v>
      </c>
      <c r="E600" t="s">
        <v>16</v>
      </c>
      <c r="F600" t="s">
        <v>41</v>
      </c>
      <c r="G600" t="s">
        <v>1037</v>
      </c>
      <c r="H600" t="s">
        <v>1041</v>
      </c>
      <c r="I600" s="1">
        <v>43491</v>
      </c>
      <c r="J600" t="s">
        <v>1046</v>
      </c>
      <c r="K600" s="5">
        <v>0.78680555555555554</v>
      </c>
      <c r="L600" t="s">
        <v>24</v>
      </c>
      <c r="M600">
        <v>9.2125000000000004</v>
      </c>
      <c r="N600">
        <v>9.1999999999999993</v>
      </c>
    </row>
    <row r="601" spans="1:14" x14ac:dyDescent="0.25">
      <c r="A601" t="s">
        <v>630</v>
      </c>
      <c r="B601" t="s">
        <v>13</v>
      </c>
      <c r="C601" t="s">
        <v>14</v>
      </c>
      <c r="D601" t="s">
        <v>15</v>
      </c>
      <c r="E601" t="s">
        <v>16</v>
      </c>
      <c r="F601" t="s">
        <v>27</v>
      </c>
      <c r="G601" t="s">
        <v>1038</v>
      </c>
      <c r="H601" t="s">
        <v>1043</v>
      </c>
      <c r="I601" s="1">
        <v>43548</v>
      </c>
      <c r="J601" t="s">
        <v>1045</v>
      </c>
      <c r="K601" s="5">
        <v>0.59861111111111109</v>
      </c>
      <c r="L601" t="s">
        <v>18</v>
      </c>
      <c r="M601">
        <v>7.032</v>
      </c>
      <c r="N601">
        <v>9.6</v>
      </c>
    </row>
    <row r="602" spans="1:14" x14ac:dyDescent="0.25">
      <c r="A602" t="s">
        <v>631</v>
      </c>
      <c r="B602" t="s">
        <v>20</v>
      </c>
      <c r="C602" t="s">
        <v>21</v>
      </c>
      <c r="D602" t="s">
        <v>22</v>
      </c>
      <c r="E602" t="s">
        <v>26</v>
      </c>
      <c r="F602" t="s">
        <v>23</v>
      </c>
      <c r="G602" t="s">
        <v>1036</v>
      </c>
      <c r="H602" t="s">
        <v>1041</v>
      </c>
      <c r="I602" s="1">
        <v>43488</v>
      </c>
      <c r="J602" t="s">
        <v>1046</v>
      </c>
      <c r="K602" s="5">
        <v>0.71944444444444444</v>
      </c>
      <c r="L602" t="s">
        <v>18</v>
      </c>
      <c r="M602">
        <v>4.1539999999999999</v>
      </c>
      <c r="N602">
        <v>6.4</v>
      </c>
    </row>
    <row r="603" spans="1:14" x14ac:dyDescent="0.25">
      <c r="A603" t="s">
        <v>632</v>
      </c>
      <c r="B603" t="s">
        <v>20</v>
      </c>
      <c r="C603" t="s">
        <v>21</v>
      </c>
      <c r="D603" t="s">
        <v>22</v>
      </c>
      <c r="E603" t="s">
        <v>16</v>
      </c>
      <c r="F603" t="s">
        <v>41</v>
      </c>
      <c r="G603" t="s">
        <v>1037</v>
      </c>
      <c r="H603" t="s">
        <v>1041</v>
      </c>
      <c r="I603" s="1">
        <v>43491</v>
      </c>
      <c r="J603" t="s">
        <v>1044</v>
      </c>
      <c r="K603" s="5">
        <v>0.42083333333333334</v>
      </c>
      <c r="L603" t="s">
        <v>28</v>
      </c>
      <c r="M603">
        <v>3.2494999999999998</v>
      </c>
      <c r="N603">
        <v>4.5</v>
      </c>
    </row>
    <row r="604" spans="1:14" x14ac:dyDescent="0.25">
      <c r="A604" t="s">
        <v>633</v>
      </c>
      <c r="B604" t="s">
        <v>20</v>
      </c>
      <c r="C604" t="s">
        <v>21</v>
      </c>
      <c r="D604" t="s">
        <v>22</v>
      </c>
      <c r="E604" t="s">
        <v>26</v>
      </c>
      <c r="F604" t="s">
        <v>39</v>
      </c>
      <c r="G604" t="s">
        <v>1036</v>
      </c>
      <c r="H604" t="s">
        <v>1043</v>
      </c>
      <c r="I604" s="1">
        <v>43538</v>
      </c>
      <c r="J604" t="s">
        <v>1046</v>
      </c>
      <c r="K604" s="5">
        <v>0.85763888888888884</v>
      </c>
      <c r="L604" t="s">
        <v>18</v>
      </c>
      <c r="M604">
        <v>38.78</v>
      </c>
      <c r="N604">
        <v>6.9</v>
      </c>
    </row>
    <row r="605" spans="1:14" x14ac:dyDescent="0.25">
      <c r="A605" t="s">
        <v>634</v>
      </c>
      <c r="B605" t="s">
        <v>37</v>
      </c>
      <c r="C605" t="s">
        <v>38</v>
      </c>
      <c r="D605" t="s">
        <v>22</v>
      </c>
      <c r="E605" t="s">
        <v>16</v>
      </c>
      <c r="F605" t="s">
        <v>31</v>
      </c>
      <c r="G605" t="s">
        <v>1037</v>
      </c>
      <c r="H605" t="s">
        <v>1043</v>
      </c>
      <c r="I605" s="1">
        <v>43541</v>
      </c>
      <c r="J605" t="s">
        <v>1045</v>
      </c>
      <c r="K605" s="5">
        <v>0.57916666666666672</v>
      </c>
      <c r="L605" t="s">
        <v>18</v>
      </c>
      <c r="M605">
        <v>16.353000000000002</v>
      </c>
      <c r="N605">
        <v>7.8</v>
      </c>
    </row>
    <row r="606" spans="1:14" x14ac:dyDescent="0.25">
      <c r="A606" t="s">
        <v>635</v>
      </c>
      <c r="B606" t="s">
        <v>20</v>
      </c>
      <c r="C606" t="s">
        <v>21</v>
      </c>
      <c r="D606" t="s">
        <v>15</v>
      </c>
      <c r="E606" t="s">
        <v>16</v>
      </c>
      <c r="F606" t="s">
        <v>41</v>
      </c>
      <c r="G606" t="s">
        <v>1034</v>
      </c>
      <c r="H606" t="s">
        <v>1041</v>
      </c>
      <c r="I606" s="1">
        <v>43473</v>
      </c>
      <c r="J606" t="s">
        <v>1046</v>
      </c>
      <c r="K606" s="5">
        <v>0.83888888888888891</v>
      </c>
      <c r="L606" t="s">
        <v>24</v>
      </c>
      <c r="M606">
        <v>18.1615</v>
      </c>
      <c r="N606">
        <v>4.5</v>
      </c>
    </row>
    <row r="607" spans="1:14" x14ac:dyDescent="0.25">
      <c r="A607" t="s">
        <v>636</v>
      </c>
      <c r="B607" t="s">
        <v>37</v>
      </c>
      <c r="C607" t="s">
        <v>38</v>
      </c>
      <c r="D607" t="s">
        <v>22</v>
      </c>
      <c r="E607" t="s">
        <v>26</v>
      </c>
      <c r="F607" t="s">
        <v>27</v>
      </c>
      <c r="G607" t="s">
        <v>1038</v>
      </c>
      <c r="H607" t="s">
        <v>1042</v>
      </c>
      <c r="I607" s="1">
        <v>43504</v>
      </c>
      <c r="J607" t="s">
        <v>1045</v>
      </c>
      <c r="K607" s="5">
        <v>0.6430555555555556</v>
      </c>
      <c r="L607" t="s">
        <v>24</v>
      </c>
      <c r="M607">
        <v>6.35</v>
      </c>
      <c r="N607">
        <v>8.6</v>
      </c>
    </row>
    <row r="608" spans="1:14" x14ac:dyDescent="0.25">
      <c r="A608" t="s">
        <v>637</v>
      </c>
      <c r="B608" t="s">
        <v>13</v>
      </c>
      <c r="C608" t="s">
        <v>14</v>
      </c>
      <c r="D608" t="s">
        <v>15</v>
      </c>
      <c r="E608" t="s">
        <v>16</v>
      </c>
      <c r="F608" t="s">
        <v>41</v>
      </c>
      <c r="G608" t="s">
        <v>1039</v>
      </c>
      <c r="H608" t="s">
        <v>1042</v>
      </c>
      <c r="I608" s="1">
        <v>43506</v>
      </c>
      <c r="J608" t="s">
        <v>1045</v>
      </c>
      <c r="K608" s="5">
        <v>0.53888888888888886</v>
      </c>
      <c r="L608" t="s">
        <v>18</v>
      </c>
      <c r="M608">
        <v>18.7775</v>
      </c>
      <c r="N608">
        <v>5.2</v>
      </c>
    </row>
    <row r="609" spans="1:14" x14ac:dyDescent="0.25">
      <c r="A609" t="s">
        <v>638</v>
      </c>
      <c r="B609" t="s">
        <v>20</v>
      </c>
      <c r="C609" t="s">
        <v>21</v>
      </c>
      <c r="D609" t="s">
        <v>15</v>
      </c>
      <c r="E609" t="s">
        <v>16</v>
      </c>
      <c r="F609" t="s">
        <v>39</v>
      </c>
      <c r="G609" t="s">
        <v>1038</v>
      </c>
      <c r="H609" t="s">
        <v>1043</v>
      </c>
      <c r="I609" s="1">
        <v>43552</v>
      </c>
      <c r="J609" t="s">
        <v>1046</v>
      </c>
      <c r="K609" s="5">
        <v>0.8027777777777777</v>
      </c>
      <c r="L609" t="s">
        <v>28</v>
      </c>
      <c r="M609">
        <v>9.9580000000000002</v>
      </c>
      <c r="N609">
        <v>6.4</v>
      </c>
    </row>
    <row r="610" spans="1:14" x14ac:dyDescent="0.25">
      <c r="A610" t="s">
        <v>639</v>
      </c>
      <c r="B610" t="s">
        <v>13</v>
      </c>
      <c r="C610" t="s">
        <v>14</v>
      </c>
      <c r="D610" t="s">
        <v>22</v>
      </c>
      <c r="E610" t="s">
        <v>26</v>
      </c>
      <c r="F610" t="s">
        <v>41</v>
      </c>
      <c r="G610" t="s">
        <v>1036</v>
      </c>
      <c r="H610" t="s">
        <v>1041</v>
      </c>
      <c r="I610" s="1">
        <v>43488</v>
      </c>
      <c r="J610" t="s">
        <v>1045</v>
      </c>
      <c r="K610" s="5">
        <v>0.51388888888888895</v>
      </c>
      <c r="L610" t="s">
        <v>18</v>
      </c>
      <c r="M610">
        <v>1.5305</v>
      </c>
      <c r="N610">
        <v>5.2</v>
      </c>
    </row>
    <row r="611" spans="1:14" x14ac:dyDescent="0.25">
      <c r="A611" t="s">
        <v>640</v>
      </c>
      <c r="B611" t="s">
        <v>37</v>
      </c>
      <c r="C611" t="s">
        <v>38</v>
      </c>
      <c r="D611" t="s">
        <v>15</v>
      </c>
      <c r="E611" t="s">
        <v>26</v>
      </c>
      <c r="F611" t="s">
        <v>39</v>
      </c>
      <c r="G611" t="s">
        <v>1035</v>
      </c>
      <c r="H611" t="s">
        <v>1041</v>
      </c>
      <c r="I611" s="1">
        <v>43482</v>
      </c>
      <c r="J611" t="s">
        <v>1044</v>
      </c>
      <c r="K611" s="5">
        <v>0.44236111111111115</v>
      </c>
      <c r="L611" t="s">
        <v>18</v>
      </c>
      <c r="M611">
        <v>5.7889999999999997</v>
      </c>
      <c r="N611">
        <v>8.9</v>
      </c>
    </row>
    <row r="612" spans="1:14" x14ac:dyDescent="0.25">
      <c r="A612" t="s">
        <v>641</v>
      </c>
      <c r="B612" t="s">
        <v>13</v>
      </c>
      <c r="C612" t="s">
        <v>14</v>
      </c>
      <c r="D612" t="s">
        <v>22</v>
      </c>
      <c r="E612" t="s">
        <v>16</v>
      </c>
      <c r="F612" t="s">
        <v>23</v>
      </c>
      <c r="G612" t="s">
        <v>1038</v>
      </c>
      <c r="H612" t="s">
        <v>1042</v>
      </c>
      <c r="I612" s="1">
        <v>43503</v>
      </c>
      <c r="J612" t="s">
        <v>1044</v>
      </c>
      <c r="K612" s="5">
        <v>0.4291666666666667</v>
      </c>
      <c r="L612" t="s">
        <v>28</v>
      </c>
      <c r="M612">
        <v>1.448</v>
      </c>
      <c r="N612">
        <v>6.2</v>
      </c>
    </row>
    <row r="613" spans="1:14" x14ac:dyDescent="0.25">
      <c r="A613" t="s">
        <v>642</v>
      </c>
      <c r="B613" t="s">
        <v>20</v>
      </c>
      <c r="C613" t="s">
        <v>21</v>
      </c>
      <c r="D613" t="s">
        <v>15</v>
      </c>
      <c r="E613" t="s">
        <v>16</v>
      </c>
      <c r="F613" t="s">
        <v>39</v>
      </c>
      <c r="G613" t="s">
        <v>1036</v>
      </c>
      <c r="H613" t="s">
        <v>1043</v>
      </c>
      <c r="I613" s="1">
        <v>43533</v>
      </c>
      <c r="J613" t="s">
        <v>1044</v>
      </c>
      <c r="K613" s="5">
        <v>0.47430555555555554</v>
      </c>
      <c r="L613" t="s">
        <v>24</v>
      </c>
      <c r="M613">
        <v>44.536499999999997</v>
      </c>
      <c r="N613">
        <v>6.7</v>
      </c>
    </row>
    <row r="614" spans="1:14" x14ac:dyDescent="0.25">
      <c r="A614" t="s">
        <v>643</v>
      </c>
      <c r="B614" t="s">
        <v>37</v>
      </c>
      <c r="C614" t="s">
        <v>38</v>
      </c>
      <c r="D614" t="s">
        <v>15</v>
      </c>
      <c r="E614" t="s">
        <v>26</v>
      </c>
      <c r="F614" t="s">
        <v>41</v>
      </c>
      <c r="G614" t="s">
        <v>1036</v>
      </c>
      <c r="H614" t="s">
        <v>1041</v>
      </c>
      <c r="I614" s="1">
        <v>43489</v>
      </c>
      <c r="J614" t="s">
        <v>1044</v>
      </c>
      <c r="K614" s="5">
        <v>0.48958333333333331</v>
      </c>
      <c r="L614" t="s">
        <v>24</v>
      </c>
      <c r="M614">
        <v>13.983000000000001</v>
      </c>
      <c r="N614">
        <v>7.2</v>
      </c>
    </row>
    <row r="615" spans="1:14" x14ac:dyDescent="0.25">
      <c r="A615" t="s">
        <v>644</v>
      </c>
      <c r="B615" t="s">
        <v>20</v>
      </c>
      <c r="C615" t="s">
        <v>21</v>
      </c>
      <c r="D615" t="s">
        <v>15</v>
      </c>
      <c r="E615" t="s">
        <v>26</v>
      </c>
      <c r="F615" t="s">
        <v>31</v>
      </c>
      <c r="G615" t="s">
        <v>1036</v>
      </c>
      <c r="H615" t="s">
        <v>1041</v>
      </c>
      <c r="I615" s="1">
        <v>43484</v>
      </c>
      <c r="J615" t="s">
        <v>1046</v>
      </c>
      <c r="K615" s="5">
        <v>0.67222222222222217</v>
      </c>
      <c r="L615" t="s">
        <v>28</v>
      </c>
      <c r="M615">
        <v>4.0465</v>
      </c>
      <c r="N615">
        <v>9</v>
      </c>
    </row>
    <row r="616" spans="1:14" x14ac:dyDescent="0.25">
      <c r="A616" t="s">
        <v>645</v>
      </c>
      <c r="B616" t="s">
        <v>13</v>
      </c>
      <c r="C616" t="s">
        <v>14</v>
      </c>
      <c r="D616" t="s">
        <v>15</v>
      </c>
      <c r="E616" t="s">
        <v>26</v>
      </c>
      <c r="F616" t="s">
        <v>39</v>
      </c>
      <c r="G616" t="s">
        <v>1038</v>
      </c>
      <c r="H616" t="s">
        <v>1042</v>
      </c>
      <c r="I616" s="1">
        <v>43499</v>
      </c>
      <c r="J616" t="s">
        <v>1044</v>
      </c>
      <c r="K616" s="5">
        <v>0.47569444444444442</v>
      </c>
      <c r="L616" t="s">
        <v>18</v>
      </c>
      <c r="M616">
        <v>33.725000000000001</v>
      </c>
      <c r="N616">
        <v>4.2</v>
      </c>
    </row>
    <row r="617" spans="1:14" x14ac:dyDescent="0.25">
      <c r="A617" t="s">
        <v>646</v>
      </c>
      <c r="B617" t="s">
        <v>13</v>
      </c>
      <c r="C617" t="s">
        <v>14</v>
      </c>
      <c r="D617" t="s">
        <v>15</v>
      </c>
      <c r="E617" t="s">
        <v>16</v>
      </c>
      <c r="F617" t="s">
        <v>31</v>
      </c>
      <c r="G617" t="s">
        <v>1037</v>
      </c>
      <c r="H617" t="s">
        <v>1043</v>
      </c>
      <c r="I617" s="1">
        <v>43544</v>
      </c>
      <c r="J617" t="s">
        <v>1045</v>
      </c>
      <c r="K617" s="5">
        <v>0.51666666666666672</v>
      </c>
      <c r="L617" t="s">
        <v>18</v>
      </c>
      <c r="M617">
        <v>17.423999999999999</v>
      </c>
      <c r="N617">
        <v>4.2</v>
      </c>
    </row>
    <row r="618" spans="1:14" x14ac:dyDescent="0.25">
      <c r="A618" t="s">
        <v>647</v>
      </c>
      <c r="B618" t="s">
        <v>37</v>
      </c>
      <c r="C618" t="s">
        <v>38</v>
      </c>
      <c r="D618" t="s">
        <v>15</v>
      </c>
      <c r="E618" t="s">
        <v>26</v>
      </c>
      <c r="F618" t="s">
        <v>31</v>
      </c>
      <c r="G618" t="s">
        <v>1035</v>
      </c>
      <c r="H618" t="s">
        <v>1041</v>
      </c>
      <c r="I618" s="1">
        <v>43478</v>
      </c>
      <c r="J618" t="s">
        <v>1046</v>
      </c>
      <c r="K618" s="5">
        <v>0.82708333333333339</v>
      </c>
      <c r="L618" t="s">
        <v>24</v>
      </c>
      <c r="M618">
        <v>21.78</v>
      </c>
      <c r="N618">
        <v>6.9</v>
      </c>
    </row>
    <row r="619" spans="1:14" x14ac:dyDescent="0.25">
      <c r="A619" t="s">
        <v>648</v>
      </c>
      <c r="B619" t="s">
        <v>20</v>
      </c>
      <c r="C619" t="s">
        <v>21</v>
      </c>
      <c r="D619" t="s">
        <v>15</v>
      </c>
      <c r="E619" t="s">
        <v>26</v>
      </c>
      <c r="F619" t="s">
        <v>23</v>
      </c>
      <c r="G619" t="s">
        <v>1036</v>
      </c>
      <c r="H619" t="s">
        <v>1043</v>
      </c>
      <c r="I619" s="1">
        <v>43538</v>
      </c>
      <c r="J619" t="s">
        <v>1046</v>
      </c>
      <c r="K619" s="5">
        <v>0.75694444444444453</v>
      </c>
      <c r="L619" t="s">
        <v>18</v>
      </c>
      <c r="M619">
        <v>21.977499999999999</v>
      </c>
      <c r="N619">
        <v>4.4000000000000004</v>
      </c>
    </row>
    <row r="620" spans="1:14" x14ac:dyDescent="0.25">
      <c r="A620" t="s">
        <v>649</v>
      </c>
      <c r="B620" t="s">
        <v>13</v>
      </c>
      <c r="C620" t="s">
        <v>14</v>
      </c>
      <c r="D620" t="s">
        <v>15</v>
      </c>
      <c r="E620" t="s">
        <v>26</v>
      </c>
      <c r="F620" t="s">
        <v>39</v>
      </c>
      <c r="G620" t="s">
        <v>1036</v>
      </c>
      <c r="H620" t="s">
        <v>1041</v>
      </c>
      <c r="I620" s="1">
        <v>43488</v>
      </c>
      <c r="J620" t="s">
        <v>1044</v>
      </c>
      <c r="K620" s="5">
        <v>0.47361111111111115</v>
      </c>
      <c r="L620" t="s">
        <v>28</v>
      </c>
      <c r="M620">
        <v>29.559000000000001</v>
      </c>
      <c r="N620">
        <v>4</v>
      </c>
    </row>
    <row r="621" spans="1:14" x14ac:dyDescent="0.25">
      <c r="A621" t="s">
        <v>650</v>
      </c>
      <c r="B621" t="s">
        <v>20</v>
      </c>
      <c r="C621" t="s">
        <v>21</v>
      </c>
      <c r="D621" t="s">
        <v>15</v>
      </c>
      <c r="E621" t="s">
        <v>16</v>
      </c>
      <c r="F621" t="s">
        <v>41</v>
      </c>
      <c r="G621" t="s">
        <v>1038</v>
      </c>
      <c r="H621" t="s">
        <v>1042</v>
      </c>
      <c r="I621" s="1">
        <v>43503</v>
      </c>
      <c r="J621" t="s">
        <v>1046</v>
      </c>
      <c r="K621" s="5">
        <v>0.74652777777777779</v>
      </c>
      <c r="L621" t="s">
        <v>18</v>
      </c>
      <c r="M621">
        <v>13.038</v>
      </c>
      <c r="N621">
        <v>8.5</v>
      </c>
    </row>
    <row r="622" spans="1:14" x14ac:dyDescent="0.25">
      <c r="A622" t="s">
        <v>651</v>
      </c>
      <c r="B622" t="s">
        <v>13</v>
      </c>
      <c r="C622" t="s">
        <v>14</v>
      </c>
      <c r="D622" t="s">
        <v>22</v>
      </c>
      <c r="E622" t="s">
        <v>16</v>
      </c>
      <c r="F622" t="s">
        <v>39</v>
      </c>
      <c r="G622" t="s">
        <v>1038</v>
      </c>
      <c r="H622" t="s">
        <v>1043</v>
      </c>
      <c r="I622" s="1">
        <v>43552</v>
      </c>
      <c r="J622" t="s">
        <v>1045</v>
      </c>
      <c r="K622" s="5">
        <v>0.64583333333333337</v>
      </c>
      <c r="L622" t="s">
        <v>28</v>
      </c>
      <c r="M622">
        <v>10.752000000000001</v>
      </c>
      <c r="N622">
        <v>9.1999999999999993</v>
      </c>
    </row>
    <row r="623" spans="1:14" x14ac:dyDescent="0.25">
      <c r="A623" t="s">
        <v>652</v>
      </c>
      <c r="B623" t="s">
        <v>13</v>
      </c>
      <c r="C623" t="s">
        <v>14</v>
      </c>
      <c r="D623" t="s">
        <v>15</v>
      </c>
      <c r="E623" t="s">
        <v>16</v>
      </c>
      <c r="F623" t="s">
        <v>39</v>
      </c>
      <c r="G623" t="s">
        <v>1037</v>
      </c>
      <c r="H623" t="s">
        <v>1043</v>
      </c>
      <c r="I623" s="1">
        <v>43544</v>
      </c>
      <c r="J623" t="s">
        <v>1046</v>
      </c>
      <c r="K623" s="5">
        <v>0.8222222222222223</v>
      </c>
      <c r="L623" t="s">
        <v>24</v>
      </c>
      <c r="M623">
        <v>4.5804999999999998</v>
      </c>
      <c r="N623">
        <v>9.8000000000000007</v>
      </c>
    </row>
    <row r="624" spans="1:14" x14ac:dyDescent="0.25">
      <c r="A624" t="s">
        <v>653</v>
      </c>
      <c r="B624" t="s">
        <v>37</v>
      </c>
      <c r="C624" t="s">
        <v>38</v>
      </c>
      <c r="D624" t="s">
        <v>15</v>
      </c>
      <c r="E624" t="s">
        <v>16</v>
      </c>
      <c r="F624" t="s">
        <v>27</v>
      </c>
      <c r="G624" t="s">
        <v>1035</v>
      </c>
      <c r="H624" t="s">
        <v>1041</v>
      </c>
      <c r="I624" s="1">
        <v>43482</v>
      </c>
      <c r="J624" t="s">
        <v>1045</v>
      </c>
      <c r="K624" s="5">
        <v>0.64374999999999993</v>
      </c>
      <c r="L624" t="s">
        <v>28</v>
      </c>
      <c r="M624">
        <v>33.106499999999997</v>
      </c>
      <c r="N624">
        <v>4.9000000000000004</v>
      </c>
    </row>
    <row r="625" spans="1:14" x14ac:dyDescent="0.25">
      <c r="A625" t="s">
        <v>654</v>
      </c>
      <c r="B625" t="s">
        <v>37</v>
      </c>
      <c r="C625" t="s">
        <v>38</v>
      </c>
      <c r="D625" t="s">
        <v>22</v>
      </c>
      <c r="E625" t="s">
        <v>16</v>
      </c>
      <c r="F625" t="s">
        <v>41</v>
      </c>
      <c r="G625" t="s">
        <v>1035</v>
      </c>
      <c r="H625" t="s">
        <v>1041</v>
      </c>
      <c r="I625" s="1">
        <v>43477</v>
      </c>
      <c r="J625" t="s">
        <v>1044</v>
      </c>
      <c r="K625" s="5">
        <v>0.47569444444444442</v>
      </c>
      <c r="L625" t="s">
        <v>28</v>
      </c>
      <c r="M625">
        <v>41.625</v>
      </c>
      <c r="N625">
        <v>4.4000000000000004</v>
      </c>
    </row>
    <row r="626" spans="1:14" x14ac:dyDescent="0.25">
      <c r="A626" t="s">
        <v>655</v>
      </c>
      <c r="B626" t="s">
        <v>37</v>
      </c>
      <c r="C626" t="s">
        <v>38</v>
      </c>
      <c r="D626" t="s">
        <v>15</v>
      </c>
      <c r="E626" t="s">
        <v>26</v>
      </c>
      <c r="F626" t="s">
        <v>41</v>
      </c>
      <c r="G626" t="s">
        <v>1040</v>
      </c>
      <c r="H626" t="s">
        <v>1042</v>
      </c>
      <c r="I626" s="1">
        <v>43512</v>
      </c>
      <c r="J626" t="s">
        <v>1045</v>
      </c>
      <c r="K626" s="5">
        <v>0.65416666666666667</v>
      </c>
      <c r="L626" t="s">
        <v>24</v>
      </c>
      <c r="M626">
        <v>4.5674999999999999</v>
      </c>
      <c r="N626">
        <v>6.8</v>
      </c>
    </row>
    <row r="627" spans="1:14" x14ac:dyDescent="0.25">
      <c r="A627" t="s">
        <v>656</v>
      </c>
      <c r="B627" t="s">
        <v>37</v>
      </c>
      <c r="C627" t="s">
        <v>38</v>
      </c>
      <c r="D627" t="s">
        <v>15</v>
      </c>
      <c r="E627" t="s">
        <v>16</v>
      </c>
      <c r="F627" t="s">
        <v>39</v>
      </c>
      <c r="G627" t="s">
        <v>1037</v>
      </c>
      <c r="H627" t="s">
        <v>1041</v>
      </c>
      <c r="I627" s="1">
        <v>43491</v>
      </c>
      <c r="J627" t="s">
        <v>1046</v>
      </c>
      <c r="K627" s="5">
        <v>0.6694444444444444</v>
      </c>
      <c r="L627" t="s">
        <v>24</v>
      </c>
      <c r="M627">
        <v>7.8879999999999999</v>
      </c>
      <c r="N627">
        <v>9.1</v>
      </c>
    </row>
    <row r="628" spans="1:14" x14ac:dyDescent="0.25">
      <c r="A628" t="s">
        <v>657</v>
      </c>
      <c r="B628" t="s">
        <v>13</v>
      </c>
      <c r="C628" t="s">
        <v>14</v>
      </c>
      <c r="D628" t="s">
        <v>22</v>
      </c>
      <c r="E628" t="s">
        <v>26</v>
      </c>
      <c r="F628" t="s">
        <v>31</v>
      </c>
      <c r="G628" t="s">
        <v>1036</v>
      </c>
      <c r="H628" t="s">
        <v>1043</v>
      </c>
      <c r="I628" s="1">
        <v>43533</v>
      </c>
      <c r="J628" t="s">
        <v>1045</v>
      </c>
      <c r="K628" s="5">
        <v>0.52569444444444446</v>
      </c>
      <c r="L628" t="s">
        <v>18</v>
      </c>
      <c r="M628">
        <v>6.0869999999999997</v>
      </c>
      <c r="N628">
        <v>8.6999999999999993</v>
      </c>
    </row>
    <row r="629" spans="1:14" x14ac:dyDescent="0.25">
      <c r="A629" t="s">
        <v>658</v>
      </c>
      <c r="B629" t="s">
        <v>37</v>
      </c>
      <c r="C629" t="s">
        <v>38</v>
      </c>
      <c r="D629" t="s">
        <v>15</v>
      </c>
      <c r="E629" t="s">
        <v>26</v>
      </c>
      <c r="F629" t="s">
        <v>17</v>
      </c>
      <c r="G629" t="s">
        <v>1036</v>
      </c>
      <c r="H629" t="s">
        <v>1043</v>
      </c>
      <c r="I629" s="1">
        <v>43538</v>
      </c>
      <c r="J629" t="s">
        <v>1045</v>
      </c>
      <c r="K629" s="5">
        <v>0.6118055555555556</v>
      </c>
      <c r="L629" t="s">
        <v>24</v>
      </c>
      <c r="M629">
        <v>41.29</v>
      </c>
      <c r="N629">
        <v>5</v>
      </c>
    </row>
    <row r="630" spans="1:14" x14ac:dyDescent="0.25">
      <c r="A630" t="s">
        <v>659</v>
      </c>
      <c r="B630" t="s">
        <v>13</v>
      </c>
      <c r="C630" t="s">
        <v>14</v>
      </c>
      <c r="D630" t="s">
        <v>15</v>
      </c>
      <c r="E630" t="s">
        <v>26</v>
      </c>
      <c r="F630" t="s">
        <v>27</v>
      </c>
      <c r="G630" t="s">
        <v>1036</v>
      </c>
      <c r="H630" t="s">
        <v>1041</v>
      </c>
      <c r="I630" s="1">
        <v>43490</v>
      </c>
      <c r="J630" t="s">
        <v>1045</v>
      </c>
      <c r="K630" s="5">
        <v>0.59652777777777777</v>
      </c>
      <c r="L630" t="s">
        <v>18</v>
      </c>
      <c r="M630">
        <v>7.9950000000000001</v>
      </c>
      <c r="N630">
        <v>7.5</v>
      </c>
    </row>
    <row r="631" spans="1:14" x14ac:dyDescent="0.25">
      <c r="A631" t="s">
        <v>660</v>
      </c>
      <c r="B631" t="s">
        <v>13</v>
      </c>
      <c r="C631" t="s">
        <v>14</v>
      </c>
      <c r="D631" t="s">
        <v>22</v>
      </c>
      <c r="E631" t="s">
        <v>16</v>
      </c>
      <c r="F631" t="s">
        <v>41</v>
      </c>
      <c r="G631" t="s">
        <v>1037</v>
      </c>
      <c r="H631" t="s">
        <v>1041</v>
      </c>
      <c r="I631" s="1">
        <v>43491</v>
      </c>
      <c r="J631" t="s">
        <v>1046</v>
      </c>
      <c r="K631" s="5">
        <v>0.7631944444444444</v>
      </c>
      <c r="L631" t="s">
        <v>28</v>
      </c>
      <c r="M631">
        <v>0.60450000000000004</v>
      </c>
      <c r="N631">
        <v>8.1999999999999993</v>
      </c>
    </row>
    <row r="632" spans="1:14" x14ac:dyDescent="0.25">
      <c r="A632" t="s">
        <v>661</v>
      </c>
      <c r="B632" t="s">
        <v>13</v>
      </c>
      <c r="C632" t="s">
        <v>14</v>
      </c>
      <c r="D632" t="s">
        <v>22</v>
      </c>
      <c r="E632" t="s">
        <v>26</v>
      </c>
      <c r="F632" t="s">
        <v>31</v>
      </c>
      <c r="G632" t="s">
        <v>1036</v>
      </c>
      <c r="H632" t="s">
        <v>1041</v>
      </c>
      <c r="I632" s="1">
        <v>43484</v>
      </c>
      <c r="J632" t="s">
        <v>1045</v>
      </c>
      <c r="K632" s="5">
        <v>0.58888888888888891</v>
      </c>
      <c r="L632" t="s">
        <v>28</v>
      </c>
      <c r="M632">
        <v>32.094999999999999</v>
      </c>
      <c r="N632">
        <v>6.7</v>
      </c>
    </row>
    <row r="633" spans="1:14" x14ac:dyDescent="0.25">
      <c r="A633" t="s">
        <v>662</v>
      </c>
      <c r="B633" t="s">
        <v>13</v>
      </c>
      <c r="C633" t="s">
        <v>14</v>
      </c>
      <c r="D633" t="s">
        <v>22</v>
      </c>
      <c r="E633" t="s">
        <v>26</v>
      </c>
      <c r="F633" t="s">
        <v>23</v>
      </c>
      <c r="G633" t="s">
        <v>1035</v>
      </c>
      <c r="H633" t="s">
        <v>1043</v>
      </c>
      <c r="I633" s="1">
        <v>43529</v>
      </c>
      <c r="J633" t="s">
        <v>1046</v>
      </c>
      <c r="K633" s="5">
        <v>0.69305555555555554</v>
      </c>
      <c r="L633" t="s">
        <v>18</v>
      </c>
      <c r="M633">
        <v>11.746499999999999</v>
      </c>
      <c r="N633">
        <v>5.4</v>
      </c>
    </row>
    <row r="634" spans="1:14" x14ac:dyDescent="0.25">
      <c r="A634" t="s">
        <v>663</v>
      </c>
      <c r="B634" t="s">
        <v>13</v>
      </c>
      <c r="C634" t="s">
        <v>14</v>
      </c>
      <c r="D634" t="s">
        <v>15</v>
      </c>
      <c r="E634" t="s">
        <v>26</v>
      </c>
      <c r="F634" t="s">
        <v>39</v>
      </c>
      <c r="G634" t="s">
        <v>1035</v>
      </c>
      <c r="H634" t="s">
        <v>1041</v>
      </c>
      <c r="I634" s="1">
        <v>43480</v>
      </c>
      <c r="J634" t="s">
        <v>1044</v>
      </c>
      <c r="K634" s="5">
        <v>0.45416666666666666</v>
      </c>
      <c r="L634" t="s">
        <v>28</v>
      </c>
      <c r="M634">
        <v>8.3770000000000007</v>
      </c>
      <c r="N634">
        <v>7</v>
      </c>
    </row>
    <row r="635" spans="1:14" x14ac:dyDescent="0.25">
      <c r="A635" t="s">
        <v>664</v>
      </c>
      <c r="B635" t="s">
        <v>37</v>
      </c>
      <c r="C635" t="s">
        <v>38</v>
      </c>
      <c r="D635" t="s">
        <v>22</v>
      </c>
      <c r="E635" t="s">
        <v>26</v>
      </c>
      <c r="F635" t="s">
        <v>27</v>
      </c>
      <c r="G635" t="s">
        <v>1037</v>
      </c>
      <c r="H635" t="s">
        <v>1043</v>
      </c>
      <c r="I635" s="1">
        <v>43542</v>
      </c>
      <c r="J635" t="s">
        <v>1044</v>
      </c>
      <c r="K635" s="5">
        <v>0.47847222222222219</v>
      </c>
      <c r="L635" t="s">
        <v>18</v>
      </c>
      <c r="M635">
        <v>14.955</v>
      </c>
      <c r="N635">
        <v>4.7</v>
      </c>
    </row>
    <row r="636" spans="1:14" x14ac:dyDescent="0.25">
      <c r="A636" t="s">
        <v>665</v>
      </c>
      <c r="B636" t="s">
        <v>37</v>
      </c>
      <c r="C636" t="s">
        <v>38</v>
      </c>
      <c r="D636" t="s">
        <v>15</v>
      </c>
      <c r="E636" t="s">
        <v>26</v>
      </c>
      <c r="F636" t="s">
        <v>39</v>
      </c>
      <c r="G636" t="s">
        <v>1037</v>
      </c>
      <c r="H636" t="s">
        <v>1043</v>
      </c>
      <c r="I636" s="1">
        <v>43544</v>
      </c>
      <c r="J636" t="s">
        <v>1046</v>
      </c>
      <c r="K636" s="5">
        <v>0.81111111111111101</v>
      </c>
      <c r="L636" t="s">
        <v>28</v>
      </c>
      <c r="M636">
        <v>11.986499999999999</v>
      </c>
      <c r="N636">
        <v>5</v>
      </c>
    </row>
    <row r="637" spans="1:14" x14ac:dyDescent="0.25">
      <c r="A637" t="s">
        <v>666</v>
      </c>
      <c r="B637" t="s">
        <v>37</v>
      </c>
      <c r="C637" t="s">
        <v>38</v>
      </c>
      <c r="D637" t="s">
        <v>15</v>
      </c>
      <c r="E637" t="s">
        <v>26</v>
      </c>
      <c r="F637" t="s">
        <v>17</v>
      </c>
      <c r="G637" t="s">
        <v>1035</v>
      </c>
      <c r="H637" t="s">
        <v>1041</v>
      </c>
      <c r="I637" s="1">
        <v>43480</v>
      </c>
      <c r="J637" t="s">
        <v>1045</v>
      </c>
      <c r="K637" s="5">
        <v>0.62569444444444444</v>
      </c>
      <c r="L637" t="s">
        <v>28</v>
      </c>
      <c r="M637">
        <v>33.234999999999999</v>
      </c>
      <c r="N637">
        <v>5</v>
      </c>
    </row>
    <row r="638" spans="1:14" x14ac:dyDescent="0.25">
      <c r="A638" t="s">
        <v>667</v>
      </c>
      <c r="B638" t="s">
        <v>13</v>
      </c>
      <c r="C638" t="s">
        <v>14</v>
      </c>
      <c r="D638" t="s">
        <v>22</v>
      </c>
      <c r="E638" t="s">
        <v>26</v>
      </c>
      <c r="F638" t="s">
        <v>17</v>
      </c>
      <c r="G638" t="s">
        <v>1035</v>
      </c>
      <c r="H638" t="s">
        <v>1043</v>
      </c>
      <c r="I638" s="1">
        <v>43527</v>
      </c>
      <c r="J638" t="s">
        <v>1046</v>
      </c>
      <c r="K638" s="5">
        <v>0.85486111111111107</v>
      </c>
      <c r="L638" t="s">
        <v>28</v>
      </c>
      <c r="M638">
        <v>10.1325</v>
      </c>
      <c r="N638">
        <v>6</v>
      </c>
    </row>
    <row r="639" spans="1:14" x14ac:dyDescent="0.25">
      <c r="A639" t="s">
        <v>668</v>
      </c>
      <c r="B639" t="s">
        <v>20</v>
      </c>
      <c r="C639" t="s">
        <v>21</v>
      </c>
      <c r="D639" t="s">
        <v>22</v>
      </c>
      <c r="E639" t="s">
        <v>16</v>
      </c>
      <c r="F639" t="s">
        <v>23</v>
      </c>
      <c r="G639" t="s">
        <v>1037</v>
      </c>
      <c r="H639" t="s">
        <v>1043</v>
      </c>
      <c r="I639" s="1">
        <v>43543</v>
      </c>
      <c r="J639" t="s">
        <v>1045</v>
      </c>
      <c r="K639" s="5">
        <v>0.51111111111111118</v>
      </c>
      <c r="L639" t="s">
        <v>24</v>
      </c>
      <c r="M639">
        <v>2.31</v>
      </c>
      <c r="N639">
        <v>6.3</v>
      </c>
    </row>
    <row r="640" spans="1:14" x14ac:dyDescent="0.25">
      <c r="A640" t="s">
        <v>669</v>
      </c>
      <c r="B640" t="s">
        <v>37</v>
      </c>
      <c r="C640" t="s">
        <v>38</v>
      </c>
      <c r="D640" t="s">
        <v>15</v>
      </c>
      <c r="E640" t="s">
        <v>16</v>
      </c>
      <c r="F640" t="s">
        <v>39</v>
      </c>
      <c r="G640" t="s">
        <v>1035</v>
      </c>
      <c r="H640" t="s">
        <v>1043</v>
      </c>
      <c r="I640" s="1">
        <v>43532</v>
      </c>
      <c r="J640" t="s">
        <v>1045</v>
      </c>
      <c r="K640" s="5">
        <v>0.64374999999999993</v>
      </c>
      <c r="L640" t="s">
        <v>24</v>
      </c>
      <c r="M640">
        <v>4.4074999999999998</v>
      </c>
      <c r="N640">
        <v>8.5</v>
      </c>
    </row>
    <row r="641" spans="1:14" x14ac:dyDescent="0.25">
      <c r="A641" t="s">
        <v>670</v>
      </c>
      <c r="B641" t="s">
        <v>37</v>
      </c>
      <c r="C641" t="s">
        <v>38</v>
      </c>
      <c r="D641" t="s">
        <v>22</v>
      </c>
      <c r="E641" t="s">
        <v>26</v>
      </c>
      <c r="F641" t="s">
        <v>41</v>
      </c>
      <c r="G641" t="s">
        <v>1034</v>
      </c>
      <c r="H641" t="s">
        <v>1042</v>
      </c>
      <c r="I641" s="1">
        <v>43523</v>
      </c>
      <c r="J641" t="s">
        <v>1046</v>
      </c>
      <c r="K641" s="5">
        <v>0.73333333333333339</v>
      </c>
      <c r="L641" t="s">
        <v>18</v>
      </c>
      <c r="M641">
        <v>7.8630000000000004</v>
      </c>
      <c r="N641">
        <v>7.5</v>
      </c>
    </row>
    <row r="642" spans="1:14" x14ac:dyDescent="0.25">
      <c r="A642" t="s">
        <v>671</v>
      </c>
      <c r="B642" t="s">
        <v>37</v>
      </c>
      <c r="C642" t="s">
        <v>38</v>
      </c>
      <c r="D642" t="s">
        <v>15</v>
      </c>
      <c r="E642" t="s">
        <v>16</v>
      </c>
      <c r="F642" t="s">
        <v>39</v>
      </c>
      <c r="G642" t="s">
        <v>1034</v>
      </c>
      <c r="H642" t="s">
        <v>1042</v>
      </c>
      <c r="I642" s="1">
        <v>43519</v>
      </c>
      <c r="J642" t="s">
        <v>1046</v>
      </c>
      <c r="K642" s="5">
        <v>0.83333333333333337</v>
      </c>
      <c r="L642" t="s">
        <v>18</v>
      </c>
      <c r="M642">
        <v>14.8185</v>
      </c>
      <c r="N642">
        <v>6.4</v>
      </c>
    </row>
    <row r="643" spans="1:14" x14ac:dyDescent="0.25">
      <c r="A643" t="s">
        <v>672</v>
      </c>
      <c r="B643" t="s">
        <v>20</v>
      </c>
      <c r="C643" t="s">
        <v>21</v>
      </c>
      <c r="D643" t="s">
        <v>15</v>
      </c>
      <c r="E643" t="s">
        <v>16</v>
      </c>
      <c r="F643" t="s">
        <v>23</v>
      </c>
      <c r="G643" t="s">
        <v>1037</v>
      </c>
      <c r="H643" t="s">
        <v>1043</v>
      </c>
      <c r="I643" s="1">
        <v>43543</v>
      </c>
      <c r="J643" t="s">
        <v>1045</v>
      </c>
      <c r="K643" s="5">
        <v>0.64513888888888882</v>
      </c>
      <c r="L643" t="s">
        <v>18</v>
      </c>
      <c r="M643">
        <v>35.42</v>
      </c>
      <c r="N643">
        <v>4.7</v>
      </c>
    </row>
    <row r="644" spans="1:14" x14ac:dyDescent="0.25">
      <c r="A644" t="s">
        <v>673</v>
      </c>
      <c r="B644" t="s">
        <v>37</v>
      </c>
      <c r="C644" t="s">
        <v>38</v>
      </c>
      <c r="D644" t="s">
        <v>15</v>
      </c>
      <c r="E644" t="s">
        <v>26</v>
      </c>
      <c r="F644" t="s">
        <v>23</v>
      </c>
      <c r="G644" t="s">
        <v>1038</v>
      </c>
      <c r="H644" t="s">
        <v>1043</v>
      </c>
      <c r="I644" s="1">
        <v>43551</v>
      </c>
      <c r="J644" t="s">
        <v>1045</v>
      </c>
      <c r="K644" s="5">
        <v>0.63055555555555554</v>
      </c>
      <c r="L644" t="s">
        <v>18</v>
      </c>
      <c r="M644">
        <v>5.5670000000000002</v>
      </c>
      <c r="N644">
        <v>6</v>
      </c>
    </row>
    <row r="645" spans="1:14" x14ac:dyDescent="0.25">
      <c r="A645" t="s">
        <v>674</v>
      </c>
      <c r="B645" t="s">
        <v>20</v>
      </c>
      <c r="C645" t="s">
        <v>21</v>
      </c>
      <c r="D645" t="s">
        <v>15</v>
      </c>
      <c r="E645" t="s">
        <v>16</v>
      </c>
      <c r="F645" t="s">
        <v>39</v>
      </c>
      <c r="G645" t="s">
        <v>1039</v>
      </c>
      <c r="H645" t="s">
        <v>1043</v>
      </c>
      <c r="I645" s="1">
        <v>43554</v>
      </c>
      <c r="J645" t="s">
        <v>1046</v>
      </c>
      <c r="K645" s="5">
        <v>0.80972222222222223</v>
      </c>
      <c r="L645" t="s">
        <v>28</v>
      </c>
      <c r="M645">
        <v>29.007999999999999</v>
      </c>
      <c r="N645">
        <v>4</v>
      </c>
    </row>
    <row r="646" spans="1:14" x14ac:dyDescent="0.25">
      <c r="A646" t="s">
        <v>675</v>
      </c>
      <c r="B646" t="s">
        <v>20</v>
      </c>
      <c r="C646" t="s">
        <v>21</v>
      </c>
      <c r="D646" t="s">
        <v>15</v>
      </c>
      <c r="E646" t="s">
        <v>26</v>
      </c>
      <c r="F646" t="s">
        <v>23</v>
      </c>
      <c r="G646" t="s">
        <v>1040</v>
      </c>
      <c r="H646" t="s">
        <v>1042</v>
      </c>
      <c r="I646" s="1">
        <v>43512</v>
      </c>
      <c r="J646" t="s">
        <v>1045</v>
      </c>
      <c r="K646" s="5">
        <v>0.66180555555555554</v>
      </c>
      <c r="L646" t="s">
        <v>18</v>
      </c>
      <c r="M646">
        <v>3.0125000000000002</v>
      </c>
      <c r="N646">
        <v>5.5</v>
      </c>
    </row>
    <row r="647" spans="1:14" x14ac:dyDescent="0.25">
      <c r="A647" t="s">
        <v>676</v>
      </c>
      <c r="B647" t="s">
        <v>13</v>
      </c>
      <c r="C647" t="s">
        <v>14</v>
      </c>
      <c r="D647" t="s">
        <v>15</v>
      </c>
      <c r="E647" t="s">
        <v>26</v>
      </c>
      <c r="F647" t="s">
        <v>27</v>
      </c>
      <c r="G647" t="s">
        <v>1035</v>
      </c>
      <c r="H647" t="s">
        <v>1041</v>
      </c>
      <c r="I647" s="1">
        <v>43483</v>
      </c>
      <c r="J647" t="s">
        <v>1046</v>
      </c>
      <c r="K647" s="5">
        <v>0.77986111111111101</v>
      </c>
      <c r="L647" t="s">
        <v>18</v>
      </c>
      <c r="M647">
        <v>8.7119999999999997</v>
      </c>
      <c r="N647">
        <v>8.6999999999999993</v>
      </c>
    </row>
    <row r="648" spans="1:14" x14ac:dyDescent="0.25">
      <c r="A648" t="s">
        <v>677</v>
      </c>
      <c r="B648" t="s">
        <v>20</v>
      </c>
      <c r="C648" t="s">
        <v>21</v>
      </c>
      <c r="D648" t="s">
        <v>22</v>
      </c>
      <c r="E648" t="s">
        <v>26</v>
      </c>
      <c r="F648" t="s">
        <v>17</v>
      </c>
      <c r="G648" t="s">
        <v>1039</v>
      </c>
      <c r="H648" t="s">
        <v>1043</v>
      </c>
      <c r="I648" s="1">
        <v>43554</v>
      </c>
      <c r="J648" t="s">
        <v>1045</v>
      </c>
      <c r="K648" s="5">
        <v>0.62361111111111112</v>
      </c>
      <c r="L648" t="s">
        <v>24</v>
      </c>
      <c r="M648">
        <v>21.062999999999999</v>
      </c>
      <c r="N648">
        <v>7.4</v>
      </c>
    </row>
    <row r="649" spans="1:14" x14ac:dyDescent="0.25">
      <c r="A649" t="s">
        <v>678</v>
      </c>
      <c r="B649" t="s">
        <v>37</v>
      </c>
      <c r="C649" t="s">
        <v>38</v>
      </c>
      <c r="D649" t="s">
        <v>15</v>
      </c>
      <c r="E649" t="s">
        <v>26</v>
      </c>
      <c r="F649" t="s">
        <v>41</v>
      </c>
      <c r="G649" t="s">
        <v>1037</v>
      </c>
      <c r="H649" t="s">
        <v>1043</v>
      </c>
      <c r="I649" s="1">
        <v>43544</v>
      </c>
      <c r="J649" t="s">
        <v>1046</v>
      </c>
      <c r="K649" s="5">
        <v>0.82986111111111116</v>
      </c>
      <c r="L649" t="s">
        <v>24</v>
      </c>
      <c r="M649">
        <v>1.6815</v>
      </c>
      <c r="N649">
        <v>5.6</v>
      </c>
    </row>
    <row r="650" spans="1:14" x14ac:dyDescent="0.25">
      <c r="A650" t="s">
        <v>679</v>
      </c>
      <c r="B650" t="s">
        <v>20</v>
      </c>
      <c r="C650" t="s">
        <v>21</v>
      </c>
      <c r="D650" t="s">
        <v>15</v>
      </c>
      <c r="E650" t="s">
        <v>16</v>
      </c>
      <c r="F650" t="s">
        <v>31</v>
      </c>
      <c r="G650" t="s">
        <v>1035</v>
      </c>
      <c r="H650" t="s">
        <v>1041</v>
      </c>
      <c r="I650" s="1">
        <v>43481</v>
      </c>
      <c r="J650" t="s">
        <v>1045</v>
      </c>
      <c r="K650" s="5">
        <v>0.63194444444444442</v>
      </c>
      <c r="L650" t="s">
        <v>24</v>
      </c>
      <c r="M650">
        <v>1.5489999999999999</v>
      </c>
      <c r="N650">
        <v>6.3</v>
      </c>
    </row>
    <row r="651" spans="1:14" x14ac:dyDescent="0.25">
      <c r="A651" t="s">
        <v>680</v>
      </c>
      <c r="B651" t="s">
        <v>20</v>
      </c>
      <c r="C651" t="s">
        <v>21</v>
      </c>
      <c r="D651" t="s">
        <v>22</v>
      </c>
      <c r="E651" t="s">
        <v>26</v>
      </c>
      <c r="F651" t="s">
        <v>23</v>
      </c>
      <c r="G651" t="s">
        <v>1034</v>
      </c>
      <c r="H651" t="s">
        <v>1042</v>
      </c>
      <c r="I651" s="1">
        <v>43520</v>
      </c>
      <c r="J651" t="s">
        <v>1046</v>
      </c>
      <c r="K651" s="5">
        <v>0.6972222222222223</v>
      </c>
      <c r="L651" t="s">
        <v>24</v>
      </c>
      <c r="M651">
        <v>12.37</v>
      </c>
      <c r="N651">
        <v>7.1</v>
      </c>
    </row>
    <row r="652" spans="1:14" x14ac:dyDescent="0.25">
      <c r="A652" t="s">
        <v>681</v>
      </c>
      <c r="B652" t="s">
        <v>37</v>
      </c>
      <c r="C652" t="s">
        <v>38</v>
      </c>
      <c r="D652" t="s">
        <v>22</v>
      </c>
      <c r="E652" t="s">
        <v>26</v>
      </c>
      <c r="F652" t="s">
        <v>23</v>
      </c>
      <c r="G652" t="s">
        <v>1035</v>
      </c>
      <c r="H652" t="s">
        <v>1041</v>
      </c>
      <c r="I652" s="1">
        <v>43480</v>
      </c>
      <c r="J652" t="s">
        <v>1046</v>
      </c>
      <c r="K652" s="5">
        <v>0.76527777777777783</v>
      </c>
      <c r="L652" t="s">
        <v>18</v>
      </c>
      <c r="M652">
        <v>18.914999999999999</v>
      </c>
      <c r="N652">
        <v>7.8</v>
      </c>
    </row>
    <row r="653" spans="1:14" x14ac:dyDescent="0.25">
      <c r="A653" t="s">
        <v>682</v>
      </c>
      <c r="B653" t="s">
        <v>37</v>
      </c>
      <c r="C653" t="s">
        <v>38</v>
      </c>
      <c r="D653" t="s">
        <v>22</v>
      </c>
      <c r="E653" t="s">
        <v>16</v>
      </c>
      <c r="F653" t="s">
        <v>17</v>
      </c>
      <c r="G653" t="s">
        <v>1036</v>
      </c>
      <c r="H653" t="s">
        <v>1041</v>
      </c>
      <c r="I653" s="1">
        <v>43487</v>
      </c>
      <c r="J653" t="s">
        <v>1044</v>
      </c>
      <c r="K653" s="5">
        <v>0.49444444444444446</v>
      </c>
      <c r="L653" t="s">
        <v>24</v>
      </c>
      <c r="M653">
        <v>16.742999999999999</v>
      </c>
      <c r="N653">
        <v>9.9</v>
      </c>
    </row>
    <row r="654" spans="1:14" x14ac:dyDescent="0.25">
      <c r="A654" t="s">
        <v>683</v>
      </c>
      <c r="B654" t="s">
        <v>13</v>
      </c>
      <c r="C654" t="s">
        <v>14</v>
      </c>
      <c r="D654" t="s">
        <v>15</v>
      </c>
      <c r="E654" t="s">
        <v>26</v>
      </c>
      <c r="F654" t="s">
        <v>27</v>
      </c>
      <c r="G654" t="s">
        <v>1038</v>
      </c>
      <c r="H654" t="s">
        <v>1042</v>
      </c>
      <c r="I654" s="1">
        <v>43499</v>
      </c>
      <c r="J654" t="s">
        <v>1046</v>
      </c>
      <c r="K654" s="5">
        <v>0.72499999999999998</v>
      </c>
      <c r="L654" t="s">
        <v>24</v>
      </c>
      <c r="M654">
        <v>36.39</v>
      </c>
      <c r="N654">
        <v>7.3</v>
      </c>
    </row>
    <row r="655" spans="1:14" x14ac:dyDescent="0.25">
      <c r="A655" t="s">
        <v>684</v>
      </c>
      <c r="B655" t="s">
        <v>37</v>
      </c>
      <c r="C655" t="s">
        <v>38</v>
      </c>
      <c r="D655" t="s">
        <v>15</v>
      </c>
      <c r="E655" t="s">
        <v>26</v>
      </c>
      <c r="F655" t="s">
        <v>31</v>
      </c>
      <c r="G655" t="s">
        <v>1035</v>
      </c>
      <c r="H655" t="s">
        <v>1043</v>
      </c>
      <c r="I655" s="1">
        <v>43530</v>
      </c>
      <c r="J655" t="s">
        <v>1045</v>
      </c>
      <c r="K655" s="5">
        <v>0.64652777777777781</v>
      </c>
      <c r="L655" t="s">
        <v>18</v>
      </c>
      <c r="M655">
        <v>16.794</v>
      </c>
      <c r="N655">
        <v>5.0999999999999996</v>
      </c>
    </row>
    <row r="656" spans="1:14" x14ac:dyDescent="0.25">
      <c r="A656" t="s">
        <v>685</v>
      </c>
      <c r="B656" t="s">
        <v>37</v>
      </c>
      <c r="C656" t="s">
        <v>38</v>
      </c>
      <c r="D656" t="s">
        <v>15</v>
      </c>
      <c r="E656" t="s">
        <v>26</v>
      </c>
      <c r="F656" t="s">
        <v>41</v>
      </c>
      <c r="G656" t="s">
        <v>1040</v>
      </c>
      <c r="H656" t="s">
        <v>1042</v>
      </c>
      <c r="I656" s="1">
        <v>43512</v>
      </c>
      <c r="J656" t="s">
        <v>1046</v>
      </c>
      <c r="K656" s="5">
        <v>0.75277777777777777</v>
      </c>
      <c r="L656" t="s">
        <v>28</v>
      </c>
      <c r="M656">
        <v>12.036</v>
      </c>
      <c r="N656">
        <v>9.4</v>
      </c>
    </row>
    <row r="657" spans="1:14" x14ac:dyDescent="0.25">
      <c r="A657" t="s">
        <v>686</v>
      </c>
      <c r="B657" t="s">
        <v>13</v>
      </c>
      <c r="C657" t="s">
        <v>14</v>
      </c>
      <c r="D657" t="s">
        <v>22</v>
      </c>
      <c r="E657" t="s">
        <v>16</v>
      </c>
      <c r="F657" t="s">
        <v>23</v>
      </c>
      <c r="G657" t="s">
        <v>1036</v>
      </c>
      <c r="H657" t="s">
        <v>1043</v>
      </c>
      <c r="I657" s="1">
        <v>43538</v>
      </c>
      <c r="J657" t="s">
        <v>1045</v>
      </c>
      <c r="K657" s="5">
        <v>0.59236111111111112</v>
      </c>
      <c r="L657" t="s">
        <v>28</v>
      </c>
      <c r="M657">
        <v>2.3534999999999999</v>
      </c>
      <c r="N657">
        <v>5.8</v>
      </c>
    </row>
    <row r="658" spans="1:14" x14ac:dyDescent="0.25">
      <c r="A658" t="s">
        <v>687</v>
      </c>
      <c r="B658" t="s">
        <v>20</v>
      </c>
      <c r="C658" t="s">
        <v>21</v>
      </c>
      <c r="D658" t="s">
        <v>22</v>
      </c>
      <c r="E658" t="s">
        <v>16</v>
      </c>
      <c r="F658" t="s">
        <v>23</v>
      </c>
      <c r="G658" t="s">
        <v>1034</v>
      </c>
      <c r="H658" t="s">
        <v>1042</v>
      </c>
      <c r="I658" s="1">
        <v>43523</v>
      </c>
      <c r="J658" t="s">
        <v>1044</v>
      </c>
      <c r="K658" s="5">
        <v>0.43263888888888885</v>
      </c>
      <c r="L658" t="s">
        <v>28</v>
      </c>
      <c r="M658">
        <v>4.9844999999999997</v>
      </c>
      <c r="N658">
        <v>8</v>
      </c>
    </row>
    <row r="659" spans="1:14" x14ac:dyDescent="0.25">
      <c r="A659" t="s">
        <v>688</v>
      </c>
      <c r="B659" t="s">
        <v>13</v>
      </c>
      <c r="C659" t="s">
        <v>14</v>
      </c>
      <c r="D659" t="s">
        <v>15</v>
      </c>
      <c r="E659" t="s">
        <v>16</v>
      </c>
      <c r="F659" t="s">
        <v>41</v>
      </c>
      <c r="G659" t="s">
        <v>1035</v>
      </c>
      <c r="H659" t="s">
        <v>1041</v>
      </c>
      <c r="I659" s="1">
        <v>43483</v>
      </c>
      <c r="J659" t="s">
        <v>1044</v>
      </c>
      <c r="K659" s="5">
        <v>0.42430555555555555</v>
      </c>
      <c r="L659" t="s">
        <v>18</v>
      </c>
      <c r="M659">
        <v>13.2225</v>
      </c>
      <c r="N659">
        <v>7.9</v>
      </c>
    </row>
    <row r="660" spans="1:14" x14ac:dyDescent="0.25">
      <c r="A660" t="s">
        <v>689</v>
      </c>
      <c r="B660" t="s">
        <v>13</v>
      </c>
      <c r="C660" t="s">
        <v>14</v>
      </c>
      <c r="D660" t="s">
        <v>15</v>
      </c>
      <c r="E660" t="s">
        <v>16</v>
      </c>
      <c r="F660" t="s">
        <v>31</v>
      </c>
      <c r="G660" t="s">
        <v>1037</v>
      </c>
      <c r="H660" t="s">
        <v>1041</v>
      </c>
      <c r="I660" s="1">
        <v>43494</v>
      </c>
      <c r="J660" t="s">
        <v>1045</v>
      </c>
      <c r="K660" s="5">
        <v>0.65833333333333333</v>
      </c>
      <c r="L660" t="s">
        <v>24</v>
      </c>
      <c r="M660">
        <v>6.9824999999999999</v>
      </c>
      <c r="N660">
        <v>5.9</v>
      </c>
    </row>
    <row r="661" spans="1:14" x14ac:dyDescent="0.25">
      <c r="A661" t="s">
        <v>690</v>
      </c>
      <c r="B661" t="s">
        <v>13</v>
      </c>
      <c r="C661" t="s">
        <v>14</v>
      </c>
      <c r="D661" t="s">
        <v>15</v>
      </c>
      <c r="E661" t="s">
        <v>26</v>
      </c>
      <c r="F661" t="s">
        <v>41</v>
      </c>
      <c r="G661" t="s">
        <v>1034</v>
      </c>
      <c r="H661" t="s">
        <v>1042</v>
      </c>
      <c r="I661" s="1">
        <v>43522</v>
      </c>
      <c r="J661" t="s">
        <v>1046</v>
      </c>
      <c r="K661" s="5">
        <v>0.7402777777777777</v>
      </c>
      <c r="L661" t="s">
        <v>28</v>
      </c>
      <c r="M661">
        <v>2.7725</v>
      </c>
      <c r="N661">
        <v>4.9000000000000004</v>
      </c>
    </row>
    <row r="662" spans="1:14" x14ac:dyDescent="0.25">
      <c r="A662" t="s">
        <v>691</v>
      </c>
      <c r="B662" t="s">
        <v>37</v>
      </c>
      <c r="C662" t="s">
        <v>38</v>
      </c>
      <c r="D662" t="s">
        <v>22</v>
      </c>
      <c r="E662" t="s">
        <v>16</v>
      </c>
      <c r="F662" t="s">
        <v>31</v>
      </c>
      <c r="G662" t="s">
        <v>1038</v>
      </c>
      <c r="H662" t="s">
        <v>1042</v>
      </c>
      <c r="I662" s="1">
        <v>43499</v>
      </c>
      <c r="J662" t="s">
        <v>1044</v>
      </c>
      <c r="K662" s="5">
        <v>0.49027777777777781</v>
      </c>
      <c r="L662" t="s">
        <v>24</v>
      </c>
      <c r="M662">
        <v>6.4455</v>
      </c>
      <c r="N662">
        <v>9.3000000000000007</v>
      </c>
    </row>
    <row r="663" spans="1:14" x14ac:dyDescent="0.25">
      <c r="A663" t="s">
        <v>692</v>
      </c>
      <c r="B663" t="s">
        <v>20</v>
      </c>
      <c r="C663" t="s">
        <v>21</v>
      </c>
      <c r="D663" t="s">
        <v>15</v>
      </c>
      <c r="E663" t="s">
        <v>26</v>
      </c>
      <c r="F663" t="s">
        <v>31</v>
      </c>
      <c r="G663" t="s">
        <v>1035</v>
      </c>
      <c r="H663" t="s">
        <v>1041</v>
      </c>
      <c r="I663" s="1">
        <v>43481</v>
      </c>
      <c r="J663" t="s">
        <v>1045</v>
      </c>
      <c r="K663" s="5">
        <v>0.50486111111111109</v>
      </c>
      <c r="L663" t="s">
        <v>28</v>
      </c>
      <c r="M663">
        <v>5.9989999999999997</v>
      </c>
      <c r="N663">
        <v>7.9</v>
      </c>
    </row>
    <row r="664" spans="1:14" x14ac:dyDescent="0.25">
      <c r="A664" t="s">
        <v>693</v>
      </c>
      <c r="B664" t="s">
        <v>37</v>
      </c>
      <c r="C664" t="s">
        <v>38</v>
      </c>
      <c r="D664" t="s">
        <v>15</v>
      </c>
      <c r="E664" t="s">
        <v>16</v>
      </c>
      <c r="F664" t="s">
        <v>41</v>
      </c>
      <c r="G664" t="s">
        <v>1038</v>
      </c>
      <c r="H664" t="s">
        <v>1043</v>
      </c>
      <c r="I664" s="1">
        <v>43548</v>
      </c>
      <c r="J664" t="s">
        <v>1046</v>
      </c>
      <c r="K664" s="5">
        <v>0.7597222222222223</v>
      </c>
      <c r="L664" t="s">
        <v>28</v>
      </c>
      <c r="M664">
        <v>17.625</v>
      </c>
      <c r="N664">
        <v>5.9</v>
      </c>
    </row>
    <row r="665" spans="1:14" x14ac:dyDescent="0.25">
      <c r="A665" t="s">
        <v>694</v>
      </c>
      <c r="B665" t="s">
        <v>20</v>
      </c>
      <c r="C665" t="s">
        <v>21</v>
      </c>
      <c r="D665" t="s">
        <v>15</v>
      </c>
      <c r="E665" t="s">
        <v>16</v>
      </c>
      <c r="F665" t="s">
        <v>39</v>
      </c>
      <c r="G665" t="s">
        <v>1039</v>
      </c>
      <c r="H665" t="s">
        <v>1042</v>
      </c>
      <c r="I665" s="1">
        <v>43508</v>
      </c>
      <c r="J665" t="s">
        <v>1045</v>
      </c>
      <c r="K665" s="5">
        <v>0.61458333333333337</v>
      </c>
      <c r="L665" t="s">
        <v>28</v>
      </c>
      <c r="M665">
        <v>43.55</v>
      </c>
      <c r="N665">
        <v>9.9</v>
      </c>
    </row>
    <row r="666" spans="1:14" x14ac:dyDescent="0.25">
      <c r="A666" t="s">
        <v>695</v>
      </c>
      <c r="B666" t="s">
        <v>20</v>
      </c>
      <c r="C666" t="s">
        <v>21</v>
      </c>
      <c r="D666" t="s">
        <v>22</v>
      </c>
      <c r="E666" t="s">
        <v>16</v>
      </c>
      <c r="F666" t="s">
        <v>31</v>
      </c>
      <c r="G666" t="s">
        <v>1040</v>
      </c>
      <c r="H666" t="s">
        <v>1042</v>
      </c>
      <c r="I666" s="1">
        <v>43517</v>
      </c>
      <c r="J666" t="s">
        <v>1044</v>
      </c>
      <c r="K666" s="5">
        <v>0.48541666666666666</v>
      </c>
      <c r="L666" t="s">
        <v>24</v>
      </c>
      <c r="M666">
        <v>9.8800000000000008</v>
      </c>
      <c r="N666">
        <v>7.7</v>
      </c>
    </row>
    <row r="667" spans="1:14" x14ac:dyDescent="0.25">
      <c r="A667" t="s">
        <v>696</v>
      </c>
      <c r="B667" t="s">
        <v>13</v>
      </c>
      <c r="C667" t="s">
        <v>14</v>
      </c>
      <c r="D667" t="s">
        <v>22</v>
      </c>
      <c r="E667" t="s">
        <v>16</v>
      </c>
      <c r="F667" t="s">
        <v>41</v>
      </c>
      <c r="G667" t="s">
        <v>1038</v>
      </c>
      <c r="H667" t="s">
        <v>1042</v>
      </c>
      <c r="I667" s="1">
        <v>43500</v>
      </c>
      <c r="J667" t="s">
        <v>1045</v>
      </c>
      <c r="K667" s="5">
        <v>0.65555555555555556</v>
      </c>
      <c r="L667" t="s">
        <v>18</v>
      </c>
      <c r="M667">
        <v>9.7260000000000009</v>
      </c>
      <c r="N667">
        <v>7.6</v>
      </c>
    </row>
    <row r="668" spans="1:14" x14ac:dyDescent="0.25">
      <c r="A668" t="s">
        <v>697</v>
      </c>
      <c r="B668" t="s">
        <v>37</v>
      </c>
      <c r="C668" t="s">
        <v>38</v>
      </c>
      <c r="D668" t="s">
        <v>15</v>
      </c>
      <c r="E668" t="s">
        <v>26</v>
      </c>
      <c r="F668" t="s">
        <v>39</v>
      </c>
      <c r="G668" t="s">
        <v>1040</v>
      </c>
      <c r="H668" t="s">
        <v>1042</v>
      </c>
      <c r="I668" s="1">
        <v>43516</v>
      </c>
      <c r="J668" t="s">
        <v>1045</v>
      </c>
      <c r="K668" s="5">
        <v>0.54583333333333328</v>
      </c>
      <c r="L668" t="s">
        <v>18</v>
      </c>
      <c r="M668">
        <v>8.6609999999999996</v>
      </c>
      <c r="N668">
        <v>7.7</v>
      </c>
    </row>
    <row r="669" spans="1:14" x14ac:dyDescent="0.25">
      <c r="A669" t="s">
        <v>698</v>
      </c>
      <c r="B669" t="s">
        <v>37</v>
      </c>
      <c r="C669" t="s">
        <v>38</v>
      </c>
      <c r="D669" t="s">
        <v>22</v>
      </c>
      <c r="E669" t="s">
        <v>16</v>
      </c>
      <c r="F669" t="s">
        <v>17</v>
      </c>
      <c r="G669" t="s">
        <v>1034</v>
      </c>
      <c r="H669" t="s">
        <v>1042</v>
      </c>
      <c r="I669" s="1">
        <v>43519</v>
      </c>
      <c r="J669" t="s">
        <v>1046</v>
      </c>
      <c r="K669" s="5">
        <v>0.86319444444444438</v>
      </c>
      <c r="L669" t="s">
        <v>18</v>
      </c>
      <c r="M669">
        <v>3.5939999999999999</v>
      </c>
      <c r="N669">
        <v>6.4</v>
      </c>
    </row>
    <row r="670" spans="1:14" x14ac:dyDescent="0.25">
      <c r="A670" t="s">
        <v>699</v>
      </c>
      <c r="B670" t="s">
        <v>20</v>
      </c>
      <c r="C670" t="s">
        <v>21</v>
      </c>
      <c r="D670" t="s">
        <v>15</v>
      </c>
      <c r="E670" t="s">
        <v>16</v>
      </c>
      <c r="F670" t="s">
        <v>17</v>
      </c>
      <c r="G670" t="s">
        <v>1040</v>
      </c>
      <c r="H670" t="s">
        <v>1042</v>
      </c>
      <c r="I670" s="1">
        <v>43512</v>
      </c>
      <c r="J670" t="s">
        <v>1045</v>
      </c>
      <c r="K670" s="5">
        <v>0.59652777777777777</v>
      </c>
      <c r="L670" t="s">
        <v>18</v>
      </c>
      <c r="M670">
        <v>14.313000000000001</v>
      </c>
      <c r="N670">
        <v>4.4000000000000004</v>
      </c>
    </row>
    <row r="671" spans="1:14" x14ac:dyDescent="0.25">
      <c r="A671" t="s">
        <v>700</v>
      </c>
      <c r="B671" t="s">
        <v>37</v>
      </c>
      <c r="C671" t="s">
        <v>38</v>
      </c>
      <c r="D671" t="s">
        <v>22</v>
      </c>
      <c r="E671" t="s">
        <v>16</v>
      </c>
      <c r="F671" t="s">
        <v>31</v>
      </c>
      <c r="G671" t="s">
        <v>1035</v>
      </c>
      <c r="H671" t="s">
        <v>1041</v>
      </c>
      <c r="I671" s="1">
        <v>43482</v>
      </c>
      <c r="J671" t="s">
        <v>1044</v>
      </c>
      <c r="K671" s="5">
        <v>0.41736111111111113</v>
      </c>
      <c r="L671" t="s">
        <v>28</v>
      </c>
      <c r="M671">
        <v>4.0620000000000003</v>
      </c>
      <c r="N671">
        <v>4.0999999999999996</v>
      </c>
    </row>
    <row r="672" spans="1:14" x14ac:dyDescent="0.25">
      <c r="A672" t="s">
        <v>701</v>
      </c>
      <c r="B672" t="s">
        <v>13</v>
      </c>
      <c r="C672" t="s">
        <v>14</v>
      </c>
      <c r="D672" t="s">
        <v>15</v>
      </c>
      <c r="E672" t="s">
        <v>26</v>
      </c>
      <c r="F672" t="s">
        <v>41</v>
      </c>
      <c r="G672" t="s">
        <v>1035</v>
      </c>
      <c r="H672" t="s">
        <v>1041</v>
      </c>
      <c r="I672" s="1">
        <v>43479</v>
      </c>
      <c r="J672" t="s">
        <v>1046</v>
      </c>
      <c r="K672" s="5">
        <v>0.8125</v>
      </c>
      <c r="L672" t="s">
        <v>18</v>
      </c>
      <c r="M672">
        <v>28.02</v>
      </c>
      <c r="N672">
        <v>4.4000000000000004</v>
      </c>
    </row>
    <row r="673" spans="1:14" x14ac:dyDescent="0.25">
      <c r="A673" t="s">
        <v>702</v>
      </c>
      <c r="B673" t="s">
        <v>37</v>
      </c>
      <c r="C673" t="s">
        <v>38</v>
      </c>
      <c r="D673" t="s">
        <v>15</v>
      </c>
      <c r="E673" t="s">
        <v>26</v>
      </c>
      <c r="F673" t="s">
        <v>39</v>
      </c>
      <c r="G673" t="s">
        <v>1039</v>
      </c>
      <c r="H673" t="s">
        <v>1043</v>
      </c>
      <c r="I673" s="1">
        <v>43554</v>
      </c>
      <c r="J673" t="s">
        <v>1046</v>
      </c>
      <c r="K673" s="5">
        <v>0.69027777777777777</v>
      </c>
      <c r="L673" t="s">
        <v>24</v>
      </c>
      <c r="M673">
        <v>9.34</v>
      </c>
      <c r="N673">
        <v>5.5</v>
      </c>
    </row>
    <row r="674" spans="1:14" x14ac:dyDescent="0.25">
      <c r="A674" t="s">
        <v>703</v>
      </c>
      <c r="B674" t="s">
        <v>37</v>
      </c>
      <c r="C674" t="s">
        <v>38</v>
      </c>
      <c r="D674" t="s">
        <v>22</v>
      </c>
      <c r="E674" t="s">
        <v>16</v>
      </c>
      <c r="F674" t="s">
        <v>17</v>
      </c>
      <c r="G674" t="s">
        <v>1035</v>
      </c>
      <c r="H674" t="s">
        <v>1043</v>
      </c>
      <c r="I674" s="1">
        <v>43526</v>
      </c>
      <c r="J674" t="s">
        <v>1045</v>
      </c>
      <c r="K674" s="5">
        <v>0.54861111111111105</v>
      </c>
      <c r="L674" t="s">
        <v>18</v>
      </c>
      <c r="M674">
        <v>11.0115</v>
      </c>
      <c r="N674">
        <v>4</v>
      </c>
    </row>
    <row r="675" spans="1:14" x14ac:dyDescent="0.25">
      <c r="A675" t="s">
        <v>704</v>
      </c>
      <c r="B675" t="s">
        <v>20</v>
      </c>
      <c r="C675" t="s">
        <v>21</v>
      </c>
      <c r="D675" t="s">
        <v>22</v>
      </c>
      <c r="E675" t="s">
        <v>26</v>
      </c>
      <c r="F675" t="s">
        <v>17</v>
      </c>
      <c r="G675" t="s">
        <v>1039</v>
      </c>
      <c r="H675" t="s">
        <v>1042</v>
      </c>
      <c r="I675" s="1">
        <v>43511</v>
      </c>
      <c r="J675" t="s">
        <v>1046</v>
      </c>
      <c r="K675" s="5">
        <v>0.71527777777777779</v>
      </c>
      <c r="L675" t="s">
        <v>28</v>
      </c>
      <c r="M675">
        <v>13.456</v>
      </c>
      <c r="N675">
        <v>9.3000000000000007</v>
      </c>
    </row>
    <row r="676" spans="1:14" x14ac:dyDescent="0.25">
      <c r="A676" t="s">
        <v>705</v>
      </c>
      <c r="B676" t="s">
        <v>13</v>
      </c>
      <c r="C676" t="s">
        <v>14</v>
      </c>
      <c r="D676" t="s">
        <v>22</v>
      </c>
      <c r="E676" t="s">
        <v>16</v>
      </c>
      <c r="F676" t="s">
        <v>23</v>
      </c>
      <c r="G676" t="s">
        <v>1034</v>
      </c>
      <c r="H676" t="s">
        <v>1043</v>
      </c>
      <c r="I676" s="1">
        <v>43525</v>
      </c>
      <c r="J676" t="s">
        <v>1044</v>
      </c>
      <c r="K676" s="5">
        <v>0.43194444444444446</v>
      </c>
      <c r="L676" t="s">
        <v>28</v>
      </c>
      <c r="M676">
        <v>22.74</v>
      </c>
      <c r="N676">
        <v>4.8</v>
      </c>
    </row>
    <row r="677" spans="1:14" x14ac:dyDescent="0.25">
      <c r="A677" t="s">
        <v>706</v>
      </c>
      <c r="B677" t="s">
        <v>37</v>
      </c>
      <c r="C677" t="s">
        <v>38</v>
      </c>
      <c r="D677" t="s">
        <v>15</v>
      </c>
      <c r="E677" t="s">
        <v>26</v>
      </c>
      <c r="F677" t="s">
        <v>41</v>
      </c>
      <c r="G677" t="s">
        <v>1034</v>
      </c>
      <c r="H677" t="s">
        <v>1042</v>
      </c>
      <c r="I677" s="1">
        <v>43520</v>
      </c>
      <c r="J677" t="s">
        <v>1046</v>
      </c>
      <c r="K677" s="5">
        <v>0.83124999999999993</v>
      </c>
      <c r="L677" t="s">
        <v>24</v>
      </c>
      <c r="M677">
        <v>8.3770000000000007</v>
      </c>
      <c r="N677">
        <v>4.5999999999999996</v>
      </c>
    </row>
    <row r="678" spans="1:14" x14ac:dyDescent="0.25">
      <c r="A678" t="s">
        <v>707</v>
      </c>
      <c r="B678" t="s">
        <v>37</v>
      </c>
      <c r="C678" t="s">
        <v>38</v>
      </c>
      <c r="D678" t="s">
        <v>15</v>
      </c>
      <c r="E678" t="s">
        <v>16</v>
      </c>
      <c r="F678" t="s">
        <v>31</v>
      </c>
      <c r="G678" t="s">
        <v>1040</v>
      </c>
      <c r="H678" t="s">
        <v>1042</v>
      </c>
      <c r="I678" s="1">
        <v>43515</v>
      </c>
      <c r="J678" t="s">
        <v>1046</v>
      </c>
      <c r="K678" s="5">
        <v>0.81180555555555556</v>
      </c>
      <c r="L678" t="s">
        <v>28</v>
      </c>
      <c r="M678">
        <v>22.428000000000001</v>
      </c>
      <c r="N678">
        <v>7.3</v>
      </c>
    </row>
    <row r="679" spans="1:14" x14ac:dyDescent="0.25">
      <c r="A679" t="s">
        <v>708</v>
      </c>
      <c r="B679" t="s">
        <v>13</v>
      </c>
      <c r="C679" t="s">
        <v>14</v>
      </c>
      <c r="D679" t="s">
        <v>15</v>
      </c>
      <c r="E679" t="s">
        <v>16</v>
      </c>
      <c r="F679" t="s">
        <v>39</v>
      </c>
      <c r="G679" t="s">
        <v>1034</v>
      </c>
      <c r="H679" t="s">
        <v>1042</v>
      </c>
      <c r="I679" s="1">
        <v>43519</v>
      </c>
      <c r="J679" t="s">
        <v>1046</v>
      </c>
      <c r="K679" s="5">
        <v>0.77083333333333337</v>
      </c>
      <c r="L679" t="s">
        <v>24</v>
      </c>
      <c r="M679">
        <v>14.694000000000001</v>
      </c>
      <c r="N679">
        <v>6</v>
      </c>
    </row>
    <row r="680" spans="1:14" x14ac:dyDescent="0.25">
      <c r="A680" t="s">
        <v>709</v>
      </c>
      <c r="B680" t="s">
        <v>20</v>
      </c>
      <c r="C680" t="s">
        <v>21</v>
      </c>
      <c r="D680" t="s">
        <v>22</v>
      </c>
      <c r="E680" t="s">
        <v>26</v>
      </c>
      <c r="F680" t="s">
        <v>17</v>
      </c>
      <c r="G680" t="s">
        <v>1038</v>
      </c>
      <c r="H680" t="s">
        <v>1042</v>
      </c>
      <c r="I680" s="1">
        <v>43503</v>
      </c>
      <c r="J680" t="s">
        <v>1045</v>
      </c>
      <c r="K680" s="5">
        <v>0.6020833333333333</v>
      </c>
      <c r="L680" t="s">
        <v>18</v>
      </c>
      <c r="M680">
        <v>29.475000000000001</v>
      </c>
      <c r="N680">
        <v>8.1</v>
      </c>
    </row>
    <row r="681" spans="1:14" x14ac:dyDescent="0.25">
      <c r="A681" t="s">
        <v>710</v>
      </c>
      <c r="B681" t="s">
        <v>13</v>
      </c>
      <c r="C681" t="s">
        <v>14</v>
      </c>
      <c r="D681" t="s">
        <v>15</v>
      </c>
      <c r="E681" t="s">
        <v>26</v>
      </c>
      <c r="F681" t="s">
        <v>39</v>
      </c>
      <c r="G681" t="s">
        <v>1034</v>
      </c>
      <c r="H681" t="s">
        <v>1041</v>
      </c>
      <c r="I681" s="1">
        <v>43476</v>
      </c>
      <c r="J681" t="s">
        <v>1045</v>
      </c>
      <c r="K681" s="5">
        <v>0.58124999999999993</v>
      </c>
      <c r="L681" t="s">
        <v>18</v>
      </c>
      <c r="M681">
        <v>14.55</v>
      </c>
      <c r="N681">
        <v>9.4</v>
      </c>
    </row>
    <row r="682" spans="1:14" x14ac:dyDescent="0.25">
      <c r="A682" t="s">
        <v>711</v>
      </c>
      <c r="B682" t="s">
        <v>37</v>
      </c>
      <c r="C682" t="s">
        <v>38</v>
      </c>
      <c r="D682" t="s">
        <v>15</v>
      </c>
      <c r="E682" t="s">
        <v>16</v>
      </c>
      <c r="F682" t="s">
        <v>23</v>
      </c>
      <c r="G682" t="s">
        <v>1039</v>
      </c>
      <c r="H682" t="s">
        <v>1042</v>
      </c>
      <c r="I682" s="1">
        <v>43508</v>
      </c>
      <c r="J682" t="s">
        <v>1046</v>
      </c>
      <c r="K682" s="5">
        <v>0.82152777777777775</v>
      </c>
      <c r="L682" t="s">
        <v>24</v>
      </c>
      <c r="M682">
        <v>1.974</v>
      </c>
      <c r="N682">
        <v>6.5</v>
      </c>
    </row>
    <row r="683" spans="1:14" x14ac:dyDescent="0.25">
      <c r="A683" t="s">
        <v>712</v>
      </c>
      <c r="B683" t="s">
        <v>37</v>
      </c>
      <c r="C683" t="s">
        <v>38</v>
      </c>
      <c r="D683" t="s">
        <v>22</v>
      </c>
      <c r="E683" t="s">
        <v>16</v>
      </c>
      <c r="F683" t="s">
        <v>31</v>
      </c>
      <c r="G683" t="s">
        <v>1035</v>
      </c>
      <c r="H683" t="s">
        <v>1041</v>
      </c>
      <c r="I683" s="1">
        <v>43479</v>
      </c>
      <c r="J683" t="s">
        <v>1044</v>
      </c>
      <c r="K683" s="5">
        <v>0.42430555555555555</v>
      </c>
      <c r="L683" t="s">
        <v>28</v>
      </c>
      <c r="M683">
        <v>1.7404999999999999</v>
      </c>
      <c r="N683">
        <v>7</v>
      </c>
    </row>
    <row r="684" spans="1:14" x14ac:dyDescent="0.25">
      <c r="A684" t="s">
        <v>713</v>
      </c>
      <c r="B684" t="s">
        <v>20</v>
      </c>
      <c r="C684" t="s">
        <v>21</v>
      </c>
      <c r="D684" t="s">
        <v>22</v>
      </c>
      <c r="E684" t="s">
        <v>16</v>
      </c>
      <c r="F684" t="s">
        <v>41</v>
      </c>
      <c r="G684" t="s">
        <v>1034</v>
      </c>
      <c r="H684" t="s">
        <v>1041</v>
      </c>
      <c r="I684" s="1">
        <v>43474</v>
      </c>
      <c r="J684" t="s">
        <v>1045</v>
      </c>
      <c r="K684" s="5">
        <v>0.57361111111111118</v>
      </c>
      <c r="L684" t="s">
        <v>18</v>
      </c>
      <c r="M684">
        <v>14.795999999999999</v>
      </c>
      <c r="N684">
        <v>7.1</v>
      </c>
    </row>
    <row r="685" spans="1:14" x14ac:dyDescent="0.25">
      <c r="A685" t="s">
        <v>714</v>
      </c>
      <c r="B685" t="s">
        <v>13</v>
      </c>
      <c r="C685" t="s">
        <v>14</v>
      </c>
      <c r="D685" t="s">
        <v>15</v>
      </c>
      <c r="E685" t="s">
        <v>26</v>
      </c>
      <c r="F685" t="s">
        <v>41</v>
      </c>
      <c r="G685" t="s">
        <v>1034</v>
      </c>
      <c r="H685" t="s">
        <v>1042</v>
      </c>
      <c r="I685" s="1">
        <v>43523</v>
      </c>
      <c r="J685" t="s">
        <v>1045</v>
      </c>
      <c r="K685" s="5">
        <v>0.51527777777777783</v>
      </c>
      <c r="L685" t="s">
        <v>18</v>
      </c>
      <c r="M685">
        <v>2.1480000000000001</v>
      </c>
      <c r="N685">
        <v>6.6</v>
      </c>
    </row>
    <row r="686" spans="1:14" x14ac:dyDescent="0.25">
      <c r="A686" t="s">
        <v>715</v>
      </c>
      <c r="B686" t="s">
        <v>37</v>
      </c>
      <c r="C686" t="s">
        <v>38</v>
      </c>
      <c r="D686" t="s">
        <v>15</v>
      </c>
      <c r="E686" t="s">
        <v>16</v>
      </c>
      <c r="F686" t="s">
        <v>31</v>
      </c>
      <c r="G686" t="s">
        <v>1036</v>
      </c>
      <c r="H686" t="s">
        <v>1041</v>
      </c>
      <c r="I686" s="1">
        <v>43489</v>
      </c>
      <c r="J686" t="s">
        <v>1046</v>
      </c>
      <c r="K686" s="5">
        <v>0.80555555555555547</v>
      </c>
      <c r="L686" t="s">
        <v>18</v>
      </c>
      <c r="M686">
        <v>6.9240000000000004</v>
      </c>
      <c r="N686">
        <v>4.9000000000000004</v>
      </c>
    </row>
    <row r="687" spans="1:14" x14ac:dyDescent="0.25">
      <c r="A687" t="s">
        <v>716</v>
      </c>
      <c r="B687" t="s">
        <v>37</v>
      </c>
      <c r="C687" t="s">
        <v>38</v>
      </c>
      <c r="D687" t="s">
        <v>15</v>
      </c>
      <c r="E687" t="s">
        <v>16</v>
      </c>
      <c r="F687" t="s">
        <v>27</v>
      </c>
      <c r="G687" t="s">
        <v>1034</v>
      </c>
      <c r="H687" t="s">
        <v>1041</v>
      </c>
      <c r="I687" s="1">
        <v>43473</v>
      </c>
      <c r="J687" t="s">
        <v>1045</v>
      </c>
      <c r="K687" s="5">
        <v>0.54027777777777775</v>
      </c>
      <c r="L687" t="s">
        <v>28</v>
      </c>
      <c r="M687">
        <v>4.91</v>
      </c>
      <c r="N687">
        <v>6.4</v>
      </c>
    </row>
    <row r="688" spans="1:14" x14ac:dyDescent="0.25">
      <c r="A688" t="s">
        <v>717</v>
      </c>
      <c r="B688" t="s">
        <v>37</v>
      </c>
      <c r="C688" t="s">
        <v>38</v>
      </c>
      <c r="D688" t="s">
        <v>15</v>
      </c>
      <c r="E688" t="s">
        <v>16</v>
      </c>
      <c r="F688" t="s">
        <v>31</v>
      </c>
      <c r="G688" t="s">
        <v>1034</v>
      </c>
      <c r="H688" t="s">
        <v>1041</v>
      </c>
      <c r="I688" s="1">
        <v>43473</v>
      </c>
      <c r="J688" t="s">
        <v>1044</v>
      </c>
      <c r="K688" s="5">
        <v>0.4993055555555555</v>
      </c>
      <c r="L688" t="s">
        <v>28</v>
      </c>
      <c r="M688">
        <v>6.4829999999999997</v>
      </c>
      <c r="N688">
        <v>8</v>
      </c>
    </row>
    <row r="689" spans="1:14" x14ac:dyDescent="0.25">
      <c r="A689" t="s">
        <v>718</v>
      </c>
      <c r="B689" t="s">
        <v>13</v>
      </c>
      <c r="C689" t="s">
        <v>14</v>
      </c>
      <c r="D689" t="s">
        <v>15</v>
      </c>
      <c r="E689" t="s">
        <v>26</v>
      </c>
      <c r="F689" t="s">
        <v>27</v>
      </c>
      <c r="G689" t="s">
        <v>1035</v>
      </c>
      <c r="H689" t="s">
        <v>1041</v>
      </c>
      <c r="I689" s="1">
        <v>43481</v>
      </c>
      <c r="J689" t="s">
        <v>1046</v>
      </c>
      <c r="K689" s="5">
        <v>0.74930555555555556</v>
      </c>
      <c r="L689" t="s">
        <v>24</v>
      </c>
      <c r="M689">
        <v>31.78</v>
      </c>
      <c r="N689">
        <v>4.3</v>
      </c>
    </row>
    <row r="690" spans="1:14" x14ac:dyDescent="0.25">
      <c r="A690" t="s">
        <v>719</v>
      </c>
      <c r="B690" t="s">
        <v>20</v>
      </c>
      <c r="C690" t="s">
        <v>21</v>
      </c>
      <c r="D690" t="s">
        <v>15</v>
      </c>
      <c r="E690" t="s">
        <v>26</v>
      </c>
      <c r="F690" t="s">
        <v>31</v>
      </c>
      <c r="G690" t="s">
        <v>1036</v>
      </c>
      <c r="H690" t="s">
        <v>1043</v>
      </c>
      <c r="I690" s="1">
        <v>43537</v>
      </c>
      <c r="J690" t="s">
        <v>1045</v>
      </c>
      <c r="K690" s="5">
        <v>0.53541666666666665</v>
      </c>
      <c r="L690" t="s">
        <v>24</v>
      </c>
      <c r="M690">
        <v>7.2880000000000003</v>
      </c>
      <c r="N690">
        <v>6.1</v>
      </c>
    </row>
    <row r="691" spans="1:14" x14ac:dyDescent="0.25">
      <c r="A691" t="s">
        <v>720</v>
      </c>
      <c r="B691" t="s">
        <v>13</v>
      </c>
      <c r="C691" t="s">
        <v>14</v>
      </c>
      <c r="D691" t="s">
        <v>22</v>
      </c>
      <c r="E691" t="s">
        <v>16</v>
      </c>
      <c r="F691" t="s">
        <v>39</v>
      </c>
      <c r="G691" t="s">
        <v>1039</v>
      </c>
      <c r="H691" t="s">
        <v>1042</v>
      </c>
      <c r="I691" s="1">
        <v>43511</v>
      </c>
      <c r="J691" t="s">
        <v>1044</v>
      </c>
      <c r="K691" s="5">
        <v>0.44166666666666665</v>
      </c>
      <c r="L691" t="s">
        <v>24</v>
      </c>
      <c r="M691">
        <v>10.065</v>
      </c>
      <c r="N691">
        <v>7.5</v>
      </c>
    </row>
    <row r="692" spans="1:14" x14ac:dyDescent="0.25">
      <c r="A692" t="s">
        <v>721</v>
      </c>
      <c r="B692" t="s">
        <v>20</v>
      </c>
      <c r="C692" t="s">
        <v>21</v>
      </c>
      <c r="D692" t="s">
        <v>15</v>
      </c>
      <c r="E692" t="s">
        <v>16</v>
      </c>
      <c r="F692" t="s">
        <v>31</v>
      </c>
      <c r="G692" t="s">
        <v>1036</v>
      </c>
      <c r="H692" t="s">
        <v>1041</v>
      </c>
      <c r="I692" s="1">
        <v>43490</v>
      </c>
      <c r="J692" t="s">
        <v>1045</v>
      </c>
      <c r="K692" s="5">
        <v>0.56805555555555554</v>
      </c>
      <c r="L692" t="s">
        <v>24</v>
      </c>
      <c r="M692">
        <v>31.5855</v>
      </c>
      <c r="N692">
        <v>6.7</v>
      </c>
    </row>
    <row r="693" spans="1:14" x14ac:dyDescent="0.25">
      <c r="A693" t="s">
        <v>722</v>
      </c>
      <c r="B693" t="s">
        <v>20</v>
      </c>
      <c r="C693" t="s">
        <v>21</v>
      </c>
      <c r="D693" t="s">
        <v>15</v>
      </c>
      <c r="E693" t="s">
        <v>26</v>
      </c>
      <c r="F693" t="s">
        <v>39</v>
      </c>
      <c r="G693" t="s">
        <v>1036</v>
      </c>
      <c r="H693" t="s">
        <v>1043</v>
      </c>
      <c r="I693" s="1">
        <v>43536</v>
      </c>
      <c r="J693" t="s">
        <v>1046</v>
      </c>
      <c r="K693" s="5">
        <v>0.81874999999999998</v>
      </c>
      <c r="L693" t="s">
        <v>18</v>
      </c>
      <c r="M693">
        <v>19.263999999999999</v>
      </c>
      <c r="N693">
        <v>5.2</v>
      </c>
    </row>
    <row r="694" spans="1:14" x14ac:dyDescent="0.25">
      <c r="A694" t="s">
        <v>723</v>
      </c>
      <c r="B694" t="s">
        <v>13</v>
      </c>
      <c r="C694" t="s">
        <v>14</v>
      </c>
      <c r="D694" t="s">
        <v>15</v>
      </c>
      <c r="E694" t="s">
        <v>26</v>
      </c>
      <c r="F694" t="s">
        <v>17</v>
      </c>
      <c r="G694" t="s">
        <v>1035</v>
      </c>
      <c r="H694" t="s">
        <v>1043</v>
      </c>
      <c r="I694" s="1">
        <v>43528</v>
      </c>
      <c r="J694" t="s">
        <v>1045</v>
      </c>
      <c r="K694" s="5">
        <v>0.53055555555555556</v>
      </c>
      <c r="L694" t="s">
        <v>24</v>
      </c>
      <c r="M694">
        <v>24.315000000000001</v>
      </c>
      <c r="N694">
        <v>8.8000000000000007</v>
      </c>
    </row>
    <row r="695" spans="1:14" x14ac:dyDescent="0.25">
      <c r="A695" t="s">
        <v>724</v>
      </c>
      <c r="B695" t="s">
        <v>20</v>
      </c>
      <c r="C695" t="s">
        <v>21</v>
      </c>
      <c r="D695" t="s">
        <v>15</v>
      </c>
      <c r="E695" t="s">
        <v>16</v>
      </c>
      <c r="F695" t="s">
        <v>41</v>
      </c>
      <c r="G695" t="s">
        <v>1039</v>
      </c>
      <c r="H695" t="s">
        <v>1042</v>
      </c>
      <c r="I695" s="1">
        <v>43506</v>
      </c>
      <c r="J695" t="s">
        <v>1045</v>
      </c>
      <c r="K695" s="5">
        <v>0.5805555555555556</v>
      </c>
      <c r="L695" t="s">
        <v>24</v>
      </c>
      <c r="M695">
        <v>25.683</v>
      </c>
      <c r="N695">
        <v>9.5</v>
      </c>
    </row>
    <row r="696" spans="1:14" x14ac:dyDescent="0.25">
      <c r="A696" t="s">
        <v>725</v>
      </c>
      <c r="B696" t="s">
        <v>20</v>
      </c>
      <c r="C696" t="s">
        <v>21</v>
      </c>
      <c r="D696" t="s">
        <v>22</v>
      </c>
      <c r="E696" t="s">
        <v>16</v>
      </c>
      <c r="F696" t="s">
        <v>39</v>
      </c>
      <c r="G696" t="s">
        <v>1035</v>
      </c>
      <c r="H696" t="s">
        <v>1041</v>
      </c>
      <c r="I696" s="1">
        <v>43481</v>
      </c>
      <c r="J696" t="s">
        <v>1045</v>
      </c>
      <c r="K696" s="5">
        <v>0.61249999999999993</v>
      </c>
      <c r="L696" t="s">
        <v>24</v>
      </c>
      <c r="M696">
        <v>23.67</v>
      </c>
      <c r="N696">
        <v>7.6</v>
      </c>
    </row>
    <row r="697" spans="1:14" x14ac:dyDescent="0.25">
      <c r="A697" t="s">
        <v>726</v>
      </c>
      <c r="B697" t="s">
        <v>13</v>
      </c>
      <c r="C697" t="s">
        <v>14</v>
      </c>
      <c r="D697" t="s">
        <v>15</v>
      </c>
      <c r="E697" t="s">
        <v>16</v>
      </c>
      <c r="F697" t="s">
        <v>27</v>
      </c>
      <c r="G697" t="s">
        <v>1037</v>
      </c>
      <c r="H697" t="s">
        <v>1041</v>
      </c>
      <c r="I697" s="1">
        <v>43494</v>
      </c>
      <c r="J697" t="s">
        <v>1046</v>
      </c>
      <c r="K697" s="5">
        <v>0.82291666666666663</v>
      </c>
      <c r="L697" t="s">
        <v>24</v>
      </c>
      <c r="M697">
        <v>21.842500000000001</v>
      </c>
      <c r="N697">
        <v>6.6</v>
      </c>
    </row>
    <row r="698" spans="1:14" x14ac:dyDescent="0.25">
      <c r="A698" t="s">
        <v>727</v>
      </c>
      <c r="B698" t="s">
        <v>13</v>
      </c>
      <c r="C698" t="s">
        <v>14</v>
      </c>
      <c r="D698" t="s">
        <v>15</v>
      </c>
      <c r="E698" t="s">
        <v>16</v>
      </c>
      <c r="F698" t="s">
        <v>31</v>
      </c>
      <c r="G698" t="s">
        <v>1040</v>
      </c>
      <c r="H698" t="s">
        <v>1041</v>
      </c>
      <c r="I698" s="1">
        <v>43466</v>
      </c>
      <c r="J698" t="s">
        <v>1046</v>
      </c>
      <c r="K698" s="5">
        <v>0.85138888888888886</v>
      </c>
      <c r="L698" t="s">
        <v>18</v>
      </c>
      <c r="M698">
        <v>5.4080000000000004</v>
      </c>
      <c r="N698">
        <v>6.9</v>
      </c>
    </row>
    <row r="699" spans="1:14" x14ac:dyDescent="0.25">
      <c r="A699" t="s">
        <v>728</v>
      </c>
      <c r="B699" t="s">
        <v>37</v>
      </c>
      <c r="C699" t="s">
        <v>38</v>
      </c>
      <c r="D699" t="s">
        <v>22</v>
      </c>
      <c r="E699" t="s">
        <v>26</v>
      </c>
      <c r="F699" t="s">
        <v>27</v>
      </c>
      <c r="G699" t="s">
        <v>1034</v>
      </c>
      <c r="H699" t="s">
        <v>1041</v>
      </c>
      <c r="I699" s="1">
        <v>43471</v>
      </c>
      <c r="J699" t="s">
        <v>1046</v>
      </c>
      <c r="K699" s="5">
        <v>0.82361111111111107</v>
      </c>
      <c r="L699" t="s">
        <v>18</v>
      </c>
      <c r="M699">
        <v>12.438000000000001</v>
      </c>
      <c r="N699">
        <v>4.3</v>
      </c>
    </row>
    <row r="700" spans="1:14" x14ac:dyDescent="0.25">
      <c r="A700" t="s">
        <v>729</v>
      </c>
      <c r="B700" t="s">
        <v>13</v>
      </c>
      <c r="C700" t="s">
        <v>14</v>
      </c>
      <c r="D700" t="s">
        <v>15</v>
      </c>
      <c r="E700" t="s">
        <v>26</v>
      </c>
      <c r="F700" t="s">
        <v>23</v>
      </c>
      <c r="G700" t="s">
        <v>1040</v>
      </c>
      <c r="H700" t="s">
        <v>1042</v>
      </c>
      <c r="I700" s="1">
        <v>43515</v>
      </c>
      <c r="J700" t="s">
        <v>1046</v>
      </c>
      <c r="K700" s="5">
        <v>0.81805555555555554</v>
      </c>
      <c r="L700" t="s">
        <v>28</v>
      </c>
      <c r="M700">
        <v>31.311</v>
      </c>
      <c r="N700">
        <v>7.8</v>
      </c>
    </row>
    <row r="701" spans="1:14" x14ac:dyDescent="0.25">
      <c r="A701" t="s">
        <v>730</v>
      </c>
      <c r="B701" t="s">
        <v>20</v>
      </c>
      <c r="C701" t="s">
        <v>21</v>
      </c>
      <c r="D701" t="s">
        <v>22</v>
      </c>
      <c r="E701" t="s">
        <v>26</v>
      </c>
      <c r="F701" t="s">
        <v>27</v>
      </c>
      <c r="G701" t="s">
        <v>1035</v>
      </c>
      <c r="H701" t="s">
        <v>1041</v>
      </c>
      <c r="I701" s="1">
        <v>43477</v>
      </c>
      <c r="J701" t="s">
        <v>1046</v>
      </c>
      <c r="K701" s="5">
        <v>0.6791666666666667</v>
      </c>
      <c r="L701" t="s">
        <v>18</v>
      </c>
      <c r="M701">
        <v>48.75</v>
      </c>
      <c r="N701">
        <v>8</v>
      </c>
    </row>
    <row r="702" spans="1:14" x14ac:dyDescent="0.25">
      <c r="A702" t="s">
        <v>731</v>
      </c>
      <c r="B702" t="s">
        <v>20</v>
      </c>
      <c r="C702" t="s">
        <v>21</v>
      </c>
      <c r="D702" t="s">
        <v>22</v>
      </c>
      <c r="E702" t="s">
        <v>16</v>
      </c>
      <c r="F702" t="s">
        <v>41</v>
      </c>
      <c r="G702" t="s">
        <v>1038</v>
      </c>
      <c r="H702" t="s">
        <v>1042</v>
      </c>
      <c r="I702" s="1">
        <v>43503</v>
      </c>
      <c r="J702" t="s">
        <v>1045</v>
      </c>
      <c r="K702" s="5">
        <v>0.51597222222222217</v>
      </c>
      <c r="L702" t="s">
        <v>18</v>
      </c>
      <c r="M702">
        <v>24.164000000000001</v>
      </c>
      <c r="N702">
        <v>9.6</v>
      </c>
    </row>
    <row r="703" spans="1:14" x14ac:dyDescent="0.25">
      <c r="A703" t="s">
        <v>732</v>
      </c>
      <c r="B703" t="s">
        <v>37</v>
      </c>
      <c r="C703" t="s">
        <v>38</v>
      </c>
      <c r="D703" t="s">
        <v>22</v>
      </c>
      <c r="E703" t="s">
        <v>26</v>
      </c>
      <c r="F703" t="s">
        <v>39</v>
      </c>
      <c r="G703" t="s">
        <v>1038</v>
      </c>
      <c r="H703" t="s">
        <v>1043</v>
      </c>
      <c r="I703" s="1">
        <v>43551</v>
      </c>
      <c r="J703" t="s">
        <v>1046</v>
      </c>
      <c r="K703" s="5">
        <v>0.7993055555555556</v>
      </c>
      <c r="L703" t="s">
        <v>28</v>
      </c>
      <c r="M703">
        <v>4.8479999999999999</v>
      </c>
      <c r="N703">
        <v>4.3</v>
      </c>
    </row>
    <row r="704" spans="1:14" x14ac:dyDescent="0.25">
      <c r="A704" t="s">
        <v>733</v>
      </c>
      <c r="B704" t="s">
        <v>37</v>
      </c>
      <c r="C704" t="s">
        <v>38</v>
      </c>
      <c r="D704" t="s">
        <v>15</v>
      </c>
      <c r="E704" t="s">
        <v>16</v>
      </c>
      <c r="F704" t="s">
        <v>41</v>
      </c>
      <c r="G704" t="s">
        <v>1034</v>
      </c>
      <c r="H704" t="s">
        <v>1042</v>
      </c>
      <c r="I704" s="1">
        <v>43523</v>
      </c>
      <c r="J704" t="s">
        <v>1046</v>
      </c>
      <c r="K704" s="5">
        <v>0.7895833333333333</v>
      </c>
      <c r="L704" t="s">
        <v>28</v>
      </c>
      <c r="M704">
        <v>9.8849999999999998</v>
      </c>
      <c r="N704">
        <v>5</v>
      </c>
    </row>
    <row r="705" spans="1:14" x14ac:dyDescent="0.25">
      <c r="A705" t="s">
        <v>734</v>
      </c>
      <c r="B705" t="s">
        <v>37</v>
      </c>
      <c r="C705" t="s">
        <v>38</v>
      </c>
      <c r="D705" t="s">
        <v>15</v>
      </c>
      <c r="E705" t="s">
        <v>26</v>
      </c>
      <c r="F705" t="s">
        <v>17</v>
      </c>
      <c r="G705" t="s">
        <v>1034</v>
      </c>
      <c r="H705" t="s">
        <v>1041</v>
      </c>
      <c r="I705" s="1">
        <v>43471</v>
      </c>
      <c r="J705" t="s">
        <v>1044</v>
      </c>
      <c r="K705" s="5">
        <v>0.47083333333333338</v>
      </c>
      <c r="L705" t="s">
        <v>24</v>
      </c>
      <c r="M705">
        <v>36.211500000000001</v>
      </c>
      <c r="N705">
        <v>9.1999999999999993</v>
      </c>
    </row>
    <row r="706" spans="1:14" x14ac:dyDescent="0.25">
      <c r="A706" t="s">
        <v>735</v>
      </c>
      <c r="B706" t="s">
        <v>37</v>
      </c>
      <c r="C706" t="s">
        <v>38</v>
      </c>
      <c r="D706" t="s">
        <v>15</v>
      </c>
      <c r="E706" t="s">
        <v>16</v>
      </c>
      <c r="F706" t="s">
        <v>27</v>
      </c>
      <c r="G706" t="s">
        <v>1035</v>
      </c>
      <c r="H706" t="s">
        <v>1043</v>
      </c>
      <c r="I706" s="1">
        <v>43526</v>
      </c>
      <c r="J706" t="s">
        <v>1045</v>
      </c>
      <c r="K706" s="5">
        <v>0.52777777777777779</v>
      </c>
      <c r="L706" t="s">
        <v>24</v>
      </c>
      <c r="M706">
        <v>39.775500000000001</v>
      </c>
      <c r="N706">
        <v>6.3</v>
      </c>
    </row>
    <row r="707" spans="1:14" x14ac:dyDescent="0.25">
      <c r="A707" t="s">
        <v>736</v>
      </c>
      <c r="B707" t="s">
        <v>37</v>
      </c>
      <c r="C707" t="s">
        <v>38</v>
      </c>
      <c r="D707" t="s">
        <v>22</v>
      </c>
      <c r="E707" t="s">
        <v>26</v>
      </c>
      <c r="F707" t="s">
        <v>17</v>
      </c>
      <c r="G707" t="s">
        <v>1038</v>
      </c>
      <c r="H707" t="s">
        <v>1043</v>
      </c>
      <c r="I707" s="1">
        <v>43553</v>
      </c>
      <c r="J707" t="s">
        <v>1045</v>
      </c>
      <c r="K707" s="5">
        <v>0.58750000000000002</v>
      </c>
      <c r="L707" t="s">
        <v>24</v>
      </c>
      <c r="M707">
        <v>25.119499999999999</v>
      </c>
      <c r="N707">
        <v>8.9</v>
      </c>
    </row>
    <row r="708" spans="1:14" x14ac:dyDescent="0.25">
      <c r="A708" t="s">
        <v>737</v>
      </c>
      <c r="B708" t="s">
        <v>37</v>
      </c>
      <c r="C708" t="s">
        <v>38</v>
      </c>
      <c r="D708" t="s">
        <v>22</v>
      </c>
      <c r="E708" t="s">
        <v>16</v>
      </c>
      <c r="F708" t="s">
        <v>23</v>
      </c>
      <c r="G708" t="s">
        <v>1037</v>
      </c>
      <c r="H708" t="s">
        <v>1041</v>
      </c>
      <c r="I708" s="1">
        <v>43496</v>
      </c>
      <c r="J708" t="s">
        <v>1046</v>
      </c>
      <c r="K708" s="5">
        <v>0.8666666666666667</v>
      </c>
      <c r="L708" t="s">
        <v>18</v>
      </c>
      <c r="M708">
        <v>8.6</v>
      </c>
      <c r="N708">
        <v>7.6</v>
      </c>
    </row>
    <row r="709" spans="1:14" x14ac:dyDescent="0.25">
      <c r="A709" t="s">
        <v>738</v>
      </c>
      <c r="B709" t="s">
        <v>20</v>
      </c>
      <c r="C709" t="s">
        <v>21</v>
      </c>
      <c r="D709" t="s">
        <v>15</v>
      </c>
      <c r="E709" t="s">
        <v>26</v>
      </c>
      <c r="F709" t="s">
        <v>39</v>
      </c>
      <c r="G709" t="s">
        <v>1036</v>
      </c>
      <c r="H709" t="s">
        <v>1041</v>
      </c>
      <c r="I709" s="1">
        <v>43486</v>
      </c>
      <c r="J709" t="s">
        <v>1046</v>
      </c>
      <c r="K709" s="5">
        <v>0.84236111111111101</v>
      </c>
      <c r="L709" t="s">
        <v>24</v>
      </c>
      <c r="M709">
        <v>3.4489999999999998</v>
      </c>
      <c r="N709">
        <v>4.8</v>
      </c>
    </row>
    <row r="710" spans="1:14" x14ac:dyDescent="0.25">
      <c r="A710" t="s">
        <v>739</v>
      </c>
      <c r="B710" t="s">
        <v>20</v>
      </c>
      <c r="C710" t="s">
        <v>21</v>
      </c>
      <c r="D710" t="s">
        <v>22</v>
      </c>
      <c r="E710" t="s">
        <v>26</v>
      </c>
      <c r="F710" t="s">
        <v>41</v>
      </c>
      <c r="G710" t="s">
        <v>1036</v>
      </c>
      <c r="H710" t="s">
        <v>1041</v>
      </c>
      <c r="I710" s="1">
        <v>43485</v>
      </c>
      <c r="J710" t="s">
        <v>1046</v>
      </c>
      <c r="K710" s="5">
        <v>0.85902777777777783</v>
      </c>
      <c r="L710" t="s">
        <v>18</v>
      </c>
      <c r="M710">
        <v>6.2480000000000002</v>
      </c>
      <c r="N710">
        <v>9.1</v>
      </c>
    </row>
    <row r="711" spans="1:14" x14ac:dyDescent="0.25">
      <c r="A711" t="s">
        <v>740</v>
      </c>
      <c r="B711" t="s">
        <v>13</v>
      </c>
      <c r="C711" t="s">
        <v>14</v>
      </c>
      <c r="D711" t="s">
        <v>22</v>
      </c>
      <c r="E711" t="s">
        <v>26</v>
      </c>
      <c r="F711" t="s">
        <v>31</v>
      </c>
      <c r="G711" t="s">
        <v>1035</v>
      </c>
      <c r="H711" t="s">
        <v>1041</v>
      </c>
      <c r="I711" s="1">
        <v>43482</v>
      </c>
      <c r="J711" t="s">
        <v>1046</v>
      </c>
      <c r="K711" s="5">
        <v>0.74930555555555556</v>
      </c>
      <c r="L711" t="s">
        <v>18</v>
      </c>
      <c r="M711">
        <v>3.855</v>
      </c>
      <c r="N711">
        <v>6.1</v>
      </c>
    </row>
    <row r="712" spans="1:14" x14ac:dyDescent="0.25">
      <c r="A712" t="s">
        <v>741</v>
      </c>
      <c r="B712" t="s">
        <v>13</v>
      </c>
      <c r="C712" t="s">
        <v>14</v>
      </c>
      <c r="D712" t="s">
        <v>15</v>
      </c>
      <c r="E712" t="s">
        <v>26</v>
      </c>
      <c r="F712" t="s">
        <v>39</v>
      </c>
      <c r="G712" t="s">
        <v>1034</v>
      </c>
      <c r="H712" t="s">
        <v>1042</v>
      </c>
      <c r="I712" s="1">
        <v>43524</v>
      </c>
      <c r="J712" t="s">
        <v>1046</v>
      </c>
      <c r="K712" s="5">
        <v>0.84583333333333333</v>
      </c>
      <c r="L712" t="s">
        <v>24</v>
      </c>
      <c r="M712">
        <v>24.186</v>
      </c>
      <c r="N712">
        <v>9.1</v>
      </c>
    </row>
    <row r="713" spans="1:14" x14ac:dyDescent="0.25">
      <c r="A713" t="s">
        <v>742</v>
      </c>
      <c r="B713" t="s">
        <v>20</v>
      </c>
      <c r="C713" t="s">
        <v>21</v>
      </c>
      <c r="D713" t="s">
        <v>15</v>
      </c>
      <c r="E713" t="s">
        <v>16</v>
      </c>
      <c r="F713" t="s">
        <v>27</v>
      </c>
      <c r="G713" t="s">
        <v>1037</v>
      </c>
      <c r="H713" t="s">
        <v>1043</v>
      </c>
      <c r="I713" s="1">
        <v>43543</v>
      </c>
      <c r="J713" t="s">
        <v>1045</v>
      </c>
      <c r="K713" s="5">
        <v>0.66111111111111109</v>
      </c>
      <c r="L713" t="s">
        <v>18</v>
      </c>
      <c r="M713">
        <v>15.106</v>
      </c>
      <c r="N713">
        <v>8.3000000000000007</v>
      </c>
    </row>
    <row r="714" spans="1:14" x14ac:dyDescent="0.25">
      <c r="A714" t="s">
        <v>743</v>
      </c>
      <c r="B714" t="s">
        <v>20</v>
      </c>
      <c r="C714" t="s">
        <v>21</v>
      </c>
      <c r="D714" t="s">
        <v>22</v>
      </c>
      <c r="E714" t="s">
        <v>16</v>
      </c>
      <c r="F714" t="s">
        <v>23</v>
      </c>
      <c r="G714" t="s">
        <v>1040</v>
      </c>
      <c r="H714" t="s">
        <v>1042</v>
      </c>
      <c r="I714" s="1">
        <v>43515</v>
      </c>
      <c r="J714" t="s">
        <v>1045</v>
      </c>
      <c r="K714" s="5">
        <v>0.63472222222222219</v>
      </c>
      <c r="L714" t="s">
        <v>18</v>
      </c>
      <c r="M714">
        <v>34.933500000000002</v>
      </c>
      <c r="N714">
        <v>7.2</v>
      </c>
    </row>
    <row r="715" spans="1:14" x14ac:dyDescent="0.25">
      <c r="A715" t="s">
        <v>744</v>
      </c>
      <c r="B715" t="s">
        <v>20</v>
      </c>
      <c r="C715" t="s">
        <v>21</v>
      </c>
      <c r="D715" t="s">
        <v>22</v>
      </c>
      <c r="E715" t="s">
        <v>16</v>
      </c>
      <c r="F715" t="s">
        <v>17</v>
      </c>
      <c r="G715" t="s">
        <v>1038</v>
      </c>
      <c r="H715" t="s">
        <v>1042</v>
      </c>
      <c r="I715" s="1">
        <v>43500</v>
      </c>
      <c r="J715" t="s">
        <v>1045</v>
      </c>
      <c r="K715" s="5">
        <v>0.53472222222222221</v>
      </c>
      <c r="L715" t="s">
        <v>18</v>
      </c>
      <c r="M715">
        <v>6.2324999999999999</v>
      </c>
      <c r="N715">
        <v>6</v>
      </c>
    </row>
    <row r="716" spans="1:14" x14ac:dyDescent="0.25">
      <c r="A716" t="s">
        <v>745</v>
      </c>
      <c r="B716" t="s">
        <v>20</v>
      </c>
      <c r="C716" t="s">
        <v>21</v>
      </c>
      <c r="D716" t="s">
        <v>15</v>
      </c>
      <c r="E716" t="s">
        <v>26</v>
      </c>
      <c r="F716" t="s">
        <v>41</v>
      </c>
      <c r="G716" t="s">
        <v>1037</v>
      </c>
      <c r="H716" t="s">
        <v>1041</v>
      </c>
      <c r="I716" s="1">
        <v>43496</v>
      </c>
      <c r="J716" t="s">
        <v>1044</v>
      </c>
      <c r="K716" s="5">
        <v>0.44166666666666665</v>
      </c>
      <c r="L716" t="s">
        <v>18</v>
      </c>
      <c r="M716">
        <v>39.479999999999997</v>
      </c>
      <c r="N716">
        <v>8.5</v>
      </c>
    </row>
    <row r="717" spans="1:14" x14ac:dyDescent="0.25">
      <c r="A717" t="s">
        <v>746</v>
      </c>
      <c r="B717" t="s">
        <v>13</v>
      </c>
      <c r="C717" t="s">
        <v>14</v>
      </c>
      <c r="D717" t="s">
        <v>22</v>
      </c>
      <c r="E717" t="s">
        <v>16</v>
      </c>
      <c r="F717" t="s">
        <v>17</v>
      </c>
      <c r="G717" t="s">
        <v>1038</v>
      </c>
      <c r="H717" t="s">
        <v>1042</v>
      </c>
      <c r="I717" s="1">
        <v>43502</v>
      </c>
      <c r="J717" t="s">
        <v>1046</v>
      </c>
      <c r="K717" s="5">
        <v>0.7729166666666667</v>
      </c>
      <c r="L717" t="s">
        <v>28</v>
      </c>
      <c r="M717">
        <v>8.92</v>
      </c>
      <c r="N717">
        <v>6.6</v>
      </c>
    </row>
    <row r="718" spans="1:14" x14ac:dyDescent="0.25">
      <c r="A718" t="s">
        <v>747</v>
      </c>
      <c r="B718" t="s">
        <v>13</v>
      </c>
      <c r="C718" t="s">
        <v>14</v>
      </c>
      <c r="D718" t="s">
        <v>15</v>
      </c>
      <c r="E718" t="s">
        <v>16</v>
      </c>
      <c r="F718" t="s">
        <v>41</v>
      </c>
      <c r="G718" t="s">
        <v>1038</v>
      </c>
      <c r="H718" t="s">
        <v>1043</v>
      </c>
      <c r="I718" s="1">
        <v>43552</v>
      </c>
      <c r="J718" t="s">
        <v>1046</v>
      </c>
      <c r="K718" s="5">
        <v>0.67083333333333339</v>
      </c>
      <c r="L718" t="s">
        <v>18</v>
      </c>
      <c r="M718">
        <v>25.010999999999999</v>
      </c>
      <c r="N718">
        <v>4.5</v>
      </c>
    </row>
    <row r="719" spans="1:14" x14ac:dyDescent="0.25">
      <c r="A719" t="s">
        <v>748</v>
      </c>
      <c r="B719" t="s">
        <v>13</v>
      </c>
      <c r="C719" t="s">
        <v>14</v>
      </c>
      <c r="D719" t="s">
        <v>15</v>
      </c>
      <c r="E719" t="s">
        <v>26</v>
      </c>
      <c r="F719" t="s">
        <v>23</v>
      </c>
      <c r="G719" t="s">
        <v>1036</v>
      </c>
      <c r="H719" t="s">
        <v>1041</v>
      </c>
      <c r="I719" s="1">
        <v>43484</v>
      </c>
      <c r="J719" t="s">
        <v>1045</v>
      </c>
      <c r="K719" s="5">
        <v>0.53263888888888888</v>
      </c>
      <c r="L719" t="s">
        <v>28</v>
      </c>
      <c r="M719">
        <v>1.7909999999999999</v>
      </c>
      <c r="N719">
        <v>8.1</v>
      </c>
    </row>
    <row r="720" spans="1:14" x14ac:dyDescent="0.25">
      <c r="A720" t="s">
        <v>749</v>
      </c>
      <c r="B720" t="s">
        <v>13</v>
      </c>
      <c r="C720" t="s">
        <v>14</v>
      </c>
      <c r="D720" t="s">
        <v>22</v>
      </c>
      <c r="E720" t="s">
        <v>26</v>
      </c>
      <c r="F720" t="s">
        <v>41</v>
      </c>
      <c r="G720" t="s">
        <v>1040</v>
      </c>
      <c r="H720" t="s">
        <v>1042</v>
      </c>
      <c r="I720" s="1">
        <v>43513</v>
      </c>
      <c r="J720" t="s">
        <v>1045</v>
      </c>
      <c r="K720" s="5">
        <v>0.56527777777777777</v>
      </c>
      <c r="L720" t="s">
        <v>28</v>
      </c>
      <c r="M720">
        <v>6.8070000000000004</v>
      </c>
      <c r="N720">
        <v>7.2</v>
      </c>
    </row>
    <row r="721" spans="1:14" x14ac:dyDescent="0.25">
      <c r="A721" t="s">
        <v>750</v>
      </c>
      <c r="B721" t="s">
        <v>37</v>
      </c>
      <c r="C721" t="s">
        <v>38</v>
      </c>
      <c r="D721" t="s">
        <v>15</v>
      </c>
      <c r="E721" t="s">
        <v>16</v>
      </c>
      <c r="F721" t="s">
        <v>41</v>
      </c>
      <c r="G721" t="s">
        <v>1035</v>
      </c>
      <c r="H721" t="s">
        <v>1041</v>
      </c>
      <c r="I721" s="1">
        <v>43483</v>
      </c>
      <c r="J721" t="s">
        <v>1045</v>
      </c>
      <c r="K721" s="5">
        <v>0.62777777777777777</v>
      </c>
      <c r="L721" t="s">
        <v>28</v>
      </c>
      <c r="M721">
        <v>5.2439999999999998</v>
      </c>
      <c r="N721">
        <v>6.1</v>
      </c>
    </row>
    <row r="722" spans="1:14" x14ac:dyDescent="0.25">
      <c r="A722" t="s">
        <v>751</v>
      </c>
      <c r="B722" t="s">
        <v>37</v>
      </c>
      <c r="C722" t="s">
        <v>38</v>
      </c>
      <c r="D722" t="s">
        <v>22</v>
      </c>
      <c r="E722" t="s">
        <v>16</v>
      </c>
      <c r="F722" t="s">
        <v>41</v>
      </c>
      <c r="G722" t="s">
        <v>1038</v>
      </c>
      <c r="H722" t="s">
        <v>1042</v>
      </c>
      <c r="I722" s="1">
        <v>43498</v>
      </c>
      <c r="J722" t="s">
        <v>1046</v>
      </c>
      <c r="K722" s="5">
        <v>0.86249999999999993</v>
      </c>
      <c r="L722" t="s">
        <v>24</v>
      </c>
      <c r="M722">
        <v>8.9459999999999997</v>
      </c>
      <c r="N722">
        <v>7.1</v>
      </c>
    </row>
    <row r="723" spans="1:14" x14ac:dyDescent="0.25">
      <c r="A723" t="s">
        <v>752</v>
      </c>
      <c r="B723" t="s">
        <v>20</v>
      </c>
      <c r="C723" t="s">
        <v>21</v>
      </c>
      <c r="D723" t="s">
        <v>15</v>
      </c>
      <c r="E723" t="s">
        <v>16</v>
      </c>
      <c r="F723" t="s">
        <v>31</v>
      </c>
      <c r="G723" t="s">
        <v>1035</v>
      </c>
      <c r="H723" t="s">
        <v>1041</v>
      </c>
      <c r="I723" s="1">
        <v>43483</v>
      </c>
      <c r="J723" t="s">
        <v>1045</v>
      </c>
      <c r="K723" s="5">
        <v>0.64444444444444449</v>
      </c>
      <c r="L723" t="s">
        <v>24</v>
      </c>
      <c r="M723">
        <v>40.783499999999997</v>
      </c>
      <c r="N723">
        <v>5.0999999999999996</v>
      </c>
    </row>
    <row r="724" spans="1:14" x14ac:dyDescent="0.25">
      <c r="A724" t="s">
        <v>753</v>
      </c>
      <c r="B724" t="s">
        <v>37</v>
      </c>
      <c r="C724" t="s">
        <v>38</v>
      </c>
      <c r="D724" t="s">
        <v>22</v>
      </c>
      <c r="E724" t="s">
        <v>26</v>
      </c>
      <c r="F724" t="s">
        <v>27</v>
      </c>
      <c r="G724" t="s">
        <v>1037</v>
      </c>
      <c r="H724" t="s">
        <v>1043</v>
      </c>
      <c r="I724" s="1">
        <v>43542</v>
      </c>
      <c r="J724" t="s">
        <v>1045</v>
      </c>
      <c r="K724" s="5">
        <v>0.57291666666666663</v>
      </c>
      <c r="L724" t="s">
        <v>28</v>
      </c>
      <c r="M724">
        <v>6.6180000000000003</v>
      </c>
      <c r="N724">
        <v>7.9</v>
      </c>
    </row>
    <row r="725" spans="1:14" x14ac:dyDescent="0.25">
      <c r="A725" t="s">
        <v>754</v>
      </c>
      <c r="B725" t="s">
        <v>20</v>
      </c>
      <c r="C725" t="s">
        <v>21</v>
      </c>
      <c r="D725" t="s">
        <v>15</v>
      </c>
      <c r="E725" t="s">
        <v>16</v>
      </c>
      <c r="F725" t="s">
        <v>39</v>
      </c>
      <c r="G725" t="s">
        <v>1034</v>
      </c>
      <c r="H725" t="s">
        <v>1041</v>
      </c>
      <c r="I725" s="1">
        <v>43476</v>
      </c>
      <c r="J725" t="s">
        <v>1046</v>
      </c>
      <c r="K725" s="5">
        <v>0.84027777777777779</v>
      </c>
      <c r="L725" t="s">
        <v>24</v>
      </c>
      <c r="M725">
        <v>12.8695</v>
      </c>
      <c r="N725">
        <v>7.4</v>
      </c>
    </row>
    <row r="726" spans="1:14" x14ac:dyDescent="0.25">
      <c r="A726" t="s">
        <v>755</v>
      </c>
      <c r="B726" t="s">
        <v>37</v>
      </c>
      <c r="C726" t="s">
        <v>38</v>
      </c>
      <c r="D726" t="s">
        <v>15</v>
      </c>
      <c r="E726" t="s">
        <v>26</v>
      </c>
      <c r="F726" t="s">
        <v>39</v>
      </c>
      <c r="G726" t="s">
        <v>1038</v>
      </c>
      <c r="H726" t="s">
        <v>1042</v>
      </c>
      <c r="I726" s="1">
        <v>43500</v>
      </c>
      <c r="J726" t="s">
        <v>1046</v>
      </c>
      <c r="K726" s="5">
        <v>0.78680555555555554</v>
      </c>
      <c r="L726" t="s">
        <v>18</v>
      </c>
      <c r="M726">
        <v>4.6680000000000001</v>
      </c>
      <c r="N726">
        <v>7.4</v>
      </c>
    </row>
    <row r="727" spans="1:14" x14ac:dyDescent="0.25">
      <c r="A727" t="s">
        <v>756</v>
      </c>
      <c r="B727" t="s">
        <v>20</v>
      </c>
      <c r="C727" t="s">
        <v>21</v>
      </c>
      <c r="D727" t="s">
        <v>15</v>
      </c>
      <c r="E727" t="s">
        <v>16</v>
      </c>
      <c r="F727" t="s">
        <v>17</v>
      </c>
      <c r="G727" t="s">
        <v>1038</v>
      </c>
      <c r="H727" t="s">
        <v>1042</v>
      </c>
      <c r="I727" s="1">
        <v>43502</v>
      </c>
      <c r="J727" t="s">
        <v>1045</v>
      </c>
      <c r="K727" s="5">
        <v>0.6</v>
      </c>
      <c r="L727" t="s">
        <v>24</v>
      </c>
      <c r="M727">
        <v>11.4</v>
      </c>
      <c r="N727">
        <v>6.6</v>
      </c>
    </row>
    <row r="728" spans="1:14" x14ac:dyDescent="0.25">
      <c r="A728" t="s">
        <v>757</v>
      </c>
      <c r="B728" t="s">
        <v>20</v>
      </c>
      <c r="C728" t="s">
        <v>21</v>
      </c>
      <c r="D728" t="s">
        <v>15</v>
      </c>
      <c r="E728" t="s">
        <v>26</v>
      </c>
      <c r="F728" t="s">
        <v>27</v>
      </c>
      <c r="G728" t="s">
        <v>1034</v>
      </c>
      <c r="H728" t="s">
        <v>1041</v>
      </c>
      <c r="I728" s="1">
        <v>43473</v>
      </c>
      <c r="J728" t="s">
        <v>1044</v>
      </c>
      <c r="K728" s="5">
        <v>0.48749999999999999</v>
      </c>
      <c r="L728" t="s">
        <v>28</v>
      </c>
      <c r="M728">
        <v>8.3354999999999997</v>
      </c>
      <c r="N728">
        <v>5.9</v>
      </c>
    </row>
    <row r="729" spans="1:14" x14ac:dyDescent="0.25">
      <c r="A729" t="s">
        <v>758</v>
      </c>
      <c r="B729" t="s">
        <v>37</v>
      </c>
      <c r="C729" t="s">
        <v>38</v>
      </c>
      <c r="D729" t="s">
        <v>22</v>
      </c>
      <c r="E729" t="s">
        <v>26</v>
      </c>
      <c r="F729" t="s">
        <v>31</v>
      </c>
      <c r="G729" t="s">
        <v>1035</v>
      </c>
      <c r="H729" t="s">
        <v>1043</v>
      </c>
      <c r="I729" s="1">
        <v>43529</v>
      </c>
      <c r="J729" t="s">
        <v>1046</v>
      </c>
      <c r="K729" s="5">
        <v>0.74236111111111114</v>
      </c>
      <c r="L729" t="s">
        <v>28</v>
      </c>
      <c r="M729">
        <v>34.869999999999997</v>
      </c>
      <c r="N729">
        <v>8.9</v>
      </c>
    </row>
    <row r="730" spans="1:14" x14ac:dyDescent="0.25">
      <c r="A730" t="s">
        <v>759</v>
      </c>
      <c r="B730" t="s">
        <v>20</v>
      </c>
      <c r="C730" t="s">
        <v>21</v>
      </c>
      <c r="D730" t="s">
        <v>22</v>
      </c>
      <c r="E730" t="s">
        <v>26</v>
      </c>
      <c r="F730" t="s">
        <v>41</v>
      </c>
      <c r="G730" t="s">
        <v>1037</v>
      </c>
      <c r="H730" t="s">
        <v>1043</v>
      </c>
      <c r="I730" s="1">
        <v>43540</v>
      </c>
      <c r="J730" t="s">
        <v>1045</v>
      </c>
      <c r="K730" s="5">
        <v>0.6479166666666667</v>
      </c>
      <c r="L730" t="s">
        <v>18</v>
      </c>
      <c r="M730">
        <v>19.452000000000002</v>
      </c>
      <c r="N730">
        <v>6.8</v>
      </c>
    </row>
    <row r="731" spans="1:14" x14ac:dyDescent="0.25">
      <c r="A731" t="s">
        <v>760</v>
      </c>
      <c r="B731" t="s">
        <v>37</v>
      </c>
      <c r="C731" t="s">
        <v>38</v>
      </c>
      <c r="D731" t="s">
        <v>15</v>
      </c>
      <c r="E731" t="s">
        <v>16</v>
      </c>
      <c r="F731" t="s">
        <v>27</v>
      </c>
      <c r="G731" t="s">
        <v>1036</v>
      </c>
      <c r="H731" t="s">
        <v>1043</v>
      </c>
      <c r="I731" s="1">
        <v>43533</v>
      </c>
      <c r="J731" t="s">
        <v>1044</v>
      </c>
      <c r="K731" s="5">
        <v>0.45416666666666666</v>
      </c>
      <c r="L731" t="s">
        <v>24</v>
      </c>
      <c r="M731">
        <v>18.263000000000002</v>
      </c>
      <c r="N731">
        <v>9.3000000000000007</v>
      </c>
    </row>
    <row r="732" spans="1:14" x14ac:dyDescent="0.25">
      <c r="A732" t="s">
        <v>761</v>
      </c>
      <c r="B732" t="s">
        <v>13</v>
      </c>
      <c r="C732" t="s">
        <v>14</v>
      </c>
      <c r="D732" t="s">
        <v>15</v>
      </c>
      <c r="E732" t="s">
        <v>16</v>
      </c>
      <c r="F732" t="s">
        <v>41</v>
      </c>
      <c r="G732" t="s">
        <v>1034</v>
      </c>
      <c r="H732" t="s">
        <v>1043</v>
      </c>
      <c r="I732" s="1">
        <v>43525</v>
      </c>
      <c r="J732" t="s">
        <v>1046</v>
      </c>
      <c r="K732" s="5">
        <v>0.68263888888888891</v>
      </c>
      <c r="L732" t="s">
        <v>28</v>
      </c>
      <c r="M732">
        <v>4.4640000000000004</v>
      </c>
      <c r="N732">
        <v>4.4000000000000004</v>
      </c>
    </row>
    <row r="733" spans="1:14" x14ac:dyDescent="0.25">
      <c r="A733" t="s">
        <v>762</v>
      </c>
      <c r="B733" t="s">
        <v>13</v>
      </c>
      <c r="C733" t="s">
        <v>14</v>
      </c>
      <c r="D733" t="s">
        <v>22</v>
      </c>
      <c r="E733" t="s">
        <v>26</v>
      </c>
      <c r="F733" t="s">
        <v>17</v>
      </c>
      <c r="G733" t="s">
        <v>1034</v>
      </c>
      <c r="H733" t="s">
        <v>1042</v>
      </c>
      <c r="I733" s="1">
        <v>43524</v>
      </c>
      <c r="J733" t="s">
        <v>1046</v>
      </c>
      <c r="K733" s="5">
        <v>0.81458333333333333</v>
      </c>
      <c r="L733" t="s">
        <v>18</v>
      </c>
      <c r="M733">
        <v>8.4</v>
      </c>
      <c r="N733">
        <v>4.8</v>
      </c>
    </row>
    <row r="734" spans="1:14" x14ac:dyDescent="0.25">
      <c r="A734" t="s">
        <v>763</v>
      </c>
      <c r="B734" t="s">
        <v>13</v>
      </c>
      <c r="C734" t="s">
        <v>14</v>
      </c>
      <c r="D734" t="s">
        <v>15</v>
      </c>
      <c r="E734" t="s">
        <v>26</v>
      </c>
      <c r="F734" t="s">
        <v>41</v>
      </c>
      <c r="G734" t="s">
        <v>1038</v>
      </c>
      <c r="H734" t="s">
        <v>1042</v>
      </c>
      <c r="I734" s="1">
        <v>43504</v>
      </c>
      <c r="J734" t="s">
        <v>1044</v>
      </c>
      <c r="K734" s="5">
        <v>0.48541666666666666</v>
      </c>
      <c r="L734" t="s">
        <v>18</v>
      </c>
      <c r="M734">
        <v>0.98499999999999999</v>
      </c>
      <c r="N734">
        <v>9.5</v>
      </c>
    </row>
    <row r="735" spans="1:14" x14ac:dyDescent="0.25">
      <c r="A735" t="s">
        <v>764</v>
      </c>
      <c r="B735" t="s">
        <v>37</v>
      </c>
      <c r="C735" t="s">
        <v>38</v>
      </c>
      <c r="D735" t="s">
        <v>22</v>
      </c>
      <c r="E735" t="s">
        <v>26</v>
      </c>
      <c r="F735" t="s">
        <v>23</v>
      </c>
      <c r="G735" t="s">
        <v>1036</v>
      </c>
      <c r="H735" t="s">
        <v>1041</v>
      </c>
      <c r="I735" s="1">
        <v>43489</v>
      </c>
      <c r="J735" t="s">
        <v>1044</v>
      </c>
      <c r="K735" s="5">
        <v>0.44305555555555554</v>
      </c>
      <c r="L735" t="s">
        <v>18</v>
      </c>
      <c r="M735">
        <v>26.558</v>
      </c>
      <c r="N735">
        <v>8.9</v>
      </c>
    </row>
    <row r="736" spans="1:14" x14ac:dyDescent="0.25">
      <c r="A736" t="s">
        <v>765</v>
      </c>
      <c r="B736" t="s">
        <v>37</v>
      </c>
      <c r="C736" t="s">
        <v>38</v>
      </c>
      <c r="D736" t="s">
        <v>15</v>
      </c>
      <c r="E736" t="s">
        <v>26</v>
      </c>
      <c r="F736" t="s">
        <v>39</v>
      </c>
      <c r="G736" t="s">
        <v>1034</v>
      </c>
      <c r="H736" t="s">
        <v>1043</v>
      </c>
      <c r="I736" s="1">
        <v>43525</v>
      </c>
      <c r="J736" t="s">
        <v>1046</v>
      </c>
      <c r="K736" s="5">
        <v>0.8354166666666667</v>
      </c>
      <c r="L736" t="s">
        <v>18</v>
      </c>
      <c r="M736">
        <v>2.6859999999999999</v>
      </c>
      <c r="N736">
        <v>6.4</v>
      </c>
    </row>
    <row r="737" spans="1:14" x14ac:dyDescent="0.25">
      <c r="A737" t="s">
        <v>766</v>
      </c>
      <c r="B737" t="s">
        <v>20</v>
      </c>
      <c r="C737" t="s">
        <v>21</v>
      </c>
      <c r="D737" t="s">
        <v>15</v>
      </c>
      <c r="E737" t="s">
        <v>26</v>
      </c>
      <c r="F737" t="s">
        <v>17</v>
      </c>
      <c r="G737" t="s">
        <v>1036</v>
      </c>
      <c r="H737" t="s">
        <v>1043</v>
      </c>
      <c r="I737" s="1">
        <v>43534</v>
      </c>
      <c r="J737" t="s">
        <v>1045</v>
      </c>
      <c r="K737" s="5">
        <v>0.52708333333333335</v>
      </c>
      <c r="L737" t="s">
        <v>28</v>
      </c>
      <c r="M737">
        <v>40.975000000000001</v>
      </c>
      <c r="N737">
        <v>6</v>
      </c>
    </row>
    <row r="738" spans="1:14" x14ac:dyDescent="0.25">
      <c r="A738" t="s">
        <v>767</v>
      </c>
      <c r="B738" t="s">
        <v>20</v>
      </c>
      <c r="C738" t="s">
        <v>21</v>
      </c>
      <c r="D738" t="s">
        <v>15</v>
      </c>
      <c r="E738" t="s">
        <v>16</v>
      </c>
      <c r="F738" t="s">
        <v>27</v>
      </c>
      <c r="G738" t="s">
        <v>1038</v>
      </c>
      <c r="H738" t="s">
        <v>1043</v>
      </c>
      <c r="I738" s="1">
        <v>43547</v>
      </c>
      <c r="J738" t="s">
        <v>1045</v>
      </c>
      <c r="K738" s="5">
        <v>0.66597222222222219</v>
      </c>
      <c r="L738" t="s">
        <v>28</v>
      </c>
      <c r="M738">
        <v>28.42</v>
      </c>
      <c r="N738">
        <v>8.1</v>
      </c>
    </row>
    <row r="739" spans="1:14" x14ac:dyDescent="0.25">
      <c r="A739" t="s">
        <v>768</v>
      </c>
      <c r="B739" t="s">
        <v>20</v>
      </c>
      <c r="C739" t="s">
        <v>21</v>
      </c>
      <c r="D739" t="s">
        <v>22</v>
      </c>
      <c r="E739" t="s">
        <v>26</v>
      </c>
      <c r="F739" t="s">
        <v>23</v>
      </c>
      <c r="G739" t="s">
        <v>1037</v>
      </c>
      <c r="H739" t="s">
        <v>1041</v>
      </c>
      <c r="I739" s="1">
        <v>43494</v>
      </c>
      <c r="J739" t="s">
        <v>1045</v>
      </c>
      <c r="K739" s="5">
        <v>0.60138888888888886</v>
      </c>
      <c r="L739" t="s">
        <v>18</v>
      </c>
      <c r="M739">
        <v>29.38</v>
      </c>
      <c r="N739">
        <v>9</v>
      </c>
    </row>
    <row r="740" spans="1:14" x14ac:dyDescent="0.25">
      <c r="A740" t="s">
        <v>769</v>
      </c>
      <c r="B740" t="s">
        <v>37</v>
      </c>
      <c r="C740" t="s">
        <v>38</v>
      </c>
      <c r="D740" t="s">
        <v>15</v>
      </c>
      <c r="E740" t="s">
        <v>26</v>
      </c>
      <c r="F740" t="s">
        <v>23</v>
      </c>
      <c r="G740" t="s">
        <v>1035</v>
      </c>
      <c r="H740" t="s">
        <v>1041</v>
      </c>
      <c r="I740" s="1">
        <v>43477</v>
      </c>
      <c r="J740" t="s">
        <v>1046</v>
      </c>
      <c r="K740" s="5">
        <v>0.76527777777777783</v>
      </c>
      <c r="L740" t="s">
        <v>18</v>
      </c>
      <c r="M740">
        <v>36.624000000000002</v>
      </c>
      <c r="N740">
        <v>6</v>
      </c>
    </row>
    <row r="741" spans="1:14" x14ac:dyDescent="0.25">
      <c r="A741" t="s">
        <v>770</v>
      </c>
      <c r="B741" t="s">
        <v>13</v>
      </c>
      <c r="C741" t="s">
        <v>14</v>
      </c>
      <c r="D741" t="s">
        <v>22</v>
      </c>
      <c r="E741" t="s">
        <v>26</v>
      </c>
      <c r="F741" t="s">
        <v>27</v>
      </c>
      <c r="G741" t="s">
        <v>1037</v>
      </c>
      <c r="H741" t="s">
        <v>1043</v>
      </c>
      <c r="I741" s="1">
        <v>43544</v>
      </c>
      <c r="J741" t="s">
        <v>1044</v>
      </c>
      <c r="K741" s="5">
        <v>0.48055555555555557</v>
      </c>
      <c r="L741" t="s">
        <v>24</v>
      </c>
      <c r="M741">
        <v>42.281999999999996</v>
      </c>
      <c r="N741">
        <v>9.8000000000000007</v>
      </c>
    </row>
    <row r="742" spans="1:14" x14ac:dyDescent="0.25">
      <c r="A742" t="s">
        <v>771</v>
      </c>
      <c r="B742" t="s">
        <v>20</v>
      </c>
      <c r="C742" t="s">
        <v>21</v>
      </c>
      <c r="D742" t="s">
        <v>22</v>
      </c>
      <c r="E742" t="s">
        <v>26</v>
      </c>
      <c r="F742" t="s">
        <v>27</v>
      </c>
      <c r="G742" t="s">
        <v>1038</v>
      </c>
      <c r="H742" t="s">
        <v>1043</v>
      </c>
      <c r="I742" s="1">
        <v>43547</v>
      </c>
      <c r="J742" t="s">
        <v>1045</v>
      </c>
      <c r="K742" s="5">
        <v>0.52847222222222223</v>
      </c>
      <c r="L742" t="s">
        <v>24</v>
      </c>
      <c r="M742">
        <v>19.4635</v>
      </c>
      <c r="N742">
        <v>8.5</v>
      </c>
    </row>
    <row r="743" spans="1:14" x14ac:dyDescent="0.25">
      <c r="A743" t="s">
        <v>772</v>
      </c>
      <c r="B743" t="s">
        <v>20</v>
      </c>
      <c r="C743" t="s">
        <v>21</v>
      </c>
      <c r="D743" t="s">
        <v>22</v>
      </c>
      <c r="E743" t="s">
        <v>26</v>
      </c>
      <c r="F743" t="s">
        <v>39</v>
      </c>
      <c r="G743" t="s">
        <v>1035</v>
      </c>
      <c r="H743" t="s">
        <v>1041</v>
      </c>
      <c r="I743" s="1">
        <v>43479</v>
      </c>
      <c r="J743" t="s">
        <v>1045</v>
      </c>
      <c r="K743" s="5">
        <v>0.63888888888888895</v>
      </c>
      <c r="L743" t="s">
        <v>18</v>
      </c>
      <c r="M743">
        <v>4.2415000000000003</v>
      </c>
      <c r="N743">
        <v>8.8000000000000007</v>
      </c>
    </row>
    <row r="744" spans="1:14" x14ac:dyDescent="0.25">
      <c r="A744" t="s">
        <v>773</v>
      </c>
      <c r="B744" t="s">
        <v>13</v>
      </c>
      <c r="C744" t="s">
        <v>14</v>
      </c>
      <c r="D744" t="s">
        <v>15</v>
      </c>
      <c r="E744" t="s">
        <v>16</v>
      </c>
      <c r="F744" t="s">
        <v>31</v>
      </c>
      <c r="G744" t="s">
        <v>1039</v>
      </c>
      <c r="H744" t="s">
        <v>1042</v>
      </c>
      <c r="I744" s="1">
        <v>43508</v>
      </c>
      <c r="J744" t="s">
        <v>1045</v>
      </c>
      <c r="K744" s="5">
        <v>0.60625000000000007</v>
      </c>
      <c r="L744" t="s">
        <v>18</v>
      </c>
      <c r="M744">
        <v>7.1630000000000003</v>
      </c>
      <c r="N744">
        <v>8.8000000000000007</v>
      </c>
    </row>
    <row r="745" spans="1:14" x14ac:dyDescent="0.25">
      <c r="A745" t="s">
        <v>774</v>
      </c>
      <c r="B745" t="s">
        <v>13</v>
      </c>
      <c r="C745" t="s">
        <v>14</v>
      </c>
      <c r="D745" t="s">
        <v>15</v>
      </c>
      <c r="E745" t="s">
        <v>26</v>
      </c>
      <c r="F745" t="s">
        <v>27</v>
      </c>
      <c r="G745" t="s">
        <v>1040</v>
      </c>
      <c r="H745" t="s">
        <v>1042</v>
      </c>
      <c r="I745" s="1">
        <v>43516</v>
      </c>
      <c r="J745" t="s">
        <v>1045</v>
      </c>
      <c r="K745" s="5">
        <v>0.64513888888888882</v>
      </c>
      <c r="L745" t="s">
        <v>18</v>
      </c>
      <c r="M745">
        <v>3.7690000000000001</v>
      </c>
      <c r="N745">
        <v>9.5</v>
      </c>
    </row>
    <row r="746" spans="1:14" x14ac:dyDescent="0.25">
      <c r="A746" t="s">
        <v>775</v>
      </c>
      <c r="B746" t="s">
        <v>20</v>
      </c>
      <c r="C746" t="s">
        <v>21</v>
      </c>
      <c r="D746" t="s">
        <v>15</v>
      </c>
      <c r="E746" t="s">
        <v>16</v>
      </c>
      <c r="F746" t="s">
        <v>31</v>
      </c>
      <c r="G746" t="s">
        <v>1040</v>
      </c>
      <c r="H746" t="s">
        <v>1041</v>
      </c>
      <c r="I746" s="1">
        <v>43467</v>
      </c>
      <c r="J746" t="s">
        <v>1046</v>
      </c>
      <c r="K746" s="5">
        <v>0.67986111111111114</v>
      </c>
      <c r="L746" t="s">
        <v>28</v>
      </c>
      <c r="M746">
        <v>12.667999999999999</v>
      </c>
      <c r="N746">
        <v>5.6</v>
      </c>
    </row>
    <row r="747" spans="1:14" x14ac:dyDescent="0.25">
      <c r="A747" t="s">
        <v>776</v>
      </c>
      <c r="B747" t="s">
        <v>20</v>
      </c>
      <c r="C747" t="s">
        <v>21</v>
      </c>
      <c r="D747" t="s">
        <v>15</v>
      </c>
      <c r="E747" t="s">
        <v>16</v>
      </c>
      <c r="F747" t="s">
        <v>39</v>
      </c>
      <c r="G747" t="s">
        <v>1038</v>
      </c>
      <c r="H747" t="s">
        <v>1042</v>
      </c>
      <c r="I747" s="1">
        <v>43498</v>
      </c>
      <c r="J747" t="s">
        <v>1046</v>
      </c>
      <c r="K747" s="5">
        <v>0.68958333333333333</v>
      </c>
      <c r="L747" t="s">
        <v>24</v>
      </c>
      <c r="M747">
        <v>1.921</v>
      </c>
      <c r="N747">
        <v>8.6</v>
      </c>
    </row>
    <row r="748" spans="1:14" x14ac:dyDescent="0.25">
      <c r="A748" t="s">
        <v>777</v>
      </c>
      <c r="B748" t="s">
        <v>37</v>
      </c>
      <c r="C748" t="s">
        <v>38</v>
      </c>
      <c r="D748" t="s">
        <v>15</v>
      </c>
      <c r="E748" t="s">
        <v>26</v>
      </c>
      <c r="F748" t="s">
        <v>41</v>
      </c>
      <c r="G748" t="s">
        <v>1034</v>
      </c>
      <c r="H748" t="s">
        <v>1041</v>
      </c>
      <c r="I748" s="1">
        <v>43473</v>
      </c>
      <c r="J748" t="s">
        <v>1046</v>
      </c>
      <c r="K748" s="5">
        <v>0.79652777777777783</v>
      </c>
      <c r="L748" t="s">
        <v>28</v>
      </c>
      <c r="M748">
        <v>32.615000000000002</v>
      </c>
      <c r="N748">
        <v>5.2</v>
      </c>
    </row>
    <row r="749" spans="1:14" x14ac:dyDescent="0.25">
      <c r="A749" t="s">
        <v>778</v>
      </c>
      <c r="B749" t="s">
        <v>20</v>
      </c>
      <c r="C749" t="s">
        <v>21</v>
      </c>
      <c r="D749" t="s">
        <v>15</v>
      </c>
      <c r="E749" t="s">
        <v>16</v>
      </c>
      <c r="F749" t="s">
        <v>27</v>
      </c>
      <c r="G749" t="s">
        <v>1037</v>
      </c>
      <c r="H749" t="s">
        <v>1041</v>
      </c>
      <c r="I749" s="1">
        <v>43495</v>
      </c>
      <c r="J749" t="s">
        <v>1045</v>
      </c>
      <c r="K749" s="5">
        <v>0.61319444444444449</v>
      </c>
      <c r="L749" t="s">
        <v>28</v>
      </c>
      <c r="M749">
        <v>2.6324999999999998</v>
      </c>
      <c r="N749">
        <v>5.8</v>
      </c>
    </row>
    <row r="750" spans="1:14" x14ac:dyDescent="0.25">
      <c r="A750" t="s">
        <v>779</v>
      </c>
      <c r="B750" t="s">
        <v>37</v>
      </c>
      <c r="C750" t="s">
        <v>38</v>
      </c>
      <c r="D750" t="s">
        <v>15</v>
      </c>
      <c r="E750" t="s">
        <v>16</v>
      </c>
      <c r="F750" t="s">
        <v>27</v>
      </c>
      <c r="G750" t="s">
        <v>1038</v>
      </c>
      <c r="H750" t="s">
        <v>1043</v>
      </c>
      <c r="I750" s="1">
        <v>43550</v>
      </c>
      <c r="J750" t="s">
        <v>1046</v>
      </c>
      <c r="K750" s="5">
        <v>0.81111111111111101</v>
      </c>
      <c r="L750" t="s">
        <v>28</v>
      </c>
      <c r="M750">
        <v>5.5305</v>
      </c>
      <c r="N750">
        <v>8</v>
      </c>
    </row>
    <row r="751" spans="1:14" x14ac:dyDescent="0.25">
      <c r="A751" t="s">
        <v>780</v>
      </c>
      <c r="B751" t="s">
        <v>20</v>
      </c>
      <c r="C751" t="s">
        <v>21</v>
      </c>
      <c r="D751" t="s">
        <v>15</v>
      </c>
      <c r="E751" t="s">
        <v>26</v>
      </c>
      <c r="F751" t="s">
        <v>17</v>
      </c>
      <c r="G751" t="s">
        <v>1035</v>
      </c>
      <c r="H751" t="s">
        <v>1041</v>
      </c>
      <c r="I751" s="1">
        <v>43480</v>
      </c>
      <c r="J751" t="s">
        <v>1046</v>
      </c>
      <c r="K751" s="5">
        <v>0.86388888888888893</v>
      </c>
      <c r="L751" t="s">
        <v>24</v>
      </c>
      <c r="M751">
        <v>28.430499999999999</v>
      </c>
      <c r="N751">
        <v>9</v>
      </c>
    </row>
    <row r="752" spans="1:14" x14ac:dyDescent="0.25">
      <c r="A752" t="s">
        <v>781</v>
      </c>
      <c r="B752" t="s">
        <v>37</v>
      </c>
      <c r="C752" t="s">
        <v>38</v>
      </c>
      <c r="D752" t="s">
        <v>15</v>
      </c>
      <c r="E752" t="s">
        <v>16</v>
      </c>
      <c r="F752" t="s">
        <v>41</v>
      </c>
      <c r="G752" t="s">
        <v>1036</v>
      </c>
      <c r="H752" t="s">
        <v>1043</v>
      </c>
      <c r="I752" s="1">
        <v>43538</v>
      </c>
      <c r="J752" t="s">
        <v>1044</v>
      </c>
      <c r="K752" s="5">
        <v>0.4694444444444445</v>
      </c>
      <c r="L752" t="s">
        <v>18</v>
      </c>
      <c r="M752">
        <v>4.4640000000000004</v>
      </c>
      <c r="N752">
        <v>4.0999999999999996</v>
      </c>
    </row>
    <row r="753" spans="1:14" x14ac:dyDescent="0.25">
      <c r="A753" t="s">
        <v>782</v>
      </c>
      <c r="B753" t="s">
        <v>13</v>
      </c>
      <c r="C753" t="s">
        <v>14</v>
      </c>
      <c r="D753" t="s">
        <v>22</v>
      </c>
      <c r="E753" t="s">
        <v>16</v>
      </c>
      <c r="F753" t="s">
        <v>39</v>
      </c>
      <c r="G753" t="s">
        <v>1038</v>
      </c>
      <c r="H753" t="s">
        <v>1042</v>
      </c>
      <c r="I753" s="1">
        <v>43499</v>
      </c>
      <c r="J753" t="s">
        <v>1044</v>
      </c>
      <c r="K753" s="5">
        <v>0.4381944444444445</v>
      </c>
      <c r="L753" t="s">
        <v>28</v>
      </c>
      <c r="M753">
        <v>6.82</v>
      </c>
      <c r="N753">
        <v>8.6</v>
      </c>
    </row>
    <row r="754" spans="1:14" x14ac:dyDescent="0.25">
      <c r="A754" t="s">
        <v>783</v>
      </c>
      <c r="B754" t="s">
        <v>13</v>
      </c>
      <c r="C754" t="s">
        <v>14</v>
      </c>
      <c r="D754" t="s">
        <v>15</v>
      </c>
      <c r="E754" t="s">
        <v>16</v>
      </c>
      <c r="F754" t="s">
        <v>23</v>
      </c>
      <c r="G754" t="s">
        <v>1040</v>
      </c>
      <c r="H754" t="s">
        <v>1042</v>
      </c>
      <c r="I754" s="1">
        <v>43518</v>
      </c>
      <c r="J754" t="s">
        <v>1045</v>
      </c>
      <c r="K754" s="5">
        <v>0.52083333333333337</v>
      </c>
      <c r="L754" t="s">
        <v>18</v>
      </c>
      <c r="M754">
        <v>8.7100000000000009</v>
      </c>
      <c r="N754">
        <v>7</v>
      </c>
    </row>
    <row r="755" spans="1:14" x14ac:dyDescent="0.25">
      <c r="A755" t="s">
        <v>784</v>
      </c>
      <c r="B755" t="s">
        <v>37</v>
      </c>
      <c r="C755" t="s">
        <v>38</v>
      </c>
      <c r="D755" t="s">
        <v>22</v>
      </c>
      <c r="E755" t="s">
        <v>26</v>
      </c>
      <c r="F755" t="s">
        <v>27</v>
      </c>
      <c r="G755" t="s">
        <v>1036</v>
      </c>
      <c r="H755" t="s">
        <v>1041</v>
      </c>
      <c r="I755" s="1">
        <v>43489</v>
      </c>
      <c r="J755" t="s">
        <v>1045</v>
      </c>
      <c r="K755" s="5">
        <v>0.62847222222222221</v>
      </c>
      <c r="L755" t="s">
        <v>18</v>
      </c>
      <c r="M755">
        <v>18.32</v>
      </c>
      <c r="N755">
        <v>8.4</v>
      </c>
    </row>
    <row r="756" spans="1:14" x14ac:dyDescent="0.25">
      <c r="A756" t="s">
        <v>785</v>
      </c>
      <c r="B756" t="s">
        <v>20</v>
      </c>
      <c r="C756" t="s">
        <v>21</v>
      </c>
      <c r="D756" t="s">
        <v>15</v>
      </c>
      <c r="E756" t="s">
        <v>16</v>
      </c>
      <c r="F756" t="s">
        <v>41</v>
      </c>
      <c r="G756" t="s">
        <v>1036</v>
      </c>
      <c r="H756" t="s">
        <v>1041</v>
      </c>
      <c r="I756" s="1">
        <v>43490</v>
      </c>
      <c r="J756" t="s">
        <v>1046</v>
      </c>
      <c r="K756" s="5">
        <v>0.77083333333333337</v>
      </c>
      <c r="L756" t="s">
        <v>18</v>
      </c>
      <c r="M756">
        <v>12.730499999999999</v>
      </c>
      <c r="N756">
        <v>7.4</v>
      </c>
    </row>
    <row r="757" spans="1:14" x14ac:dyDescent="0.25">
      <c r="A757" t="s">
        <v>786</v>
      </c>
      <c r="B757" t="s">
        <v>13</v>
      </c>
      <c r="C757" t="s">
        <v>14</v>
      </c>
      <c r="D757" t="s">
        <v>22</v>
      </c>
      <c r="E757" t="s">
        <v>16</v>
      </c>
      <c r="F757" t="s">
        <v>41</v>
      </c>
      <c r="G757" t="s">
        <v>1036</v>
      </c>
      <c r="H757" t="s">
        <v>1043</v>
      </c>
      <c r="I757" s="1">
        <v>43533</v>
      </c>
      <c r="J757" t="s">
        <v>1045</v>
      </c>
      <c r="K757" s="5">
        <v>0.5541666666666667</v>
      </c>
      <c r="L757" t="s">
        <v>28</v>
      </c>
      <c r="M757">
        <v>38.915999999999997</v>
      </c>
      <c r="N757">
        <v>6.2</v>
      </c>
    </row>
    <row r="758" spans="1:14" x14ac:dyDescent="0.25">
      <c r="A758" t="s">
        <v>787</v>
      </c>
      <c r="B758" t="s">
        <v>37</v>
      </c>
      <c r="C758" t="s">
        <v>38</v>
      </c>
      <c r="D758" t="s">
        <v>15</v>
      </c>
      <c r="E758" t="s">
        <v>16</v>
      </c>
      <c r="F758" t="s">
        <v>23</v>
      </c>
      <c r="G758" t="s">
        <v>1040</v>
      </c>
      <c r="H758" t="s">
        <v>1042</v>
      </c>
      <c r="I758" s="1">
        <v>43513</v>
      </c>
      <c r="J758" t="s">
        <v>1045</v>
      </c>
      <c r="K758" s="5">
        <v>0.64444444444444449</v>
      </c>
      <c r="L758" t="s">
        <v>18</v>
      </c>
      <c r="M758">
        <v>14.295999999999999</v>
      </c>
      <c r="N758">
        <v>4.9000000000000004</v>
      </c>
    </row>
    <row r="759" spans="1:14" x14ac:dyDescent="0.25">
      <c r="A759" t="s">
        <v>788</v>
      </c>
      <c r="B759" t="s">
        <v>13</v>
      </c>
      <c r="C759" t="s">
        <v>14</v>
      </c>
      <c r="D759" t="s">
        <v>22</v>
      </c>
      <c r="E759" t="s">
        <v>16</v>
      </c>
      <c r="F759" t="s">
        <v>27</v>
      </c>
      <c r="G759" t="s">
        <v>1034</v>
      </c>
      <c r="H759" t="s">
        <v>1041</v>
      </c>
      <c r="I759" s="1">
        <v>43476</v>
      </c>
      <c r="J759" t="s">
        <v>1044</v>
      </c>
      <c r="K759" s="5">
        <v>0.49444444444444446</v>
      </c>
      <c r="L759" t="s">
        <v>24</v>
      </c>
      <c r="M759">
        <v>28.956</v>
      </c>
      <c r="N759">
        <v>4.5</v>
      </c>
    </row>
    <row r="760" spans="1:14" x14ac:dyDescent="0.25">
      <c r="A760" t="s">
        <v>789</v>
      </c>
      <c r="B760" t="s">
        <v>13</v>
      </c>
      <c r="C760" t="s">
        <v>14</v>
      </c>
      <c r="D760" t="s">
        <v>15</v>
      </c>
      <c r="E760" t="s">
        <v>26</v>
      </c>
      <c r="F760" t="s">
        <v>39</v>
      </c>
      <c r="G760" t="s">
        <v>1034</v>
      </c>
      <c r="H760" t="s">
        <v>1042</v>
      </c>
      <c r="I760" s="1">
        <v>43523</v>
      </c>
      <c r="J760" t="s">
        <v>1046</v>
      </c>
      <c r="K760" s="5">
        <v>0.76666666666666661</v>
      </c>
      <c r="L760" t="s">
        <v>18</v>
      </c>
      <c r="M760">
        <v>9.4250000000000007</v>
      </c>
      <c r="N760">
        <v>5.6</v>
      </c>
    </row>
    <row r="761" spans="1:14" x14ac:dyDescent="0.25">
      <c r="A761" t="s">
        <v>790</v>
      </c>
      <c r="B761" t="s">
        <v>13</v>
      </c>
      <c r="C761" t="s">
        <v>14</v>
      </c>
      <c r="D761" t="s">
        <v>22</v>
      </c>
      <c r="E761" t="s">
        <v>16</v>
      </c>
      <c r="F761" t="s">
        <v>39</v>
      </c>
      <c r="G761" t="s">
        <v>1038</v>
      </c>
      <c r="H761" t="s">
        <v>1043</v>
      </c>
      <c r="I761" s="1">
        <v>43549</v>
      </c>
      <c r="J761" t="s">
        <v>1045</v>
      </c>
      <c r="K761" s="5">
        <v>0.6381944444444444</v>
      </c>
      <c r="L761" t="s">
        <v>18</v>
      </c>
      <c r="M761">
        <v>11.077999999999999</v>
      </c>
      <c r="N761">
        <v>8</v>
      </c>
    </row>
    <row r="762" spans="1:14" x14ac:dyDescent="0.25">
      <c r="A762" t="s">
        <v>791</v>
      </c>
      <c r="B762" t="s">
        <v>37</v>
      </c>
      <c r="C762" t="s">
        <v>38</v>
      </c>
      <c r="D762" t="s">
        <v>15</v>
      </c>
      <c r="E762" t="s">
        <v>16</v>
      </c>
      <c r="F762" t="s">
        <v>39</v>
      </c>
      <c r="G762" t="s">
        <v>1039</v>
      </c>
      <c r="H762" t="s">
        <v>1042</v>
      </c>
      <c r="I762" s="1">
        <v>43507</v>
      </c>
      <c r="J762" t="s">
        <v>1044</v>
      </c>
      <c r="K762" s="5">
        <v>0.44305555555555554</v>
      </c>
      <c r="L762" t="s">
        <v>28</v>
      </c>
      <c r="M762">
        <v>38.6</v>
      </c>
      <c r="N762">
        <v>5.6</v>
      </c>
    </row>
    <row r="763" spans="1:14" x14ac:dyDescent="0.25">
      <c r="A763" t="s">
        <v>792</v>
      </c>
      <c r="B763" t="s">
        <v>37</v>
      </c>
      <c r="C763" t="s">
        <v>38</v>
      </c>
      <c r="D763" t="s">
        <v>22</v>
      </c>
      <c r="E763" t="s">
        <v>26</v>
      </c>
      <c r="F763" t="s">
        <v>23</v>
      </c>
      <c r="G763" t="s">
        <v>1037</v>
      </c>
      <c r="H763" t="s">
        <v>1041</v>
      </c>
      <c r="I763" s="1">
        <v>43496</v>
      </c>
      <c r="J763" t="s">
        <v>1045</v>
      </c>
      <c r="K763" s="5">
        <v>0.6333333333333333</v>
      </c>
      <c r="L763" t="s">
        <v>28</v>
      </c>
      <c r="M763">
        <v>36.064999999999998</v>
      </c>
      <c r="N763">
        <v>4.2</v>
      </c>
    </row>
    <row r="764" spans="1:14" x14ac:dyDescent="0.25">
      <c r="A764" t="s">
        <v>793</v>
      </c>
      <c r="B764" t="s">
        <v>13</v>
      </c>
      <c r="C764" t="s">
        <v>14</v>
      </c>
      <c r="D764" t="s">
        <v>15</v>
      </c>
      <c r="E764" t="s">
        <v>16</v>
      </c>
      <c r="F764" t="s">
        <v>41</v>
      </c>
      <c r="G764" t="s">
        <v>1036</v>
      </c>
      <c r="H764" t="s">
        <v>1041</v>
      </c>
      <c r="I764" s="1">
        <v>43485</v>
      </c>
      <c r="J764" t="s">
        <v>1046</v>
      </c>
      <c r="K764" s="5">
        <v>0.7416666666666667</v>
      </c>
      <c r="L764" t="s">
        <v>18</v>
      </c>
      <c r="M764">
        <v>25.552</v>
      </c>
      <c r="N764">
        <v>9.9</v>
      </c>
    </row>
    <row r="765" spans="1:14" x14ac:dyDescent="0.25">
      <c r="A765" t="s">
        <v>794</v>
      </c>
      <c r="B765" t="s">
        <v>13</v>
      </c>
      <c r="C765" t="s">
        <v>14</v>
      </c>
      <c r="D765" t="s">
        <v>15</v>
      </c>
      <c r="E765" t="s">
        <v>16</v>
      </c>
      <c r="F765" t="s">
        <v>17</v>
      </c>
      <c r="G765" t="s">
        <v>1038</v>
      </c>
      <c r="H765" t="s">
        <v>1043</v>
      </c>
      <c r="I765" s="1">
        <v>43550</v>
      </c>
      <c r="J765" t="s">
        <v>1044</v>
      </c>
      <c r="K765" s="5">
        <v>0.46319444444444446</v>
      </c>
      <c r="L765" t="s">
        <v>18</v>
      </c>
      <c r="M765">
        <v>2.6724999999999999</v>
      </c>
      <c r="N765">
        <v>7.6</v>
      </c>
    </row>
    <row r="766" spans="1:14" x14ac:dyDescent="0.25">
      <c r="A766" t="s">
        <v>795</v>
      </c>
      <c r="B766" t="s">
        <v>13</v>
      </c>
      <c r="C766" t="s">
        <v>14</v>
      </c>
      <c r="D766" t="s">
        <v>15</v>
      </c>
      <c r="E766" t="s">
        <v>26</v>
      </c>
      <c r="F766" t="s">
        <v>17</v>
      </c>
      <c r="G766" t="s">
        <v>1036</v>
      </c>
      <c r="H766" t="s">
        <v>1041</v>
      </c>
      <c r="I766" s="1">
        <v>43485</v>
      </c>
      <c r="J766" t="s">
        <v>1045</v>
      </c>
      <c r="K766" s="5">
        <v>0.65833333333333333</v>
      </c>
      <c r="L766" t="s">
        <v>28</v>
      </c>
      <c r="M766">
        <v>11.1</v>
      </c>
      <c r="N766">
        <v>6.6</v>
      </c>
    </row>
    <row r="767" spans="1:14" x14ac:dyDescent="0.25">
      <c r="A767" t="s">
        <v>796</v>
      </c>
      <c r="B767" t="s">
        <v>37</v>
      </c>
      <c r="C767" t="s">
        <v>38</v>
      </c>
      <c r="D767" t="s">
        <v>22</v>
      </c>
      <c r="E767" t="s">
        <v>16</v>
      </c>
      <c r="F767" t="s">
        <v>27</v>
      </c>
      <c r="G767" t="s">
        <v>1035</v>
      </c>
      <c r="H767" t="s">
        <v>1043</v>
      </c>
      <c r="I767" s="1">
        <v>43529</v>
      </c>
      <c r="J767" t="s">
        <v>1046</v>
      </c>
      <c r="K767" s="5">
        <v>0.81944444444444453</v>
      </c>
      <c r="L767" t="s">
        <v>18</v>
      </c>
      <c r="M767">
        <v>38.183999999999997</v>
      </c>
      <c r="N767">
        <v>4.7</v>
      </c>
    </row>
    <row r="768" spans="1:14" x14ac:dyDescent="0.25">
      <c r="A768" t="s">
        <v>797</v>
      </c>
      <c r="B768" t="s">
        <v>20</v>
      </c>
      <c r="C768" t="s">
        <v>21</v>
      </c>
      <c r="D768" t="s">
        <v>22</v>
      </c>
      <c r="E768" t="s">
        <v>16</v>
      </c>
      <c r="F768" t="s">
        <v>41</v>
      </c>
      <c r="G768" t="s">
        <v>1034</v>
      </c>
      <c r="H768" t="s">
        <v>1041</v>
      </c>
      <c r="I768" s="1">
        <v>43470</v>
      </c>
      <c r="J768" t="s">
        <v>1046</v>
      </c>
      <c r="K768" s="5">
        <v>0.85416666666666663</v>
      </c>
      <c r="L768" t="s">
        <v>28</v>
      </c>
      <c r="M768">
        <v>11.409000000000001</v>
      </c>
      <c r="N768">
        <v>9.8000000000000007</v>
      </c>
    </row>
    <row r="769" spans="1:14" x14ac:dyDescent="0.25">
      <c r="A769" t="s">
        <v>798</v>
      </c>
      <c r="B769" t="s">
        <v>37</v>
      </c>
      <c r="C769" t="s">
        <v>38</v>
      </c>
      <c r="D769" t="s">
        <v>22</v>
      </c>
      <c r="E769" t="s">
        <v>26</v>
      </c>
      <c r="F769" t="s">
        <v>31</v>
      </c>
      <c r="G769" t="s">
        <v>1039</v>
      </c>
      <c r="H769" t="s">
        <v>1042</v>
      </c>
      <c r="I769" s="1">
        <v>43509</v>
      </c>
      <c r="J769" t="s">
        <v>1045</v>
      </c>
      <c r="K769" s="5">
        <v>0.58263888888888882</v>
      </c>
      <c r="L769" t="s">
        <v>24</v>
      </c>
      <c r="M769">
        <v>4.1070000000000002</v>
      </c>
      <c r="N769">
        <v>6.3</v>
      </c>
    </row>
    <row r="770" spans="1:14" x14ac:dyDescent="0.25">
      <c r="A770" t="s">
        <v>799</v>
      </c>
      <c r="B770" t="s">
        <v>37</v>
      </c>
      <c r="C770" t="s">
        <v>38</v>
      </c>
      <c r="D770" t="s">
        <v>22</v>
      </c>
      <c r="E770" t="s">
        <v>16</v>
      </c>
      <c r="F770" t="s">
        <v>23</v>
      </c>
      <c r="G770" t="s">
        <v>1037</v>
      </c>
      <c r="H770" t="s">
        <v>1043</v>
      </c>
      <c r="I770" s="1">
        <v>43540</v>
      </c>
      <c r="J770" t="s">
        <v>1046</v>
      </c>
      <c r="K770" s="5">
        <v>0.78541666666666676</v>
      </c>
      <c r="L770" t="s">
        <v>24</v>
      </c>
      <c r="M770">
        <v>19.128</v>
      </c>
      <c r="N770">
        <v>7.9</v>
      </c>
    </row>
    <row r="771" spans="1:14" x14ac:dyDescent="0.25">
      <c r="A771" t="s">
        <v>800</v>
      </c>
      <c r="B771" t="s">
        <v>13</v>
      </c>
      <c r="C771" t="s">
        <v>14</v>
      </c>
      <c r="D771" t="s">
        <v>22</v>
      </c>
      <c r="E771" t="s">
        <v>16</v>
      </c>
      <c r="F771" t="s">
        <v>27</v>
      </c>
      <c r="G771" t="s">
        <v>1035</v>
      </c>
      <c r="H771" t="s">
        <v>1041</v>
      </c>
      <c r="I771" s="1">
        <v>43480</v>
      </c>
      <c r="J771" t="s">
        <v>1046</v>
      </c>
      <c r="K771" s="5">
        <v>0.72499999999999998</v>
      </c>
      <c r="L771" t="s">
        <v>24</v>
      </c>
      <c r="M771">
        <v>3.4289999999999998</v>
      </c>
      <c r="N771">
        <v>7.7</v>
      </c>
    </row>
    <row r="772" spans="1:14" x14ac:dyDescent="0.25">
      <c r="A772" t="s">
        <v>801</v>
      </c>
      <c r="B772" t="s">
        <v>37</v>
      </c>
      <c r="C772" t="s">
        <v>38</v>
      </c>
      <c r="D772" t="s">
        <v>15</v>
      </c>
      <c r="E772" t="s">
        <v>16</v>
      </c>
      <c r="F772" t="s">
        <v>31</v>
      </c>
      <c r="G772" t="s">
        <v>1034</v>
      </c>
      <c r="H772" t="s">
        <v>1042</v>
      </c>
      <c r="I772" s="1">
        <v>43522</v>
      </c>
      <c r="J772" t="s">
        <v>1044</v>
      </c>
      <c r="K772" s="5">
        <v>0.49861111111111112</v>
      </c>
      <c r="L772" t="s">
        <v>18</v>
      </c>
      <c r="M772">
        <v>19.108000000000001</v>
      </c>
      <c r="N772">
        <v>4.5</v>
      </c>
    </row>
    <row r="773" spans="1:14" x14ac:dyDescent="0.25">
      <c r="A773" t="s">
        <v>802</v>
      </c>
      <c r="B773" t="s">
        <v>20</v>
      </c>
      <c r="C773" t="s">
        <v>21</v>
      </c>
      <c r="D773" t="s">
        <v>15</v>
      </c>
      <c r="E773" t="s">
        <v>16</v>
      </c>
      <c r="F773" t="s">
        <v>17</v>
      </c>
      <c r="G773" t="s">
        <v>1034</v>
      </c>
      <c r="H773" t="s">
        <v>1042</v>
      </c>
      <c r="I773" s="1">
        <v>43523</v>
      </c>
      <c r="J773" t="s">
        <v>1046</v>
      </c>
      <c r="K773" s="5">
        <v>0.79236111111111107</v>
      </c>
      <c r="L773" t="s">
        <v>28</v>
      </c>
      <c r="M773">
        <v>30.054500000000001</v>
      </c>
      <c r="N773">
        <v>8</v>
      </c>
    </row>
    <row r="774" spans="1:14" x14ac:dyDescent="0.25">
      <c r="A774" t="s">
        <v>803</v>
      </c>
      <c r="B774" t="s">
        <v>20</v>
      </c>
      <c r="C774" t="s">
        <v>21</v>
      </c>
      <c r="D774" t="s">
        <v>15</v>
      </c>
      <c r="E774" t="s">
        <v>16</v>
      </c>
      <c r="F774" t="s">
        <v>31</v>
      </c>
      <c r="G774" t="s">
        <v>1040</v>
      </c>
      <c r="H774" t="s">
        <v>1042</v>
      </c>
      <c r="I774" s="1">
        <v>43513</v>
      </c>
      <c r="J774" t="s">
        <v>1046</v>
      </c>
      <c r="K774" s="5">
        <v>0.70138888888888884</v>
      </c>
      <c r="L774" t="s">
        <v>18</v>
      </c>
      <c r="M774">
        <v>23.796500000000002</v>
      </c>
      <c r="N774">
        <v>5.7</v>
      </c>
    </row>
    <row r="775" spans="1:14" x14ac:dyDescent="0.25">
      <c r="A775" t="s">
        <v>804</v>
      </c>
      <c r="B775" t="s">
        <v>20</v>
      </c>
      <c r="C775" t="s">
        <v>21</v>
      </c>
      <c r="D775" t="s">
        <v>22</v>
      </c>
      <c r="E775" t="s">
        <v>16</v>
      </c>
      <c r="F775" t="s">
        <v>39</v>
      </c>
      <c r="G775" t="s">
        <v>1038</v>
      </c>
      <c r="H775" t="s">
        <v>1042</v>
      </c>
      <c r="I775" s="1">
        <v>43502</v>
      </c>
      <c r="J775" t="s">
        <v>1044</v>
      </c>
      <c r="K775" s="5">
        <v>0.43194444444444446</v>
      </c>
      <c r="L775" t="s">
        <v>28</v>
      </c>
      <c r="M775">
        <v>2.621</v>
      </c>
      <c r="N775">
        <v>6.3</v>
      </c>
    </row>
    <row r="776" spans="1:14" x14ac:dyDescent="0.25">
      <c r="A776" t="s">
        <v>805</v>
      </c>
      <c r="B776" t="s">
        <v>20</v>
      </c>
      <c r="C776" t="s">
        <v>21</v>
      </c>
      <c r="D776" t="s">
        <v>15</v>
      </c>
      <c r="E776" t="s">
        <v>26</v>
      </c>
      <c r="F776" t="s">
        <v>39</v>
      </c>
      <c r="G776" t="s">
        <v>1035</v>
      </c>
      <c r="H776" t="s">
        <v>1041</v>
      </c>
      <c r="I776" s="1">
        <v>43482</v>
      </c>
      <c r="J776" t="s">
        <v>1046</v>
      </c>
      <c r="K776" s="5">
        <v>0.69861111111111107</v>
      </c>
      <c r="L776" t="s">
        <v>24</v>
      </c>
      <c r="M776">
        <v>6.5650000000000004</v>
      </c>
      <c r="N776">
        <v>6</v>
      </c>
    </row>
    <row r="777" spans="1:14" x14ac:dyDescent="0.25">
      <c r="A777" t="s">
        <v>806</v>
      </c>
      <c r="B777" t="s">
        <v>37</v>
      </c>
      <c r="C777" t="s">
        <v>38</v>
      </c>
      <c r="D777" t="s">
        <v>22</v>
      </c>
      <c r="E777" t="s">
        <v>16</v>
      </c>
      <c r="F777" t="s">
        <v>39</v>
      </c>
      <c r="G777" t="s">
        <v>1036</v>
      </c>
      <c r="H777" t="s">
        <v>1041</v>
      </c>
      <c r="I777" s="1">
        <v>43487</v>
      </c>
      <c r="J777" t="s">
        <v>1046</v>
      </c>
      <c r="K777" s="5">
        <v>0.75555555555555554</v>
      </c>
      <c r="L777" t="s">
        <v>28</v>
      </c>
      <c r="M777">
        <v>7.2149999999999999</v>
      </c>
      <c r="N777">
        <v>8</v>
      </c>
    </row>
    <row r="778" spans="1:14" x14ac:dyDescent="0.25">
      <c r="A778" t="s">
        <v>807</v>
      </c>
      <c r="B778" t="s">
        <v>20</v>
      </c>
      <c r="C778" t="s">
        <v>21</v>
      </c>
      <c r="D778" t="s">
        <v>15</v>
      </c>
      <c r="E778" t="s">
        <v>26</v>
      </c>
      <c r="F778" t="s">
        <v>17</v>
      </c>
      <c r="G778" t="s">
        <v>1035</v>
      </c>
      <c r="H778" t="s">
        <v>1043</v>
      </c>
      <c r="I778" s="1">
        <v>43529</v>
      </c>
      <c r="J778" t="s">
        <v>1046</v>
      </c>
      <c r="K778" s="5">
        <v>0.75138888888888899</v>
      </c>
      <c r="L778" t="s">
        <v>28</v>
      </c>
      <c r="M778">
        <v>22.858499999999999</v>
      </c>
      <c r="N778">
        <v>4.2</v>
      </c>
    </row>
    <row r="779" spans="1:14" x14ac:dyDescent="0.25">
      <c r="A779" t="s">
        <v>808</v>
      </c>
      <c r="B779" t="s">
        <v>37</v>
      </c>
      <c r="C779" t="s">
        <v>38</v>
      </c>
      <c r="D779" t="s">
        <v>22</v>
      </c>
      <c r="E779" t="s">
        <v>26</v>
      </c>
      <c r="F779" t="s">
        <v>31</v>
      </c>
      <c r="G779" t="s">
        <v>1040</v>
      </c>
      <c r="H779" t="s">
        <v>1041</v>
      </c>
      <c r="I779" s="1">
        <v>43468</v>
      </c>
      <c r="J779" t="s">
        <v>1045</v>
      </c>
      <c r="K779" s="5">
        <v>0.54652777777777783</v>
      </c>
      <c r="L779" t="s">
        <v>24</v>
      </c>
      <c r="M779">
        <v>4.6689999999999996</v>
      </c>
      <c r="N779">
        <v>9.6</v>
      </c>
    </row>
    <row r="780" spans="1:14" x14ac:dyDescent="0.25">
      <c r="A780" t="s">
        <v>809</v>
      </c>
      <c r="B780" t="s">
        <v>20</v>
      </c>
      <c r="C780" t="s">
        <v>21</v>
      </c>
      <c r="D780" t="s">
        <v>15</v>
      </c>
      <c r="E780" t="s">
        <v>26</v>
      </c>
      <c r="F780" t="s">
        <v>31</v>
      </c>
      <c r="G780" t="s">
        <v>1037</v>
      </c>
      <c r="H780" t="s">
        <v>1043</v>
      </c>
      <c r="I780" s="1">
        <v>43544</v>
      </c>
      <c r="J780" t="s">
        <v>1046</v>
      </c>
      <c r="K780" s="5">
        <v>0.74444444444444446</v>
      </c>
      <c r="L780" t="s">
        <v>24</v>
      </c>
      <c r="M780">
        <v>6.3125</v>
      </c>
      <c r="N780">
        <v>6.1</v>
      </c>
    </row>
    <row r="781" spans="1:14" x14ac:dyDescent="0.25">
      <c r="A781" t="s">
        <v>810</v>
      </c>
      <c r="B781" t="s">
        <v>37</v>
      </c>
      <c r="C781" t="s">
        <v>38</v>
      </c>
      <c r="D781" t="s">
        <v>15</v>
      </c>
      <c r="E781" t="s">
        <v>26</v>
      </c>
      <c r="F781" t="s">
        <v>23</v>
      </c>
      <c r="G781" t="s">
        <v>1037</v>
      </c>
      <c r="H781" t="s">
        <v>1041</v>
      </c>
      <c r="I781" s="1">
        <v>43496</v>
      </c>
      <c r="J781" t="s">
        <v>1046</v>
      </c>
      <c r="K781" s="5">
        <v>0.85555555555555562</v>
      </c>
      <c r="L781" t="s">
        <v>18</v>
      </c>
      <c r="M781">
        <v>39.541499999999999</v>
      </c>
      <c r="N781">
        <v>5.6</v>
      </c>
    </row>
    <row r="782" spans="1:14" x14ac:dyDescent="0.25">
      <c r="A782" t="s">
        <v>811</v>
      </c>
      <c r="B782" t="s">
        <v>20</v>
      </c>
      <c r="C782" t="s">
        <v>21</v>
      </c>
      <c r="D782" t="s">
        <v>22</v>
      </c>
      <c r="E782" t="s">
        <v>26</v>
      </c>
      <c r="F782" t="s">
        <v>17</v>
      </c>
      <c r="G782" t="s">
        <v>1040</v>
      </c>
      <c r="H782" t="s">
        <v>1042</v>
      </c>
      <c r="I782" s="1">
        <v>43515</v>
      </c>
      <c r="J782" t="s">
        <v>1046</v>
      </c>
      <c r="K782" s="5">
        <v>0.80833333333333324</v>
      </c>
      <c r="L782" t="s">
        <v>24</v>
      </c>
      <c r="M782">
        <v>8.7200000000000006</v>
      </c>
      <c r="N782">
        <v>8.3000000000000007</v>
      </c>
    </row>
    <row r="783" spans="1:14" x14ac:dyDescent="0.25">
      <c r="A783" t="s">
        <v>812</v>
      </c>
      <c r="B783" t="s">
        <v>13</v>
      </c>
      <c r="C783" t="s">
        <v>14</v>
      </c>
      <c r="D783" t="s">
        <v>22</v>
      </c>
      <c r="E783" t="s">
        <v>16</v>
      </c>
      <c r="F783" t="s">
        <v>31</v>
      </c>
      <c r="G783" t="s">
        <v>1039</v>
      </c>
      <c r="H783" t="s">
        <v>1042</v>
      </c>
      <c r="I783" s="1">
        <v>43507</v>
      </c>
      <c r="J783" t="s">
        <v>1046</v>
      </c>
      <c r="K783" s="5">
        <v>0.67083333333333339</v>
      </c>
      <c r="L783" t="s">
        <v>18</v>
      </c>
      <c r="M783">
        <v>18.952000000000002</v>
      </c>
      <c r="N783">
        <v>7.8</v>
      </c>
    </row>
    <row r="784" spans="1:14" x14ac:dyDescent="0.25">
      <c r="A784" t="s">
        <v>813</v>
      </c>
      <c r="B784" t="s">
        <v>13</v>
      </c>
      <c r="C784" t="s">
        <v>14</v>
      </c>
      <c r="D784" t="s">
        <v>15</v>
      </c>
      <c r="E784" t="s">
        <v>16</v>
      </c>
      <c r="F784" t="s">
        <v>41</v>
      </c>
      <c r="G784" t="s">
        <v>1038</v>
      </c>
      <c r="H784" t="s">
        <v>1042</v>
      </c>
      <c r="I784" s="1">
        <v>43501</v>
      </c>
      <c r="J784" t="s">
        <v>1045</v>
      </c>
      <c r="K784" s="5">
        <v>0.59305555555555556</v>
      </c>
      <c r="L784" t="s">
        <v>28</v>
      </c>
      <c r="M784">
        <v>1.5309999999999999</v>
      </c>
      <c r="N784">
        <v>4.0999999999999996</v>
      </c>
    </row>
    <row r="785" spans="1:14" x14ac:dyDescent="0.25">
      <c r="A785" t="s">
        <v>814</v>
      </c>
      <c r="B785" t="s">
        <v>20</v>
      </c>
      <c r="C785" t="s">
        <v>21</v>
      </c>
      <c r="D785" t="s">
        <v>22</v>
      </c>
      <c r="E785" t="s">
        <v>16</v>
      </c>
      <c r="F785" t="s">
        <v>27</v>
      </c>
      <c r="G785" t="s">
        <v>1035</v>
      </c>
      <c r="H785" t="s">
        <v>1043</v>
      </c>
      <c r="I785" s="1">
        <v>43527</v>
      </c>
      <c r="J785" t="s">
        <v>1046</v>
      </c>
      <c r="K785" s="5">
        <v>0.73333333333333339</v>
      </c>
      <c r="L785" t="s">
        <v>24</v>
      </c>
      <c r="M785">
        <v>17.603999999999999</v>
      </c>
      <c r="N785">
        <v>8.8000000000000007</v>
      </c>
    </row>
    <row r="786" spans="1:14" x14ac:dyDescent="0.25">
      <c r="A786" t="s">
        <v>815</v>
      </c>
      <c r="B786" t="s">
        <v>20</v>
      </c>
      <c r="C786" t="s">
        <v>21</v>
      </c>
      <c r="D786" t="s">
        <v>15</v>
      </c>
      <c r="E786" t="s">
        <v>16</v>
      </c>
      <c r="F786" t="s">
        <v>17</v>
      </c>
      <c r="G786" t="s">
        <v>1034</v>
      </c>
      <c r="H786" t="s">
        <v>1042</v>
      </c>
      <c r="I786" s="1">
        <v>43520</v>
      </c>
      <c r="J786" t="s">
        <v>1045</v>
      </c>
      <c r="K786" s="5">
        <v>0.54722222222222217</v>
      </c>
      <c r="L786" t="s">
        <v>18</v>
      </c>
      <c r="M786">
        <v>2.54</v>
      </c>
      <c r="N786">
        <v>4.0999999999999996</v>
      </c>
    </row>
    <row r="787" spans="1:14" x14ac:dyDescent="0.25">
      <c r="A787" t="s">
        <v>816</v>
      </c>
      <c r="B787" t="s">
        <v>13</v>
      </c>
      <c r="C787" t="s">
        <v>14</v>
      </c>
      <c r="D787" t="s">
        <v>22</v>
      </c>
      <c r="E787" t="s">
        <v>26</v>
      </c>
      <c r="F787" t="s">
        <v>23</v>
      </c>
      <c r="G787" t="s">
        <v>1038</v>
      </c>
      <c r="H787" t="s">
        <v>1042</v>
      </c>
      <c r="I787" s="1">
        <v>43500</v>
      </c>
      <c r="J787" t="s">
        <v>1046</v>
      </c>
      <c r="K787" s="5">
        <v>0.67291666666666661</v>
      </c>
      <c r="L787" t="s">
        <v>28</v>
      </c>
      <c r="M787">
        <v>26.103000000000002</v>
      </c>
      <c r="N787">
        <v>9</v>
      </c>
    </row>
    <row r="788" spans="1:14" x14ac:dyDescent="0.25">
      <c r="A788" t="s">
        <v>817</v>
      </c>
      <c r="B788" t="s">
        <v>20</v>
      </c>
      <c r="C788" t="s">
        <v>21</v>
      </c>
      <c r="D788" t="s">
        <v>22</v>
      </c>
      <c r="E788" t="s">
        <v>26</v>
      </c>
      <c r="F788" t="s">
        <v>23</v>
      </c>
      <c r="G788" t="s">
        <v>1040</v>
      </c>
      <c r="H788" t="s">
        <v>1042</v>
      </c>
      <c r="I788" s="1">
        <v>43515</v>
      </c>
      <c r="J788" t="s">
        <v>1044</v>
      </c>
      <c r="K788" s="5">
        <v>0.48125000000000001</v>
      </c>
      <c r="L788" t="s">
        <v>18</v>
      </c>
      <c r="M788">
        <v>28.756</v>
      </c>
      <c r="N788">
        <v>5.5</v>
      </c>
    </row>
    <row r="789" spans="1:14" x14ac:dyDescent="0.25">
      <c r="A789" t="s">
        <v>818</v>
      </c>
      <c r="B789" t="s">
        <v>20</v>
      </c>
      <c r="C789" t="s">
        <v>21</v>
      </c>
      <c r="D789" t="s">
        <v>22</v>
      </c>
      <c r="E789" t="s">
        <v>16</v>
      </c>
      <c r="F789" t="s">
        <v>17</v>
      </c>
      <c r="G789" t="s">
        <v>1036</v>
      </c>
      <c r="H789" t="s">
        <v>1041</v>
      </c>
      <c r="I789" s="1">
        <v>43488</v>
      </c>
      <c r="J789" t="s">
        <v>1044</v>
      </c>
      <c r="K789" s="5">
        <v>0.4291666666666667</v>
      </c>
      <c r="L789" t="s">
        <v>28</v>
      </c>
      <c r="M789">
        <v>2.7475000000000001</v>
      </c>
      <c r="N789">
        <v>9.3000000000000007</v>
      </c>
    </row>
    <row r="790" spans="1:14" x14ac:dyDescent="0.25">
      <c r="A790" t="s">
        <v>819</v>
      </c>
      <c r="B790" t="s">
        <v>20</v>
      </c>
      <c r="C790" t="s">
        <v>21</v>
      </c>
      <c r="D790" t="s">
        <v>15</v>
      </c>
      <c r="E790" t="s">
        <v>26</v>
      </c>
      <c r="F790" t="s">
        <v>17</v>
      </c>
      <c r="G790" t="s">
        <v>1035</v>
      </c>
      <c r="H790" t="s">
        <v>1041</v>
      </c>
      <c r="I790" s="1">
        <v>43479</v>
      </c>
      <c r="J790" t="s">
        <v>1044</v>
      </c>
      <c r="K790" s="5">
        <v>0.4548611111111111</v>
      </c>
      <c r="L790" t="s">
        <v>28</v>
      </c>
      <c r="M790">
        <v>9.0704999999999991</v>
      </c>
      <c r="N790">
        <v>5.6</v>
      </c>
    </row>
    <row r="791" spans="1:14" x14ac:dyDescent="0.25">
      <c r="A791" t="s">
        <v>820</v>
      </c>
      <c r="B791" t="s">
        <v>13</v>
      </c>
      <c r="C791" t="s">
        <v>14</v>
      </c>
      <c r="D791" t="s">
        <v>22</v>
      </c>
      <c r="E791" t="s">
        <v>26</v>
      </c>
      <c r="F791" t="s">
        <v>31</v>
      </c>
      <c r="G791" t="s">
        <v>1035</v>
      </c>
      <c r="H791" t="s">
        <v>1041</v>
      </c>
      <c r="I791" s="1">
        <v>43482</v>
      </c>
      <c r="J791" t="s">
        <v>1045</v>
      </c>
      <c r="K791" s="5">
        <v>0.63541666666666663</v>
      </c>
      <c r="L791" t="s">
        <v>18</v>
      </c>
      <c r="M791">
        <v>20.618500000000001</v>
      </c>
      <c r="N791">
        <v>9.6999999999999993</v>
      </c>
    </row>
    <row r="792" spans="1:14" x14ac:dyDescent="0.25">
      <c r="A792" t="s">
        <v>821</v>
      </c>
      <c r="B792" t="s">
        <v>13</v>
      </c>
      <c r="C792" t="s">
        <v>14</v>
      </c>
      <c r="D792" t="s">
        <v>22</v>
      </c>
      <c r="E792" t="s">
        <v>26</v>
      </c>
      <c r="F792" t="s">
        <v>41</v>
      </c>
      <c r="G792" t="s">
        <v>1035</v>
      </c>
      <c r="H792" t="s">
        <v>1043</v>
      </c>
      <c r="I792" s="1">
        <v>43527</v>
      </c>
      <c r="J792" t="s">
        <v>1046</v>
      </c>
      <c r="K792" s="5">
        <v>0.83750000000000002</v>
      </c>
      <c r="L792" t="s">
        <v>28</v>
      </c>
      <c r="M792">
        <v>2.3205</v>
      </c>
      <c r="N792">
        <v>4</v>
      </c>
    </row>
    <row r="793" spans="1:14" x14ac:dyDescent="0.25">
      <c r="A793" t="s">
        <v>822</v>
      </c>
      <c r="B793" t="s">
        <v>20</v>
      </c>
      <c r="C793" t="s">
        <v>21</v>
      </c>
      <c r="D793" t="s">
        <v>15</v>
      </c>
      <c r="E793" t="s">
        <v>26</v>
      </c>
      <c r="F793" t="s">
        <v>17</v>
      </c>
      <c r="G793" t="s">
        <v>1039</v>
      </c>
      <c r="H793" t="s">
        <v>1042</v>
      </c>
      <c r="I793" s="1">
        <v>43511</v>
      </c>
      <c r="J793" t="s">
        <v>1046</v>
      </c>
      <c r="K793" s="5">
        <v>0.84791666666666676</v>
      </c>
      <c r="L793" t="s">
        <v>28</v>
      </c>
      <c r="M793">
        <v>13.71</v>
      </c>
      <c r="N793">
        <v>9.1999999999999993</v>
      </c>
    </row>
    <row r="794" spans="1:14" x14ac:dyDescent="0.25">
      <c r="A794" t="s">
        <v>823</v>
      </c>
      <c r="B794" t="s">
        <v>37</v>
      </c>
      <c r="C794" t="s">
        <v>38</v>
      </c>
      <c r="D794" t="s">
        <v>22</v>
      </c>
      <c r="E794" t="s">
        <v>16</v>
      </c>
      <c r="F794" t="s">
        <v>27</v>
      </c>
      <c r="G794" t="s">
        <v>1035</v>
      </c>
      <c r="H794" t="s">
        <v>1041</v>
      </c>
      <c r="I794" s="1">
        <v>43480</v>
      </c>
      <c r="J794" t="s">
        <v>1045</v>
      </c>
      <c r="K794" s="5">
        <v>0.57500000000000007</v>
      </c>
      <c r="L794" t="s">
        <v>28</v>
      </c>
      <c r="M794">
        <v>48.685000000000002</v>
      </c>
      <c r="N794">
        <v>4.9000000000000004</v>
      </c>
    </row>
    <row r="795" spans="1:14" x14ac:dyDescent="0.25">
      <c r="A795" t="s">
        <v>824</v>
      </c>
      <c r="B795" t="s">
        <v>13</v>
      </c>
      <c r="C795" t="s">
        <v>14</v>
      </c>
      <c r="D795" t="s">
        <v>15</v>
      </c>
      <c r="E795" t="s">
        <v>26</v>
      </c>
      <c r="F795" t="s">
        <v>23</v>
      </c>
      <c r="G795" t="s">
        <v>1034</v>
      </c>
      <c r="H795" t="s">
        <v>1042</v>
      </c>
      <c r="I795" s="1">
        <v>43523</v>
      </c>
      <c r="J795" t="s">
        <v>1045</v>
      </c>
      <c r="K795" s="5">
        <v>0.53611111111111109</v>
      </c>
      <c r="L795" t="s">
        <v>28</v>
      </c>
      <c r="M795">
        <v>32.409999999999997</v>
      </c>
      <c r="N795">
        <v>9.3000000000000007</v>
      </c>
    </row>
    <row r="796" spans="1:14" x14ac:dyDescent="0.25">
      <c r="A796" t="s">
        <v>825</v>
      </c>
      <c r="B796" t="s">
        <v>13</v>
      </c>
      <c r="C796" t="s">
        <v>14</v>
      </c>
      <c r="D796" t="s">
        <v>22</v>
      </c>
      <c r="E796" t="s">
        <v>16</v>
      </c>
      <c r="F796" t="s">
        <v>23</v>
      </c>
      <c r="G796" t="s">
        <v>1034</v>
      </c>
      <c r="H796" t="s">
        <v>1042</v>
      </c>
      <c r="I796" s="1">
        <v>43522</v>
      </c>
      <c r="J796" t="s">
        <v>1045</v>
      </c>
      <c r="K796" s="5">
        <v>0.51944444444444449</v>
      </c>
      <c r="L796" t="s">
        <v>28</v>
      </c>
      <c r="M796">
        <v>4.6609999999999996</v>
      </c>
      <c r="N796">
        <v>6.6</v>
      </c>
    </row>
    <row r="797" spans="1:14" x14ac:dyDescent="0.25">
      <c r="A797" t="s">
        <v>826</v>
      </c>
      <c r="B797" t="s">
        <v>37</v>
      </c>
      <c r="C797" t="s">
        <v>38</v>
      </c>
      <c r="D797" t="s">
        <v>22</v>
      </c>
      <c r="E797" t="s">
        <v>26</v>
      </c>
      <c r="F797" t="s">
        <v>41</v>
      </c>
      <c r="G797" t="s">
        <v>1036</v>
      </c>
      <c r="H797" t="s">
        <v>1043</v>
      </c>
      <c r="I797" s="1">
        <v>43539</v>
      </c>
      <c r="J797" t="s">
        <v>1046</v>
      </c>
      <c r="K797" s="5">
        <v>0.68472222222222223</v>
      </c>
      <c r="L797" t="s">
        <v>18</v>
      </c>
      <c r="M797">
        <v>2.718</v>
      </c>
      <c r="N797">
        <v>4.3</v>
      </c>
    </row>
    <row r="798" spans="1:14" x14ac:dyDescent="0.25">
      <c r="A798" t="s">
        <v>827</v>
      </c>
      <c r="B798" t="s">
        <v>20</v>
      </c>
      <c r="C798" t="s">
        <v>21</v>
      </c>
      <c r="D798" t="s">
        <v>15</v>
      </c>
      <c r="E798" t="s">
        <v>16</v>
      </c>
      <c r="F798" t="s">
        <v>27</v>
      </c>
      <c r="G798" t="s">
        <v>1036</v>
      </c>
      <c r="H798" t="s">
        <v>1041</v>
      </c>
      <c r="I798" s="1">
        <v>43489</v>
      </c>
      <c r="J798" t="s">
        <v>1045</v>
      </c>
      <c r="K798" s="5">
        <v>0.55833333333333335</v>
      </c>
      <c r="L798" t="s">
        <v>24</v>
      </c>
      <c r="M798">
        <v>3.0434999999999999</v>
      </c>
      <c r="N798">
        <v>5.5</v>
      </c>
    </row>
    <row r="799" spans="1:14" x14ac:dyDescent="0.25">
      <c r="A799" t="s">
        <v>828</v>
      </c>
      <c r="B799" t="s">
        <v>13</v>
      </c>
      <c r="C799" t="s">
        <v>14</v>
      </c>
      <c r="D799" t="s">
        <v>15</v>
      </c>
      <c r="E799" t="s">
        <v>16</v>
      </c>
      <c r="F799" t="s">
        <v>31</v>
      </c>
      <c r="G799" t="s">
        <v>1040</v>
      </c>
      <c r="H799" t="s">
        <v>1042</v>
      </c>
      <c r="I799" s="1">
        <v>43518</v>
      </c>
      <c r="J799" t="s">
        <v>1045</v>
      </c>
      <c r="K799" s="5">
        <v>0.63541666666666663</v>
      </c>
      <c r="L799" t="s">
        <v>24</v>
      </c>
      <c r="M799">
        <v>12.244999999999999</v>
      </c>
      <c r="N799">
        <v>8.1</v>
      </c>
    </row>
    <row r="800" spans="1:14" x14ac:dyDescent="0.25">
      <c r="A800" t="s">
        <v>829</v>
      </c>
      <c r="B800" t="s">
        <v>37</v>
      </c>
      <c r="C800" t="s">
        <v>38</v>
      </c>
      <c r="D800" t="s">
        <v>22</v>
      </c>
      <c r="E800" t="s">
        <v>26</v>
      </c>
      <c r="F800" t="s">
        <v>17</v>
      </c>
      <c r="G800" t="s">
        <v>1036</v>
      </c>
      <c r="H800" t="s">
        <v>1043</v>
      </c>
      <c r="I800" s="1">
        <v>43539</v>
      </c>
      <c r="J800" t="s">
        <v>1044</v>
      </c>
      <c r="K800" s="5">
        <v>0.4513888888888889</v>
      </c>
      <c r="L800" t="s">
        <v>28</v>
      </c>
      <c r="M800">
        <v>4.6390000000000002</v>
      </c>
      <c r="N800">
        <v>9.8000000000000007</v>
      </c>
    </row>
    <row r="801" spans="1:14" x14ac:dyDescent="0.25">
      <c r="A801" t="s">
        <v>830</v>
      </c>
      <c r="B801" t="s">
        <v>20</v>
      </c>
      <c r="C801" t="s">
        <v>21</v>
      </c>
      <c r="D801" t="s">
        <v>15</v>
      </c>
      <c r="E801" t="s">
        <v>26</v>
      </c>
      <c r="F801" t="s">
        <v>27</v>
      </c>
      <c r="G801" t="s">
        <v>1039</v>
      </c>
      <c r="H801" t="s">
        <v>1042</v>
      </c>
      <c r="I801" s="1">
        <v>43507</v>
      </c>
      <c r="J801" t="s">
        <v>1046</v>
      </c>
      <c r="K801" s="5">
        <v>0.77638888888888891</v>
      </c>
      <c r="L801" t="s">
        <v>18</v>
      </c>
      <c r="M801">
        <v>21.672499999999999</v>
      </c>
      <c r="N801">
        <v>9.4</v>
      </c>
    </row>
    <row r="802" spans="1:14" x14ac:dyDescent="0.25">
      <c r="A802" t="s">
        <v>831</v>
      </c>
      <c r="B802" t="s">
        <v>37</v>
      </c>
      <c r="C802" t="s">
        <v>38</v>
      </c>
      <c r="D802" t="s">
        <v>22</v>
      </c>
      <c r="E802" t="s">
        <v>26</v>
      </c>
      <c r="F802" t="s">
        <v>31</v>
      </c>
      <c r="G802" t="s">
        <v>1035</v>
      </c>
      <c r="H802" t="s">
        <v>1041</v>
      </c>
      <c r="I802" s="1">
        <v>43477</v>
      </c>
      <c r="J802" t="s">
        <v>1046</v>
      </c>
      <c r="K802" s="5">
        <v>0.69791666666666663</v>
      </c>
      <c r="L802" t="s">
        <v>18</v>
      </c>
      <c r="M802">
        <v>6.9029999999999996</v>
      </c>
      <c r="N802">
        <v>7.9</v>
      </c>
    </row>
    <row r="803" spans="1:14" x14ac:dyDescent="0.25">
      <c r="A803" t="s">
        <v>832</v>
      </c>
      <c r="B803" t="s">
        <v>20</v>
      </c>
      <c r="C803" t="s">
        <v>21</v>
      </c>
      <c r="D803" t="s">
        <v>15</v>
      </c>
      <c r="E803" t="s">
        <v>16</v>
      </c>
      <c r="F803" t="s">
        <v>23</v>
      </c>
      <c r="G803" t="s">
        <v>1035</v>
      </c>
      <c r="H803" t="s">
        <v>1043</v>
      </c>
      <c r="I803" s="1">
        <v>43527</v>
      </c>
      <c r="J803" t="s">
        <v>1046</v>
      </c>
      <c r="K803" s="5">
        <v>0.8125</v>
      </c>
      <c r="L803" t="s">
        <v>18</v>
      </c>
      <c r="M803">
        <v>12.08</v>
      </c>
      <c r="N803">
        <v>5.0999999999999996</v>
      </c>
    </row>
    <row r="804" spans="1:14" x14ac:dyDescent="0.25">
      <c r="A804" t="s">
        <v>833</v>
      </c>
      <c r="B804" t="s">
        <v>20</v>
      </c>
      <c r="C804" t="s">
        <v>21</v>
      </c>
      <c r="D804" t="s">
        <v>15</v>
      </c>
      <c r="E804" t="s">
        <v>26</v>
      </c>
      <c r="F804" t="s">
        <v>41</v>
      </c>
      <c r="G804" t="s">
        <v>1038</v>
      </c>
      <c r="H804" t="s">
        <v>1043</v>
      </c>
      <c r="I804" s="1">
        <v>43547</v>
      </c>
      <c r="J804" t="s">
        <v>1045</v>
      </c>
      <c r="K804" s="5">
        <v>0.55763888888888891</v>
      </c>
      <c r="L804" t="s">
        <v>18</v>
      </c>
      <c r="M804">
        <v>23.586500000000001</v>
      </c>
      <c r="N804">
        <v>6.9</v>
      </c>
    </row>
    <row r="805" spans="1:14" x14ac:dyDescent="0.25">
      <c r="A805" t="s">
        <v>834</v>
      </c>
      <c r="B805" t="s">
        <v>13</v>
      </c>
      <c r="C805" t="s">
        <v>14</v>
      </c>
      <c r="D805" t="s">
        <v>15</v>
      </c>
      <c r="E805" t="s">
        <v>16</v>
      </c>
      <c r="F805" t="s">
        <v>41</v>
      </c>
      <c r="G805" t="s">
        <v>1035</v>
      </c>
      <c r="H805" t="s">
        <v>1043</v>
      </c>
      <c r="I805" s="1">
        <v>43528</v>
      </c>
      <c r="J805" t="s">
        <v>1044</v>
      </c>
      <c r="K805" s="5">
        <v>0.4770833333333333</v>
      </c>
      <c r="L805" t="s">
        <v>24</v>
      </c>
      <c r="M805">
        <v>22.032</v>
      </c>
      <c r="N805">
        <v>8</v>
      </c>
    </row>
    <row r="806" spans="1:14" x14ac:dyDescent="0.25">
      <c r="A806" t="s">
        <v>835</v>
      </c>
      <c r="B806" t="s">
        <v>37</v>
      </c>
      <c r="C806" t="s">
        <v>38</v>
      </c>
      <c r="D806" t="s">
        <v>15</v>
      </c>
      <c r="E806" t="s">
        <v>16</v>
      </c>
      <c r="F806" t="s">
        <v>23</v>
      </c>
      <c r="G806" t="s">
        <v>1034</v>
      </c>
      <c r="H806" t="s">
        <v>1042</v>
      </c>
      <c r="I806" s="1">
        <v>43519</v>
      </c>
      <c r="J806" t="s">
        <v>1044</v>
      </c>
      <c r="K806" s="5">
        <v>0.46666666666666662</v>
      </c>
      <c r="L806" t="s">
        <v>24</v>
      </c>
      <c r="M806">
        <v>34.015500000000003</v>
      </c>
      <c r="N806">
        <v>8</v>
      </c>
    </row>
    <row r="807" spans="1:14" x14ac:dyDescent="0.25">
      <c r="A807" t="s">
        <v>836</v>
      </c>
      <c r="B807" t="s">
        <v>13</v>
      </c>
      <c r="C807" t="s">
        <v>14</v>
      </c>
      <c r="D807" t="s">
        <v>22</v>
      </c>
      <c r="E807" t="s">
        <v>16</v>
      </c>
      <c r="F807" t="s">
        <v>27</v>
      </c>
      <c r="G807" t="s">
        <v>1037</v>
      </c>
      <c r="H807" t="s">
        <v>1043</v>
      </c>
      <c r="I807" s="1">
        <v>43541</v>
      </c>
      <c r="J807" t="s">
        <v>1046</v>
      </c>
      <c r="K807" s="5">
        <v>0.69166666666666676</v>
      </c>
      <c r="L807" t="s">
        <v>24</v>
      </c>
      <c r="M807">
        <v>15.494</v>
      </c>
      <c r="N807">
        <v>4.2</v>
      </c>
    </row>
    <row r="808" spans="1:14" x14ac:dyDescent="0.25">
      <c r="A808" t="s">
        <v>837</v>
      </c>
      <c r="B808" t="s">
        <v>13</v>
      </c>
      <c r="C808" t="s">
        <v>14</v>
      </c>
      <c r="D808" t="s">
        <v>22</v>
      </c>
      <c r="E808" t="s">
        <v>16</v>
      </c>
      <c r="F808" t="s">
        <v>31</v>
      </c>
      <c r="G808" t="s">
        <v>1035</v>
      </c>
      <c r="H808" t="s">
        <v>1041</v>
      </c>
      <c r="I808" s="1">
        <v>43481</v>
      </c>
      <c r="J808" t="s">
        <v>1046</v>
      </c>
      <c r="K808" s="5">
        <v>0.77847222222222223</v>
      </c>
      <c r="L808" t="s">
        <v>28</v>
      </c>
      <c r="M808">
        <v>9.3179999999999996</v>
      </c>
      <c r="N808">
        <v>8.5</v>
      </c>
    </row>
    <row r="809" spans="1:14" x14ac:dyDescent="0.25">
      <c r="A809" t="s">
        <v>838</v>
      </c>
      <c r="B809" t="s">
        <v>13</v>
      </c>
      <c r="C809" t="s">
        <v>14</v>
      </c>
      <c r="D809" t="s">
        <v>22</v>
      </c>
      <c r="E809" t="s">
        <v>16</v>
      </c>
      <c r="F809" t="s">
        <v>23</v>
      </c>
      <c r="G809" t="s">
        <v>1034</v>
      </c>
      <c r="H809" t="s">
        <v>1041</v>
      </c>
      <c r="I809" s="1">
        <v>43473</v>
      </c>
      <c r="J809" t="s">
        <v>1046</v>
      </c>
      <c r="K809" s="5">
        <v>0.71666666666666667</v>
      </c>
      <c r="L809" t="s">
        <v>24</v>
      </c>
      <c r="M809">
        <v>10.045999999999999</v>
      </c>
      <c r="N809">
        <v>9</v>
      </c>
    </row>
    <row r="810" spans="1:14" x14ac:dyDescent="0.25">
      <c r="A810" t="s">
        <v>839</v>
      </c>
      <c r="B810" t="s">
        <v>37</v>
      </c>
      <c r="C810" t="s">
        <v>38</v>
      </c>
      <c r="D810" t="s">
        <v>22</v>
      </c>
      <c r="E810" t="s">
        <v>16</v>
      </c>
      <c r="F810" t="s">
        <v>17</v>
      </c>
      <c r="G810" t="s">
        <v>1035</v>
      </c>
      <c r="H810" t="s">
        <v>1041</v>
      </c>
      <c r="I810" s="1">
        <v>43479</v>
      </c>
      <c r="J810" t="s">
        <v>1044</v>
      </c>
      <c r="K810" s="5">
        <v>0.44305555555555554</v>
      </c>
      <c r="L810" t="s">
        <v>24</v>
      </c>
      <c r="M810">
        <v>0.88749999999999996</v>
      </c>
      <c r="N810">
        <v>8.6</v>
      </c>
    </row>
    <row r="811" spans="1:14" x14ac:dyDescent="0.25">
      <c r="A811" t="s">
        <v>840</v>
      </c>
      <c r="B811" t="s">
        <v>20</v>
      </c>
      <c r="C811" t="s">
        <v>21</v>
      </c>
      <c r="D811" t="s">
        <v>22</v>
      </c>
      <c r="E811" t="s">
        <v>16</v>
      </c>
      <c r="F811" t="s">
        <v>41</v>
      </c>
      <c r="G811" t="s">
        <v>1037</v>
      </c>
      <c r="H811" t="s">
        <v>1041</v>
      </c>
      <c r="I811" s="1">
        <v>43496</v>
      </c>
      <c r="J811" t="s">
        <v>1044</v>
      </c>
      <c r="K811" s="5">
        <v>0.43958333333333338</v>
      </c>
      <c r="L811" t="s">
        <v>18</v>
      </c>
      <c r="M811">
        <v>31.09</v>
      </c>
      <c r="N811">
        <v>6</v>
      </c>
    </row>
    <row r="812" spans="1:14" x14ac:dyDescent="0.25">
      <c r="A812" t="s">
        <v>841</v>
      </c>
      <c r="B812" t="s">
        <v>37</v>
      </c>
      <c r="C812" t="s">
        <v>38</v>
      </c>
      <c r="D812" t="s">
        <v>22</v>
      </c>
      <c r="E812" t="s">
        <v>26</v>
      </c>
      <c r="F812" t="s">
        <v>17</v>
      </c>
      <c r="G812" t="s">
        <v>1036</v>
      </c>
      <c r="H812" t="s">
        <v>1043</v>
      </c>
      <c r="I812" s="1">
        <v>43539</v>
      </c>
      <c r="J812" t="s">
        <v>1045</v>
      </c>
      <c r="K812" s="5">
        <v>0.60972222222222217</v>
      </c>
      <c r="L812" t="s">
        <v>18</v>
      </c>
      <c r="M812">
        <v>4.3</v>
      </c>
      <c r="N812">
        <v>6.2</v>
      </c>
    </row>
    <row r="813" spans="1:14" x14ac:dyDescent="0.25">
      <c r="A813" t="s">
        <v>842</v>
      </c>
      <c r="B813" t="s">
        <v>13</v>
      </c>
      <c r="C813" t="s">
        <v>14</v>
      </c>
      <c r="D813" t="s">
        <v>22</v>
      </c>
      <c r="E813" t="s">
        <v>16</v>
      </c>
      <c r="F813" t="s">
        <v>23</v>
      </c>
      <c r="G813" t="s">
        <v>1034</v>
      </c>
      <c r="H813" t="s">
        <v>1042</v>
      </c>
      <c r="I813" s="1">
        <v>43520</v>
      </c>
      <c r="J813" t="s">
        <v>1046</v>
      </c>
      <c r="K813" s="5">
        <v>0.75416666666666676</v>
      </c>
      <c r="L813" t="s">
        <v>28</v>
      </c>
      <c r="M813">
        <v>20.13</v>
      </c>
      <c r="N813">
        <v>5</v>
      </c>
    </row>
    <row r="814" spans="1:14" x14ac:dyDescent="0.25">
      <c r="A814" t="s">
        <v>843</v>
      </c>
      <c r="B814" t="s">
        <v>20</v>
      </c>
      <c r="C814" t="s">
        <v>21</v>
      </c>
      <c r="D814" t="s">
        <v>15</v>
      </c>
      <c r="E814" t="s">
        <v>16</v>
      </c>
      <c r="F814" t="s">
        <v>31</v>
      </c>
      <c r="G814" t="s">
        <v>1038</v>
      </c>
      <c r="H814" t="s">
        <v>1042</v>
      </c>
      <c r="I814" s="1">
        <v>43504</v>
      </c>
      <c r="J814" t="s">
        <v>1045</v>
      </c>
      <c r="K814" s="5">
        <v>0.53611111111111109</v>
      </c>
      <c r="L814" t="s">
        <v>28</v>
      </c>
      <c r="M814">
        <v>16.2425</v>
      </c>
      <c r="N814">
        <v>6.5</v>
      </c>
    </row>
    <row r="815" spans="1:14" x14ac:dyDescent="0.25">
      <c r="A815" t="s">
        <v>844</v>
      </c>
      <c r="B815" t="s">
        <v>13</v>
      </c>
      <c r="C815" t="s">
        <v>14</v>
      </c>
      <c r="D815" t="s">
        <v>22</v>
      </c>
      <c r="E815" t="s">
        <v>26</v>
      </c>
      <c r="F815" t="s">
        <v>23</v>
      </c>
      <c r="G815" t="s">
        <v>1037</v>
      </c>
      <c r="H815" t="s">
        <v>1043</v>
      </c>
      <c r="I815" s="1">
        <v>43546</v>
      </c>
      <c r="J815" t="s">
        <v>1045</v>
      </c>
      <c r="K815" s="5">
        <v>0.58333333333333337</v>
      </c>
      <c r="L815" t="s">
        <v>24</v>
      </c>
      <c r="M815">
        <v>4.7575000000000003</v>
      </c>
      <c r="N815">
        <v>6</v>
      </c>
    </row>
    <row r="816" spans="1:14" x14ac:dyDescent="0.25">
      <c r="A816" t="s">
        <v>845</v>
      </c>
      <c r="B816" t="s">
        <v>13</v>
      </c>
      <c r="C816" t="s">
        <v>14</v>
      </c>
      <c r="D816" t="s">
        <v>15</v>
      </c>
      <c r="E816" t="s">
        <v>16</v>
      </c>
      <c r="F816" t="s">
        <v>23</v>
      </c>
      <c r="G816" t="s">
        <v>1036</v>
      </c>
      <c r="H816" t="s">
        <v>1041</v>
      </c>
      <c r="I816" s="1">
        <v>43489</v>
      </c>
      <c r="J816" t="s">
        <v>1044</v>
      </c>
      <c r="K816" s="5">
        <v>0.45624999999999999</v>
      </c>
      <c r="L816" t="s">
        <v>24</v>
      </c>
      <c r="M816">
        <v>19.448</v>
      </c>
      <c r="N816">
        <v>5</v>
      </c>
    </row>
    <row r="817" spans="1:14" x14ac:dyDescent="0.25">
      <c r="A817" t="s">
        <v>846</v>
      </c>
      <c r="B817" t="s">
        <v>37</v>
      </c>
      <c r="C817" t="s">
        <v>38</v>
      </c>
      <c r="D817" t="s">
        <v>22</v>
      </c>
      <c r="E817" t="s">
        <v>16</v>
      </c>
      <c r="F817" t="s">
        <v>39</v>
      </c>
      <c r="G817" t="s">
        <v>1036</v>
      </c>
      <c r="H817" t="s">
        <v>1043</v>
      </c>
      <c r="I817" s="1">
        <v>43538</v>
      </c>
      <c r="J817" t="s">
        <v>1046</v>
      </c>
      <c r="K817" s="5">
        <v>0.69791666666666663</v>
      </c>
      <c r="L817" t="s">
        <v>18</v>
      </c>
      <c r="M817">
        <v>21.283999999999999</v>
      </c>
      <c r="N817">
        <v>5</v>
      </c>
    </row>
    <row r="818" spans="1:14" x14ac:dyDescent="0.25">
      <c r="A818" t="s">
        <v>847</v>
      </c>
      <c r="B818" t="s">
        <v>20</v>
      </c>
      <c r="C818" t="s">
        <v>21</v>
      </c>
      <c r="D818" t="s">
        <v>22</v>
      </c>
      <c r="E818" t="s">
        <v>16</v>
      </c>
      <c r="F818" t="s">
        <v>41</v>
      </c>
      <c r="G818" t="s">
        <v>1036</v>
      </c>
      <c r="H818" t="s">
        <v>1041</v>
      </c>
      <c r="I818" s="1">
        <v>43488</v>
      </c>
      <c r="J818" t="s">
        <v>1044</v>
      </c>
      <c r="K818" s="5">
        <v>0.46875</v>
      </c>
      <c r="L818" t="s">
        <v>24</v>
      </c>
      <c r="M818">
        <v>15.904</v>
      </c>
      <c r="N818">
        <v>9.1999999999999993</v>
      </c>
    </row>
    <row r="819" spans="1:14" x14ac:dyDescent="0.25">
      <c r="A819" t="s">
        <v>848</v>
      </c>
      <c r="B819" t="s">
        <v>13</v>
      </c>
      <c r="C819" t="s">
        <v>14</v>
      </c>
      <c r="D819" t="s">
        <v>22</v>
      </c>
      <c r="E819" t="s">
        <v>26</v>
      </c>
      <c r="F819" t="s">
        <v>39</v>
      </c>
      <c r="G819" t="s">
        <v>1036</v>
      </c>
      <c r="H819" t="s">
        <v>1041</v>
      </c>
      <c r="I819" s="1">
        <v>43484</v>
      </c>
      <c r="J819" t="s">
        <v>1046</v>
      </c>
      <c r="K819" s="5">
        <v>0.8534722222222223</v>
      </c>
      <c r="L819" t="s">
        <v>18</v>
      </c>
      <c r="M819">
        <v>13.552</v>
      </c>
      <c r="N819">
        <v>9.6</v>
      </c>
    </row>
    <row r="820" spans="1:14" x14ac:dyDescent="0.25">
      <c r="A820" t="s">
        <v>849</v>
      </c>
      <c r="B820" t="s">
        <v>37</v>
      </c>
      <c r="C820" t="s">
        <v>38</v>
      </c>
      <c r="D820" t="s">
        <v>15</v>
      </c>
      <c r="E820" t="s">
        <v>26</v>
      </c>
      <c r="F820" t="s">
        <v>17</v>
      </c>
      <c r="G820" t="s">
        <v>1037</v>
      </c>
      <c r="H820" t="s">
        <v>1041</v>
      </c>
      <c r="I820" s="1">
        <v>43492</v>
      </c>
      <c r="J820" t="s">
        <v>1046</v>
      </c>
      <c r="K820" s="5">
        <v>0.8354166666666667</v>
      </c>
      <c r="L820" t="s">
        <v>28</v>
      </c>
      <c r="M820">
        <v>19.231999999999999</v>
      </c>
      <c r="N820">
        <v>8.4</v>
      </c>
    </row>
    <row r="821" spans="1:14" x14ac:dyDescent="0.25">
      <c r="A821" t="s">
        <v>850</v>
      </c>
      <c r="B821" t="s">
        <v>37</v>
      </c>
      <c r="C821" t="s">
        <v>38</v>
      </c>
      <c r="D821" t="s">
        <v>15</v>
      </c>
      <c r="E821" t="s">
        <v>26</v>
      </c>
      <c r="F821" t="s">
        <v>39</v>
      </c>
      <c r="G821" t="s">
        <v>1038</v>
      </c>
      <c r="H821" t="s">
        <v>1042</v>
      </c>
      <c r="I821" s="1">
        <v>43499</v>
      </c>
      <c r="J821" t="s">
        <v>1045</v>
      </c>
      <c r="K821" s="5">
        <v>0.60763888888888895</v>
      </c>
      <c r="L821" t="s">
        <v>28</v>
      </c>
      <c r="M821">
        <v>11.79</v>
      </c>
      <c r="N821">
        <v>6</v>
      </c>
    </row>
    <row r="822" spans="1:14" x14ac:dyDescent="0.25">
      <c r="A822" t="s">
        <v>851</v>
      </c>
      <c r="B822" t="s">
        <v>37</v>
      </c>
      <c r="C822" t="s">
        <v>38</v>
      </c>
      <c r="D822" t="s">
        <v>22</v>
      </c>
      <c r="E822" t="s">
        <v>26</v>
      </c>
      <c r="F822" t="s">
        <v>23</v>
      </c>
      <c r="G822" t="s">
        <v>1038</v>
      </c>
      <c r="H822" t="s">
        <v>1043</v>
      </c>
      <c r="I822" s="1">
        <v>43549</v>
      </c>
      <c r="J822" t="s">
        <v>1046</v>
      </c>
      <c r="K822" s="5">
        <v>0.68888888888888899</v>
      </c>
      <c r="L822" t="s">
        <v>18</v>
      </c>
      <c r="M822">
        <v>10.577999999999999</v>
      </c>
      <c r="N822">
        <v>6.7</v>
      </c>
    </row>
    <row r="823" spans="1:14" x14ac:dyDescent="0.25">
      <c r="A823" t="s">
        <v>852</v>
      </c>
      <c r="B823" t="s">
        <v>13</v>
      </c>
      <c r="C823" t="s">
        <v>14</v>
      </c>
      <c r="D823" t="s">
        <v>15</v>
      </c>
      <c r="E823" t="s">
        <v>16</v>
      </c>
      <c r="F823" t="s">
        <v>27</v>
      </c>
      <c r="G823" t="s">
        <v>1034</v>
      </c>
      <c r="H823" t="s">
        <v>1042</v>
      </c>
      <c r="I823" s="1">
        <v>43520</v>
      </c>
      <c r="J823" t="s">
        <v>1044</v>
      </c>
      <c r="K823" s="5">
        <v>0.4236111111111111</v>
      </c>
      <c r="L823" t="s">
        <v>28</v>
      </c>
      <c r="M823">
        <v>4.7679999999999998</v>
      </c>
      <c r="N823">
        <v>4.0999999999999996</v>
      </c>
    </row>
    <row r="824" spans="1:14" x14ac:dyDescent="0.25">
      <c r="A824" t="s">
        <v>853</v>
      </c>
      <c r="B824" t="s">
        <v>20</v>
      </c>
      <c r="C824" t="s">
        <v>21</v>
      </c>
      <c r="D824" t="s">
        <v>15</v>
      </c>
      <c r="E824" t="s">
        <v>26</v>
      </c>
      <c r="F824" t="s">
        <v>31</v>
      </c>
      <c r="G824" t="s">
        <v>1038</v>
      </c>
      <c r="H824" t="s">
        <v>1042</v>
      </c>
      <c r="I824" s="1">
        <v>43503</v>
      </c>
      <c r="J824" t="s">
        <v>1045</v>
      </c>
      <c r="K824" s="5">
        <v>0.59375</v>
      </c>
      <c r="L824" t="s">
        <v>24</v>
      </c>
      <c r="M824">
        <v>0.50849999999999995</v>
      </c>
      <c r="N824">
        <v>5.9</v>
      </c>
    </row>
    <row r="825" spans="1:14" x14ac:dyDescent="0.25">
      <c r="A825" t="s">
        <v>854</v>
      </c>
      <c r="B825" t="s">
        <v>13</v>
      </c>
      <c r="C825" t="s">
        <v>14</v>
      </c>
      <c r="D825" t="s">
        <v>22</v>
      </c>
      <c r="E825" t="s">
        <v>16</v>
      </c>
      <c r="F825" t="s">
        <v>17</v>
      </c>
      <c r="G825" t="s">
        <v>1035</v>
      </c>
      <c r="H825" t="s">
        <v>1043</v>
      </c>
      <c r="I825" s="1">
        <v>43528</v>
      </c>
      <c r="J825" t="s">
        <v>1044</v>
      </c>
      <c r="K825" s="5">
        <v>0.4201388888888889</v>
      </c>
      <c r="L825" t="s">
        <v>24</v>
      </c>
      <c r="M825">
        <v>10.3065</v>
      </c>
      <c r="N825">
        <v>8.6999999999999993</v>
      </c>
    </row>
    <row r="826" spans="1:14" x14ac:dyDescent="0.25">
      <c r="A826" t="s">
        <v>855</v>
      </c>
      <c r="B826" t="s">
        <v>37</v>
      </c>
      <c r="C826" t="s">
        <v>38</v>
      </c>
      <c r="D826" t="s">
        <v>15</v>
      </c>
      <c r="E826" t="s">
        <v>16</v>
      </c>
      <c r="F826" t="s">
        <v>31</v>
      </c>
      <c r="G826" t="s">
        <v>1039</v>
      </c>
      <c r="H826" t="s">
        <v>1042</v>
      </c>
      <c r="I826" s="1">
        <v>43510</v>
      </c>
      <c r="J826" t="s">
        <v>1044</v>
      </c>
      <c r="K826" s="5">
        <v>0.48333333333333334</v>
      </c>
      <c r="L826" t="s">
        <v>28</v>
      </c>
      <c r="M826">
        <v>21.027999999999999</v>
      </c>
      <c r="N826">
        <v>4.5</v>
      </c>
    </row>
    <row r="827" spans="1:14" x14ac:dyDescent="0.25">
      <c r="A827" t="s">
        <v>856</v>
      </c>
      <c r="B827" t="s">
        <v>13</v>
      </c>
      <c r="C827" t="s">
        <v>14</v>
      </c>
      <c r="D827" t="s">
        <v>15</v>
      </c>
      <c r="E827" t="s">
        <v>16</v>
      </c>
      <c r="F827" t="s">
        <v>31</v>
      </c>
      <c r="G827" t="s">
        <v>1037</v>
      </c>
      <c r="H827" t="s">
        <v>1041</v>
      </c>
      <c r="I827" s="1">
        <v>43494</v>
      </c>
      <c r="J827" t="s">
        <v>1046</v>
      </c>
      <c r="K827" s="5">
        <v>0.76041666666666663</v>
      </c>
      <c r="L827" t="s">
        <v>28</v>
      </c>
      <c r="M827">
        <v>4.4020000000000001</v>
      </c>
      <c r="N827">
        <v>6.6</v>
      </c>
    </row>
    <row r="828" spans="1:14" x14ac:dyDescent="0.25">
      <c r="A828" t="s">
        <v>857</v>
      </c>
      <c r="B828" t="s">
        <v>37</v>
      </c>
      <c r="C828" t="s">
        <v>38</v>
      </c>
      <c r="D828" t="s">
        <v>15</v>
      </c>
      <c r="E828" t="s">
        <v>16</v>
      </c>
      <c r="F828" t="s">
        <v>17</v>
      </c>
      <c r="G828" t="s">
        <v>1037</v>
      </c>
      <c r="H828" t="s">
        <v>1041</v>
      </c>
      <c r="I828" s="1">
        <v>43493</v>
      </c>
      <c r="J828" t="s">
        <v>1045</v>
      </c>
      <c r="K828" s="5">
        <v>0.57847222222222217</v>
      </c>
      <c r="L828" t="s">
        <v>28</v>
      </c>
      <c r="M828">
        <v>32.4495</v>
      </c>
      <c r="N828">
        <v>7.7</v>
      </c>
    </row>
    <row r="829" spans="1:14" x14ac:dyDescent="0.25">
      <c r="A829" t="s">
        <v>858</v>
      </c>
      <c r="B829" t="s">
        <v>13</v>
      </c>
      <c r="C829" t="s">
        <v>14</v>
      </c>
      <c r="D829" t="s">
        <v>15</v>
      </c>
      <c r="E829" t="s">
        <v>26</v>
      </c>
      <c r="F829" t="s">
        <v>41</v>
      </c>
      <c r="G829" t="s">
        <v>1038</v>
      </c>
      <c r="H829" t="s">
        <v>1043</v>
      </c>
      <c r="I829" s="1">
        <v>43550</v>
      </c>
      <c r="J829" t="s">
        <v>1046</v>
      </c>
      <c r="K829" s="5">
        <v>0.77569444444444446</v>
      </c>
      <c r="L829" t="s">
        <v>28</v>
      </c>
      <c r="M829">
        <v>6.1920000000000002</v>
      </c>
      <c r="N829">
        <v>8.5</v>
      </c>
    </row>
    <row r="830" spans="1:14" x14ac:dyDescent="0.25">
      <c r="A830" t="s">
        <v>859</v>
      </c>
      <c r="B830" t="s">
        <v>20</v>
      </c>
      <c r="C830" t="s">
        <v>21</v>
      </c>
      <c r="D830" t="s">
        <v>22</v>
      </c>
      <c r="E830" t="s">
        <v>26</v>
      </c>
      <c r="F830" t="s">
        <v>23</v>
      </c>
      <c r="G830" t="s">
        <v>1038</v>
      </c>
      <c r="H830" t="s">
        <v>1043</v>
      </c>
      <c r="I830" s="1">
        <v>43548</v>
      </c>
      <c r="J830" t="s">
        <v>1046</v>
      </c>
      <c r="K830" s="5">
        <v>0.76874999999999993</v>
      </c>
      <c r="L830" t="s">
        <v>24</v>
      </c>
      <c r="M830">
        <v>32.475000000000001</v>
      </c>
      <c r="N830">
        <v>5.2</v>
      </c>
    </row>
    <row r="831" spans="1:14" x14ac:dyDescent="0.25">
      <c r="A831" t="s">
        <v>860</v>
      </c>
      <c r="B831" t="s">
        <v>13</v>
      </c>
      <c r="C831" t="s">
        <v>14</v>
      </c>
      <c r="D831" t="s">
        <v>15</v>
      </c>
      <c r="E831" t="s">
        <v>16</v>
      </c>
      <c r="F831" t="s">
        <v>23</v>
      </c>
      <c r="G831" t="s">
        <v>1040</v>
      </c>
      <c r="H831" t="s">
        <v>1041</v>
      </c>
      <c r="I831" s="1">
        <v>43466</v>
      </c>
      <c r="J831" t="s">
        <v>1045</v>
      </c>
      <c r="K831" s="5">
        <v>0.61249999999999993</v>
      </c>
      <c r="L831" t="s">
        <v>28</v>
      </c>
      <c r="M831">
        <v>37.11</v>
      </c>
      <c r="N831">
        <v>4.3</v>
      </c>
    </row>
    <row r="832" spans="1:14" x14ac:dyDescent="0.25">
      <c r="A832" t="s">
        <v>861</v>
      </c>
      <c r="B832" t="s">
        <v>13</v>
      </c>
      <c r="C832" t="s">
        <v>14</v>
      </c>
      <c r="D832" t="s">
        <v>22</v>
      </c>
      <c r="E832" t="s">
        <v>26</v>
      </c>
      <c r="F832" t="s">
        <v>23</v>
      </c>
      <c r="G832" t="s">
        <v>1036</v>
      </c>
      <c r="H832" t="s">
        <v>1041</v>
      </c>
      <c r="I832" s="1">
        <v>43489</v>
      </c>
      <c r="J832" t="s">
        <v>1046</v>
      </c>
      <c r="K832" s="5">
        <v>0.73819444444444438</v>
      </c>
      <c r="L832" t="s">
        <v>24</v>
      </c>
      <c r="M832">
        <v>4.2240000000000002</v>
      </c>
      <c r="N832">
        <v>7.6</v>
      </c>
    </row>
    <row r="833" spans="1:14" x14ac:dyDescent="0.25">
      <c r="A833" t="s">
        <v>862</v>
      </c>
      <c r="B833" t="s">
        <v>37</v>
      </c>
      <c r="C833" t="s">
        <v>38</v>
      </c>
      <c r="D833" t="s">
        <v>22</v>
      </c>
      <c r="E833" t="s">
        <v>26</v>
      </c>
      <c r="F833" t="s">
        <v>17</v>
      </c>
      <c r="G833" t="s">
        <v>1034</v>
      </c>
      <c r="H833" t="s">
        <v>1042</v>
      </c>
      <c r="I833" s="1">
        <v>43521</v>
      </c>
      <c r="J833" t="s">
        <v>1046</v>
      </c>
      <c r="K833" s="5">
        <v>0.77569444444444446</v>
      </c>
      <c r="L833" t="s">
        <v>24</v>
      </c>
      <c r="M833">
        <v>12.513999999999999</v>
      </c>
      <c r="N833">
        <v>9.5</v>
      </c>
    </row>
    <row r="834" spans="1:14" x14ac:dyDescent="0.25">
      <c r="A834" t="s">
        <v>863</v>
      </c>
      <c r="B834" t="s">
        <v>37</v>
      </c>
      <c r="C834" t="s">
        <v>38</v>
      </c>
      <c r="D834" t="s">
        <v>15</v>
      </c>
      <c r="E834" t="s">
        <v>16</v>
      </c>
      <c r="F834" t="s">
        <v>31</v>
      </c>
      <c r="G834" t="s">
        <v>1034</v>
      </c>
      <c r="H834" t="s">
        <v>1041</v>
      </c>
      <c r="I834" s="1">
        <v>43474</v>
      </c>
      <c r="J834" t="s">
        <v>1046</v>
      </c>
      <c r="K834" s="5">
        <v>0.69027777777777777</v>
      </c>
      <c r="L834" t="s">
        <v>24</v>
      </c>
      <c r="M834">
        <v>4.74</v>
      </c>
      <c r="N834">
        <v>4.0999999999999996</v>
      </c>
    </row>
    <row r="835" spans="1:14" x14ac:dyDescent="0.25">
      <c r="A835" t="s">
        <v>864</v>
      </c>
      <c r="B835" t="s">
        <v>13</v>
      </c>
      <c r="C835" t="s">
        <v>14</v>
      </c>
      <c r="D835" t="s">
        <v>15</v>
      </c>
      <c r="E835" t="s">
        <v>26</v>
      </c>
      <c r="F835" t="s">
        <v>17</v>
      </c>
      <c r="G835" t="s">
        <v>1039</v>
      </c>
      <c r="H835" t="s">
        <v>1042</v>
      </c>
      <c r="I835" s="1">
        <v>43510</v>
      </c>
      <c r="J835" t="s">
        <v>1045</v>
      </c>
      <c r="K835" s="5">
        <v>0.61249999999999993</v>
      </c>
      <c r="L835" t="s">
        <v>18</v>
      </c>
      <c r="M835">
        <v>4.5650000000000004</v>
      </c>
      <c r="N835">
        <v>9.1999999999999993</v>
      </c>
    </row>
    <row r="836" spans="1:14" x14ac:dyDescent="0.25">
      <c r="A836" t="s">
        <v>865</v>
      </c>
      <c r="B836" t="s">
        <v>37</v>
      </c>
      <c r="C836" t="s">
        <v>38</v>
      </c>
      <c r="D836" t="s">
        <v>15</v>
      </c>
      <c r="E836" t="s">
        <v>16</v>
      </c>
      <c r="F836" t="s">
        <v>27</v>
      </c>
      <c r="G836" t="s">
        <v>1036</v>
      </c>
      <c r="H836" t="s">
        <v>1043</v>
      </c>
      <c r="I836" s="1">
        <v>43536</v>
      </c>
      <c r="J836" t="s">
        <v>1044</v>
      </c>
      <c r="K836" s="5">
        <v>0.45902777777777781</v>
      </c>
      <c r="L836" t="s">
        <v>18</v>
      </c>
      <c r="M836">
        <v>14.2555</v>
      </c>
      <c r="N836">
        <v>5.4</v>
      </c>
    </row>
    <row r="837" spans="1:14" x14ac:dyDescent="0.25">
      <c r="A837" t="s">
        <v>866</v>
      </c>
      <c r="B837" t="s">
        <v>13</v>
      </c>
      <c r="C837" t="s">
        <v>14</v>
      </c>
      <c r="D837" t="s">
        <v>22</v>
      </c>
      <c r="E837" t="s">
        <v>26</v>
      </c>
      <c r="F837" t="s">
        <v>41</v>
      </c>
      <c r="G837" t="s">
        <v>1038</v>
      </c>
      <c r="H837" t="s">
        <v>1043</v>
      </c>
      <c r="I837" s="1">
        <v>43550</v>
      </c>
      <c r="J837" t="s">
        <v>1046</v>
      </c>
      <c r="K837" s="5">
        <v>0.8222222222222223</v>
      </c>
      <c r="L837" t="s">
        <v>24</v>
      </c>
      <c r="M837">
        <v>2.6190000000000002</v>
      </c>
      <c r="N837">
        <v>5.8</v>
      </c>
    </row>
    <row r="838" spans="1:14" x14ac:dyDescent="0.25">
      <c r="A838" t="s">
        <v>867</v>
      </c>
      <c r="B838" t="s">
        <v>13</v>
      </c>
      <c r="C838" t="s">
        <v>14</v>
      </c>
      <c r="D838" t="s">
        <v>15</v>
      </c>
      <c r="E838" t="s">
        <v>26</v>
      </c>
      <c r="F838" t="s">
        <v>41</v>
      </c>
      <c r="G838" t="s">
        <v>1034</v>
      </c>
      <c r="H838" t="s">
        <v>1041</v>
      </c>
      <c r="I838" s="1">
        <v>43474</v>
      </c>
      <c r="J838" t="s">
        <v>1045</v>
      </c>
      <c r="K838" s="5">
        <v>0.56527777777777777</v>
      </c>
      <c r="L838" t="s">
        <v>18</v>
      </c>
      <c r="M838">
        <v>9.6349999999999998</v>
      </c>
      <c r="N838">
        <v>5.6</v>
      </c>
    </row>
    <row r="839" spans="1:14" x14ac:dyDescent="0.25">
      <c r="A839" t="s">
        <v>868</v>
      </c>
      <c r="B839" t="s">
        <v>37</v>
      </c>
      <c r="C839" t="s">
        <v>38</v>
      </c>
      <c r="D839" t="s">
        <v>22</v>
      </c>
      <c r="E839" t="s">
        <v>26</v>
      </c>
      <c r="F839" t="s">
        <v>31</v>
      </c>
      <c r="G839" t="s">
        <v>1040</v>
      </c>
      <c r="H839" t="s">
        <v>1041</v>
      </c>
      <c r="I839" s="1">
        <v>43467</v>
      </c>
      <c r="J839" t="s">
        <v>1046</v>
      </c>
      <c r="K839" s="5">
        <v>0.83888888888888891</v>
      </c>
      <c r="L839" t="s">
        <v>28</v>
      </c>
      <c r="M839">
        <v>13.388999999999999</v>
      </c>
      <c r="N839">
        <v>5.0999999999999996</v>
      </c>
    </row>
    <row r="840" spans="1:14" x14ac:dyDescent="0.25">
      <c r="A840" t="s">
        <v>869</v>
      </c>
      <c r="B840" t="s">
        <v>20</v>
      </c>
      <c r="C840" t="s">
        <v>21</v>
      </c>
      <c r="D840" t="s">
        <v>22</v>
      </c>
      <c r="E840" t="s">
        <v>26</v>
      </c>
      <c r="F840" t="s">
        <v>23</v>
      </c>
      <c r="G840" t="s">
        <v>1035</v>
      </c>
      <c r="H840" t="s">
        <v>1041</v>
      </c>
      <c r="I840" s="1">
        <v>43480</v>
      </c>
      <c r="J840" t="s">
        <v>1045</v>
      </c>
      <c r="K840" s="5">
        <v>0.62569444444444444</v>
      </c>
      <c r="L840" t="s">
        <v>24</v>
      </c>
      <c r="M840">
        <v>27.934999999999999</v>
      </c>
      <c r="N840">
        <v>5.8</v>
      </c>
    </row>
    <row r="841" spans="1:14" x14ac:dyDescent="0.25">
      <c r="A841" t="s">
        <v>870</v>
      </c>
      <c r="B841" t="s">
        <v>20</v>
      </c>
      <c r="C841" t="s">
        <v>21</v>
      </c>
      <c r="D841" t="s">
        <v>15</v>
      </c>
      <c r="E841" t="s">
        <v>16</v>
      </c>
      <c r="F841" t="s">
        <v>31</v>
      </c>
      <c r="G841" t="s">
        <v>1040</v>
      </c>
      <c r="H841" t="s">
        <v>1041</v>
      </c>
      <c r="I841" s="1">
        <v>43466</v>
      </c>
      <c r="J841" t="s">
        <v>1044</v>
      </c>
      <c r="K841" s="5">
        <v>0.4861111111111111</v>
      </c>
      <c r="L841" t="s">
        <v>18</v>
      </c>
      <c r="M841">
        <v>8.766</v>
      </c>
      <c r="N841">
        <v>5</v>
      </c>
    </row>
    <row r="842" spans="1:14" x14ac:dyDescent="0.25">
      <c r="A842" t="s">
        <v>871</v>
      </c>
      <c r="B842" t="s">
        <v>13</v>
      </c>
      <c r="C842" t="s">
        <v>14</v>
      </c>
      <c r="D842" t="s">
        <v>22</v>
      </c>
      <c r="E842" t="s">
        <v>26</v>
      </c>
      <c r="F842" t="s">
        <v>41</v>
      </c>
      <c r="G842" t="s">
        <v>1039</v>
      </c>
      <c r="H842" t="s">
        <v>1042</v>
      </c>
      <c r="I842" s="1">
        <v>43511</v>
      </c>
      <c r="J842" t="s">
        <v>1045</v>
      </c>
      <c r="K842" s="5">
        <v>0.63958333333333328</v>
      </c>
      <c r="L842" t="s">
        <v>24</v>
      </c>
      <c r="M842">
        <v>7.7910000000000004</v>
      </c>
      <c r="N842">
        <v>7.9</v>
      </c>
    </row>
    <row r="843" spans="1:14" x14ac:dyDescent="0.25">
      <c r="A843" t="s">
        <v>872</v>
      </c>
      <c r="B843" t="s">
        <v>37</v>
      </c>
      <c r="C843" t="s">
        <v>38</v>
      </c>
      <c r="D843" t="s">
        <v>22</v>
      </c>
      <c r="E843" t="s">
        <v>26</v>
      </c>
      <c r="F843" t="s">
        <v>23</v>
      </c>
      <c r="G843" t="s">
        <v>1034</v>
      </c>
      <c r="H843" t="s">
        <v>1042</v>
      </c>
      <c r="I843" s="1">
        <v>43524</v>
      </c>
      <c r="J843" t="s">
        <v>1046</v>
      </c>
      <c r="K843" s="5">
        <v>0.73472222222222217</v>
      </c>
      <c r="L843" t="s">
        <v>24</v>
      </c>
      <c r="M843">
        <v>3.0150000000000001</v>
      </c>
      <c r="N843">
        <v>6</v>
      </c>
    </row>
    <row r="844" spans="1:14" x14ac:dyDescent="0.25">
      <c r="A844" t="s">
        <v>873</v>
      </c>
      <c r="B844" t="s">
        <v>13</v>
      </c>
      <c r="C844" t="s">
        <v>14</v>
      </c>
      <c r="D844" t="s">
        <v>15</v>
      </c>
      <c r="E844" t="s">
        <v>16</v>
      </c>
      <c r="F844" t="s">
        <v>31</v>
      </c>
      <c r="G844" t="s">
        <v>1035</v>
      </c>
      <c r="H844" t="s">
        <v>1043</v>
      </c>
      <c r="I844" s="1">
        <v>43526</v>
      </c>
      <c r="J844" t="s">
        <v>1046</v>
      </c>
      <c r="K844" s="5">
        <v>0.6777777777777777</v>
      </c>
      <c r="L844" t="s">
        <v>28</v>
      </c>
      <c r="M844">
        <v>3.9470000000000001</v>
      </c>
      <c r="N844">
        <v>5</v>
      </c>
    </row>
    <row r="845" spans="1:14" x14ac:dyDescent="0.25">
      <c r="A845" t="s">
        <v>874</v>
      </c>
      <c r="B845" t="s">
        <v>20</v>
      </c>
      <c r="C845" t="s">
        <v>21</v>
      </c>
      <c r="D845" t="s">
        <v>15</v>
      </c>
      <c r="E845" t="s">
        <v>16</v>
      </c>
      <c r="F845" t="s">
        <v>39</v>
      </c>
      <c r="G845" t="s">
        <v>1039</v>
      </c>
      <c r="H845" t="s">
        <v>1042</v>
      </c>
      <c r="I845" s="1">
        <v>43509</v>
      </c>
      <c r="J845" t="s">
        <v>1046</v>
      </c>
      <c r="K845" s="5">
        <v>0.76041666666666663</v>
      </c>
      <c r="L845" t="s">
        <v>28</v>
      </c>
      <c r="M845">
        <v>1.4870000000000001</v>
      </c>
      <c r="N845">
        <v>8.9</v>
      </c>
    </row>
    <row r="846" spans="1:14" x14ac:dyDescent="0.25">
      <c r="A846" t="s">
        <v>875</v>
      </c>
      <c r="B846" t="s">
        <v>13</v>
      </c>
      <c r="C846" t="s">
        <v>14</v>
      </c>
      <c r="D846" t="s">
        <v>22</v>
      </c>
      <c r="E846" t="s">
        <v>26</v>
      </c>
      <c r="F846" t="s">
        <v>41</v>
      </c>
      <c r="G846" t="s">
        <v>1037</v>
      </c>
      <c r="H846" t="s">
        <v>1041</v>
      </c>
      <c r="I846" s="1">
        <v>43491</v>
      </c>
      <c r="J846" t="s">
        <v>1045</v>
      </c>
      <c r="K846" s="5">
        <v>0.52986111111111112</v>
      </c>
      <c r="L846" t="s">
        <v>24</v>
      </c>
      <c r="M846">
        <v>1.0660000000000001</v>
      </c>
      <c r="N846">
        <v>5.9</v>
      </c>
    </row>
    <row r="847" spans="1:14" x14ac:dyDescent="0.25">
      <c r="A847" t="s">
        <v>876</v>
      </c>
      <c r="B847" t="s">
        <v>13</v>
      </c>
      <c r="C847" t="s">
        <v>14</v>
      </c>
      <c r="D847" t="s">
        <v>15</v>
      </c>
      <c r="E847" t="s">
        <v>26</v>
      </c>
      <c r="F847" t="s">
        <v>23</v>
      </c>
      <c r="G847" t="s">
        <v>1037</v>
      </c>
      <c r="H847" t="s">
        <v>1041</v>
      </c>
      <c r="I847" s="1">
        <v>43495</v>
      </c>
      <c r="J847" t="s">
        <v>1044</v>
      </c>
      <c r="K847" s="5">
        <v>0.48055555555555557</v>
      </c>
      <c r="L847" t="s">
        <v>28</v>
      </c>
      <c r="M847">
        <v>14.067</v>
      </c>
      <c r="N847">
        <v>5.9</v>
      </c>
    </row>
    <row r="848" spans="1:14" x14ac:dyDescent="0.25">
      <c r="A848" t="s">
        <v>877</v>
      </c>
      <c r="B848" t="s">
        <v>13</v>
      </c>
      <c r="C848" t="s">
        <v>14</v>
      </c>
      <c r="D848" t="s">
        <v>15</v>
      </c>
      <c r="E848" t="s">
        <v>26</v>
      </c>
      <c r="F848" t="s">
        <v>23</v>
      </c>
      <c r="G848" t="s">
        <v>1037</v>
      </c>
      <c r="H848" t="s">
        <v>1041</v>
      </c>
      <c r="I848" s="1">
        <v>43492</v>
      </c>
      <c r="J848" t="s">
        <v>1046</v>
      </c>
      <c r="K848" s="5">
        <v>0.75555555555555554</v>
      </c>
      <c r="L848" t="s">
        <v>18</v>
      </c>
      <c r="M848">
        <v>3.6629999999999998</v>
      </c>
      <c r="N848">
        <v>9.6999999999999993</v>
      </c>
    </row>
    <row r="849" spans="1:14" x14ac:dyDescent="0.25">
      <c r="A849" t="s">
        <v>878</v>
      </c>
      <c r="B849" t="s">
        <v>20</v>
      </c>
      <c r="C849" t="s">
        <v>21</v>
      </c>
      <c r="D849" t="s">
        <v>22</v>
      </c>
      <c r="E849" t="s">
        <v>16</v>
      </c>
      <c r="F849" t="s">
        <v>31</v>
      </c>
      <c r="G849" t="s">
        <v>1037</v>
      </c>
      <c r="H849" t="s">
        <v>1041</v>
      </c>
      <c r="I849" s="1">
        <v>43495</v>
      </c>
      <c r="J849" t="s">
        <v>1046</v>
      </c>
      <c r="K849" s="5">
        <v>0.71388888888888891</v>
      </c>
      <c r="L849" t="s">
        <v>28</v>
      </c>
      <c r="M849">
        <v>1.119</v>
      </c>
      <c r="N849">
        <v>8.6</v>
      </c>
    </row>
    <row r="850" spans="1:14" x14ac:dyDescent="0.25">
      <c r="A850" t="s">
        <v>879</v>
      </c>
      <c r="B850" t="s">
        <v>20</v>
      </c>
      <c r="C850" t="s">
        <v>21</v>
      </c>
      <c r="D850" t="s">
        <v>15</v>
      </c>
      <c r="E850" t="s">
        <v>16</v>
      </c>
      <c r="F850" t="s">
        <v>39</v>
      </c>
      <c r="G850" t="s">
        <v>1034</v>
      </c>
      <c r="H850" t="s">
        <v>1041</v>
      </c>
      <c r="I850" s="1">
        <v>43473</v>
      </c>
      <c r="J850" t="s">
        <v>1046</v>
      </c>
      <c r="K850" s="5">
        <v>0.81805555555555554</v>
      </c>
      <c r="L850" t="s">
        <v>24</v>
      </c>
      <c r="M850">
        <v>32.795999999999999</v>
      </c>
      <c r="N850">
        <v>4</v>
      </c>
    </row>
    <row r="851" spans="1:14" x14ac:dyDescent="0.25">
      <c r="A851" t="s">
        <v>880</v>
      </c>
      <c r="B851" t="s">
        <v>13</v>
      </c>
      <c r="C851" t="s">
        <v>14</v>
      </c>
      <c r="D851" t="s">
        <v>22</v>
      </c>
      <c r="E851" t="s">
        <v>16</v>
      </c>
      <c r="F851" t="s">
        <v>41</v>
      </c>
      <c r="G851" t="s">
        <v>1036</v>
      </c>
      <c r="H851" t="s">
        <v>1041</v>
      </c>
      <c r="I851" s="1">
        <v>43484</v>
      </c>
      <c r="J851" t="s">
        <v>1045</v>
      </c>
      <c r="K851" s="5">
        <v>0.5493055555555556</v>
      </c>
      <c r="L851" t="s">
        <v>24</v>
      </c>
      <c r="M851">
        <v>29.73</v>
      </c>
      <c r="N851">
        <v>4.2</v>
      </c>
    </row>
    <row r="852" spans="1:14" x14ac:dyDescent="0.25">
      <c r="A852" t="s">
        <v>881</v>
      </c>
      <c r="B852" t="s">
        <v>13</v>
      </c>
      <c r="C852" t="s">
        <v>14</v>
      </c>
      <c r="D852" t="s">
        <v>22</v>
      </c>
      <c r="E852" t="s">
        <v>26</v>
      </c>
      <c r="F852" t="s">
        <v>41</v>
      </c>
      <c r="G852" t="s">
        <v>1036</v>
      </c>
      <c r="H852" t="s">
        <v>1041</v>
      </c>
      <c r="I852" s="1">
        <v>43490</v>
      </c>
      <c r="J852" t="s">
        <v>1044</v>
      </c>
      <c r="K852" s="5">
        <v>0.46180555555555558</v>
      </c>
      <c r="L852" t="s">
        <v>24</v>
      </c>
      <c r="M852">
        <v>3.7050000000000001</v>
      </c>
      <c r="N852">
        <v>9.1999999999999993</v>
      </c>
    </row>
    <row r="853" spans="1:14" x14ac:dyDescent="0.25">
      <c r="A853" t="s">
        <v>882</v>
      </c>
      <c r="B853" t="s">
        <v>13</v>
      </c>
      <c r="C853" t="s">
        <v>14</v>
      </c>
      <c r="D853" t="s">
        <v>22</v>
      </c>
      <c r="E853" t="s">
        <v>16</v>
      </c>
      <c r="F853" t="s">
        <v>41</v>
      </c>
      <c r="G853" t="s">
        <v>1040</v>
      </c>
      <c r="H853" t="s">
        <v>1042</v>
      </c>
      <c r="I853" s="1">
        <v>43515</v>
      </c>
      <c r="J853" t="s">
        <v>1044</v>
      </c>
      <c r="K853" s="5">
        <v>0.42499999999999999</v>
      </c>
      <c r="L853" t="s">
        <v>18</v>
      </c>
      <c r="M853">
        <v>9.8480000000000008</v>
      </c>
      <c r="N853">
        <v>9.1999999999999993</v>
      </c>
    </row>
    <row r="854" spans="1:14" x14ac:dyDescent="0.25">
      <c r="A854" t="s">
        <v>883</v>
      </c>
      <c r="B854" t="s">
        <v>20</v>
      </c>
      <c r="C854" t="s">
        <v>21</v>
      </c>
      <c r="D854" t="s">
        <v>22</v>
      </c>
      <c r="E854" t="s">
        <v>26</v>
      </c>
      <c r="F854" t="s">
        <v>17</v>
      </c>
      <c r="G854" t="s">
        <v>1035</v>
      </c>
      <c r="H854" t="s">
        <v>1041</v>
      </c>
      <c r="I854" s="1">
        <v>43479</v>
      </c>
      <c r="J854" t="s">
        <v>1045</v>
      </c>
      <c r="K854" s="5">
        <v>0.65416666666666667</v>
      </c>
      <c r="L854" t="s">
        <v>18</v>
      </c>
      <c r="M854">
        <v>18.616499999999998</v>
      </c>
      <c r="N854">
        <v>5</v>
      </c>
    </row>
    <row r="855" spans="1:14" x14ac:dyDescent="0.25">
      <c r="A855" t="s">
        <v>884</v>
      </c>
      <c r="B855" t="s">
        <v>37</v>
      </c>
      <c r="C855" t="s">
        <v>38</v>
      </c>
      <c r="D855" t="s">
        <v>22</v>
      </c>
      <c r="E855" t="s">
        <v>16</v>
      </c>
      <c r="F855" t="s">
        <v>23</v>
      </c>
      <c r="G855" t="s">
        <v>1034</v>
      </c>
      <c r="H855" t="s">
        <v>1042</v>
      </c>
      <c r="I855" s="1">
        <v>43521</v>
      </c>
      <c r="J855" t="s">
        <v>1044</v>
      </c>
      <c r="K855" s="5">
        <v>0.49861111111111112</v>
      </c>
      <c r="L855" t="s">
        <v>18</v>
      </c>
      <c r="M855">
        <v>26.395</v>
      </c>
      <c r="N855">
        <v>10</v>
      </c>
    </row>
    <row r="856" spans="1:14" x14ac:dyDescent="0.25">
      <c r="A856" t="s">
        <v>885</v>
      </c>
      <c r="B856" t="s">
        <v>13</v>
      </c>
      <c r="C856" t="s">
        <v>14</v>
      </c>
      <c r="D856" t="s">
        <v>15</v>
      </c>
      <c r="E856" t="s">
        <v>16</v>
      </c>
      <c r="F856" t="s">
        <v>17</v>
      </c>
      <c r="G856" t="s">
        <v>1036</v>
      </c>
      <c r="H856" t="s">
        <v>1041</v>
      </c>
      <c r="I856" s="1">
        <v>43488</v>
      </c>
      <c r="J856" t="s">
        <v>1045</v>
      </c>
      <c r="K856" s="5">
        <v>0.59791666666666665</v>
      </c>
      <c r="L856" t="s">
        <v>18</v>
      </c>
      <c r="M856">
        <v>23.987500000000001</v>
      </c>
      <c r="N856">
        <v>8.8000000000000007</v>
      </c>
    </row>
    <row r="857" spans="1:14" x14ac:dyDescent="0.25">
      <c r="A857" t="s">
        <v>886</v>
      </c>
      <c r="B857" t="s">
        <v>37</v>
      </c>
      <c r="C857" t="s">
        <v>38</v>
      </c>
      <c r="D857" t="s">
        <v>22</v>
      </c>
      <c r="E857" t="s">
        <v>16</v>
      </c>
      <c r="F857" t="s">
        <v>41</v>
      </c>
      <c r="G857" t="s">
        <v>1040</v>
      </c>
      <c r="H857" t="s">
        <v>1042</v>
      </c>
      <c r="I857" s="1">
        <v>43512</v>
      </c>
      <c r="J857" t="s">
        <v>1044</v>
      </c>
      <c r="K857" s="5">
        <v>0.45277777777777778</v>
      </c>
      <c r="L857" t="s">
        <v>24</v>
      </c>
      <c r="M857">
        <v>16.429500000000001</v>
      </c>
      <c r="N857">
        <v>4.2</v>
      </c>
    </row>
    <row r="858" spans="1:14" x14ac:dyDescent="0.25">
      <c r="A858" t="s">
        <v>887</v>
      </c>
      <c r="B858" t="s">
        <v>37</v>
      </c>
      <c r="C858" t="s">
        <v>38</v>
      </c>
      <c r="D858" t="s">
        <v>22</v>
      </c>
      <c r="E858" t="s">
        <v>26</v>
      </c>
      <c r="F858" t="s">
        <v>39</v>
      </c>
      <c r="G858" t="s">
        <v>1040</v>
      </c>
      <c r="H858" t="s">
        <v>1041</v>
      </c>
      <c r="I858" s="1">
        <v>43466</v>
      </c>
      <c r="J858" t="s">
        <v>1046</v>
      </c>
      <c r="K858" s="5">
        <v>0.81319444444444444</v>
      </c>
      <c r="L858" t="s">
        <v>24</v>
      </c>
      <c r="M858">
        <v>8.4480000000000004</v>
      </c>
      <c r="N858">
        <v>6.3</v>
      </c>
    </row>
    <row r="859" spans="1:14" x14ac:dyDescent="0.25">
      <c r="A859" t="s">
        <v>888</v>
      </c>
      <c r="B859" t="s">
        <v>13</v>
      </c>
      <c r="C859" t="s">
        <v>14</v>
      </c>
      <c r="D859" t="s">
        <v>15</v>
      </c>
      <c r="E859" t="s">
        <v>16</v>
      </c>
      <c r="F859" t="s">
        <v>27</v>
      </c>
      <c r="G859" t="s">
        <v>1035</v>
      </c>
      <c r="H859" t="s">
        <v>1043</v>
      </c>
      <c r="I859" s="1">
        <v>43531</v>
      </c>
      <c r="J859" t="s">
        <v>1046</v>
      </c>
      <c r="K859" s="5">
        <v>0.77430555555555547</v>
      </c>
      <c r="L859" t="s">
        <v>24</v>
      </c>
      <c r="M859">
        <v>5.6619999999999999</v>
      </c>
      <c r="N859">
        <v>8.1999999999999993</v>
      </c>
    </row>
    <row r="860" spans="1:14" x14ac:dyDescent="0.25">
      <c r="A860" t="s">
        <v>889</v>
      </c>
      <c r="B860" t="s">
        <v>37</v>
      </c>
      <c r="C860" t="s">
        <v>38</v>
      </c>
      <c r="D860" t="s">
        <v>22</v>
      </c>
      <c r="E860" t="s">
        <v>26</v>
      </c>
      <c r="F860" t="s">
        <v>17</v>
      </c>
      <c r="G860" t="s">
        <v>1039</v>
      </c>
      <c r="H860" t="s">
        <v>1042</v>
      </c>
      <c r="I860" s="1">
        <v>43511</v>
      </c>
      <c r="J860" t="s">
        <v>1045</v>
      </c>
      <c r="K860" s="5">
        <v>0.57708333333333328</v>
      </c>
      <c r="L860" t="s">
        <v>24</v>
      </c>
      <c r="M860">
        <v>17.277000000000001</v>
      </c>
      <c r="N860">
        <v>5.0999999999999996</v>
      </c>
    </row>
    <row r="861" spans="1:14" x14ac:dyDescent="0.25">
      <c r="A861" t="s">
        <v>890</v>
      </c>
      <c r="B861" t="s">
        <v>13</v>
      </c>
      <c r="C861" t="s">
        <v>14</v>
      </c>
      <c r="D861" t="s">
        <v>15</v>
      </c>
      <c r="E861" t="s">
        <v>16</v>
      </c>
      <c r="F861" t="s">
        <v>39</v>
      </c>
      <c r="G861" t="s">
        <v>1036</v>
      </c>
      <c r="H861" t="s">
        <v>1041</v>
      </c>
      <c r="I861" s="1">
        <v>43488</v>
      </c>
      <c r="J861" t="s">
        <v>1045</v>
      </c>
      <c r="K861" s="5">
        <v>0.52430555555555558</v>
      </c>
      <c r="L861" t="s">
        <v>24</v>
      </c>
      <c r="M861">
        <v>21.433499999999999</v>
      </c>
      <c r="N861">
        <v>5</v>
      </c>
    </row>
    <row r="862" spans="1:14" x14ac:dyDescent="0.25">
      <c r="A862" t="s">
        <v>891</v>
      </c>
      <c r="B862" t="s">
        <v>20</v>
      </c>
      <c r="C862" t="s">
        <v>21</v>
      </c>
      <c r="D862" t="s">
        <v>15</v>
      </c>
      <c r="E862" t="s">
        <v>16</v>
      </c>
      <c r="F862" t="s">
        <v>27</v>
      </c>
      <c r="G862" t="s">
        <v>1040</v>
      </c>
      <c r="H862" t="s">
        <v>1042</v>
      </c>
      <c r="I862" s="1">
        <v>43516</v>
      </c>
      <c r="J862" t="s">
        <v>1045</v>
      </c>
      <c r="K862" s="5">
        <v>0.55833333333333335</v>
      </c>
      <c r="L862" t="s">
        <v>18</v>
      </c>
      <c r="M862">
        <v>4.3135000000000003</v>
      </c>
      <c r="N862">
        <v>7</v>
      </c>
    </row>
    <row r="863" spans="1:14" x14ac:dyDescent="0.25">
      <c r="A863" t="s">
        <v>892</v>
      </c>
      <c r="B863" t="s">
        <v>13</v>
      </c>
      <c r="C863" t="s">
        <v>14</v>
      </c>
      <c r="D863" t="s">
        <v>15</v>
      </c>
      <c r="E863" t="s">
        <v>26</v>
      </c>
      <c r="F863" t="s">
        <v>31</v>
      </c>
      <c r="G863" t="s">
        <v>1034</v>
      </c>
      <c r="H863" t="s">
        <v>1041</v>
      </c>
      <c r="I863" s="1">
        <v>43473</v>
      </c>
      <c r="J863" t="s">
        <v>1046</v>
      </c>
      <c r="K863" s="5">
        <v>0.75416666666666676</v>
      </c>
      <c r="L863" t="s">
        <v>18</v>
      </c>
      <c r="M863">
        <v>1.276</v>
      </c>
      <c r="N863">
        <v>7.8</v>
      </c>
    </row>
    <row r="864" spans="1:14" x14ac:dyDescent="0.25">
      <c r="A864" t="s">
        <v>893</v>
      </c>
      <c r="B864" t="s">
        <v>37</v>
      </c>
      <c r="C864" t="s">
        <v>38</v>
      </c>
      <c r="D864" t="s">
        <v>22</v>
      </c>
      <c r="E864" t="s">
        <v>16</v>
      </c>
      <c r="F864" t="s">
        <v>27</v>
      </c>
      <c r="G864" t="s">
        <v>1037</v>
      </c>
      <c r="H864" t="s">
        <v>1043</v>
      </c>
      <c r="I864" s="1">
        <v>43541</v>
      </c>
      <c r="J864" t="s">
        <v>1044</v>
      </c>
      <c r="K864" s="5">
        <v>0.49652777777777773</v>
      </c>
      <c r="L864" t="s">
        <v>28</v>
      </c>
      <c r="M864">
        <v>5.0759999999999996</v>
      </c>
      <c r="N864">
        <v>4.3</v>
      </c>
    </row>
    <row r="865" spans="1:14" x14ac:dyDescent="0.25">
      <c r="A865" t="s">
        <v>894</v>
      </c>
      <c r="B865" t="s">
        <v>37</v>
      </c>
      <c r="C865" t="s">
        <v>38</v>
      </c>
      <c r="D865" t="s">
        <v>22</v>
      </c>
      <c r="E865" t="s">
        <v>16</v>
      </c>
      <c r="F865" t="s">
        <v>27</v>
      </c>
      <c r="G865" t="s">
        <v>1035</v>
      </c>
      <c r="H865" t="s">
        <v>1041</v>
      </c>
      <c r="I865" s="1">
        <v>43477</v>
      </c>
      <c r="J865" t="s">
        <v>1044</v>
      </c>
      <c r="K865" s="5">
        <v>0.48749999999999999</v>
      </c>
      <c r="L865" t="s">
        <v>24</v>
      </c>
      <c r="M865">
        <v>17.874500000000001</v>
      </c>
      <c r="N865">
        <v>7</v>
      </c>
    </row>
    <row r="866" spans="1:14" x14ac:dyDescent="0.25">
      <c r="A866" t="s">
        <v>895</v>
      </c>
      <c r="B866" t="s">
        <v>13</v>
      </c>
      <c r="C866" t="s">
        <v>14</v>
      </c>
      <c r="D866" t="s">
        <v>15</v>
      </c>
      <c r="E866" t="s">
        <v>16</v>
      </c>
      <c r="F866" t="s">
        <v>23</v>
      </c>
      <c r="G866" t="s">
        <v>1034</v>
      </c>
      <c r="H866" t="s">
        <v>1041</v>
      </c>
      <c r="I866" s="1">
        <v>43473</v>
      </c>
      <c r="J866" t="s">
        <v>1045</v>
      </c>
      <c r="K866" s="5">
        <v>0.60416666666666663</v>
      </c>
      <c r="L866" t="s">
        <v>24</v>
      </c>
      <c r="M866">
        <v>11.938499999999999</v>
      </c>
      <c r="N866">
        <v>6.6</v>
      </c>
    </row>
    <row r="867" spans="1:14" x14ac:dyDescent="0.25">
      <c r="A867" t="s">
        <v>896</v>
      </c>
      <c r="B867" t="s">
        <v>20</v>
      </c>
      <c r="C867" t="s">
        <v>21</v>
      </c>
      <c r="D867" t="s">
        <v>15</v>
      </c>
      <c r="E867" t="s">
        <v>26</v>
      </c>
      <c r="F867" t="s">
        <v>17</v>
      </c>
      <c r="G867" t="s">
        <v>1037</v>
      </c>
      <c r="H867" t="s">
        <v>1041</v>
      </c>
      <c r="I867" s="1">
        <v>43491</v>
      </c>
      <c r="J867" t="s">
        <v>1045</v>
      </c>
      <c r="K867" s="5">
        <v>0.63263888888888886</v>
      </c>
      <c r="L867" t="s">
        <v>18</v>
      </c>
      <c r="M867">
        <v>5.0715000000000003</v>
      </c>
      <c r="N867">
        <v>7.3</v>
      </c>
    </row>
    <row r="868" spans="1:14" x14ac:dyDescent="0.25">
      <c r="A868" t="s">
        <v>897</v>
      </c>
      <c r="B868" t="s">
        <v>37</v>
      </c>
      <c r="C868" t="s">
        <v>38</v>
      </c>
      <c r="D868" t="s">
        <v>15</v>
      </c>
      <c r="E868" t="s">
        <v>26</v>
      </c>
      <c r="F868" t="s">
        <v>31</v>
      </c>
      <c r="G868" t="s">
        <v>1036</v>
      </c>
      <c r="H868" t="s">
        <v>1043</v>
      </c>
      <c r="I868" s="1">
        <v>43539</v>
      </c>
      <c r="J868" t="s">
        <v>1045</v>
      </c>
      <c r="K868" s="5">
        <v>0.6166666666666667</v>
      </c>
      <c r="L868" t="s">
        <v>28</v>
      </c>
      <c r="M868">
        <v>36.212000000000003</v>
      </c>
      <c r="N868">
        <v>6.5</v>
      </c>
    </row>
    <row r="869" spans="1:14" x14ac:dyDescent="0.25">
      <c r="A869" t="s">
        <v>898</v>
      </c>
      <c r="B869" t="s">
        <v>20</v>
      </c>
      <c r="C869" t="s">
        <v>21</v>
      </c>
      <c r="D869" t="s">
        <v>15</v>
      </c>
      <c r="E869" t="s">
        <v>16</v>
      </c>
      <c r="F869" t="s">
        <v>17</v>
      </c>
      <c r="G869" t="s">
        <v>1035</v>
      </c>
      <c r="H869" t="s">
        <v>1041</v>
      </c>
      <c r="I869" s="1">
        <v>43482</v>
      </c>
      <c r="J869" t="s">
        <v>1045</v>
      </c>
      <c r="K869" s="5">
        <v>0.52500000000000002</v>
      </c>
      <c r="L869" t="s">
        <v>18</v>
      </c>
      <c r="M869">
        <v>6.282</v>
      </c>
      <c r="N869">
        <v>4.9000000000000004</v>
      </c>
    </row>
    <row r="870" spans="1:14" x14ac:dyDescent="0.25">
      <c r="A870" t="s">
        <v>899</v>
      </c>
      <c r="B870" t="s">
        <v>20</v>
      </c>
      <c r="C870" t="s">
        <v>21</v>
      </c>
      <c r="D870" t="s">
        <v>15</v>
      </c>
      <c r="E870" t="s">
        <v>26</v>
      </c>
      <c r="F870" t="s">
        <v>39</v>
      </c>
      <c r="G870" t="s">
        <v>1034</v>
      </c>
      <c r="H870" t="s">
        <v>1041</v>
      </c>
      <c r="I870" s="1">
        <v>43473</v>
      </c>
      <c r="J870" t="s">
        <v>1046</v>
      </c>
      <c r="K870" s="5">
        <v>0.79791666666666661</v>
      </c>
      <c r="L870" t="s">
        <v>28</v>
      </c>
      <c r="M870">
        <v>3.6465000000000001</v>
      </c>
      <c r="N870">
        <v>4.3</v>
      </c>
    </row>
    <row r="871" spans="1:14" x14ac:dyDescent="0.25">
      <c r="A871" t="s">
        <v>900</v>
      </c>
      <c r="B871" t="s">
        <v>13</v>
      </c>
      <c r="C871" t="s">
        <v>14</v>
      </c>
      <c r="D871" t="s">
        <v>22</v>
      </c>
      <c r="E871" t="s">
        <v>26</v>
      </c>
      <c r="F871" t="s">
        <v>31</v>
      </c>
      <c r="G871" t="s">
        <v>1034</v>
      </c>
      <c r="H871" t="s">
        <v>1041</v>
      </c>
      <c r="I871" s="1">
        <v>43471</v>
      </c>
      <c r="J871" t="s">
        <v>1045</v>
      </c>
      <c r="K871" s="5">
        <v>0.56597222222222221</v>
      </c>
      <c r="L871" t="s">
        <v>18</v>
      </c>
      <c r="M871">
        <v>12.917999999999999</v>
      </c>
      <c r="N871">
        <v>9.3000000000000007</v>
      </c>
    </row>
    <row r="872" spans="1:14" x14ac:dyDescent="0.25">
      <c r="A872" t="s">
        <v>901</v>
      </c>
      <c r="B872" t="s">
        <v>13</v>
      </c>
      <c r="C872" t="s">
        <v>14</v>
      </c>
      <c r="D872" t="s">
        <v>15</v>
      </c>
      <c r="E872" t="s">
        <v>26</v>
      </c>
      <c r="F872" t="s">
        <v>39</v>
      </c>
      <c r="G872" t="s">
        <v>1040</v>
      </c>
      <c r="H872" t="s">
        <v>1042</v>
      </c>
      <c r="I872" s="1">
        <v>43512</v>
      </c>
      <c r="J872" t="s">
        <v>1044</v>
      </c>
      <c r="K872" s="5">
        <v>0.43958333333333338</v>
      </c>
      <c r="L872" t="s">
        <v>28</v>
      </c>
      <c r="M872">
        <v>8.6869999999999994</v>
      </c>
      <c r="N872">
        <v>7.1</v>
      </c>
    </row>
    <row r="873" spans="1:14" x14ac:dyDescent="0.25">
      <c r="A873" t="s">
        <v>902</v>
      </c>
      <c r="B873" t="s">
        <v>20</v>
      </c>
      <c r="C873" t="s">
        <v>21</v>
      </c>
      <c r="D873" t="s">
        <v>22</v>
      </c>
      <c r="E873" t="s">
        <v>26</v>
      </c>
      <c r="F873" t="s">
        <v>41</v>
      </c>
      <c r="G873" t="s">
        <v>1036</v>
      </c>
      <c r="H873" t="s">
        <v>1043</v>
      </c>
      <c r="I873" s="1">
        <v>43537</v>
      </c>
      <c r="J873" t="s">
        <v>1045</v>
      </c>
      <c r="K873" s="5">
        <v>0.65625</v>
      </c>
      <c r="L873" t="s">
        <v>18</v>
      </c>
      <c r="M873">
        <v>2.8250000000000002</v>
      </c>
      <c r="N873">
        <v>9.6</v>
      </c>
    </row>
    <row r="874" spans="1:14" x14ac:dyDescent="0.25">
      <c r="A874" t="s">
        <v>903</v>
      </c>
      <c r="B874" t="s">
        <v>37</v>
      </c>
      <c r="C874" t="s">
        <v>38</v>
      </c>
      <c r="D874" t="s">
        <v>15</v>
      </c>
      <c r="E874" t="s">
        <v>16</v>
      </c>
      <c r="F874" t="s">
        <v>23</v>
      </c>
      <c r="G874" t="s">
        <v>1037</v>
      </c>
      <c r="H874" t="s">
        <v>1041</v>
      </c>
      <c r="I874" s="1">
        <v>43493</v>
      </c>
      <c r="J874" t="s">
        <v>1044</v>
      </c>
      <c r="K874" s="5">
        <v>0.49374999999999997</v>
      </c>
      <c r="L874" t="s">
        <v>24</v>
      </c>
      <c r="M874">
        <v>10.715</v>
      </c>
      <c r="N874">
        <v>6.2</v>
      </c>
    </row>
    <row r="875" spans="1:14" x14ac:dyDescent="0.25">
      <c r="A875" t="s">
        <v>904</v>
      </c>
      <c r="B875" t="s">
        <v>13</v>
      </c>
      <c r="C875" t="s">
        <v>14</v>
      </c>
      <c r="D875" t="s">
        <v>15</v>
      </c>
      <c r="E875" t="s">
        <v>26</v>
      </c>
      <c r="F875" t="s">
        <v>31</v>
      </c>
      <c r="G875" t="s">
        <v>1035</v>
      </c>
      <c r="H875" t="s">
        <v>1041</v>
      </c>
      <c r="I875" s="1">
        <v>43483</v>
      </c>
      <c r="J875" t="s">
        <v>1046</v>
      </c>
      <c r="K875" s="5">
        <v>0.72638888888888886</v>
      </c>
      <c r="L875" t="s">
        <v>24</v>
      </c>
      <c r="M875">
        <v>26.718</v>
      </c>
      <c r="N875">
        <v>9.9</v>
      </c>
    </row>
    <row r="876" spans="1:14" x14ac:dyDescent="0.25">
      <c r="A876" t="s">
        <v>905</v>
      </c>
      <c r="B876" t="s">
        <v>13</v>
      </c>
      <c r="C876" t="s">
        <v>14</v>
      </c>
      <c r="D876" t="s">
        <v>15</v>
      </c>
      <c r="E876" t="s">
        <v>26</v>
      </c>
      <c r="F876" t="s">
        <v>27</v>
      </c>
      <c r="G876" t="s">
        <v>1037</v>
      </c>
      <c r="H876" t="s">
        <v>1043</v>
      </c>
      <c r="I876" s="1">
        <v>43543</v>
      </c>
      <c r="J876" t="s">
        <v>1044</v>
      </c>
      <c r="K876" s="5">
        <v>0.49444444444444446</v>
      </c>
      <c r="L876" t="s">
        <v>28</v>
      </c>
      <c r="M876">
        <v>4.6580000000000004</v>
      </c>
      <c r="N876">
        <v>5.9</v>
      </c>
    </row>
    <row r="877" spans="1:14" x14ac:dyDescent="0.25">
      <c r="A877" t="s">
        <v>906</v>
      </c>
      <c r="B877" t="s">
        <v>20</v>
      </c>
      <c r="C877" t="s">
        <v>21</v>
      </c>
      <c r="D877" t="s">
        <v>22</v>
      </c>
      <c r="E877" t="s">
        <v>26</v>
      </c>
      <c r="F877" t="s">
        <v>27</v>
      </c>
      <c r="G877" t="s">
        <v>1036</v>
      </c>
      <c r="H877" t="s">
        <v>1043</v>
      </c>
      <c r="I877" s="1">
        <v>43539</v>
      </c>
      <c r="J877" t="s">
        <v>1045</v>
      </c>
      <c r="K877" s="5">
        <v>0.58611111111111114</v>
      </c>
      <c r="L877" t="s">
        <v>18</v>
      </c>
      <c r="M877">
        <v>26.103999999999999</v>
      </c>
      <c r="N877">
        <v>6.3</v>
      </c>
    </row>
    <row r="878" spans="1:14" x14ac:dyDescent="0.25">
      <c r="A878" t="s">
        <v>907</v>
      </c>
      <c r="B878" t="s">
        <v>20</v>
      </c>
      <c r="C878" t="s">
        <v>21</v>
      </c>
      <c r="D878" t="s">
        <v>15</v>
      </c>
      <c r="E878" t="s">
        <v>26</v>
      </c>
      <c r="F878" t="s">
        <v>41</v>
      </c>
      <c r="G878" t="s">
        <v>1039</v>
      </c>
      <c r="H878" t="s">
        <v>1042</v>
      </c>
      <c r="I878" s="1">
        <v>43508</v>
      </c>
      <c r="J878" t="s">
        <v>1046</v>
      </c>
      <c r="K878" s="5">
        <v>0.74236111111111114</v>
      </c>
      <c r="L878" t="s">
        <v>24</v>
      </c>
      <c r="M878">
        <v>2.6175000000000002</v>
      </c>
      <c r="N878">
        <v>4</v>
      </c>
    </row>
    <row r="879" spans="1:14" x14ac:dyDescent="0.25">
      <c r="A879" t="s">
        <v>908</v>
      </c>
      <c r="B879" t="s">
        <v>37</v>
      </c>
      <c r="C879" t="s">
        <v>38</v>
      </c>
      <c r="D879" t="s">
        <v>15</v>
      </c>
      <c r="E879" t="s">
        <v>26</v>
      </c>
      <c r="F879" t="s">
        <v>23</v>
      </c>
      <c r="G879" t="s">
        <v>1034</v>
      </c>
      <c r="H879" t="s">
        <v>1042</v>
      </c>
      <c r="I879" s="1">
        <v>43521</v>
      </c>
      <c r="J879" t="s">
        <v>1046</v>
      </c>
      <c r="K879" s="5">
        <v>0.84652777777777777</v>
      </c>
      <c r="L879" t="s">
        <v>24</v>
      </c>
      <c r="M879">
        <v>1.9875</v>
      </c>
      <c r="N879">
        <v>6.1</v>
      </c>
    </row>
    <row r="880" spans="1:14" x14ac:dyDescent="0.25">
      <c r="A880" t="s">
        <v>909</v>
      </c>
      <c r="B880" t="s">
        <v>13</v>
      </c>
      <c r="C880" t="s">
        <v>14</v>
      </c>
      <c r="D880" t="s">
        <v>22</v>
      </c>
      <c r="E880" t="s">
        <v>16</v>
      </c>
      <c r="F880" t="s">
        <v>23</v>
      </c>
      <c r="G880" t="s">
        <v>1037</v>
      </c>
      <c r="H880" t="s">
        <v>1043</v>
      </c>
      <c r="I880" s="1">
        <v>43545</v>
      </c>
      <c r="J880" t="s">
        <v>1046</v>
      </c>
      <c r="K880" s="5">
        <v>0.67222222222222217</v>
      </c>
      <c r="L880" t="s">
        <v>28</v>
      </c>
      <c r="M880">
        <v>36.008000000000003</v>
      </c>
      <c r="N880">
        <v>4.5</v>
      </c>
    </row>
    <row r="881" spans="1:14" x14ac:dyDescent="0.25">
      <c r="A881" t="s">
        <v>910</v>
      </c>
      <c r="B881" t="s">
        <v>37</v>
      </c>
      <c r="C881" t="s">
        <v>38</v>
      </c>
      <c r="D881" t="s">
        <v>15</v>
      </c>
      <c r="E881" t="s">
        <v>16</v>
      </c>
      <c r="F881" t="s">
        <v>23</v>
      </c>
      <c r="G881" t="s">
        <v>1036</v>
      </c>
      <c r="H881" t="s">
        <v>1041</v>
      </c>
      <c r="I881" s="1">
        <v>43484</v>
      </c>
      <c r="J881" t="s">
        <v>1044</v>
      </c>
      <c r="K881" s="5">
        <v>0.4284722222222222</v>
      </c>
      <c r="L881" t="s">
        <v>18</v>
      </c>
      <c r="M881">
        <v>4.84</v>
      </c>
      <c r="N881">
        <v>8.6</v>
      </c>
    </row>
    <row r="882" spans="1:14" x14ac:dyDescent="0.25">
      <c r="A882" t="s">
        <v>911</v>
      </c>
      <c r="B882" t="s">
        <v>37</v>
      </c>
      <c r="C882" t="s">
        <v>38</v>
      </c>
      <c r="D882" t="s">
        <v>15</v>
      </c>
      <c r="E882" t="s">
        <v>16</v>
      </c>
      <c r="F882" t="s">
        <v>39</v>
      </c>
      <c r="G882" t="s">
        <v>1034</v>
      </c>
      <c r="H882" t="s">
        <v>1041</v>
      </c>
      <c r="I882" s="1">
        <v>43473</v>
      </c>
      <c r="J882" t="s">
        <v>1045</v>
      </c>
      <c r="K882" s="5">
        <v>0.60069444444444442</v>
      </c>
      <c r="L882" t="s">
        <v>18</v>
      </c>
      <c r="M882">
        <v>16.605</v>
      </c>
      <c r="N882">
        <v>6</v>
      </c>
    </row>
    <row r="883" spans="1:14" x14ac:dyDescent="0.25">
      <c r="A883" t="s">
        <v>912</v>
      </c>
      <c r="B883" t="s">
        <v>20</v>
      </c>
      <c r="C883" t="s">
        <v>21</v>
      </c>
      <c r="D883" t="s">
        <v>15</v>
      </c>
      <c r="E883" t="s">
        <v>16</v>
      </c>
      <c r="F883" t="s">
        <v>41</v>
      </c>
      <c r="G883" t="s">
        <v>1039</v>
      </c>
      <c r="H883" t="s">
        <v>1043</v>
      </c>
      <c r="I883" s="1">
        <v>43554</v>
      </c>
      <c r="J883" t="s">
        <v>1045</v>
      </c>
      <c r="K883" s="5">
        <v>0.53541666666666665</v>
      </c>
      <c r="L883" t="s">
        <v>28</v>
      </c>
      <c r="M883">
        <v>4.0720000000000001</v>
      </c>
      <c r="N883">
        <v>9.5</v>
      </c>
    </row>
    <row r="884" spans="1:14" x14ac:dyDescent="0.25">
      <c r="A884" t="s">
        <v>913</v>
      </c>
      <c r="B884" t="s">
        <v>37</v>
      </c>
      <c r="C884" t="s">
        <v>38</v>
      </c>
      <c r="D884" t="s">
        <v>15</v>
      </c>
      <c r="E884" t="s">
        <v>26</v>
      </c>
      <c r="F884" t="s">
        <v>31</v>
      </c>
      <c r="G884" t="s">
        <v>1040</v>
      </c>
      <c r="H884" t="s">
        <v>1042</v>
      </c>
      <c r="I884" s="1">
        <v>43516</v>
      </c>
      <c r="J884" t="s">
        <v>1045</v>
      </c>
      <c r="K884" s="5">
        <v>0.63750000000000007</v>
      </c>
      <c r="L884" t="s">
        <v>28</v>
      </c>
      <c r="M884">
        <v>15.994999999999999</v>
      </c>
      <c r="N884">
        <v>9.9</v>
      </c>
    </row>
    <row r="885" spans="1:14" x14ac:dyDescent="0.25">
      <c r="A885" t="s">
        <v>914</v>
      </c>
      <c r="B885" t="s">
        <v>13</v>
      </c>
      <c r="C885" t="s">
        <v>14</v>
      </c>
      <c r="D885" t="s">
        <v>15</v>
      </c>
      <c r="E885" t="s">
        <v>16</v>
      </c>
      <c r="F885" t="s">
        <v>27</v>
      </c>
      <c r="G885" t="s">
        <v>1039</v>
      </c>
      <c r="H885" t="s">
        <v>1043</v>
      </c>
      <c r="I885" s="1">
        <v>43554</v>
      </c>
      <c r="J885" t="s">
        <v>1045</v>
      </c>
      <c r="K885" s="5">
        <v>0.53125</v>
      </c>
      <c r="L885" t="s">
        <v>18</v>
      </c>
      <c r="M885">
        <v>10.326000000000001</v>
      </c>
      <c r="N885">
        <v>7.5</v>
      </c>
    </row>
    <row r="886" spans="1:14" x14ac:dyDescent="0.25">
      <c r="A886" t="s">
        <v>915</v>
      </c>
      <c r="B886" t="s">
        <v>13</v>
      </c>
      <c r="C886" t="s">
        <v>14</v>
      </c>
      <c r="D886" t="s">
        <v>15</v>
      </c>
      <c r="E886" t="s">
        <v>16</v>
      </c>
      <c r="F886" t="s">
        <v>39</v>
      </c>
      <c r="G886" t="s">
        <v>1037</v>
      </c>
      <c r="H886" t="s">
        <v>1043</v>
      </c>
      <c r="I886" s="1">
        <v>43543</v>
      </c>
      <c r="J886" t="s">
        <v>1045</v>
      </c>
      <c r="K886" s="5">
        <v>0.56736111111111109</v>
      </c>
      <c r="L886" t="s">
        <v>24</v>
      </c>
      <c r="M886">
        <v>8.3339999999999996</v>
      </c>
      <c r="N886">
        <v>7.6</v>
      </c>
    </row>
    <row r="887" spans="1:14" x14ac:dyDescent="0.25">
      <c r="A887" t="s">
        <v>916</v>
      </c>
      <c r="B887" t="s">
        <v>13</v>
      </c>
      <c r="C887" t="s">
        <v>14</v>
      </c>
      <c r="D887" t="s">
        <v>22</v>
      </c>
      <c r="E887" t="s">
        <v>26</v>
      </c>
      <c r="F887" t="s">
        <v>31</v>
      </c>
      <c r="G887" t="s">
        <v>1035</v>
      </c>
      <c r="H887" t="s">
        <v>1041</v>
      </c>
      <c r="I887" s="1">
        <v>43478</v>
      </c>
      <c r="J887" t="s">
        <v>1044</v>
      </c>
      <c r="K887" s="5">
        <v>0.41875000000000001</v>
      </c>
      <c r="L887" t="s">
        <v>24</v>
      </c>
      <c r="M887">
        <v>15.952999999999999</v>
      </c>
      <c r="N887">
        <v>5</v>
      </c>
    </row>
    <row r="888" spans="1:14" x14ac:dyDescent="0.25">
      <c r="A888" t="s">
        <v>917</v>
      </c>
      <c r="B888" t="s">
        <v>13</v>
      </c>
      <c r="C888" t="s">
        <v>14</v>
      </c>
      <c r="D888" t="s">
        <v>15</v>
      </c>
      <c r="E888" t="s">
        <v>26</v>
      </c>
      <c r="F888" t="s">
        <v>39</v>
      </c>
      <c r="G888" t="s">
        <v>1038</v>
      </c>
      <c r="H888" t="s">
        <v>1042</v>
      </c>
      <c r="I888" s="1">
        <v>43501</v>
      </c>
      <c r="J888" t="s">
        <v>1046</v>
      </c>
      <c r="K888" s="5">
        <v>0.8208333333333333</v>
      </c>
      <c r="L888" t="s">
        <v>18</v>
      </c>
      <c r="M888">
        <v>4.3949999999999996</v>
      </c>
      <c r="N888">
        <v>6.7</v>
      </c>
    </row>
    <row r="889" spans="1:14" x14ac:dyDescent="0.25">
      <c r="A889" t="s">
        <v>918</v>
      </c>
      <c r="B889" t="s">
        <v>13</v>
      </c>
      <c r="C889" t="s">
        <v>14</v>
      </c>
      <c r="D889" t="s">
        <v>15</v>
      </c>
      <c r="E889" t="s">
        <v>16</v>
      </c>
      <c r="F889" t="s">
        <v>23</v>
      </c>
      <c r="G889" t="s">
        <v>1038</v>
      </c>
      <c r="H889" t="s">
        <v>1043</v>
      </c>
      <c r="I889" s="1">
        <v>43547</v>
      </c>
      <c r="J889" t="s">
        <v>1045</v>
      </c>
      <c r="K889" s="5">
        <v>0.55138888888888882</v>
      </c>
      <c r="L889" t="s">
        <v>18</v>
      </c>
      <c r="M889">
        <v>36.734999999999999</v>
      </c>
      <c r="N889">
        <v>9.5</v>
      </c>
    </row>
    <row r="890" spans="1:14" x14ac:dyDescent="0.25">
      <c r="A890" t="s">
        <v>919</v>
      </c>
      <c r="B890" t="s">
        <v>20</v>
      </c>
      <c r="C890" t="s">
        <v>21</v>
      </c>
      <c r="D890" t="s">
        <v>22</v>
      </c>
      <c r="E890" t="s">
        <v>16</v>
      </c>
      <c r="F890" t="s">
        <v>41</v>
      </c>
      <c r="G890" t="s">
        <v>1036</v>
      </c>
      <c r="H890" t="s">
        <v>1043</v>
      </c>
      <c r="I890" s="1">
        <v>43537</v>
      </c>
      <c r="J890" t="s">
        <v>1045</v>
      </c>
      <c r="K890" s="5">
        <v>0.53263888888888888</v>
      </c>
      <c r="L890" t="s">
        <v>18</v>
      </c>
      <c r="M890">
        <v>4.8760000000000003</v>
      </c>
      <c r="N890">
        <v>6.8</v>
      </c>
    </row>
    <row r="891" spans="1:14" x14ac:dyDescent="0.25">
      <c r="A891" t="s">
        <v>920</v>
      </c>
      <c r="B891" t="s">
        <v>13</v>
      </c>
      <c r="C891" t="s">
        <v>14</v>
      </c>
      <c r="D891" t="s">
        <v>15</v>
      </c>
      <c r="E891" t="s">
        <v>26</v>
      </c>
      <c r="F891" t="s">
        <v>31</v>
      </c>
      <c r="G891" t="s">
        <v>1037</v>
      </c>
      <c r="H891" t="s">
        <v>1043</v>
      </c>
      <c r="I891" s="1">
        <v>43541</v>
      </c>
      <c r="J891" t="s">
        <v>1046</v>
      </c>
      <c r="K891" s="5">
        <v>0.82847222222222217</v>
      </c>
      <c r="L891" t="s">
        <v>18</v>
      </c>
      <c r="M891">
        <v>38.46</v>
      </c>
      <c r="N891">
        <v>5.6</v>
      </c>
    </row>
    <row r="892" spans="1:14" x14ac:dyDescent="0.25">
      <c r="A892" t="s">
        <v>921</v>
      </c>
      <c r="B892" t="s">
        <v>20</v>
      </c>
      <c r="C892" t="s">
        <v>21</v>
      </c>
      <c r="D892" t="s">
        <v>22</v>
      </c>
      <c r="E892" t="s">
        <v>16</v>
      </c>
      <c r="F892" t="s">
        <v>17</v>
      </c>
      <c r="G892" t="s">
        <v>1040</v>
      </c>
      <c r="H892" t="s">
        <v>1042</v>
      </c>
      <c r="I892" s="1">
        <v>43517</v>
      </c>
      <c r="J892" t="s">
        <v>1044</v>
      </c>
      <c r="K892" s="5">
        <v>0.43472222222222223</v>
      </c>
      <c r="L892" t="s">
        <v>24</v>
      </c>
      <c r="M892">
        <v>20.914999999999999</v>
      </c>
      <c r="N892">
        <v>7.2</v>
      </c>
    </row>
    <row r="893" spans="1:14" x14ac:dyDescent="0.25">
      <c r="A893" t="s">
        <v>922</v>
      </c>
      <c r="B893" t="s">
        <v>37</v>
      </c>
      <c r="C893" t="s">
        <v>38</v>
      </c>
      <c r="D893" t="s">
        <v>22</v>
      </c>
      <c r="E893" t="s">
        <v>16</v>
      </c>
      <c r="F893" t="s">
        <v>23</v>
      </c>
      <c r="G893" t="s">
        <v>1038</v>
      </c>
      <c r="H893" t="s">
        <v>1042</v>
      </c>
      <c r="I893" s="1">
        <v>43503</v>
      </c>
      <c r="J893" t="s">
        <v>1045</v>
      </c>
      <c r="K893" s="5">
        <v>0.62916666666666665</v>
      </c>
      <c r="L893" t="s">
        <v>24</v>
      </c>
      <c r="M893">
        <v>23.164000000000001</v>
      </c>
      <c r="N893">
        <v>8.1</v>
      </c>
    </row>
    <row r="894" spans="1:14" x14ac:dyDescent="0.25">
      <c r="A894" t="s">
        <v>923</v>
      </c>
      <c r="B894" t="s">
        <v>20</v>
      </c>
      <c r="C894" t="s">
        <v>21</v>
      </c>
      <c r="D894" t="s">
        <v>15</v>
      </c>
      <c r="E894" t="s">
        <v>16</v>
      </c>
      <c r="F894" t="s">
        <v>41</v>
      </c>
      <c r="G894" t="s">
        <v>1035</v>
      </c>
      <c r="H894" t="s">
        <v>1043</v>
      </c>
      <c r="I894" s="1">
        <v>43526</v>
      </c>
      <c r="J894" t="s">
        <v>1046</v>
      </c>
      <c r="K894" s="5">
        <v>0.69097222222222221</v>
      </c>
      <c r="L894" t="s">
        <v>28</v>
      </c>
      <c r="M894">
        <v>23.122499999999999</v>
      </c>
      <c r="N894">
        <v>8.6</v>
      </c>
    </row>
    <row r="895" spans="1:14" x14ac:dyDescent="0.25">
      <c r="A895" t="s">
        <v>924</v>
      </c>
      <c r="B895" t="s">
        <v>37</v>
      </c>
      <c r="C895" t="s">
        <v>38</v>
      </c>
      <c r="D895" t="s">
        <v>22</v>
      </c>
      <c r="E895" t="s">
        <v>26</v>
      </c>
      <c r="F895" t="s">
        <v>23</v>
      </c>
      <c r="G895" t="s">
        <v>1035</v>
      </c>
      <c r="H895" t="s">
        <v>1043</v>
      </c>
      <c r="I895" s="1">
        <v>43530</v>
      </c>
      <c r="J895" t="s">
        <v>1046</v>
      </c>
      <c r="K895" s="5">
        <v>0.87291666666666667</v>
      </c>
      <c r="L895" t="s">
        <v>24</v>
      </c>
      <c r="M895">
        <v>7.0949999999999998</v>
      </c>
      <c r="N895">
        <v>9.4</v>
      </c>
    </row>
    <row r="896" spans="1:14" x14ac:dyDescent="0.25">
      <c r="A896" t="s">
        <v>925</v>
      </c>
      <c r="B896" t="s">
        <v>37</v>
      </c>
      <c r="C896" t="s">
        <v>38</v>
      </c>
      <c r="D896" t="s">
        <v>15</v>
      </c>
      <c r="E896" t="s">
        <v>26</v>
      </c>
      <c r="F896" t="s">
        <v>23</v>
      </c>
      <c r="G896" t="s">
        <v>1038</v>
      </c>
      <c r="H896" t="s">
        <v>1042</v>
      </c>
      <c r="I896" s="1">
        <v>43502</v>
      </c>
      <c r="J896" t="s">
        <v>1045</v>
      </c>
      <c r="K896" s="5">
        <v>0.63611111111111118</v>
      </c>
      <c r="L896" t="s">
        <v>28</v>
      </c>
      <c r="M896">
        <v>15.135</v>
      </c>
      <c r="N896">
        <v>8.9</v>
      </c>
    </row>
    <row r="897" spans="1:14" x14ac:dyDescent="0.25">
      <c r="A897" t="s">
        <v>926</v>
      </c>
      <c r="B897" t="s">
        <v>37</v>
      </c>
      <c r="C897" t="s">
        <v>38</v>
      </c>
      <c r="D897" t="s">
        <v>22</v>
      </c>
      <c r="E897" t="s">
        <v>26</v>
      </c>
      <c r="F897" t="s">
        <v>17</v>
      </c>
      <c r="G897" t="s">
        <v>1037</v>
      </c>
      <c r="H897" t="s">
        <v>1041</v>
      </c>
      <c r="I897" s="1">
        <v>43493</v>
      </c>
      <c r="J897" t="s">
        <v>1046</v>
      </c>
      <c r="K897" s="5">
        <v>0.74097222222222225</v>
      </c>
      <c r="L897" t="s">
        <v>28</v>
      </c>
      <c r="M897">
        <v>39.664000000000001</v>
      </c>
      <c r="N897">
        <v>4.2</v>
      </c>
    </row>
    <row r="898" spans="1:14" x14ac:dyDescent="0.25">
      <c r="A898" t="s">
        <v>927</v>
      </c>
      <c r="B898" t="s">
        <v>20</v>
      </c>
      <c r="C898" t="s">
        <v>21</v>
      </c>
      <c r="D898" t="s">
        <v>22</v>
      </c>
      <c r="E898" t="s">
        <v>26</v>
      </c>
      <c r="F898" t="s">
        <v>41</v>
      </c>
      <c r="G898" t="s">
        <v>1035</v>
      </c>
      <c r="H898" t="s">
        <v>1041</v>
      </c>
      <c r="I898" s="1">
        <v>43483</v>
      </c>
      <c r="J898" t="s">
        <v>1046</v>
      </c>
      <c r="K898" s="5">
        <v>0.68263888888888891</v>
      </c>
      <c r="L898" t="s">
        <v>18</v>
      </c>
      <c r="M898">
        <v>21.259</v>
      </c>
      <c r="N898">
        <v>5</v>
      </c>
    </row>
    <row r="899" spans="1:14" x14ac:dyDescent="0.25">
      <c r="A899" t="s">
        <v>928</v>
      </c>
      <c r="B899" t="s">
        <v>20</v>
      </c>
      <c r="C899" t="s">
        <v>21</v>
      </c>
      <c r="D899" t="s">
        <v>15</v>
      </c>
      <c r="E899" t="s">
        <v>16</v>
      </c>
      <c r="F899" t="s">
        <v>39</v>
      </c>
      <c r="G899" t="s">
        <v>1038</v>
      </c>
      <c r="H899" t="s">
        <v>1042</v>
      </c>
      <c r="I899" s="1">
        <v>43501</v>
      </c>
      <c r="J899" t="s">
        <v>1044</v>
      </c>
      <c r="K899" s="5">
        <v>0.4284722222222222</v>
      </c>
      <c r="L899" t="s">
        <v>24</v>
      </c>
      <c r="M899">
        <v>14.180999999999999</v>
      </c>
      <c r="N899">
        <v>8.8000000000000007</v>
      </c>
    </row>
    <row r="900" spans="1:14" x14ac:dyDescent="0.25">
      <c r="A900" t="s">
        <v>929</v>
      </c>
      <c r="B900" t="s">
        <v>20</v>
      </c>
      <c r="C900" t="s">
        <v>21</v>
      </c>
      <c r="D900" t="s">
        <v>15</v>
      </c>
      <c r="E900" t="s">
        <v>26</v>
      </c>
      <c r="F900" t="s">
        <v>17</v>
      </c>
      <c r="G900" t="s">
        <v>1035</v>
      </c>
      <c r="H900" t="s">
        <v>1043</v>
      </c>
      <c r="I900" s="1">
        <v>43526</v>
      </c>
      <c r="J900" t="s">
        <v>1045</v>
      </c>
      <c r="K900" s="5">
        <v>0.57638888888888895</v>
      </c>
      <c r="L900" t="s">
        <v>24</v>
      </c>
      <c r="M900">
        <v>29.96</v>
      </c>
      <c r="N900">
        <v>5.3</v>
      </c>
    </row>
    <row r="901" spans="1:14" x14ac:dyDescent="0.25">
      <c r="A901" t="s">
        <v>930</v>
      </c>
      <c r="B901" t="s">
        <v>13</v>
      </c>
      <c r="C901" t="s">
        <v>14</v>
      </c>
      <c r="D901" t="s">
        <v>15</v>
      </c>
      <c r="E901" t="s">
        <v>26</v>
      </c>
      <c r="F901" t="s">
        <v>39</v>
      </c>
      <c r="G901" t="s">
        <v>1039</v>
      </c>
      <c r="H901" t="s">
        <v>1042</v>
      </c>
      <c r="I901" s="1">
        <v>43505</v>
      </c>
      <c r="J901" t="s">
        <v>1046</v>
      </c>
      <c r="K901" s="5">
        <v>0.80347222222222225</v>
      </c>
      <c r="L901" t="s">
        <v>18</v>
      </c>
      <c r="M901">
        <v>15.768000000000001</v>
      </c>
      <c r="N901">
        <v>4.5999999999999996</v>
      </c>
    </row>
    <row r="902" spans="1:14" x14ac:dyDescent="0.25">
      <c r="A902" t="s">
        <v>931</v>
      </c>
      <c r="B902" t="s">
        <v>20</v>
      </c>
      <c r="C902" t="s">
        <v>21</v>
      </c>
      <c r="D902" t="s">
        <v>15</v>
      </c>
      <c r="E902" t="s">
        <v>16</v>
      </c>
      <c r="F902" t="s">
        <v>23</v>
      </c>
      <c r="G902" t="s">
        <v>1035</v>
      </c>
      <c r="H902" t="s">
        <v>1041</v>
      </c>
      <c r="I902" s="1">
        <v>43479</v>
      </c>
      <c r="J902" t="s">
        <v>1045</v>
      </c>
      <c r="K902" s="5">
        <v>0.58333333333333337</v>
      </c>
      <c r="L902" t="s">
        <v>28</v>
      </c>
      <c r="M902">
        <v>20.178000000000001</v>
      </c>
      <c r="N902">
        <v>7.5</v>
      </c>
    </row>
    <row r="903" spans="1:14" x14ac:dyDescent="0.25">
      <c r="A903" t="s">
        <v>932</v>
      </c>
      <c r="B903" t="s">
        <v>37</v>
      </c>
      <c r="C903" t="s">
        <v>38</v>
      </c>
      <c r="D903" t="s">
        <v>22</v>
      </c>
      <c r="E903" t="s">
        <v>26</v>
      </c>
      <c r="F903" t="s">
        <v>27</v>
      </c>
      <c r="G903" t="s">
        <v>1039</v>
      </c>
      <c r="H903" t="s">
        <v>1042</v>
      </c>
      <c r="I903" s="1">
        <v>43505</v>
      </c>
      <c r="J903" t="s">
        <v>1045</v>
      </c>
      <c r="K903" s="5">
        <v>0.50138888888888888</v>
      </c>
      <c r="L903" t="s">
        <v>18</v>
      </c>
      <c r="M903">
        <v>9.1940000000000008</v>
      </c>
      <c r="N903">
        <v>5.0999999999999996</v>
      </c>
    </row>
    <row r="904" spans="1:14" x14ac:dyDescent="0.25">
      <c r="A904" t="s">
        <v>933</v>
      </c>
      <c r="B904" t="s">
        <v>13</v>
      </c>
      <c r="C904" t="s">
        <v>14</v>
      </c>
      <c r="D904" t="s">
        <v>15</v>
      </c>
      <c r="E904" t="s">
        <v>16</v>
      </c>
      <c r="F904" t="s">
        <v>17</v>
      </c>
      <c r="G904" t="s">
        <v>1038</v>
      </c>
      <c r="H904" t="s">
        <v>1043</v>
      </c>
      <c r="I904" s="1">
        <v>43550</v>
      </c>
      <c r="J904" t="s">
        <v>1046</v>
      </c>
      <c r="K904" s="5">
        <v>0.84791666666666676</v>
      </c>
      <c r="L904" t="s">
        <v>28</v>
      </c>
      <c r="M904">
        <v>6.9325000000000001</v>
      </c>
      <c r="N904">
        <v>4.2</v>
      </c>
    </row>
    <row r="905" spans="1:14" x14ac:dyDescent="0.25">
      <c r="A905" t="s">
        <v>934</v>
      </c>
      <c r="B905" t="s">
        <v>13</v>
      </c>
      <c r="C905" t="s">
        <v>14</v>
      </c>
      <c r="D905" t="s">
        <v>22</v>
      </c>
      <c r="E905" t="s">
        <v>26</v>
      </c>
      <c r="F905" t="s">
        <v>39</v>
      </c>
      <c r="G905" t="s">
        <v>1037</v>
      </c>
      <c r="H905" t="s">
        <v>1041</v>
      </c>
      <c r="I905" s="1">
        <v>43493</v>
      </c>
      <c r="J905" t="s">
        <v>1046</v>
      </c>
      <c r="K905" s="5">
        <v>0.73263888888888884</v>
      </c>
      <c r="L905" t="s">
        <v>24</v>
      </c>
      <c r="M905">
        <v>4.0354999999999999</v>
      </c>
      <c r="N905">
        <v>8.1</v>
      </c>
    </row>
    <row r="906" spans="1:14" x14ac:dyDescent="0.25">
      <c r="A906" t="s">
        <v>935</v>
      </c>
      <c r="B906" t="s">
        <v>20</v>
      </c>
      <c r="C906" t="s">
        <v>21</v>
      </c>
      <c r="D906" t="s">
        <v>22</v>
      </c>
      <c r="E906" t="s">
        <v>16</v>
      </c>
      <c r="F906" t="s">
        <v>17</v>
      </c>
      <c r="G906" t="s">
        <v>1039</v>
      </c>
      <c r="H906" t="s">
        <v>1042</v>
      </c>
      <c r="I906" s="1">
        <v>43510</v>
      </c>
      <c r="J906" t="s">
        <v>1045</v>
      </c>
      <c r="K906" s="5">
        <v>0.52916666666666667</v>
      </c>
      <c r="L906" t="s">
        <v>18</v>
      </c>
      <c r="M906">
        <v>5.8319999999999999</v>
      </c>
      <c r="N906">
        <v>6</v>
      </c>
    </row>
    <row r="907" spans="1:14" x14ac:dyDescent="0.25">
      <c r="A907" t="s">
        <v>936</v>
      </c>
      <c r="B907" t="s">
        <v>20</v>
      </c>
      <c r="C907" t="s">
        <v>21</v>
      </c>
      <c r="D907" t="s">
        <v>15</v>
      </c>
      <c r="E907" t="s">
        <v>16</v>
      </c>
      <c r="F907" t="s">
        <v>27</v>
      </c>
      <c r="G907" t="s">
        <v>1038</v>
      </c>
      <c r="H907" t="s">
        <v>1043</v>
      </c>
      <c r="I907" s="1">
        <v>43548</v>
      </c>
      <c r="J907" t="s">
        <v>1046</v>
      </c>
      <c r="K907" s="5">
        <v>0.74722222222222223</v>
      </c>
      <c r="L907" t="s">
        <v>24</v>
      </c>
      <c r="M907">
        <v>15.676</v>
      </c>
      <c r="N907">
        <v>7.9</v>
      </c>
    </row>
    <row r="908" spans="1:14" x14ac:dyDescent="0.25">
      <c r="A908" t="s">
        <v>937</v>
      </c>
      <c r="B908" t="s">
        <v>20</v>
      </c>
      <c r="C908" t="s">
        <v>21</v>
      </c>
      <c r="D908" t="s">
        <v>22</v>
      </c>
      <c r="E908" t="s">
        <v>26</v>
      </c>
      <c r="F908" t="s">
        <v>17</v>
      </c>
      <c r="G908" t="s">
        <v>1039</v>
      </c>
      <c r="H908" t="s">
        <v>1042</v>
      </c>
      <c r="I908" s="1">
        <v>43505</v>
      </c>
      <c r="J908" t="s">
        <v>1046</v>
      </c>
      <c r="K908" s="5">
        <v>0.79027777777777775</v>
      </c>
      <c r="L908" t="s">
        <v>28</v>
      </c>
      <c r="M908">
        <v>42.305</v>
      </c>
      <c r="N908">
        <v>8.8000000000000007</v>
      </c>
    </row>
    <row r="909" spans="1:14" x14ac:dyDescent="0.25">
      <c r="A909" t="s">
        <v>938</v>
      </c>
      <c r="B909" t="s">
        <v>37</v>
      </c>
      <c r="C909" t="s">
        <v>38</v>
      </c>
      <c r="D909" t="s">
        <v>22</v>
      </c>
      <c r="E909" t="s">
        <v>16</v>
      </c>
      <c r="F909" t="s">
        <v>17</v>
      </c>
      <c r="G909" t="s">
        <v>1038</v>
      </c>
      <c r="H909" t="s">
        <v>1043</v>
      </c>
      <c r="I909" s="1">
        <v>43548</v>
      </c>
      <c r="J909" t="s">
        <v>1045</v>
      </c>
      <c r="K909" s="5">
        <v>0.58888888888888891</v>
      </c>
      <c r="L909" t="s">
        <v>28</v>
      </c>
      <c r="M909">
        <v>20.72</v>
      </c>
      <c r="N909">
        <v>6.6</v>
      </c>
    </row>
    <row r="910" spans="1:14" x14ac:dyDescent="0.25">
      <c r="A910" t="s">
        <v>939</v>
      </c>
      <c r="B910" t="s">
        <v>13</v>
      </c>
      <c r="C910" t="s">
        <v>14</v>
      </c>
      <c r="D910" t="s">
        <v>15</v>
      </c>
      <c r="E910" t="s">
        <v>16</v>
      </c>
      <c r="F910" t="s">
        <v>39</v>
      </c>
      <c r="G910" t="s">
        <v>1038</v>
      </c>
      <c r="H910" t="s">
        <v>1043</v>
      </c>
      <c r="I910" s="1">
        <v>43551</v>
      </c>
      <c r="J910" t="s">
        <v>1046</v>
      </c>
      <c r="K910" s="5">
        <v>0.6875</v>
      </c>
      <c r="L910" t="s">
        <v>18</v>
      </c>
      <c r="M910">
        <v>7.9539999999999997</v>
      </c>
      <c r="N910">
        <v>6.2</v>
      </c>
    </row>
    <row r="911" spans="1:14" x14ac:dyDescent="0.25">
      <c r="A911" t="s">
        <v>940</v>
      </c>
      <c r="B911" t="s">
        <v>37</v>
      </c>
      <c r="C911" t="s">
        <v>38</v>
      </c>
      <c r="D911" t="s">
        <v>22</v>
      </c>
      <c r="E911" t="s">
        <v>16</v>
      </c>
      <c r="F911" t="s">
        <v>27</v>
      </c>
      <c r="G911" t="s">
        <v>1037</v>
      </c>
      <c r="H911" t="s">
        <v>1041</v>
      </c>
      <c r="I911" s="1">
        <v>43492</v>
      </c>
      <c r="J911" t="s">
        <v>1044</v>
      </c>
      <c r="K911" s="5">
        <v>0.44722222222222219</v>
      </c>
      <c r="L911" t="s">
        <v>28</v>
      </c>
      <c r="M911">
        <v>24.504999999999999</v>
      </c>
      <c r="N911">
        <v>4.2</v>
      </c>
    </row>
    <row r="912" spans="1:14" x14ac:dyDescent="0.25">
      <c r="A912" t="s">
        <v>941</v>
      </c>
      <c r="B912" t="s">
        <v>37</v>
      </c>
      <c r="C912" t="s">
        <v>38</v>
      </c>
      <c r="D912" t="s">
        <v>15</v>
      </c>
      <c r="E912" t="s">
        <v>16</v>
      </c>
      <c r="F912" t="s">
        <v>39</v>
      </c>
      <c r="G912" t="s">
        <v>1038</v>
      </c>
      <c r="H912" t="s">
        <v>1043</v>
      </c>
      <c r="I912" s="1">
        <v>43551</v>
      </c>
      <c r="J912" t="s">
        <v>1046</v>
      </c>
      <c r="K912" s="5">
        <v>0.8534722222222223</v>
      </c>
      <c r="L912" t="s">
        <v>28</v>
      </c>
      <c r="M912">
        <v>4.3724999999999996</v>
      </c>
      <c r="N912">
        <v>7.3</v>
      </c>
    </row>
    <row r="913" spans="1:14" x14ac:dyDescent="0.25">
      <c r="A913" t="s">
        <v>942</v>
      </c>
      <c r="B913" t="s">
        <v>20</v>
      </c>
      <c r="C913" t="s">
        <v>21</v>
      </c>
      <c r="D913" t="s">
        <v>22</v>
      </c>
      <c r="E913" t="s">
        <v>16</v>
      </c>
      <c r="F913" t="s">
        <v>23</v>
      </c>
      <c r="G913" t="s">
        <v>1036</v>
      </c>
      <c r="H913" t="s">
        <v>1041</v>
      </c>
      <c r="I913" s="1">
        <v>43484</v>
      </c>
      <c r="J913" t="s">
        <v>1044</v>
      </c>
      <c r="K913" s="5">
        <v>0.48819444444444443</v>
      </c>
      <c r="L913" t="s">
        <v>18</v>
      </c>
      <c r="M913">
        <v>11.226000000000001</v>
      </c>
      <c r="N913">
        <v>8.6</v>
      </c>
    </row>
    <row r="914" spans="1:14" x14ac:dyDescent="0.25">
      <c r="A914" t="s">
        <v>943</v>
      </c>
      <c r="B914" t="s">
        <v>13</v>
      </c>
      <c r="C914" t="s">
        <v>14</v>
      </c>
      <c r="D914" t="s">
        <v>22</v>
      </c>
      <c r="E914" t="s">
        <v>16</v>
      </c>
      <c r="F914" t="s">
        <v>27</v>
      </c>
      <c r="G914" t="s">
        <v>1038</v>
      </c>
      <c r="H914" t="s">
        <v>1042</v>
      </c>
      <c r="I914" s="1">
        <v>43503</v>
      </c>
      <c r="J914" t="s">
        <v>1044</v>
      </c>
      <c r="K914" s="5">
        <v>0.42291666666666666</v>
      </c>
      <c r="L914" t="s">
        <v>24</v>
      </c>
      <c r="M914">
        <v>37.247999999999998</v>
      </c>
      <c r="N914">
        <v>6.8</v>
      </c>
    </row>
    <row r="915" spans="1:14" x14ac:dyDescent="0.25">
      <c r="A915" t="s">
        <v>944</v>
      </c>
      <c r="B915" t="s">
        <v>13</v>
      </c>
      <c r="C915" t="s">
        <v>14</v>
      </c>
      <c r="D915" t="s">
        <v>15</v>
      </c>
      <c r="E915" t="s">
        <v>26</v>
      </c>
      <c r="F915" t="s">
        <v>41</v>
      </c>
      <c r="G915" t="s">
        <v>1037</v>
      </c>
      <c r="H915" t="s">
        <v>1041</v>
      </c>
      <c r="I915" s="1">
        <v>43496</v>
      </c>
      <c r="J915" t="s">
        <v>1044</v>
      </c>
      <c r="K915" s="5">
        <v>0.41666666666666669</v>
      </c>
      <c r="L915" t="s">
        <v>18</v>
      </c>
      <c r="M915">
        <v>20.536000000000001</v>
      </c>
      <c r="N915">
        <v>7.6</v>
      </c>
    </row>
    <row r="916" spans="1:14" x14ac:dyDescent="0.25">
      <c r="A916" t="s">
        <v>945</v>
      </c>
      <c r="B916" t="s">
        <v>13</v>
      </c>
      <c r="C916" t="s">
        <v>14</v>
      </c>
      <c r="D916" t="s">
        <v>15</v>
      </c>
      <c r="E916" t="s">
        <v>16</v>
      </c>
      <c r="F916" t="s">
        <v>39</v>
      </c>
      <c r="G916" t="s">
        <v>1034</v>
      </c>
      <c r="H916" t="s">
        <v>1042</v>
      </c>
      <c r="I916" s="1">
        <v>43521</v>
      </c>
      <c r="J916" t="s">
        <v>1046</v>
      </c>
      <c r="K916" s="5">
        <v>0.78125</v>
      </c>
      <c r="L916" t="s">
        <v>24</v>
      </c>
      <c r="M916">
        <v>14.94</v>
      </c>
      <c r="N916">
        <v>5.8</v>
      </c>
    </row>
    <row r="917" spans="1:14" x14ac:dyDescent="0.25">
      <c r="A917" t="s">
        <v>946</v>
      </c>
      <c r="B917" t="s">
        <v>20</v>
      </c>
      <c r="C917" t="s">
        <v>21</v>
      </c>
      <c r="D917" t="s">
        <v>22</v>
      </c>
      <c r="E917" t="s">
        <v>16</v>
      </c>
      <c r="F917" t="s">
        <v>23</v>
      </c>
      <c r="G917" t="s">
        <v>1038</v>
      </c>
      <c r="H917" t="s">
        <v>1042</v>
      </c>
      <c r="I917" s="1">
        <v>43498</v>
      </c>
      <c r="J917" t="s">
        <v>1045</v>
      </c>
      <c r="K917" s="5">
        <v>0.52777777777777779</v>
      </c>
      <c r="L917" t="s">
        <v>24</v>
      </c>
      <c r="M917">
        <v>10.647</v>
      </c>
      <c r="N917">
        <v>4.0999999999999996</v>
      </c>
    </row>
    <row r="918" spans="1:14" x14ac:dyDescent="0.25">
      <c r="A918" t="s">
        <v>947</v>
      </c>
      <c r="B918" t="s">
        <v>20</v>
      </c>
      <c r="C918" t="s">
        <v>21</v>
      </c>
      <c r="D918" t="s">
        <v>15</v>
      </c>
      <c r="E918" t="s">
        <v>26</v>
      </c>
      <c r="F918" t="s">
        <v>31</v>
      </c>
      <c r="G918" t="s">
        <v>1036</v>
      </c>
      <c r="H918" t="s">
        <v>1043</v>
      </c>
      <c r="I918" s="1">
        <v>43538</v>
      </c>
      <c r="J918" t="s">
        <v>1045</v>
      </c>
      <c r="K918" s="5">
        <v>0.65</v>
      </c>
      <c r="L918" t="s">
        <v>28</v>
      </c>
      <c r="M918">
        <v>2.1425000000000001</v>
      </c>
      <c r="N918">
        <v>9.3000000000000007</v>
      </c>
    </row>
    <row r="919" spans="1:14" x14ac:dyDescent="0.25">
      <c r="A919" t="s">
        <v>948</v>
      </c>
      <c r="B919" t="s">
        <v>13</v>
      </c>
      <c r="C919" t="s">
        <v>14</v>
      </c>
      <c r="D919" t="s">
        <v>22</v>
      </c>
      <c r="E919" t="s">
        <v>16</v>
      </c>
      <c r="F919" t="s">
        <v>41</v>
      </c>
      <c r="G919" t="s">
        <v>1036</v>
      </c>
      <c r="H919" t="s">
        <v>1043</v>
      </c>
      <c r="I919" s="1">
        <v>43535</v>
      </c>
      <c r="J919" t="s">
        <v>1045</v>
      </c>
      <c r="K919" s="5">
        <v>0.50277777777777777</v>
      </c>
      <c r="L919" t="s">
        <v>24</v>
      </c>
      <c r="M919">
        <v>18.934000000000001</v>
      </c>
      <c r="N919">
        <v>6.8</v>
      </c>
    </row>
    <row r="920" spans="1:14" x14ac:dyDescent="0.25">
      <c r="A920" t="s">
        <v>949</v>
      </c>
      <c r="B920" t="s">
        <v>37</v>
      </c>
      <c r="C920" t="s">
        <v>38</v>
      </c>
      <c r="D920" t="s">
        <v>22</v>
      </c>
      <c r="E920" t="s">
        <v>26</v>
      </c>
      <c r="F920" t="s">
        <v>27</v>
      </c>
      <c r="G920" t="s">
        <v>1040</v>
      </c>
      <c r="H920" t="s">
        <v>1042</v>
      </c>
      <c r="I920" s="1">
        <v>43518</v>
      </c>
      <c r="J920" t="s">
        <v>1044</v>
      </c>
      <c r="K920" s="5">
        <v>0.47638888888888892</v>
      </c>
      <c r="L920" t="s">
        <v>18</v>
      </c>
      <c r="M920">
        <v>10.345499999999999</v>
      </c>
      <c r="N920">
        <v>8.6999999999999993</v>
      </c>
    </row>
    <row r="921" spans="1:14" x14ac:dyDescent="0.25">
      <c r="A921" t="s">
        <v>950</v>
      </c>
      <c r="B921" t="s">
        <v>37</v>
      </c>
      <c r="C921" t="s">
        <v>38</v>
      </c>
      <c r="D921" t="s">
        <v>15</v>
      </c>
      <c r="E921" t="s">
        <v>16</v>
      </c>
      <c r="F921" t="s">
        <v>23</v>
      </c>
      <c r="G921" t="s">
        <v>1035</v>
      </c>
      <c r="H921" t="s">
        <v>1043</v>
      </c>
      <c r="I921" s="1">
        <v>43526</v>
      </c>
      <c r="J921" t="s">
        <v>1045</v>
      </c>
      <c r="K921" s="5">
        <v>0.52500000000000002</v>
      </c>
      <c r="L921" t="s">
        <v>18</v>
      </c>
      <c r="M921">
        <v>3.9390000000000001</v>
      </c>
      <c r="N921">
        <v>6.3</v>
      </c>
    </row>
    <row r="922" spans="1:14" x14ac:dyDescent="0.25">
      <c r="A922" t="s">
        <v>951</v>
      </c>
      <c r="B922" t="s">
        <v>20</v>
      </c>
      <c r="C922" t="s">
        <v>21</v>
      </c>
      <c r="D922" t="s">
        <v>15</v>
      </c>
      <c r="E922" t="s">
        <v>16</v>
      </c>
      <c r="F922" t="s">
        <v>27</v>
      </c>
      <c r="G922" t="s">
        <v>1036</v>
      </c>
      <c r="H922" t="s">
        <v>1043</v>
      </c>
      <c r="I922" s="1">
        <v>43534</v>
      </c>
      <c r="J922" t="s">
        <v>1045</v>
      </c>
      <c r="K922" s="5">
        <v>0.62916666666666665</v>
      </c>
      <c r="L922" t="s">
        <v>28</v>
      </c>
      <c r="M922">
        <v>16.105499999999999</v>
      </c>
      <c r="N922">
        <v>5.0999999999999996</v>
      </c>
    </row>
    <row r="923" spans="1:14" x14ac:dyDescent="0.25">
      <c r="A923" t="s">
        <v>952</v>
      </c>
      <c r="B923" t="s">
        <v>37</v>
      </c>
      <c r="C923" t="s">
        <v>38</v>
      </c>
      <c r="D923" t="s">
        <v>22</v>
      </c>
      <c r="E923" t="s">
        <v>16</v>
      </c>
      <c r="F923" t="s">
        <v>27</v>
      </c>
      <c r="G923" t="s">
        <v>1038</v>
      </c>
      <c r="H923" t="s">
        <v>1042</v>
      </c>
      <c r="I923" s="1">
        <v>43504</v>
      </c>
      <c r="J923" t="s">
        <v>1044</v>
      </c>
      <c r="K923" s="5">
        <v>0.45694444444444443</v>
      </c>
      <c r="L923" t="s">
        <v>24</v>
      </c>
      <c r="M923">
        <v>4.9109999999999996</v>
      </c>
      <c r="N923">
        <v>7</v>
      </c>
    </row>
    <row r="924" spans="1:14" x14ac:dyDescent="0.25">
      <c r="A924" t="s">
        <v>953</v>
      </c>
      <c r="B924" t="s">
        <v>20</v>
      </c>
      <c r="C924" t="s">
        <v>21</v>
      </c>
      <c r="D924" t="s">
        <v>15</v>
      </c>
      <c r="E924" t="s">
        <v>16</v>
      </c>
      <c r="F924" t="s">
        <v>27</v>
      </c>
      <c r="G924" t="s">
        <v>1040</v>
      </c>
      <c r="H924" t="s">
        <v>1042</v>
      </c>
      <c r="I924" s="1">
        <v>43518</v>
      </c>
      <c r="J924" t="s">
        <v>1045</v>
      </c>
      <c r="K924" s="5">
        <v>0.50694444444444442</v>
      </c>
      <c r="L924" t="s">
        <v>28</v>
      </c>
      <c r="M924">
        <v>1.2729999999999999</v>
      </c>
      <c r="N924">
        <v>5.2</v>
      </c>
    </row>
    <row r="925" spans="1:14" x14ac:dyDescent="0.25">
      <c r="A925" t="s">
        <v>954</v>
      </c>
      <c r="B925" t="s">
        <v>20</v>
      </c>
      <c r="C925" t="s">
        <v>21</v>
      </c>
      <c r="D925" t="s">
        <v>22</v>
      </c>
      <c r="E925" t="s">
        <v>16</v>
      </c>
      <c r="F925" t="s">
        <v>31</v>
      </c>
      <c r="G925" t="s">
        <v>1034</v>
      </c>
      <c r="H925" t="s">
        <v>1041</v>
      </c>
      <c r="I925" s="1">
        <v>43475</v>
      </c>
      <c r="J925" t="s">
        <v>1044</v>
      </c>
      <c r="K925" s="5">
        <v>0.4381944444444445</v>
      </c>
      <c r="L925" t="s">
        <v>28</v>
      </c>
      <c r="M925">
        <v>29.099</v>
      </c>
      <c r="N925">
        <v>6.6</v>
      </c>
    </row>
    <row r="926" spans="1:14" x14ac:dyDescent="0.25">
      <c r="A926" t="s">
        <v>955</v>
      </c>
      <c r="B926" t="s">
        <v>20</v>
      </c>
      <c r="C926" t="s">
        <v>21</v>
      </c>
      <c r="D926" t="s">
        <v>15</v>
      </c>
      <c r="E926" t="s">
        <v>16</v>
      </c>
      <c r="F926" t="s">
        <v>31</v>
      </c>
      <c r="G926" t="s">
        <v>1036</v>
      </c>
      <c r="H926" t="s">
        <v>1043</v>
      </c>
      <c r="I926" s="1">
        <v>43538</v>
      </c>
      <c r="J926" t="s">
        <v>1045</v>
      </c>
      <c r="K926" s="5">
        <v>0.5756944444444444</v>
      </c>
      <c r="L926" t="s">
        <v>18</v>
      </c>
      <c r="M926">
        <v>10.566000000000001</v>
      </c>
      <c r="N926">
        <v>6.5</v>
      </c>
    </row>
    <row r="927" spans="1:14" x14ac:dyDescent="0.25">
      <c r="A927" t="s">
        <v>956</v>
      </c>
      <c r="B927" t="s">
        <v>37</v>
      </c>
      <c r="C927" t="s">
        <v>38</v>
      </c>
      <c r="D927" t="s">
        <v>22</v>
      </c>
      <c r="E927" t="s">
        <v>16</v>
      </c>
      <c r="F927" t="s">
        <v>23</v>
      </c>
      <c r="G927" t="s">
        <v>1034</v>
      </c>
      <c r="H927" t="s">
        <v>1041</v>
      </c>
      <c r="I927" s="1">
        <v>43475</v>
      </c>
      <c r="J927" t="s">
        <v>1044</v>
      </c>
      <c r="K927" s="5">
        <v>0.46527777777777773</v>
      </c>
      <c r="L927" t="s">
        <v>18</v>
      </c>
      <c r="M927">
        <v>2.7559999999999998</v>
      </c>
      <c r="N927">
        <v>9</v>
      </c>
    </row>
    <row r="928" spans="1:14" x14ac:dyDescent="0.25">
      <c r="A928" t="s">
        <v>957</v>
      </c>
      <c r="B928" t="s">
        <v>37</v>
      </c>
      <c r="C928" t="s">
        <v>38</v>
      </c>
      <c r="D928" t="s">
        <v>15</v>
      </c>
      <c r="E928" t="s">
        <v>26</v>
      </c>
      <c r="F928" t="s">
        <v>31</v>
      </c>
      <c r="G928" t="s">
        <v>1039</v>
      </c>
      <c r="H928" t="s">
        <v>1042</v>
      </c>
      <c r="I928" s="1">
        <v>43511</v>
      </c>
      <c r="J928" t="s">
        <v>1046</v>
      </c>
      <c r="K928" s="5">
        <v>0.73472222222222217</v>
      </c>
      <c r="L928" t="s">
        <v>28</v>
      </c>
      <c r="M928">
        <v>4.4154999999999998</v>
      </c>
      <c r="N928">
        <v>5.2</v>
      </c>
    </row>
    <row r="929" spans="1:14" x14ac:dyDescent="0.25">
      <c r="A929" t="s">
        <v>958</v>
      </c>
      <c r="B929" t="s">
        <v>13</v>
      </c>
      <c r="C929" t="s">
        <v>14</v>
      </c>
      <c r="D929" t="s">
        <v>15</v>
      </c>
      <c r="E929" t="s">
        <v>16</v>
      </c>
      <c r="F929" t="s">
        <v>17</v>
      </c>
      <c r="G929" t="s">
        <v>1035</v>
      </c>
      <c r="H929" t="s">
        <v>1041</v>
      </c>
      <c r="I929" s="1">
        <v>43478</v>
      </c>
      <c r="J929" t="s">
        <v>1046</v>
      </c>
      <c r="K929" s="5">
        <v>0.74583333333333324</v>
      </c>
      <c r="L929" t="s">
        <v>28</v>
      </c>
      <c r="M929">
        <v>17.829000000000001</v>
      </c>
      <c r="N929">
        <v>6.8</v>
      </c>
    </row>
    <row r="930" spans="1:14" x14ac:dyDescent="0.25">
      <c r="A930" t="s">
        <v>959</v>
      </c>
      <c r="B930" t="s">
        <v>37</v>
      </c>
      <c r="C930" t="s">
        <v>38</v>
      </c>
      <c r="D930" t="s">
        <v>22</v>
      </c>
      <c r="E930" t="s">
        <v>16</v>
      </c>
      <c r="F930" t="s">
        <v>23</v>
      </c>
      <c r="G930" t="s">
        <v>1039</v>
      </c>
      <c r="H930" t="s">
        <v>1042</v>
      </c>
      <c r="I930" s="1">
        <v>43511</v>
      </c>
      <c r="J930" t="s">
        <v>1046</v>
      </c>
      <c r="K930" s="5">
        <v>0.86875000000000002</v>
      </c>
      <c r="L930" t="s">
        <v>28</v>
      </c>
      <c r="M930">
        <v>39.712499999999999</v>
      </c>
      <c r="N930">
        <v>7.6</v>
      </c>
    </row>
    <row r="931" spans="1:14" x14ac:dyDescent="0.25">
      <c r="A931" t="s">
        <v>960</v>
      </c>
      <c r="B931" t="s">
        <v>37</v>
      </c>
      <c r="C931" t="s">
        <v>38</v>
      </c>
      <c r="D931" t="s">
        <v>22</v>
      </c>
      <c r="E931" t="s">
        <v>26</v>
      </c>
      <c r="F931" t="s">
        <v>31</v>
      </c>
      <c r="G931" t="s">
        <v>1035</v>
      </c>
      <c r="H931" t="s">
        <v>1043</v>
      </c>
      <c r="I931" s="1">
        <v>43526</v>
      </c>
      <c r="J931" t="s">
        <v>1046</v>
      </c>
      <c r="K931" s="5">
        <v>0.80972222222222223</v>
      </c>
      <c r="L931" t="s">
        <v>18</v>
      </c>
      <c r="M931">
        <v>2.5310000000000001</v>
      </c>
      <c r="N931">
        <v>7.2</v>
      </c>
    </row>
    <row r="932" spans="1:14" x14ac:dyDescent="0.25">
      <c r="A932" t="s">
        <v>961</v>
      </c>
      <c r="B932" t="s">
        <v>37</v>
      </c>
      <c r="C932" t="s">
        <v>38</v>
      </c>
      <c r="D932" t="s">
        <v>22</v>
      </c>
      <c r="E932" t="s">
        <v>26</v>
      </c>
      <c r="F932" t="s">
        <v>27</v>
      </c>
      <c r="G932" t="s">
        <v>1038</v>
      </c>
      <c r="H932" t="s">
        <v>1043</v>
      </c>
      <c r="I932" s="1">
        <v>43548</v>
      </c>
      <c r="J932" t="s">
        <v>1045</v>
      </c>
      <c r="K932" s="5">
        <v>0.56458333333333333</v>
      </c>
      <c r="L932" t="s">
        <v>18</v>
      </c>
      <c r="M932">
        <v>29.975999999999999</v>
      </c>
      <c r="N932">
        <v>7.1</v>
      </c>
    </row>
    <row r="933" spans="1:14" x14ac:dyDescent="0.25">
      <c r="A933" t="s">
        <v>962</v>
      </c>
      <c r="B933" t="s">
        <v>20</v>
      </c>
      <c r="C933" t="s">
        <v>21</v>
      </c>
      <c r="D933" t="s">
        <v>15</v>
      </c>
      <c r="E933" t="s">
        <v>16</v>
      </c>
      <c r="F933" t="s">
        <v>41</v>
      </c>
      <c r="G933" t="s">
        <v>1038</v>
      </c>
      <c r="H933" t="s">
        <v>1042</v>
      </c>
      <c r="I933" s="1">
        <v>43498</v>
      </c>
      <c r="J933" t="s">
        <v>1045</v>
      </c>
      <c r="K933" s="5">
        <v>0.58680555555555558</v>
      </c>
      <c r="L933" t="s">
        <v>28</v>
      </c>
      <c r="M933">
        <v>8.3350000000000009</v>
      </c>
      <c r="N933">
        <v>9.5</v>
      </c>
    </row>
    <row r="934" spans="1:14" x14ac:dyDescent="0.25">
      <c r="A934" t="s">
        <v>963</v>
      </c>
      <c r="B934" t="s">
        <v>13</v>
      </c>
      <c r="C934" t="s">
        <v>14</v>
      </c>
      <c r="D934" t="s">
        <v>22</v>
      </c>
      <c r="E934" t="s">
        <v>16</v>
      </c>
      <c r="F934" t="s">
        <v>39</v>
      </c>
      <c r="G934" t="s">
        <v>1034</v>
      </c>
      <c r="H934" t="s">
        <v>1042</v>
      </c>
      <c r="I934" s="1">
        <v>43523</v>
      </c>
      <c r="J934" t="s">
        <v>1044</v>
      </c>
      <c r="K934" s="5">
        <v>0.4861111111111111</v>
      </c>
      <c r="L934" t="s">
        <v>18</v>
      </c>
      <c r="M934">
        <v>37.22</v>
      </c>
      <c r="N934">
        <v>5.0999999999999996</v>
      </c>
    </row>
    <row r="935" spans="1:14" x14ac:dyDescent="0.25">
      <c r="A935" t="s">
        <v>964</v>
      </c>
      <c r="B935" t="s">
        <v>20</v>
      </c>
      <c r="C935" t="s">
        <v>21</v>
      </c>
      <c r="D935" t="s">
        <v>22</v>
      </c>
      <c r="E935" t="s">
        <v>26</v>
      </c>
      <c r="F935" t="s">
        <v>17</v>
      </c>
      <c r="G935" t="s">
        <v>1036</v>
      </c>
      <c r="H935" t="s">
        <v>1041</v>
      </c>
      <c r="I935" s="1">
        <v>43485</v>
      </c>
      <c r="J935" t="s">
        <v>1045</v>
      </c>
      <c r="K935" s="5">
        <v>0.51874999999999993</v>
      </c>
      <c r="L935" t="s">
        <v>18</v>
      </c>
      <c r="M935">
        <v>22.428000000000001</v>
      </c>
      <c r="N935">
        <v>7.6</v>
      </c>
    </row>
    <row r="936" spans="1:14" x14ac:dyDescent="0.25">
      <c r="A936" t="s">
        <v>965</v>
      </c>
      <c r="B936" t="s">
        <v>37</v>
      </c>
      <c r="C936" t="s">
        <v>38</v>
      </c>
      <c r="D936" t="s">
        <v>22</v>
      </c>
      <c r="E936" t="s">
        <v>16</v>
      </c>
      <c r="F936" t="s">
        <v>27</v>
      </c>
      <c r="G936" t="s">
        <v>1040</v>
      </c>
      <c r="H936" t="s">
        <v>1041</v>
      </c>
      <c r="I936" s="1">
        <v>43468</v>
      </c>
      <c r="J936" t="s">
        <v>1046</v>
      </c>
      <c r="K936" s="5">
        <v>0.85</v>
      </c>
      <c r="L936" t="s">
        <v>18</v>
      </c>
      <c r="M936">
        <v>18.945</v>
      </c>
      <c r="N936">
        <v>9.8000000000000007</v>
      </c>
    </row>
    <row r="937" spans="1:14" x14ac:dyDescent="0.25">
      <c r="A937" t="s">
        <v>966</v>
      </c>
      <c r="B937" t="s">
        <v>20</v>
      </c>
      <c r="C937" t="s">
        <v>21</v>
      </c>
      <c r="D937" t="s">
        <v>15</v>
      </c>
      <c r="E937" t="s">
        <v>26</v>
      </c>
      <c r="F937" t="s">
        <v>27</v>
      </c>
      <c r="G937" t="s">
        <v>1036</v>
      </c>
      <c r="H937" t="s">
        <v>1041</v>
      </c>
      <c r="I937" s="1">
        <v>43489</v>
      </c>
      <c r="J937" t="s">
        <v>1046</v>
      </c>
      <c r="K937" s="5">
        <v>0.87430555555555556</v>
      </c>
      <c r="L937" t="s">
        <v>18</v>
      </c>
      <c r="M937">
        <v>12.858000000000001</v>
      </c>
      <c r="N937">
        <v>5.0999999999999996</v>
      </c>
    </row>
    <row r="938" spans="1:14" x14ac:dyDescent="0.25">
      <c r="A938" t="s">
        <v>967</v>
      </c>
      <c r="B938" t="s">
        <v>20</v>
      </c>
      <c r="C938" t="s">
        <v>21</v>
      </c>
      <c r="D938" t="s">
        <v>22</v>
      </c>
      <c r="E938" t="s">
        <v>16</v>
      </c>
      <c r="F938" t="s">
        <v>17</v>
      </c>
      <c r="G938" t="s">
        <v>1034</v>
      </c>
      <c r="H938" t="s">
        <v>1041</v>
      </c>
      <c r="I938" s="1">
        <v>43470</v>
      </c>
      <c r="J938" t="s">
        <v>1046</v>
      </c>
      <c r="K938" s="5">
        <v>0.82500000000000007</v>
      </c>
      <c r="L938" t="s">
        <v>18</v>
      </c>
      <c r="M938">
        <v>27.611499999999999</v>
      </c>
      <c r="N938">
        <v>7.5</v>
      </c>
    </row>
    <row r="939" spans="1:14" x14ac:dyDescent="0.25">
      <c r="A939" t="s">
        <v>968</v>
      </c>
      <c r="B939" t="s">
        <v>13</v>
      </c>
      <c r="C939" t="s">
        <v>14</v>
      </c>
      <c r="D939" t="s">
        <v>22</v>
      </c>
      <c r="E939" t="s">
        <v>16</v>
      </c>
      <c r="F939" t="s">
        <v>31</v>
      </c>
      <c r="G939" t="s">
        <v>1039</v>
      </c>
      <c r="H939" t="s">
        <v>1043</v>
      </c>
      <c r="I939" s="1">
        <v>43554</v>
      </c>
      <c r="J939" t="s">
        <v>1044</v>
      </c>
      <c r="K939" s="5">
        <v>0.4291666666666667</v>
      </c>
      <c r="L939" t="s">
        <v>24</v>
      </c>
      <c r="M939">
        <v>22.37</v>
      </c>
      <c r="N939">
        <v>7.4</v>
      </c>
    </row>
    <row r="940" spans="1:14" x14ac:dyDescent="0.25">
      <c r="A940" t="s">
        <v>969</v>
      </c>
      <c r="B940" t="s">
        <v>13</v>
      </c>
      <c r="C940" t="s">
        <v>14</v>
      </c>
      <c r="D940" t="s">
        <v>15</v>
      </c>
      <c r="E940" t="s">
        <v>16</v>
      </c>
      <c r="F940" t="s">
        <v>17</v>
      </c>
      <c r="G940" t="s">
        <v>1040</v>
      </c>
      <c r="H940" t="s">
        <v>1042</v>
      </c>
      <c r="I940" s="1">
        <v>43513</v>
      </c>
      <c r="J940" t="s">
        <v>1046</v>
      </c>
      <c r="K940" s="5">
        <v>0.68541666666666667</v>
      </c>
      <c r="L940" t="s">
        <v>24</v>
      </c>
      <c r="M940">
        <v>13.813499999999999</v>
      </c>
      <c r="N940">
        <v>4.2</v>
      </c>
    </row>
    <row r="941" spans="1:14" x14ac:dyDescent="0.25">
      <c r="A941" t="s">
        <v>970</v>
      </c>
      <c r="B941" t="s">
        <v>20</v>
      </c>
      <c r="C941" t="s">
        <v>21</v>
      </c>
      <c r="D941" t="s">
        <v>22</v>
      </c>
      <c r="E941" t="s">
        <v>16</v>
      </c>
      <c r="F941" t="s">
        <v>39</v>
      </c>
      <c r="G941" t="s">
        <v>1037</v>
      </c>
      <c r="H941" t="s">
        <v>1043</v>
      </c>
      <c r="I941" s="1">
        <v>43545</v>
      </c>
      <c r="J941" t="s">
        <v>1046</v>
      </c>
      <c r="K941" s="5">
        <v>0.71111111111111114</v>
      </c>
      <c r="L941" t="s">
        <v>18</v>
      </c>
      <c r="M941">
        <v>17.187000000000001</v>
      </c>
      <c r="N941">
        <v>5.9</v>
      </c>
    </row>
    <row r="942" spans="1:14" x14ac:dyDescent="0.25">
      <c r="A942" t="s">
        <v>971</v>
      </c>
      <c r="B942" t="s">
        <v>13</v>
      </c>
      <c r="C942" t="s">
        <v>14</v>
      </c>
      <c r="D942" t="s">
        <v>22</v>
      </c>
      <c r="E942" t="s">
        <v>26</v>
      </c>
      <c r="F942" t="s">
        <v>39</v>
      </c>
      <c r="G942" t="s">
        <v>1035</v>
      </c>
      <c r="H942" t="s">
        <v>1043</v>
      </c>
      <c r="I942" s="1">
        <v>43526</v>
      </c>
      <c r="J942" t="s">
        <v>1046</v>
      </c>
      <c r="K942" s="5">
        <v>0.7597222222222223</v>
      </c>
      <c r="L942" t="s">
        <v>18</v>
      </c>
      <c r="M942">
        <v>13.304</v>
      </c>
      <c r="N942">
        <v>6.9</v>
      </c>
    </row>
    <row r="943" spans="1:14" x14ac:dyDescent="0.25">
      <c r="A943" t="s">
        <v>972</v>
      </c>
      <c r="B943" t="s">
        <v>20</v>
      </c>
      <c r="C943" t="s">
        <v>21</v>
      </c>
      <c r="D943" t="s">
        <v>15</v>
      </c>
      <c r="E943" t="s">
        <v>26</v>
      </c>
      <c r="F943" t="s">
        <v>41</v>
      </c>
      <c r="G943" t="s">
        <v>1038</v>
      </c>
      <c r="H943" t="s">
        <v>1043</v>
      </c>
      <c r="I943" s="1">
        <v>43551</v>
      </c>
      <c r="J943" t="s">
        <v>1044</v>
      </c>
      <c r="K943" s="5">
        <v>0.4465277777777778</v>
      </c>
      <c r="L943" t="s">
        <v>24</v>
      </c>
      <c r="M943">
        <v>44.918999999999997</v>
      </c>
      <c r="N943">
        <v>6.6</v>
      </c>
    </row>
    <row r="944" spans="1:14" x14ac:dyDescent="0.25">
      <c r="A944" t="s">
        <v>973</v>
      </c>
      <c r="B944" t="s">
        <v>13</v>
      </c>
      <c r="C944" t="s">
        <v>14</v>
      </c>
      <c r="D944" t="s">
        <v>22</v>
      </c>
      <c r="E944" t="s">
        <v>16</v>
      </c>
      <c r="F944" t="s">
        <v>27</v>
      </c>
      <c r="G944" t="s">
        <v>1036</v>
      </c>
      <c r="H944" t="s">
        <v>1041</v>
      </c>
      <c r="I944" s="1">
        <v>43484</v>
      </c>
      <c r="J944" t="s">
        <v>1046</v>
      </c>
      <c r="K944" s="5">
        <v>0.8125</v>
      </c>
      <c r="L944" t="s">
        <v>18</v>
      </c>
      <c r="M944">
        <v>22.84</v>
      </c>
      <c r="N944">
        <v>5.7</v>
      </c>
    </row>
    <row r="945" spans="1:14" x14ac:dyDescent="0.25">
      <c r="A945" t="s">
        <v>974</v>
      </c>
      <c r="B945" t="s">
        <v>13</v>
      </c>
      <c r="C945" t="s">
        <v>14</v>
      </c>
      <c r="D945" t="s">
        <v>22</v>
      </c>
      <c r="E945" t="s">
        <v>26</v>
      </c>
      <c r="F945" t="s">
        <v>17</v>
      </c>
      <c r="G945" t="s">
        <v>1040</v>
      </c>
      <c r="H945" t="s">
        <v>1042</v>
      </c>
      <c r="I945" s="1">
        <v>43515</v>
      </c>
      <c r="J945" t="s">
        <v>1045</v>
      </c>
      <c r="K945" s="5">
        <v>0.62013888888888891</v>
      </c>
      <c r="L945" t="s">
        <v>28</v>
      </c>
      <c r="M945">
        <v>12.6975</v>
      </c>
      <c r="N945">
        <v>5.3</v>
      </c>
    </row>
    <row r="946" spans="1:14" x14ac:dyDescent="0.25">
      <c r="A946" t="s">
        <v>975</v>
      </c>
      <c r="B946" t="s">
        <v>13</v>
      </c>
      <c r="C946" t="s">
        <v>14</v>
      </c>
      <c r="D946" t="s">
        <v>15</v>
      </c>
      <c r="E946" t="s">
        <v>26</v>
      </c>
      <c r="F946" t="s">
        <v>17</v>
      </c>
      <c r="G946" t="s">
        <v>1038</v>
      </c>
      <c r="H946" t="s">
        <v>1043</v>
      </c>
      <c r="I946" s="1">
        <v>43552</v>
      </c>
      <c r="J946" t="s">
        <v>1046</v>
      </c>
      <c r="K946" s="5">
        <v>0.84305555555555556</v>
      </c>
      <c r="L946" t="s">
        <v>24</v>
      </c>
      <c r="M946">
        <v>3.528</v>
      </c>
      <c r="N946">
        <v>4.2</v>
      </c>
    </row>
    <row r="947" spans="1:14" x14ac:dyDescent="0.25">
      <c r="A947" t="s">
        <v>976</v>
      </c>
      <c r="B947" t="s">
        <v>13</v>
      </c>
      <c r="C947" t="s">
        <v>14</v>
      </c>
      <c r="D947" t="s">
        <v>22</v>
      </c>
      <c r="E947" t="s">
        <v>16</v>
      </c>
      <c r="F947" t="s">
        <v>23</v>
      </c>
      <c r="G947" t="s">
        <v>1034</v>
      </c>
      <c r="H947" t="s">
        <v>1041</v>
      </c>
      <c r="I947" s="1">
        <v>43470</v>
      </c>
      <c r="J947" t="s">
        <v>1044</v>
      </c>
      <c r="K947" s="5">
        <v>0.49374999999999997</v>
      </c>
      <c r="L947" t="s">
        <v>28</v>
      </c>
      <c r="M947">
        <v>32.857999999999997</v>
      </c>
      <c r="N947">
        <v>7.3</v>
      </c>
    </row>
    <row r="948" spans="1:14" x14ac:dyDescent="0.25">
      <c r="A948" t="s">
        <v>977</v>
      </c>
      <c r="B948" t="s">
        <v>20</v>
      </c>
      <c r="C948" t="s">
        <v>21</v>
      </c>
      <c r="D948" t="s">
        <v>15</v>
      </c>
      <c r="E948" t="s">
        <v>26</v>
      </c>
      <c r="F948" t="s">
        <v>23</v>
      </c>
      <c r="G948" t="s">
        <v>1038</v>
      </c>
      <c r="H948" t="s">
        <v>1043</v>
      </c>
      <c r="I948" s="1">
        <v>43550</v>
      </c>
      <c r="J948" t="s">
        <v>1045</v>
      </c>
      <c r="K948" s="5">
        <v>0.59236111111111112</v>
      </c>
      <c r="L948" t="s">
        <v>28</v>
      </c>
      <c r="M948">
        <v>8.4250000000000007</v>
      </c>
      <c r="N948">
        <v>5.3</v>
      </c>
    </row>
    <row r="949" spans="1:14" x14ac:dyDescent="0.25">
      <c r="A949" t="s">
        <v>978</v>
      </c>
      <c r="B949" t="s">
        <v>37</v>
      </c>
      <c r="C949" t="s">
        <v>38</v>
      </c>
      <c r="D949" t="s">
        <v>15</v>
      </c>
      <c r="E949" t="s">
        <v>26</v>
      </c>
      <c r="F949" t="s">
        <v>41</v>
      </c>
      <c r="G949" t="s">
        <v>1038</v>
      </c>
      <c r="H949" t="s">
        <v>1042</v>
      </c>
      <c r="I949" s="1">
        <v>43499</v>
      </c>
      <c r="J949" t="s">
        <v>1046</v>
      </c>
      <c r="K949" s="5">
        <v>0.84236111111111101</v>
      </c>
      <c r="L949" t="s">
        <v>18</v>
      </c>
      <c r="M949">
        <v>2.6890000000000001</v>
      </c>
      <c r="N949">
        <v>4.7</v>
      </c>
    </row>
    <row r="950" spans="1:14" x14ac:dyDescent="0.25">
      <c r="A950" t="s">
        <v>979</v>
      </c>
      <c r="B950" t="s">
        <v>20</v>
      </c>
      <c r="C950" t="s">
        <v>21</v>
      </c>
      <c r="D950" t="s">
        <v>15</v>
      </c>
      <c r="E950" t="s">
        <v>26</v>
      </c>
      <c r="F950" t="s">
        <v>27</v>
      </c>
      <c r="G950" t="s">
        <v>1038</v>
      </c>
      <c r="H950" t="s">
        <v>1042</v>
      </c>
      <c r="I950" s="1">
        <v>43502</v>
      </c>
      <c r="J950" t="s">
        <v>1046</v>
      </c>
      <c r="K950" s="5">
        <v>0.78055555555555556</v>
      </c>
      <c r="L950" t="s">
        <v>18</v>
      </c>
      <c r="M950">
        <v>8.9525000000000006</v>
      </c>
      <c r="N950">
        <v>7.9</v>
      </c>
    </row>
    <row r="951" spans="1:14" x14ac:dyDescent="0.25">
      <c r="A951" t="s">
        <v>980</v>
      </c>
      <c r="B951" t="s">
        <v>37</v>
      </c>
      <c r="C951" t="s">
        <v>38</v>
      </c>
      <c r="D951" t="s">
        <v>22</v>
      </c>
      <c r="E951" t="s">
        <v>16</v>
      </c>
      <c r="F951" t="s">
        <v>39</v>
      </c>
      <c r="G951" t="s">
        <v>1034</v>
      </c>
      <c r="H951" t="s">
        <v>1042</v>
      </c>
      <c r="I951" s="1">
        <v>43520</v>
      </c>
      <c r="J951" t="s">
        <v>1045</v>
      </c>
      <c r="K951" s="5">
        <v>0.60138888888888886</v>
      </c>
      <c r="L951" t="s">
        <v>18</v>
      </c>
      <c r="M951">
        <v>10.571999999999999</v>
      </c>
      <c r="N951">
        <v>8.9</v>
      </c>
    </row>
    <row r="952" spans="1:14" x14ac:dyDescent="0.25">
      <c r="A952" t="s">
        <v>981</v>
      </c>
      <c r="B952" t="s">
        <v>37</v>
      </c>
      <c r="C952" t="s">
        <v>38</v>
      </c>
      <c r="D952" t="s">
        <v>15</v>
      </c>
      <c r="E952" t="s">
        <v>26</v>
      </c>
      <c r="F952" t="s">
        <v>17</v>
      </c>
      <c r="G952" t="s">
        <v>1040</v>
      </c>
      <c r="H952" t="s">
        <v>1042</v>
      </c>
      <c r="I952" s="1">
        <v>43517</v>
      </c>
      <c r="J952" t="s">
        <v>1045</v>
      </c>
      <c r="K952" s="5">
        <v>0.52777777777777779</v>
      </c>
      <c r="L952" t="s">
        <v>18</v>
      </c>
      <c r="M952">
        <v>5.9865000000000004</v>
      </c>
      <c r="N952">
        <v>9.3000000000000007</v>
      </c>
    </row>
    <row r="953" spans="1:14" x14ac:dyDescent="0.25">
      <c r="A953" t="s">
        <v>982</v>
      </c>
      <c r="B953" t="s">
        <v>37</v>
      </c>
      <c r="C953" t="s">
        <v>38</v>
      </c>
      <c r="D953" t="s">
        <v>15</v>
      </c>
      <c r="E953" t="s">
        <v>16</v>
      </c>
      <c r="F953" t="s">
        <v>27</v>
      </c>
      <c r="G953" t="s">
        <v>1034</v>
      </c>
      <c r="H953" t="s">
        <v>1041</v>
      </c>
      <c r="I953" s="1">
        <v>43474</v>
      </c>
      <c r="J953" t="s">
        <v>1046</v>
      </c>
      <c r="K953" s="5">
        <v>0.77986111111111101</v>
      </c>
      <c r="L953" t="s">
        <v>18</v>
      </c>
      <c r="M953">
        <v>3.2850000000000001</v>
      </c>
      <c r="N953">
        <v>4.7</v>
      </c>
    </row>
    <row r="954" spans="1:14" x14ac:dyDescent="0.25">
      <c r="A954" t="s">
        <v>983</v>
      </c>
      <c r="B954" t="s">
        <v>37</v>
      </c>
      <c r="C954" t="s">
        <v>38</v>
      </c>
      <c r="D954" t="s">
        <v>15</v>
      </c>
      <c r="E954" t="s">
        <v>16</v>
      </c>
      <c r="F954" t="s">
        <v>39</v>
      </c>
      <c r="G954" t="s">
        <v>1034</v>
      </c>
      <c r="H954" t="s">
        <v>1042</v>
      </c>
      <c r="I954" s="1">
        <v>43521</v>
      </c>
      <c r="J954" t="s">
        <v>1045</v>
      </c>
      <c r="K954" s="5">
        <v>0.55694444444444446</v>
      </c>
      <c r="L954" t="s">
        <v>18</v>
      </c>
      <c r="M954">
        <v>12.57</v>
      </c>
      <c r="N954">
        <v>8.6999999999999993</v>
      </c>
    </row>
    <row r="955" spans="1:14" x14ac:dyDescent="0.25">
      <c r="A955" t="s">
        <v>984</v>
      </c>
      <c r="B955" t="s">
        <v>20</v>
      </c>
      <c r="C955" t="s">
        <v>21</v>
      </c>
      <c r="D955" t="s">
        <v>15</v>
      </c>
      <c r="E955" t="s">
        <v>16</v>
      </c>
      <c r="F955" t="s">
        <v>39</v>
      </c>
      <c r="G955" t="s">
        <v>1035</v>
      </c>
      <c r="H955" t="s">
        <v>1041</v>
      </c>
      <c r="I955" s="1">
        <v>43478</v>
      </c>
      <c r="J955" t="s">
        <v>1045</v>
      </c>
      <c r="K955" s="5">
        <v>0.58194444444444449</v>
      </c>
      <c r="L955" t="s">
        <v>24</v>
      </c>
      <c r="M955">
        <v>4.2080000000000002</v>
      </c>
      <c r="N955">
        <v>7.6</v>
      </c>
    </row>
    <row r="956" spans="1:14" x14ac:dyDescent="0.25">
      <c r="A956" t="s">
        <v>985</v>
      </c>
      <c r="B956" t="s">
        <v>37</v>
      </c>
      <c r="C956" t="s">
        <v>38</v>
      </c>
      <c r="D956" t="s">
        <v>15</v>
      </c>
      <c r="E956" t="s">
        <v>26</v>
      </c>
      <c r="F956" t="s">
        <v>27</v>
      </c>
      <c r="G956" t="s">
        <v>1039</v>
      </c>
      <c r="H956" t="s">
        <v>1042</v>
      </c>
      <c r="I956" s="1">
        <v>43505</v>
      </c>
      <c r="J956" t="s">
        <v>1044</v>
      </c>
      <c r="K956" s="5">
        <v>0.48958333333333331</v>
      </c>
      <c r="L956" t="s">
        <v>24</v>
      </c>
      <c r="M956">
        <v>19.773</v>
      </c>
      <c r="N956">
        <v>5.7</v>
      </c>
    </row>
    <row r="957" spans="1:14" x14ac:dyDescent="0.25">
      <c r="A957" t="s">
        <v>986</v>
      </c>
      <c r="B957" t="s">
        <v>13</v>
      </c>
      <c r="C957" t="s">
        <v>14</v>
      </c>
      <c r="D957" t="s">
        <v>22</v>
      </c>
      <c r="E957" t="s">
        <v>16</v>
      </c>
      <c r="F957" t="s">
        <v>41</v>
      </c>
      <c r="G957" t="s">
        <v>1034</v>
      </c>
      <c r="H957" t="s">
        <v>1041</v>
      </c>
      <c r="I957" s="1">
        <v>43471</v>
      </c>
      <c r="J957" t="s">
        <v>1044</v>
      </c>
      <c r="K957" s="5">
        <v>0.49374999999999997</v>
      </c>
      <c r="L957" t="s">
        <v>24</v>
      </c>
      <c r="M957">
        <v>14.8995</v>
      </c>
      <c r="N957">
        <v>6.8</v>
      </c>
    </row>
    <row r="958" spans="1:14" x14ac:dyDescent="0.25">
      <c r="A958" t="s">
        <v>987</v>
      </c>
      <c r="B958" t="s">
        <v>20</v>
      </c>
      <c r="C958" t="s">
        <v>21</v>
      </c>
      <c r="D958" t="s">
        <v>15</v>
      </c>
      <c r="E958" t="s">
        <v>26</v>
      </c>
      <c r="F958" t="s">
        <v>39</v>
      </c>
      <c r="G958" t="s">
        <v>1034</v>
      </c>
      <c r="H958" t="s">
        <v>1041</v>
      </c>
      <c r="I958" s="1">
        <v>43475</v>
      </c>
      <c r="J958" t="s">
        <v>1046</v>
      </c>
      <c r="K958" s="5">
        <v>0.71944444444444444</v>
      </c>
      <c r="L958" t="s">
        <v>24</v>
      </c>
      <c r="M958">
        <v>22.720500000000001</v>
      </c>
      <c r="N958">
        <v>5.4</v>
      </c>
    </row>
    <row r="959" spans="1:14" x14ac:dyDescent="0.25">
      <c r="A959" t="s">
        <v>988</v>
      </c>
      <c r="B959" t="s">
        <v>37</v>
      </c>
      <c r="C959" t="s">
        <v>38</v>
      </c>
      <c r="D959" t="s">
        <v>22</v>
      </c>
      <c r="E959" t="s">
        <v>26</v>
      </c>
      <c r="F959" t="s">
        <v>23</v>
      </c>
      <c r="G959" t="s">
        <v>1038</v>
      </c>
      <c r="H959" t="s">
        <v>1042</v>
      </c>
      <c r="I959" s="1">
        <v>43503</v>
      </c>
      <c r="J959" t="s">
        <v>1045</v>
      </c>
      <c r="K959" s="5">
        <v>0.66319444444444442</v>
      </c>
      <c r="L959" t="s">
        <v>24</v>
      </c>
      <c r="M959">
        <v>13.805999999999999</v>
      </c>
      <c r="N959">
        <v>7.1</v>
      </c>
    </row>
    <row r="960" spans="1:14" x14ac:dyDescent="0.25">
      <c r="A960" t="s">
        <v>989</v>
      </c>
      <c r="B960" t="s">
        <v>20</v>
      </c>
      <c r="C960" t="s">
        <v>21</v>
      </c>
      <c r="D960" t="s">
        <v>22</v>
      </c>
      <c r="E960" t="s">
        <v>16</v>
      </c>
      <c r="F960" t="s">
        <v>27</v>
      </c>
      <c r="G960" t="s">
        <v>1034</v>
      </c>
      <c r="H960" t="s">
        <v>1041</v>
      </c>
      <c r="I960" s="1">
        <v>43474</v>
      </c>
      <c r="J960" t="s">
        <v>1045</v>
      </c>
      <c r="K960" s="5">
        <v>0.50486111111111109</v>
      </c>
      <c r="L960" t="s">
        <v>24</v>
      </c>
      <c r="M960">
        <v>7.9</v>
      </c>
      <c r="N960">
        <v>7.8</v>
      </c>
    </row>
    <row r="961" spans="1:14" x14ac:dyDescent="0.25">
      <c r="A961" t="s">
        <v>990</v>
      </c>
      <c r="B961" t="s">
        <v>13</v>
      </c>
      <c r="C961" t="s">
        <v>14</v>
      </c>
      <c r="D961" t="s">
        <v>15</v>
      </c>
      <c r="E961" t="s">
        <v>16</v>
      </c>
      <c r="F961" t="s">
        <v>39</v>
      </c>
      <c r="G961" t="s">
        <v>1040</v>
      </c>
      <c r="H961" t="s">
        <v>1042</v>
      </c>
      <c r="I961" s="1">
        <v>43515</v>
      </c>
      <c r="J961" t="s">
        <v>1045</v>
      </c>
      <c r="K961" s="5">
        <v>0.62986111111111109</v>
      </c>
      <c r="L961" t="s">
        <v>24</v>
      </c>
      <c r="M961">
        <v>44.396999999999998</v>
      </c>
      <c r="N961">
        <v>8.4</v>
      </c>
    </row>
    <row r="962" spans="1:14" x14ac:dyDescent="0.25">
      <c r="A962" t="s">
        <v>991</v>
      </c>
      <c r="B962" t="s">
        <v>20</v>
      </c>
      <c r="C962" t="s">
        <v>21</v>
      </c>
      <c r="D962" t="s">
        <v>15</v>
      </c>
      <c r="E962" t="s">
        <v>26</v>
      </c>
      <c r="F962" t="s">
        <v>41</v>
      </c>
      <c r="G962" t="s">
        <v>1037</v>
      </c>
      <c r="H962" t="s">
        <v>1043</v>
      </c>
      <c r="I962" s="1">
        <v>43542</v>
      </c>
      <c r="J962" t="s">
        <v>1045</v>
      </c>
      <c r="K962" s="5">
        <v>0.64513888888888882</v>
      </c>
      <c r="L962" t="s">
        <v>24</v>
      </c>
      <c r="M962">
        <v>4.5990000000000002</v>
      </c>
      <c r="N962">
        <v>9.8000000000000007</v>
      </c>
    </row>
    <row r="963" spans="1:14" x14ac:dyDescent="0.25">
      <c r="A963" t="s">
        <v>992</v>
      </c>
      <c r="B963" t="s">
        <v>13</v>
      </c>
      <c r="C963" t="s">
        <v>14</v>
      </c>
      <c r="D963" t="s">
        <v>15</v>
      </c>
      <c r="E963" t="s">
        <v>26</v>
      </c>
      <c r="F963" t="s">
        <v>23</v>
      </c>
      <c r="G963" t="s">
        <v>1038</v>
      </c>
      <c r="H963" t="s">
        <v>1042</v>
      </c>
      <c r="I963" s="1">
        <v>43501</v>
      </c>
      <c r="J963" t="s">
        <v>1046</v>
      </c>
      <c r="K963" s="5">
        <v>0.78125</v>
      </c>
      <c r="L963" t="s">
        <v>24</v>
      </c>
      <c r="M963">
        <v>2.089</v>
      </c>
      <c r="N963">
        <v>9.8000000000000007</v>
      </c>
    </row>
    <row r="964" spans="1:14" x14ac:dyDescent="0.25">
      <c r="A964" t="s">
        <v>993</v>
      </c>
      <c r="B964" t="s">
        <v>13</v>
      </c>
      <c r="C964" t="s">
        <v>14</v>
      </c>
      <c r="D964" t="s">
        <v>22</v>
      </c>
      <c r="E964" t="s">
        <v>16</v>
      </c>
      <c r="F964" t="s">
        <v>41</v>
      </c>
      <c r="G964" t="s">
        <v>1037</v>
      </c>
      <c r="H964" t="s">
        <v>1043</v>
      </c>
      <c r="I964" s="1">
        <v>43543</v>
      </c>
      <c r="J964" t="s">
        <v>1045</v>
      </c>
      <c r="K964" s="5">
        <v>0.64097222222222217</v>
      </c>
      <c r="L964" t="s">
        <v>28</v>
      </c>
      <c r="M964">
        <v>0.77500000000000002</v>
      </c>
      <c r="N964">
        <v>7.4</v>
      </c>
    </row>
    <row r="965" spans="1:14" x14ac:dyDescent="0.25">
      <c r="A965" t="s">
        <v>994</v>
      </c>
      <c r="B965" t="s">
        <v>20</v>
      </c>
      <c r="C965" t="s">
        <v>21</v>
      </c>
      <c r="D965" t="s">
        <v>15</v>
      </c>
      <c r="E965" t="s">
        <v>26</v>
      </c>
      <c r="F965" t="s">
        <v>23</v>
      </c>
      <c r="G965" t="s">
        <v>1039</v>
      </c>
      <c r="H965" t="s">
        <v>1043</v>
      </c>
      <c r="I965" s="1">
        <v>43554</v>
      </c>
      <c r="J965" t="s">
        <v>1046</v>
      </c>
      <c r="K965" s="5">
        <v>0.85902777777777783</v>
      </c>
      <c r="L965" t="s">
        <v>24</v>
      </c>
      <c r="M965">
        <v>14.523</v>
      </c>
      <c r="N965">
        <v>6.7</v>
      </c>
    </row>
    <row r="966" spans="1:14" x14ac:dyDescent="0.25">
      <c r="A966" t="s">
        <v>995</v>
      </c>
      <c r="B966" t="s">
        <v>37</v>
      </c>
      <c r="C966" t="s">
        <v>38</v>
      </c>
      <c r="D966" t="s">
        <v>22</v>
      </c>
      <c r="E966" t="s">
        <v>26</v>
      </c>
      <c r="F966" t="s">
        <v>39</v>
      </c>
      <c r="G966" t="s">
        <v>1037</v>
      </c>
      <c r="H966" t="s">
        <v>1041</v>
      </c>
      <c r="I966" s="1">
        <v>43491</v>
      </c>
      <c r="J966" t="s">
        <v>1045</v>
      </c>
      <c r="K966" s="5">
        <v>0.6118055555555556</v>
      </c>
      <c r="L966" t="s">
        <v>28</v>
      </c>
      <c r="M966">
        <v>3.3330000000000002</v>
      </c>
      <c r="N966">
        <v>6.4</v>
      </c>
    </row>
    <row r="967" spans="1:14" x14ac:dyDescent="0.25">
      <c r="A967" t="s">
        <v>996</v>
      </c>
      <c r="B967" t="s">
        <v>37</v>
      </c>
      <c r="C967" t="s">
        <v>38</v>
      </c>
      <c r="D967" t="s">
        <v>22</v>
      </c>
      <c r="E967" t="s">
        <v>16</v>
      </c>
      <c r="F967" t="s">
        <v>23</v>
      </c>
      <c r="G967" t="s">
        <v>1035</v>
      </c>
      <c r="H967" t="s">
        <v>1043</v>
      </c>
      <c r="I967" s="1">
        <v>43526</v>
      </c>
      <c r="J967" t="s">
        <v>1046</v>
      </c>
      <c r="K967" s="5">
        <v>0.76250000000000007</v>
      </c>
      <c r="L967" t="s">
        <v>28</v>
      </c>
      <c r="M967">
        <v>3.827</v>
      </c>
      <c r="N967">
        <v>5.8</v>
      </c>
    </row>
    <row r="968" spans="1:14" x14ac:dyDescent="0.25">
      <c r="A968" t="s">
        <v>997</v>
      </c>
      <c r="B968" t="s">
        <v>13</v>
      </c>
      <c r="C968" t="s">
        <v>14</v>
      </c>
      <c r="D968" t="s">
        <v>22</v>
      </c>
      <c r="E968" t="s">
        <v>16</v>
      </c>
      <c r="F968" t="s">
        <v>27</v>
      </c>
      <c r="G968" t="s">
        <v>1035</v>
      </c>
      <c r="H968" t="s">
        <v>1043</v>
      </c>
      <c r="I968" s="1">
        <v>43528</v>
      </c>
      <c r="J968" t="s">
        <v>1045</v>
      </c>
      <c r="K968" s="5">
        <v>0.64374999999999993</v>
      </c>
      <c r="L968" t="s">
        <v>18</v>
      </c>
      <c r="M968">
        <v>14.984999999999999</v>
      </c>
      <c r="N968">
        <v>7.2</v>
      </c>
    </row>
    <row r="969" spans="1:14" x14ac:dyDescent="0.25">
      <c r="A969" t="s">
        <v>998</v>
      </c>
      <c r="B969" t="s">
        <v>13</v>
      </c>
      <c r="C969" t="s">
        <v>14</v>
      </c>
      <c r="D969" t="s">
        <v>15</v>
      </c>
      <c r="E969" t="s">
        <v>26</v>
      </c>
      <c r="F969" t="s">
        <v>27</v>
      </c>
      <c r="G969" t="s">
        <v>1035</v>
      </c>
      <c r="H969" t="s">
        <v>1041</v>
      </c>
      <c r="I969" s="1">
        <v>43478</v>
      </c>
      <c r="J969" t="s">
        <v>1045</v>
      </c>
      <c r="K969" s="5">
        <v>0.53819444444444442</v>
      </c>
      <c r="L969" t="s">
        <v>28</v>
      </c>
      <c r="M969">
        <v>12.1515</v>
      </c>
      <c r="N969">
        <v>9.3000000000000007</v>
      </c>
    </row>
    <row r="970" spans="1:14" x14ac:dyDescent="0.25">
      <c r="A970" t="s">
        <v>999</v>
      </c>
      <c r="B970" t="s">
        <v>13</v>
      </c>
      <c r="C970" t="s">
        <v>14</v>
      </c>
      <c r="D970" t="s">
        <v>22</v>
      </c>
      <c r="E970" t="s">
        <v>16</v>
      </c>
      <c r="F970" t="s">
        <v>17</v>
      </c>
      <c r="G970" t="s">
        <v>1038</v>
      </c>
      <c r="H970" t="s">
        <v>1043</v>
      </c>
      <c r="I970" s="1">
        <v>43549</v>
      </c>
      <c r="J970" t="s">
        <v>1046</v>
      </c>
      <c r="K970" s="5">
        <v>0.75138888888888899</v>
      </c>
      <c r="L970" t="s">
        <v>24</v>
      </c>
      <c r="M970">
        <v>2.37</v>
      </c>
      <c r="N970">
        <v>9.5</v>
      </c>
    </row>
    <row r="971" spans="1:14" x14ac:dyDescent="0.25">
      <c r="A971" t="s">
        <v>1000</v>
      </c>
      <c r="B971" t="s">
        <v>37</v>
      </c>
      <c r="C971" t="s">
        <v>38</v>
      </c>
      <c r="D971" t="s">
        <v>15</v>
      </c>
      <c r="E971" t="s">
        <v>16</v>
      </c>
      <c r="F971" t="s">
        <v>23</v>
      </c>
      <c r="G971" t="s">
        <v>1036</v>
      </c>
      <c r="H971" t="s">
        <v>1043</v>
      </c>
      <c r="I971" s="1">
        <v>43535</v>
      </c>
      <c r="J971" t="s">
        <v>1046</v>
      </c>
      <c r="K971" s="5">
        <v>0.8222222222222223</v>
      </c>
      <c r="L971" t="s">
        <v>28</v>
      </c>
      <c r="M971">
        <v>8.6225000000000005</v>
      </c>
      <c r="N971">
        <v>9</v>
      </c>
    </row>
    <row r="972" spans="1:14" x14ac:dyDescent="0.25">
      <c r="A972" t="s">
        <v>1001</v>
      </c>
      <c r="B972" t="s">
        <v>37</v>
      </c>
      <c r="C972" t="s">
        <v>38</v>
      </c>
      <c r="D972" t="s">
        <v>15</v>
      </c>
      <c r="E972" t="s">
        <v>16</v>
      </c>
      <c r="F972" t="s">
        <v>39</v>
      </c>
      <c r="G972" t="s">
        <v>1040</v>
      </c>
      <c r="H972" t="s">
        <v>1041</v>
      </c>
      <c r="I972" s="1">
        <v>43466</v>
      </c>
      <c r="J972" t="s">
        <v>1044</v>
      </c>
      <c r="K972" s="5">
        <v>0.48333333333333334</v>
      </c>
      <c r="L972" t="s">
        <v>28</v>
      </c>
      <c r="M972">
        <v>42.314999999999998</v>
      </c>
      <c r="N972">
        <v>9</v>
      </c>
    </row>
    <row r="973" spans="1:14" x14ac:dyDescent="0.25">
      <c r="A973" t="s">
        <v>1002</v>
      </c>
      <c r="B973" t="s">
        <v>37</v>
      </c>
      <c r="C973" t="s">
        <v>38</v>
      </c>
      <c r="D973" t="s">
        <v>15</v>
      </c>
      <c r="E973" t="s">
        <v>26</v>
      </c>
      <c r="F973" t="s">
        <v>27</v>
      </c>
      <c r="G973" t="s">
        <v>1039</v>
      </c>
      <c r="H973" t="s">
        <v>1042</v>
      </c>
      <c r="I973" s="1">
        <v>43506</v>
      </c>
      <c r="J973" t="s">
        <v>1045</v>
      </c>
      <c r="K973" s="5">
        <v>0.57708333333333328</v>
      </c>
      <c r="L973" t="s">
        <v>18</v>
      </c>
      <c r="M973">
        <v>12.9185</v>
      </c>
      <c r="N973">
        <v>6.7</v>
      </c>
    </row>
    <row r="974" spans="1:14" x14ac:dyDescent="0.25">
      <c r="A974" t="s">
        <v>1003</v>
      </c>
      <c r="B974" t="s">
        <v>37</v>
      </c>
      <c r="C974" t="s">
        <v>38</v>
      </c>
      <c r="D974" t="s">
        <v>22</v>
      </c>
      <c r="E974" t="s">
        <v>26</v>
      </c>
      <c r="F974" t="s">
        <v>23</v>
      </c>
      <c r="G974" t="s">
        <v>1037</v>
      </c>
      <c r="H974" t="s">
        <v>1041</v>
      </c>
      <c r="I974" s="1">
        <v>43491</v>
      </c>
      <c r="J974" t="s">
        <v>1045</v>
      </c>
      <c r="K974" s="5">
        <v>0.63680555555555551</v>
      </c>
      <c r="L974" t="s">
        <v>24</v>
      </c>
      <c r="M974">
        <v>30.478000000000002</v>
      </c>
      <c r="N974">
        <v>5.5</v>
      </c>
    </row>
    <row r="975" spans="1:14" x14ac:dyDescent="0.25">
      <c r="A975" t="s">
        <v>1004</v>
      </c>
      <c r="B975" t="s">
        <v>13</v>
      </c>
      <c r="C975" t="s">
        <v>14</v>
      </c>
      <c r="D975" t="s">
        <v>22</v>
      </c>
      <c r="E975" t="s">
        <v>26</v>
      </c>
      <c r="F975" t="s">
        <v>27</v>
      </c>
      <c r="G975" t="s">
        <v>1039</v>
      </c>
      <c r="H975" t="s">
        <v>1042</v>
      </c>
      <c r="I975" s="1">
        <v>43507</v>
      </c>
      <c r="J975" t="s">
        <v>1045</v>
      </c>
      <c r="K975" s="5">
        <v>0.64513888888888882</v>
      </c>
      <c r="L975" t="s">
        <v>24</v>
      </c>
      <c r="M975">
        <v>12.012</v>
      </c>
      <c r="N975">
        <v>5.4</v>
      </c>
    </row>
    <row r="976" spans="1:14" x14ac:dyDescent="0.25">
      <c r="A976" t="s">
        <v>1005</v>
      </c>
      <c r="B976" t="s">
        <v>20</v>
      </c>
      <c r="C976" t="s">
        <v>21</v>
      </c>
      <c r="D976" t="s">
        <v>22</v>
      </c>
      <c r="E976" t="s">
        <v>26</v>
      </c>
      <c r="F976" t="s">
        <v>41</v>
      </c>
      <c r="G976" t="s">
        <v>1038</v>
      </c>
      <c r="H976" t="s">
        <v>1042</v>
      </c>
      <c r="I976" s="1">
        <v>43503</v>
      </c>
      <c r="J976" t="s">
        <v>1046</v>
      </c>
      <c r="K976" s="5">
        <v>0.74930555555555556</v>
      </c>
      <c r="L976" t="s">
        <v>24</v>
      </c>
      <c r="M976">
        <v>8.6129999999999995</v>
      </c>
      <c r="N976">
        <v>8.1999999999999993</v>
      </c>
    </row>
    <row r="977" spans="1:14" x14ac:dyDescent="0.25">
      <c r="A977" t="s">
        <v>1006</v>
      </c>
      <c r="B977" t="s">
        <v>37</v>
      </c>
      <c r="C977" t="s">
        <v>38</v>
      </c>
      <c r="D977" t="s">
        <v>15</v>
      </c>
      <c r="E977" t="s">
        <v>26</v>
      </c>
      <c r="F977" t="s">
        <v>41</v>
      </c>
      <c r="G977" t="s">
        <v>1035</v>
      </c>
      <c r="H977" t="s">
        <v>1043</v>
      </c>
      <c r="I977" s="1">
        <v>43530</v>
      </c>
      <c r="J977" t="s">
        <v>1044</v>
      </c>
      <c r="K977" s="5">
        <v>0.49652777777777773</v>
      </c>
      <c r="L977" t="s">
        <v>28</v>
      </c>
      <c r="M977">
        <v>4.992</v>
      </c>
      <c r="N977">
        <v>7</v>
      </c>
    </row>
    <row r="978" spans="1:14" x14ac:dyDescent="0.25">
      <c r="A978" t="s">
        <v>1007</v>
      </c>
      <c r="B978" t="s">
        <v>13</v>
      </c>
      <c r="C978" t="s">
        <v>14</v>
      </c>
      <c r="D978" t="s">
        <v>22</v>
      </c>
      <c r="E978" t="s">
        <v>16</v>
      </c>
      <c r="F978" t="s">
        <v>39</v>
      </c>
      <c r="G978" t="s">
        <v>1035</v>
      </c>
      <c r="H978" t="s">
        <v>1043</v>
      </c>
      <c r="I978" s="1">
        <v>43528</v>
      </c>
      <c r="J978" t="s">
        <v>1044</v>
      </c>
      <c r="K978" s="5">
        <v>0.44375000000000003</v>
      </c>
      <c r="L978" t="s">
        <v>24</v>
      </c>
      <c r="M978">
        <v>14.932</v>
      </c>
      <c r="N978">
        <v>8.5</v>
      </c>
    </row>
    <row r="979" spans="1:14" x14ac:dyDescent="0.25">
      <c r="A979" t="s">
        <v>1008</v>
      </c>
      <c r="B979" t="s">
        <v>37</v>
      </c>
      <c r="C979" t="s">
        <v>38</v>
      </c>
      <c r="D979" t="s">
        <v>15</v>
      </c>
      <c r="E979" t="s">
        <v>26</v>
      </c>
      <c r="F979" t="s">
        <v>39</v>
      </c>
      <c r="G979" t="s">
        <v>1034</v>
      </c>
      <c r="H979" t="s">
        <v>1042</v>
      </c>
      <c r="I979" s="1">
        <v>43522</v>
      </c>
      <c r="J979" t="s">
        <v>1045</v>
      </c>
      <c r="K979" s="5">
        <v>0.63194444444444442</v>
      </c>
      <c r="L979" t="s">
        <v>18</v>
      </c>
      <c r="M979">
        <v>7.98</v>
      </c>
      <c r="N979">
        <v>4.9000000000000004</v>
      </c>
    </row>
    <row r="980" spans="1:14" x14ac:dyDescent="0.25">
      <c r="A980" t="s">
        <v>1009</v>
      </c>
      <c r="B980" t="s">
        <v>37</v>
      </c>
      <c r="C980" t="s">
        <v>38</v>
      </c>
      <c r="D980" t="s">
        <v>22</v>
      </c>
      <c r="E980" t="s">
        <v>16</v>
      </c>
      <c r="F980" t="s">
        <v>23</v>
      </c>
      <c r="G980" t="s">
        <v>1036</v>
      </c>
      <c r="H980" t="s">
        <v>1043</v>
      </c>
      <c r="I980" s="1">
        <v>43534</v>
      </c>
      <c r="J980" t="s">
        <v>1046</v>
      </c>
      <c r="K980" s="5">
        <v>0.75694444444444453</v>
      </c>
      <c r="L980" t="s">
        <v>28</v>
      </c>
      <c r="M980">
        <v>1.2725</v>
      </c>
      <c r="N980">
        <v>5.0999999999999996</v>
      </c>
    </row>
    <row r="981" spans="1:14" x14ac:dyDescent="0.25">
      <c r="A981" t="s">
        <v>1010</v>
      </c>
      <c r="B981" t="s">
        <v>37</v>
      </c>
      <c r="C981" t="s">
        <v>38</v>
      </c>
      <c r="D981" t="s">
        <v>22</v>
      </c>
      <c r="E981" t="s">
        <v>16</v>
      </c>
      <c r="F981" t="s">
        <v>39</v>
      </c>
      <c r="G981" t="s">
        <v>1038</v>
      </c>
      <c r="H981" t="s">
        <v>1042</v>
      </c>
      <c r="I981" s="1">
        <v>43500</v>
      </c>
      <c r="J981" t="s">
        <v>1046</v>
      </c>
      <c r="K981" s="5">
        <v>0.86319444444444438</v>
      </c>
      <c r="L981" t="s">
        <v>28</v>
      </c>
      <c r="M981">
        <v>3.3885000000000001</v>
      </c>
      <c r="N981">
        <v>6.5</v>
      </c>
    </row>
    <row r="982" spans="1:14" x14ac:dyDescent="0.25">
      <c r="A982" t="s">
        <v>1011</v>
      </c>
      <c r="B982" t="s">
        <v>20</v>
      </c>
      <c r="C982" t="s">
        <v>21</v>
      </c>
      <c r="D982" t="s">
        <v>15</v>
      </c>
      <c r="E982" t="s">
        <v>26</v>
      </c>
      <c r="F982" t="s">
        <v>39</v>
      </c>
      <c r="G982" t="s">
        <v>1036</v>
      </c>
      <c r="H982" t="s">
        <v>1041</v>
      </c>
      <c r="I982" s="1">
        <v>43484</v>
      </c>
      <c r="J982" t="s">
        <v>1045</v>
      </c>
      <c r="K982" s="5">
        <v>0.53194444444444444</v>
      </c>
      <c r="L982" t="s">
        <v>24</v>
      </c>
      <c r="M982">
        <v>11.917999999999999</v>
      </c>
      <c r="N982">
        <v>9.8000000000000007</v>
      </c>
    </row>
    <row r="983" spans="1:14" x14ac:dyDescent="0.25">
      <c r="A983" t="s">
        <v>1012</v>
      </c>
      <c r="B983" t="s">
        <v>13</v>
      </c>
      <c r="C983" t="s">
        <v>14</v>
      </c>
      <c r="D983" t="s">
        <v>22</v>
      </c>
      <c r="E983" t="s">
        <v>26</v>
      </c>
      <c r="F983" t="s">
        <v>17</v>
      </c>
      <c r="G983" t="s">
        <v>1036</v>
      </c>
      <c r="H983" t="s">
        <v>1041</v>
      </c>
      <c r="I983" s="1">
        <v>43488</v>
      </c>
      <c r="J983" t="s">
        <v>1046</v>
      </c>
      <c r="K983" s="5">
        <v>0.73888888888888893</v>
      </c>
      <c r="L983" t="s">
        <v>24</v>
      </c>
      <c r="M983">
        <v>11.63</v>
      </c>
      <c r="N983">
        <v>8.4</v>
      </c>
    </row>
    <row r="984" spans="1:14" x14ac:dyDescent="0.25">
      <c r="A984" t="s">
        <v>1013</v>
      </c>
      <c r="B984" t="s">
        <v>13</v>
      </c>
      <c r="C984" t="s">
        <v>14</v>
      </c>
      <c r="D984" t="s">
        <v>15</v>
      </c>
      <c r="E984" t="s">
        <v>16</v>
      </c>
      <c r="F984" t="s">
        <v>31</v>
      </c>
      <c r="G984" t="s">
        <v>1036</v>
      </c>
      <c r="H984" t="s">
        <v>1043</v>
      </c>
      <c r="I984" s="1">
        <v>43538</v>
      </c>
      <c r="J984" t="s">
        <v>1045</v>
      </c>
      <c r="K984" s="5">
        <v>0.59652777777777777</v>
      </c>
      <c r="L984" t="s">
        <v>18</v>
      </c>
      <c r="M984">
        <v>43.866</v>
      </c>
      <c r="N984">
        <v>7.4</v>
      </c>
    </row>
    <row r="985" spans="1:14" x14ac:dyDescent="0.25">
      <c r="A985" t="s">
        <v>1014</v>
      </c>
      <c r="B985" t="s">
        <v>20</v>
      </c>
      <c r="C985" t="s">
        <v>21</v>
      </c>
      <c r="D985" t="s">
        <v>22</v>
      </c>
      <c r="E985" t="s">
        <v>26</v>
      </c>
      <c r="F985" t="s">
        <v>17</v>
      </c>
      <c r="G985" t="s">
        <v>1036</v>
      </c>
      <c r="H985" t="s">
        <v>1041</v>
      </c>
      <c r="I985" s="1">
        <v>43488</v>
      </c>
      <c r="J985" t="s">
        <v>1044</v>
      </c>
      <c r="K985" s="5">
        <v>0.43958333333333338</v>
      </c>
      <c r="L985" t="s">
        <v>24</v>
      </c>
      <c r="M985">
        <v>34.985999999999997</v>
      </c>
      <c r="N985">
        <v>6.1</v>
      </c>
    </row>
    <row r="986" spans="1:14" x14ac:dyDescent="0.25">
      <c r="A986" t="s">
        <v>1015</v>
      </c>
      <c r="B986" t="s">
        <v>20</v>
      </c>
      <c r="C986" t="s">
        <v>21</v>
      </c>
      <c r="D986" t="s">
        <v>22</v>
      </c>
      <c r="E986" t="s">
        <v>26</v>
      </c>
      <c r="F986" t="s">
        <v>23</v>
      </c>
      <c r="G986" t="s">
        <v>1034</v>
      </c>
      <c r="H986" t="s">
        <v>1041</v>
      </c>
      <c r="I986" s="1">
        <v>43474</v>
      </c>
      <c r="J986" t="s">
        <v>1044</v>
      </c>
      <c r="K986" s="5">
        <v>0.4861111111111111</v>
      </c>
      <c r="L986" t="s">
        <v>24</v>
      </c>
      <c r="M986">
        <v>33.729500000000002</v>
      </c>
      <c r="N986">
        <v>6</v>
      </c>
    </row>
    <row r="987" spans="1:14" x14ac:dyDescent="0.25">
      <c r="A987" t="s">
        <v>1016</v>
      </c>
      <c r="B987" t="s">
        <v>37</v>
      </c>
      <c r="C987" t="s">
        <v>38</v>
      </c>
      <c r="D987" t="s">
        <v>22</v>
      </c>
      <c r="E987" t="s">
        <v>16</v>
      </c>
      <c r="F987" t="s">
        <v>41</v>
      </c>
      <c r="G987" t="s">
        <v>1038</v>
      </c>
      <c r="H987" t="s">
        <v>1042</v>
      </c>
      <c r="I987" s="1">
        <v>43503</v>
      </c>
      <c r="J987" t="s">
        <v>1046</v>
      </c>
      <c r="K987" s="5">
        <v>0.8125</v>
      </c>
      <c r="L987" t="s">
        <v>18</v>
      </c>
      <c r="M987">
        <v>15.9275</v>
      </c>
      <c r="N987">
        <v>8.5</v>
      </c>
    </row>
    <row r="988" spans="1:14" x14ac:dyDescent="0.25">
      <c r="A988" t="s">
        <v>1017</v>
      </c>
      <c r="B988" t="s">
        <v>37</v>
      </c>
      <c r="C988" t="s">
        <v>38</v>
      </c>
      <c r="D988" t="s">
        <v>22</v>
      </c>
      <c r="E988" t="s">
        <v>16</v>
      </c>
      <c r="F988" t="s">
        <v>17</v>
      </c>
      <c r="G988" t="s">
        <v>1040</v>
      </c>
      <c r="H988" t="s">
        <v>1042</v>
      </c>
      <c r="I988" s="1">
        <v>43514</v>
      </c>
      <c r="J988" t="s">
        <v>1045</v>
      </c>
      <c r="K988" s="5">
        <v>0.61249999999999993</v>
      </c>
      <c r="L988" t="s">
        <v>18</v>
      </c>
      <c r="M988">
        <v>1.476</v>
      </c>
      <c r="N988">
        <v>4.3</v>
      </c>
    </row>
    <row r="989" spans="1:14" x14ac:dyDescent="0.25">
      <c r="A989" t="s">
        <v>1018</v>
      </c>
      <c r="B989" t="s">
        <v>37</v>
      </c>
      <c r="C989" t="s">
        <v>38</v>
      </c>
      <c r="D989" t="s">
        <v>15</v>
      </c>
      <c r="E989" t="s">
        <v>26</v>
      </c>
      <c r="F989" t="s">
        <v>17</v>
      </c>
      <c r="G989" t="s">
        <v>1040</v>
      </c>
      <c r="H989" t="s">
        <v>1041</v>
      </c>
      <c r="I989" s="1">
        <v>43468</v>
      </c>
      <c r="J989" t="s">
        <v>1046</v>
      </c>
      <c r="K989" s="5">
        <v>0.79722222222222217</v>
      </c>
      <c r="L989" t="s">
        <v>28</v>
      </c>
      <c r="M989">
        <v>24.8</v>
      </c>
      <c r="N989">
        <v>6.2</v>
      </c>
    </row>
    <row r="990" spans="1:14" x14ac:dyDescent="0.25">
      <c r="A990" t="s">
        <v>1019</v>
      </c>
      <c r="B990" t="s">
        <v>20</v>
      </c>
      <c r="C990" t="s">
        <v>21</v>
      </c>
      <c r="D990" t="s">
        <v>15</v>
      </c>
      <c r="E990" t="s">
        <v>26</v>
      </c>
      <c r="F990" t="s">
        <v>23</v>
      </c>
      <c r="G990" t="s">
        <v>1038</v>
      </c>
      <c r="H990" t="s">
        <v>1043</v>
      </c>
      <c r="I990" s="1">
        <v>43553</v>
      </c>
      <c r="J990" t="s">
        <v>1046</v>
      </c>
      <c r="K990" s="5">
        <v>0.79999999999999993</v>
      </c>
      <c r="L990" t="s">
        <v>18</v>
      </c>
      <c r="M990">
        <v>41.17</v>
      </c>
      <c r="N990">
        <v>4.3</v>
      </c>
    </row>
    <row r="991" spans="1:14" x14ac:dyDescent="0.25">
      <c r="A991" t="s">
        <v>1020</v>
      </c>
      <c r="B991" t="s">
        <v>37</v>
      </c>
      <c r="C991" t="s">
        <v>38</v>
      </c>
      <c r="D991" t="s">
        <v>15</v>
      </c>
      <c r="E991" t="s">
        <v>26</v>
      </c>
      <c r="F991" t="s">
        <v>17</v>
      </c>
      <c r="G991" t="s">
        <v>1037</v>
      </c>
      <c r="H991" t="s">
        <v>1041</v>
      </c>
      <c r="I991" s="1">
        <v>43493</v>
      </c>
      <c r="J991" t="s">
        <v>1045</v>
      </c>
      <c r="K991" s="5">
        <v>0.65694444444444444</v>
      </c>
      <c r="L991" t="s">
        <v>28</v>
      </c>
      <c r="M991">
        <v>30.148</v>
      </c>
      <c r="N991">
        <v>8.4</v>
      </c>
    </row>
    <row r="992" spans="1:14" x14ac:dyDescent="0.25">
      <c r="A992" t="s">
        <v>1021</v>
      </c>
      <c r="B992" t="s">
        <v>13</v>
      </c>
      <c r="C992" t="s">
        <v>14</v>
      </c>
      <c r="D992" t="s">
        <v>22</v>
      </c>
      <c r="E992" t="s">
        <v>16</v>
      </c>
      <c r="F992" t="s">
        <v>39</v>
      </c>
      <c r="G992" t="s">
        <v>1037</v>
      </c>
      <c r="H992" t="s">
        <v>1043</v>
      </c>
      <c r="I992" s="1">
        <v>43546</v>
      </c>
      <c r="J992" t="s">
        <v>1046</v>
      </c>
      <c r="K992" s="5">
        <v>0.79583333333333339</v>
      </c>
      <c r="L992" t="s">
        <v>28</v>
      </c>
      <c r="M992">
        <v>14.14</v>
      </c>
      <c r="N992">
        <v>4.5</v>
      </c>
    </row>
    <row r="993" spans="1:14" x14ac:dyDescent="0.25">
      <c r="A993" t="s">
        <v>1022</v>
      </c>
      <c r="B993" t="s">
        <v>37</v>
      </c>
      <c r="C993" t="s">
        <v>38</v>
      </c>
      <c r="D993" t="s">
        <v>22</v>
      </c>
      <c r="E993" t="s">
        <v>16</v>
      </c>
      <c r="F993" t="s">
        <v>31</v>
      </c>
      <c r="H993" t="s">
        <v>1041</v>
      </c>
      <c r="I993" s="1">
        <v>43489</v>
      </c>
      <c r="J993" t="s">
        <v>1046</v>
      </c>
      <c r="K993" s="5">
        <v>0.75694444444444453</v>
      </c>
      <c r="L993" t="s">
        <v>18</v>
      </c>
      <c r="M993">
        <v>38.299999999999997</v>
      </c>
      <c r="N993">
        <v>6</v>
      </c>
    </row>
    <row r="994" spans="1:14" x14ac:dyDescent="0.25">
      <c r="A994" t="s">
        <v>1023</v>
      </c>
      <c r="B994" t="s">
        <v>13</v>
      </c>
      <c r="C994" t="s">
        <v>14</v>
      </c>
      <c r="D994" t="s">
        <v>22</v>
      </c>
      <c r="E994" t="s">
        <v>26</v>
      </c>
      <c r="F994" t="s">
        <v>23</v>
      </c>
      <c r="G994" t="s">
        <v>1036</v>
      </c>
      <c r="H994" t="s">
        <v>1043</v>
      </c>
      <c r="I994" s="1">
        <v>43534</v>
      </c>
      <c r="J994" t="s">
        <v>1046</v>
      </c>
      <c r="K994" s="5">
        <v>0.8652777777777777</v>
      </c>
      <c r="L994" t="s">
        <v>18</v>
      </c>
      <c r="M994">
        <v>5.8029999999999999</v>
      </c>
      <c r="N994">
        <v>8.8000000000000007</v>
      </c>
    </row>
    <row r="995" spans="1:14" x14ac:dyDescent="0.25">
      <c r="A995" t="s">
        <v>1024</v>
      </c>
      <c r="B995" t="s">
        <v>37</v>
      </c>
      <c r="C995" t="s">
        <v>38</v>
      </c>
      <c r="D995" t="s">
        <v>22</v>
      </c>
      <c r="E995" t="s">
        <v>26</v>
      </c>
      <c r="F995" t="s">
        <v>41</v>
      </c>
      <c r="G995" t="s">
        <v>1040</v>
      </c>
      <c r="H995" t="s">
        <v>1042</v>
      </c>
      <c r="I995" s="1">
        <v>43518</v>
      </c>
      <c r="J995" t="s">
        <v>1046</v>
      </c>
      <c r="K995" s="5">
        <v>0.77430555555555547</v>
      </c>
      <c r="L995" t="s">
        <v>18</v>
      </c>
      <c r="M995">
        <v>8.7449999999999992</v>
      </c>
      <c r="N995">
        <v>6.6</v>
      </c>
    </row>
    <row r="996" spans="1:14" x14ac:dyDescent="0.25">
      <c r="A996" t="s">
        <v>1025</v>
      </c>
      <c r="B996" t="s">
        <v>20</v>
      </c>
      <c r="C996" t="s">
        <v>21</v>
      </c>
      <c r="D996" t="s">
        <v>15</v>
      </c>
      <c r="E996" t="s">
        <v>16</v>
      </c>
      <c r="F996" t="s">
        <v>23</v>
      </c>
      <c r="G996" t="s">
        <v>1040</v>
      </c>
      <c r="H996" t="s">
        <v>1042</v>
      </c>
      <c r="I996" s="1">
        <v>43514</v>
      </c>
      <c r="J996" t="s">
        <v>1044</v>
      </c>
      <c r="K996" s="5">
        <v>0.4861111111111111</v>
      </c>
      <c r="L996" t="s">
        <v>18</v>
      </c>
      <c r="M996">
        <v>3.0474999999999999</v>
      </c>
      <c r="N996">
        <v>5.9</v>
      </c>
    </row>
    <row r="997" spans="1:14" x14ac:dyDescent="0.25">
      <c r="A997" t="s">
        <v>1026</v>
      </c>
      <c r="B997" t="s">
        <v>20</v>
      </c>
      <c r="C997" t="s">
        <v>21</v>
      </c>
      <c r="D997" t="s">
        <v>22</v>
      </c>
      <c r="E997" t="s">
        <v>26</v>
      </c>
      <c r="F997" t="s">
        <v>17</v>
      </c>
      <c r="G997" t="s">
        <v>1037</v>
      </c>
      <c r="H997" t="s">
        <v>1041</v>
      </c>
      <c r="I997" s="1">
        <v>43494</v>
      </c>
      <c r="J997" t="s">
        <v>1045</v>
      </c>
      <c r="K997" s="5">
        <v>0.57361111111111118</v>
      </c>
      <c r="L997" t="s">
        <v>18</v>
      </c>
      <c r="M997">
        <v>2.0175000000000001</v>
      </c>
      <c r="N997">
        <v>6.2</v>
      </c>
    </row>
    <row r="998" spans="1:14" x14ac:dyDescent="0.25">
      <c r="A998" t="s">
        <v>1027</v>
      </c>
      <c r="B998" t="s">
        <v>37</v>
      </c>
      <c r="C998" t="s">
        <v>38</v>
      </c>
      <c r="D998" t="s">
        <v>22</v>
      </c>
      <c r="E998" t="s">
        <v>16</v>
      </c>
      <c r="F998" t="s">
        <v>27</v>
      </c>
      <c r="G998" t="s">
        <v>1035</v>
      </c>
      <c r="H998" t="s">
        <v>1043</v>
      </c>
      <c r="I998" s="1">
        <v>43526</v>
      </c>
      <c r="J998" t="s">
        <v>1046</v>
      </c>
      <c r="K998" s="5">
        <v>0.71944444444444444</v>
      </c>
      <c r="L998" t="s">
        <v>18</v>
      </c>
      <c r="M998">
        <v>48.69</v>
      </c>
      <c r="N998">
        <v>4.4000000000000004</v>
      </c>
    </row>
    <row r="999" spans="1:14" x14ac:dyDescent="0.25">
      <c r="A999" t="s">
        <v>1028</v>
      </c>
      <c r="B999" t="s">
        <v>13</v>
      </c>
      <c r="C999" t="s">
        <v>14</v>
      </c>
      <c r="D999" t="s">
        <v>15</v>
      </c>
      <c r="E999" t="s">
        <v>26</v>
      </c>
      <c r="F999" t="s">
        <v>39</v>
      </c>
      <c r="G999" t="s">
        <v>1039</v>
      </c>
      <c r="H999" t="s">
        <v>1042</v>
      </c>
      <c r="I999" s="1">
        <v>43505</v>
      </c>
      <c r="J999" t="s">
        <v>1045</v>
      </c>
      <c r="K999" s="5">
        <v>0.55694444444444446</v>
      </c>
      <c r="L999" t="s">
        <v>24</v>
      </c>
      <c r="M999">
        <v>1.5920000000000001</v>
      </c>
      <c r="N999">
        <v>7.7</v>
      </c>
    </row>
    <row r="1000" spans="1:14" x14ac:dyDescent="0.25">
      <c r="A1000" t="s">
        <v>1029</v>
      </c>
      <c r="B1000" t="s">
        <v>13</v>
      </c>
      <c r="C1000" t="s">
        <v>14</v>
      </c>
      <c r="D1000" t="s">
        <v>22</v>
      </c>
      <c r="E1000" t="s">
        <v>26</v>
      </c>
      <c r="F1000" t="s">
        <v>27</v>
      </c>
      <c r="G1000" t="s">
        <v>1040</v>
      </c>
      <c r="H1000" t="s">
        <v>1042</v>
      </c>
      <c r="I1000" s="1">
        <v>43518</v>
      </c>
      <c r="J1000" t="s">
        <v>1045</v>
      </c>
      <c r="K1000" s="5">
        <v>0.6479166666666667</v>
      </c>
      <c r="L1000" t="s">
        <v>24</v>
      </c>
      <c r="M1000">
        <v>3.2909999999999999</v>
      </c>
      <c r="N1000">
        <v>4.0999999999999996</v>
      </c>
    </row>
    <row r="1001" spans="1:14" x14ac:dyDescent="0.25">
      <c r="A1001" t="s">
        <v>1030</v>
      </c>
      <c r="B1001" t="s">
        <v>13</v>
      </c>
      <c r="C1001" t="s">
        <v>14</v>
      </c>
      <c r="D1001" t="s">
        <v>15</v>
      </c>
      <c r="E1001" t="s">
        <v>16</v>
      </c>
      <c r="F1001" t="s">
        <v>41</v>
      </c>
      <c r="G1001" t="s">
        <v>1040</v>
      </c>
      <c r="H1001" t="s">
        <v>1042</v>
      </c>
      <c r="I1001" s="1">
        <v>43514</v>
      </c>
      <c r="J1001" t="s">
        <v>1045</v>
      </c>
      <c r="K1001" s="5">
        <v>0.56111111111111112</v>
      </c>
      <c r="L1001" t="s">
        <v>24</v>
      </c>
      <c r="M1001">
        <v>30.919</v>
      </c>
      <c r="N1001">
        <v>6.6</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sqref="A1:N1001"/>
    </sheetView>
  </sheetViews>
  <sheetFormatPr defaultRowHeight="15" x14ac:dyDescent="0.25"/>
  <cols>
    <col min="1" max="1" width="11.85546875" customWidth="1"/>
    <col min="4" max="4" width="16.140625" customWidth="1"/>
    <col min="5" max="5" width="9.85546875" customWidth="1"/>
    <col min="6" max="6" width="13.85546875" customWidth="1"/>
    <col min="8" max="8" width="10" customWidth="1"/>
    <col min="10" max="10" width="9.85546875" customWidth="1"/>
    <col min="12" max="12" width="11" customWidth="1"/>
    <col min="13" max="13" width="14.7109375" customWidth="1"/>
  </cols>
  <sheetData>
    <row r="1" spans="1:14" x14ac:dyDescent="0.25">
      <c r="A1" t="s">
        <v>0</v>
      </c>
      <c r="B1" t="s">
        <v>1</v>
      </c>
      <c r="C1" t="s">
        <v>2</v>
      </c>
      <c r="D1" t="s">
        <v>3</v>
      </c>
      <c r="E1" t="s">
        <v>4</v>
      </c>
      <c r="F1" t="s">
        <v>5</v>
      </c>
      <c r="G1" t="s">
        <v>1032</v>
      </c>
      <c r="H1" t="s">
        <v>1033</v>
      </c>
      <c r="I1" t="s">
        <v>7</v>
      </c>
      <c r="J1" t="s">
        <v>1031</v>
      </c>
      <c r="K1" t="s">
        <v>8</v>
      </c>
      <c r="L1" t="s">
        <v>9</v>
      </c>
      <c r="M1" t="s">
        <v>10</v>
      </c>
      <c r="N1" t="s">
        <v>11</v>
      </c>
    </row>
    <row r="2" spans="1:14" x14ac:dyDescent="0.25">
      <c r="A2" t="s">
        <v>12</v>
      </c>
      <c r="B2" t="s">
        <v>13</v>
      </c>
      <c r="C2" t="s">
        <v>14</v>
      </c>
      <c r="D2" t="s">
        <v>15</v>
      </c>
      <c r="E2" t="s">
        <v>16</v>
      </c>
      <c r="F2" t="s">
        <v>17</v>
      </c>
      <c r="G2" t="s">
        <v>1034</v>
      </c>
      <c r="H2" t="s">
        <v>1041</v>
      </c>
      <c r="I2" s="1">
        <v>43470</v>
      </c>
      <c r="J2" t="s">
        <v>1045</v>
      </c>
      <c r="K2" s="5">
        <v>0.54722222222222217</v>
      </c>
      <c r="L2" t="s">
        <v>18</v>
      </c>
      <c r="M2">
        <v>26.141500000000001</v>
      </c>
      <c r="N2">
        <v>9.1</v>
      </c>
    </row>
    <row r="3" spans="1:14" x14ac:dyDescent="0.25">
      <c r="A3" t="s">
        <v>19</v>
      </c>
      <c r="B3" t="s">
        <v>20</v>
      </c>
      <c r="C3" t="s">
        <v>21</v>
      </c>
      <c r="D3" t="s">
        <v>22</v>
      </c>
      <c r="E3" t="s">
        <v>16</v>
      </c>
      <c r="F3" t="s">
        <v>23</v>
      </c>
      <c r="G3" t="s">
        <v>1035</v>
      </c>
      <c r="H3" t="s">
        <v>1043</v>
      </c>
      <c r="I3" s="1">
        <v>43532</v>
      </c>
      <c r="J3" t="s">
        <v>1044</v>
      </c>
      <c r="K3" s="5">
        <v>0.4368055555555555</v>
      </c>
      <c r="L3" t="s">
        <v>24</v>
      </c>
      <c r="M3">
        <v>3.82</v>
      </c>
      <c r="N3">
        <v>9.6</v>
      </c>
    </row>
    <row r="4" spans="1:14" x14ac:dyDescent="0.25">
      <c r="A4" t="s">
        <v>25</v>
      </c>
      <c r="B4" t="s">
        <v>13</v>
      </c>
      <c r="C4" t="s">
        <v>14</v>
      </c>
      <c r="D4" t="s">
        <v>22</v>
      </c>
      <c r="E4" t="s">
        <v>26</v>
      </c>
      <c r="F4" t="s">
        <v>27</v>
      </c>
      <c r="G4" t="s">
        <v>1035</v>
      </c>
      <c r="H4" t="s">
        <v>1043</v>
      </c>
      <c r="I4" s="1">
        <v>43527</v>
      </c>
      <c r="J4" t="s">
        <v>1045</v>
      </c>
      <c r="K4" s="5">
        <v>0.55763888888888891</v>
      </c>
      <c r="L4" t="s">
        <v>28</v>
      </c>
      <c r="M4">
        <v>16.215499999999999</v>
      </c>
      <c r="N4">
        <v>7.4</v>
      </c>
    </row>
    <row r="5" spans="1:14" x14ac:dyDescent="0.25">
      <c r="A5" t="s">
        <v>29</v>
      </c>
      <c r="B5" t="s">
        <v>13</v>
      </c>
      <c r="C5" t="s">
        <v>14</v>
      </c>
      <c r="D5" t="s">
        <v>15</v>
      </c>
      <c r="E5" t="s">
        <v>26</v>
      </c>
      <c r="F5" t="s">
        <v>17</v>
      </c>
      <c r="G5" t="s">
        <v>1037</v>
      </c>
      <c r="H5" t="s">
        <v>1041</v>
      </c>
      <c r="I5" s="1">
        <v>43492</v>
      </c>
      <c r="J5" t="s">
        <v>1046</v>
      </c>
      <c r="K5" s="5">
        <v>0.85625000000000007</v>
      </c>
      <c r="L5" t="s">
        <v>18</v>
      </c>
      <c r="M5">
        <v>23.288</v>
      </c>
      <c r="N5">
        <v>8.4</v>
      </c>
    </row>
    <row r="6" spans="1:14" x14ac:dyDescent="0.25">
      <c r="A6" t="s">
        <v>30</v>
      </c>
      <c r="B6" t="s">
        <v>13</v>
      </c>
      <c r="C6" t="s">
        <v>14</v>
      </c>
      <c r="D6" t="s">
        <v>22</v>
      </c>
      <c r="E6" t="s">
        <v>26</v>
      </c>
      <c r="F6" t="s">
        <v>31</v>
      </c>
      <c r="G6" t="s">
        <v>1038</v>
      </c>
      <c r="H6" t="s">
        <v>1042</v>
      </c>
      <c r="I6" s="1">
        <v>43504</v>
      </c>
      <c r="J6" t="s">
        <v>1044</v>
      </c>
      <c r="K6" s="5">
        <v>0.44236111111111115</v>
      </c>
      <c r="L6" t="s">
        <v>18</v>
      </c>
      <c r="M6">
        <v>30.208500000000001</v>
      </c>
      <c r="N6">
        <v>5.3</v>
      </c>
    </row>
    <row r="7" spans="1:14" x14ac:dyDescent="0.25">
      <c r="A7" t="s">
        <v>32</v>
      </c>
      <c r="B7" t="s">
        <v>20</v>
      </c>
      <c r="C7" t="s">
        <v>21</v>
      </c>
      <c r="D7" t="s">
        <v>22</v>
      </c>
      <c r="E7" t="s">
        <v>26</v>
      </c>
      <c r="F7" t="s">
        <v>23</v>
      </c>
      <c r="G7" t="s">
        <v>1038</v>
      </c>
      <c r="H7" t="s">
        <v>1043</v>
      </c>
      <c r="I7" s="1">
        <v>43549</v>
      </c>
      <c r="J7" t="s">
        <v>1046</v>
      </c>
      <c r="K7" s="5">
        <v>0.77083333333333337</v>
      </c>
      <c r="L7" t="s">
        <v>18</v>
      </c>
      <c r="M7">
        <v>29.886500000000002</v>
      </c>
      <c r="N7">
        <v>4.0999999999999996</v>
      </c>
    </row>
    <row r="8" spans="1:14" x14ac:dyDescent="0.25">
      <c r="A8" t="s">
        <v>33</v>
      </c>
      <c r="B8" t="s">
        <v>13</v>
      </c>
      <c r="C8" t="s">
        <v>14</v>
      </c>
      <c r="D8" t="s">
        <v>15</v>
      </c>
      <c r="E8" t="s">
        <v>16</v>
      </c>
      <c r="F8" t="s">
        <v>23</v>
      </c>
      <c r="G8" t="s">
        <v>1034</v>
      </c>
      <c r="H8" t="s">
        <v>1042</v>
      </c>
      <c r="I8" s="1">
        <v>43521</v>
      </c>
      <c r="J8" t="s">
        <v>1045</v>
      </c>
      <c r="K8" s="5">
        <v>0.60833333333333328</v>
      </c>
      <c r="L8" t="s">
        <v>18</v>
      </c>
      <c r="M8">
        <v>20.652000000000001</v>
      </c>
      <c r="N8">
        <v>5.8</v>
      </c>
    </row>
    <row r="9" spans="1:14" x14ac:dyDescent="0.25">
      <c r="A9" t="s">
        <v>34</v>
      </c>
      <c r="B9" t="s">
        <v>20</v>
      </c>
      <c r="C9" t="s">
        <v>21</v>
      </c>
      <c r="D9" t="s">
        <v>22</v>
      </c>
      <c r="E9" t="s">
        <v>16</v>
      </c>
      <c r="F9" t="s">
        <v>27</v>
      </c>
      <c r="G9" t="s">
        <v>1034</v>
      </c>
      <c r="H9" t="s">
        <v>1042</v>
      </c>
      <c r="I9" s="1">
        <v>43520</v>
      </c>
      <c r="J9" t="s">
        <v>1044</v>
      </c>
      <c r="K9" s="5">
        <v>0.48472222222222222</v>
      </c>
      <c r="L9" t="s">
        <v>18</v>
      </c>
      <c r="M9">
        <v>36.78</v>
      </c>
      <c r="N9">
        <v>8</v>
      </c>
    </row>
    <row r="10" spans="1:14" x14ac:dyDescent="0.25">
      <c r="A10" t="s">
        <v>35</v>
      </c>
      <c r="B10" t="s">
        <v>13</v>
      </c>
      <c r="C10" t="s">
        <v>14</v>
      </c>
      <c r="D10" t="s">
        <v>15</v>
      </c>
      <c r="E10" t="s">
        <v>16</v>
      </c>
      <c r="F10" t="s">
        <v>17</v>
      </c>
      <c r="G10" t="s">
        <v>1034</v>
      </c>
      <c r="H10" t="s">
        <v>1041</v>
      </c>
      <c r="I10" s="1">
        <v>43475</v>
      </c>
      <c r="J10" t="s">
        <v>1046</v>
      </c>
      <c r="K10" s="5">
        <v>0.71875</v>
      </c>
      <c r="L10" t="s">
        <v>28</v>
      </c>
      <c r="M10">
        <v>3.6259999999999999</v>
      </c>
      <c r="N10">
        <v>7.2</v>
      </c>
    </row>
    <row r="11" spans="1:14" x14ac:dyDescent="0.25">
      <c r="A11" t="s">
        <v>36</v>
      </c>
      <c r="B11" t="s">
        <v>37</v>
      </c>
      <c r="C11" t="s">
        <v>38</v>
      </c>
      <c r="D11" t="s">
        <v>15</v>
      </c>
      <c r="E11" t="s">
        <v>16</v>
      </c>
      <c r="F11" t="s">
        <v>39</v>
      </c>
      <c r="G11" t="s">
        <v>1040</v>
      </c>
      <c r="H11" t="s">
        <v>1042</v>
      </c>
      <c r="I11" s="1">
        <v>43516</v>
      </c>
      <c r="J11" t="s">
        <v>1045</v>
      </c>
      <c r="K11" s="5">
        <v>0.56041666666666667</v>
      </c>
      <c r="L11" t="s">
        <v>28</v>
      </c>
      <c r="M11">
        <v>8.2260000000000009</v>
      </c>
      <c r="N11">
        <v>5.9</v>
      </c>
    </row>
    <row r="12" spans="1:14" x14ac:dyDescent="0.25">
      <c r="A12" t="s">
        <v>40</v>
      </c>
      <c r="B12" t="s">
        <v>37</v>
      </c>
      <c r="C12" t="s">
        <v>38</v>
      </c>
      <c r="D12" t="s">
        <v>15</v>
      </c>
      <c r="E12" t="s">
        <v>16</v>
      </c>
      <c r="F12" t="s">
        <v>41</v>
      </c>
      <c r="G12" t="s">
        <v>1038</v>
      </c>
      <c r="H12" t="s">
        <v>1042</v>
      </c>
      <c r="I12" s="1">
        <v>43502</v>
      </c>
      <c r="J12" t="s">
        <v>1046</v>
      </c>
      <c r="K12" s="5">
        <v>0.75486111111111109</v>
      </c>
      <c r="L12" t="s">
        <v>18</v>
      </c>
      <c r="M12">
        <v>2.8959999999999999</v>
      </c>
      <c r="N12">
        <v>4.5</v>
      </c>
    </row>
    <row r="13" spans="1:14" x14ac:dyDescent="0.25">
      <c r="A13" t="s">
        <v>42</v>
      </c>
      <c r="B13" t="s">
        <v>37</v>
      </c>
      <c r="C13" t="s">
        <v>38</v>
      </c>
      <c r="D13" t="s">
        <v>15</v>
      </c>
      <c r="E13" t="s">
        <v>26</v>
      </c>
      <c r="F13" t="s">
        <v>23</v>
      </c>
      <c r="G13" t="s">
        <v>1036</v>
      </c>
      <c r="H13" t="s">
        <v>1043</v>
      </c>
      <c r="I13" s="1">
        <v>43533</v>
      </c>
      <c r="J13" t="s">
        <v>1046</v>
      </c>
      <c r="K13" s="5">
        <v>0.7104166666666667</v>
      </c>
      <c r="L13" t="s">
        <v>24</v>
      </c>
      <c r="M13">
        <v>5.1020000000000003</v>
      </c>
      <c r="N13">
        <v>6.8</v>
      </c>
    </row>
    <row r="14" spans="1:14" x14ac:dyDescent="0.25">
      <c r="A14" t="s">
        <v>43</v>
      </c>
      <c r="B14" t="s">
        <v>13</v>
      </c>
      <c r="C14" t="s">
        <v>14</v>
      </c>
      <c r="D14" t="s">
        <v>22</v>
      </c>
      <c r="E14" t="s">
        <v>16</v>
      </c>
      <c r="F14" t="s">
        <v>23</v>
      </c>
      <c r="G14" t="s">
        <v>1039</v>
      </c>
      <c r="H14" t="s">
        <v>1042</v>
      </c>
      <c r="I14" s="1">
        <v>43508</v>
      </c>
      <c r="J14" t="s">
        <v>1044</v>
      </c>
      <c r="K14" s="5">
        <v>0.43402777777777773</v>
      </c>
      <c r="L14" t="s">
        <v>18</v>
      </c>
      <c r="M14">
        <v>11.737500000000001</v>
      </c>
      <c r="N14">
        <v>7.1</v>
      </c>
    </row>
    <row r="15" spans="1:14" x14ac:dyDescent="0.25">
      <c r="A15" t="s">
        <v>44</v>
      </c>
      <c r="B15" t="s">
        <v>13</v>
      </c>
      <c r="C15" t="s">
        <v>14</v>
      </c>
      <c r="D15" t="s">
        <v>22</v>
      </c>
      <c r="E15" t="s">
        <v>26</v>
      </c>
      <c r="F15" t="s">
        <v>39</v>
      </c>
      <c r="G15" t="s">
        <v>1038</v>
      </c>
      <c r="H15" t="s">
        <v>1042</v>
      </c>
      <c r="I15" s="1">
        <v>43503</v>
      </c>
      <c r="J15" t="s">
        <v>1046</v>
      </c>
      <c r="K15" s="5">
        <v>0.70000000000000007</v>
      </c>
      <c r="L15" t="s">
        <v>18</v>
      </c>
      <c r="M15">
        <v>21.594999999999999</v>
      </c>
      <c r="N15">
        <v>8.1999999999999993</v>
      </c>
    </row>
    <row r="16" spans="1:14" x14ac:dyDescent="0.25">
      <c r="A16" t="s">
        <v>45</v>
      </c>
      <c r="B16" t="s">
        <v>13</v>
      </c>
      <c r="C16" t="s">
        <v>14</v>
      </c>
      <c r="D16" t="s">
        <v>22</v>
      </c>
      <c r="E16" t="s">
        <v>16</v>
      </c>
      <c r="F16" t="s">
        <v>17</v>
      </c>
      <c r="G16" t="s">
        <v>1038</v>
      </c>
      <c r="H16" t="s">
        <v>1043</v>
      </c>
      <c r="I16" s="1">
        <v>43553</v>
      </c>
      <c r="J16" t="s">
        <v>1046</v>
      </c>
      <c r="K16" s="5">
        <v>0.80625000000000002</v>
      </c>
      <c r="L16" t="s">
        <v>24</v>
      </c>
      <c r="M16">
        <v>35.69</v>
      </c>
      <c r="N16">
        <v>5.7</v>
      </c>
    </row>
    <row r="17" spans="1:14" x14ac:dyDescent="0.25">
      <c r="A17" t="s">
        <v>46</v>
      </c>
      <c r="B17" t="s">
        <v>37</v>
      </c>
      <c r="C17" t="s">
        <v>38</v>
      </c>
      <c r="D17" t="s">
        <v>15</v>
      </c>
      <c r="E17" t="s">
        <v>16</v>
      </c>
      <c r="F17" t="s">
        <v>31</v>
      </c>
      <c r="G17" t="s">
        <v>1035</v>
      </c>
      <c r="H17" t="s">
        <v>1041</v>
      </c>
      <c r="I17" s="1">
        <v>43480</v>
      </c>
      <c r="J17" t="s">
        <v>1046</v>
      </c>
      <c r="K17" s="5">
        <v>0.67986111111111114</v>
      </c>
      <c r="L17" t="s">
        <v>24</v>
      </c>
      <c r="M17">
        <v>28.116</v>
      </c>
      <c r="N17">
        <v>4.5</v>
      </c>
    </row>
    <row r="18" spans="1:14" x14ac:dyDescent="0.25">
      <c r="A18" t="s">
        <v>47</v>
      </c>
      <c r="B18" t="s">
        <v>13</v>
      </c>
      <c r="C18" t="s">
        <v>14</v>
      </c>
      <c r="D18" t="s">
        <v>15</v>
      </c>
      <c r="E18" t="s">
        <v>16</v>
      </c>
      <c r="F18" t="s">
        <v>17</v>
      </c>
      <c r="G18" t="s">
        <v>1036</v>
      </c>
      <c r="H18" t="s">
        <v>1043</v>
      </c>
      <c r="I18" s="1">
        <v>43535</v>
      </c>
      <c r="J18" t="s">
        <v>1044</v>
      </c>
      <c r="K18" s="5">
        <v>0.4604166666666667</v>
      </c>
      <c r="L18" t="s">
        <v>28</v>
      </c>
      <c r="M18">
        <v>24.125499999999999</v>
      </c>
      <c r="N18">
        <v>4.5999999999999996</v>
      </c>
    </row>
    <row r="19" spans="1:14" x14ac:dyDescent="0.25">
      <c r="A19" t="s">
        <v>48</v>
      </c>
      <c r="B19" t="s">
        <v>13</v>
      </c>
      <c r="C19" t="s">
        <v>14</v>
      </c>
      <c r="D19" t="s">
        <v>22</v>
      </c>
      <c r="E19" t="s">
        <v>26</v>
      </c>
      <c r="F19" t="s">
        <v>31</v>
      </c>
      <c r="G19" t="s">
        <v>1040</v>
      </c>
      <c r="H19" t="s">
        <v>1041</v>
      </c>
      <c r="I19" s="1">
        <v>43466</v>
      </c>
      <c r="J19" t="s">
        <v>1044</v>
      </c>
      <c r="K19" s="5">
        <v>0.44375000000000003</v>
      </c>
      <c r="L19" t="s">
        <v>28</v>
      </c>
      <c r="M19">
        <v>21.783000000000001</v>
      </c>
      <c r="N19">
        <v>6.9</v>
      </c>
    </row>
    <row r="20" spans="1:14" x14ac:dyDescent="0.25">
      <c r="A20" t="s">
        <v>49</v>
      </c>
      <c r="B20" t="s">
        <v>13</v>
      </c>
      <c r="C20" t="s">
        <v>14</v>
      </c>
      <c r="D20" t="s">
        <v>22</v>
      </c>
      <c r="E20" t="s">
        <v>26</v>
      </c>
      <c r="F20" t="s">
        <v>39</v>
      </c>
      <c r="G20" t="s">
        <v>1036</v>
      </c>
      <c r="H20" t="s">
        <v>1041</v>
      </c>
      <c r="I20" s="1">
        <v>43486</v>
      </c>
      <c r="J20" t="s">
        <v>1046</v>
      </c>
      <c r="K20" s="5">
        <v>0.75</v>
      </c>
      <c r="L20" t="s">
        <v>28</v>
      </c>
      <c r="M20">
        <v>8.2004999999999999</v>
      </c>
      <c r="N20">
        <v>8.6</v>
      </c>
    </row>
    <row r="21" spans="1:14" x14ac:dyDescent="0.25">
      <c r="A21" t="s">
        <v>50</v>
      </c>
      <c r="B21" t="s">
        <v>37</v>
      </c>
      <c r="C21" t="s">
        <v>38</v>
      </c>
      <c r="D21" t="s">
        <v>22</v>
      </c>
      <c r="E21" t="s">
        <v>16</v>
      </c>
      <c r="F21" t="s">
        <v>27</v>
      </c>
      <c r="G21" t="s">
        <v>1036</v>
      </c>
      <c r="H21" t="s">
        <v>1043</v>
      </c>
      <c r="I21" s="1">
        <v>43535</v>
      </c>
      <c r="J21" t="s">
        <v>1045</v>
      </c>
      <c r="K21" s="5">
        <v>0.64583333333333337</v>
      </c>
      <c r="L21" t="s">
        <v>18</v>
      </c>
      <c r="M21">
        <v>4.03</v>
      </c>
      <c r="N21">
        <v>4.4000000000000004</v>
      </c>
    </row>
    <row r="22" spans="1:14" x14ac:dyDescent="0.25">
      <c r="A22" t="s">
        <v>51</v>
      </c>
      <c r="B22" t="s">
        <v>20</v>
      </c>
      <c r="C22" t="s">
        <v>21</v>
      </c>
      <c r="D22" t="s">
        <v>15</v>
      </c>
      <c r="E22" t="s">
        <v>26</v>
      </c>
      <c r="F22" t="s">
        <v>23</v>
      </c>
      <c r="G22" t="s">
        <v>1034</v>
      </c>
      <c r="H22" t="s">
        <v>1042</v>
      </c>
      <c r="I22" s="1">
        <v>43521</v>
      </c>
      <c r="J22" t="s">
        <v>1044</v>
      </c>
      <c r="K22" s="5">
        <v>0.47500000000000003</v>
      </c>
      <c r="L22" t="s">
        <v>18</v>
      </c>
      <c r="M22">
        <v>21.51</v>
      </c>
      <c r="N22">
        <v>4.8</v>
      </c>
    </row>
    <row r="23" spans="1:14" x14ac:dyDescent="0.25">
      <c r="A23" t="s">
        <v>52</v>
      </c>
      <c r="B23" t="s">
        <v>37</v>
      </c>
      <c r="C23" t="s">
        <v>38</v>
      </c>
      <c r="D23" t="s">
        <v>22</v>
      </c>
      <c r="E23" t="s">
        <v>26</v>
      </c>
      <c r="F23" t="s">
        <v>17</v>
      </c>
      <c r="G23" t="s">
        <v>1035</v>
      </c>
      <c r="H23" t="s">
        <v>1043</v>
      </c>
      <c r="I23" s="1">
        <v>43529</v>
      </c>
      <c r="J23" t="s">
        <v>1044</v>
      </c>
      <c r="K23" s="5">
        <v>0.44444444444444442</v>
      </c>
      <c r="L23" t="s">
        <v>18</v>
      </c>
      <c r="M23">
        <v>13.196999999999999</v>
      </c>
      <c r="N23">
        <v>5.0999999999999996</v>
      </c>
    </row>
    <row r="24" spans="1:14" x14ac:dyDescent="0.25">
      <c r="A24" t="s">
        <v>53</v>
      </c>
      <c r="B24" t="s">
        <v>37</v>
      </c>
      <c r="C24" t="s">
        <v>38</v>
      </c>
      <c r="D24" t="s">
        <v>22</v>
      </c>
      <c r="E24" t="s">
        <v>26</v>
      </c>
      <c r="F24" t="s">
        <v>27</v>
      </c>
      <c r="G24" t="s">
        <v>1036</v>
      </c>
      <c r="H24" t="s">
        <v>1043</v>
      </c>
      <c r="I24" s="1">
        <v>43539</v>
      </c>
      <c r="J24" t="s">
        <v>1045</v>
      </c>
      <c r="K24" s="5">
        <v>0.51388888888888895</v>
      </c>
      <c r="L24" t="s">
        <v>28</v>
      </c>
      <c r="M24">
        <v>3.32</v>
      </c>
      <c r="N24">
        <v>4.4000000000000004</v>
      </c>
    </row>
    <row r="25" spans="1:14" x14ac:dyDescent="0.25">
      <c r="A25" t="s">
        <v>54</v>
      </c>
      <c r="B25" t="s">
        <v>13</v>
      </c>
      <c r="C25" t="s">
        <v>14</v>
      </c>
      <c r="D25" t="s">
        <v>22</v>
      </c>
      <c r="E25" t="s">
        <v>26</v>
      </c>
      <c r="F25" t="s">
        <v>23</v>
      </c>
      <c r="G25" t="s">
        <v>1040</v>
      </c>
      <c r="H25" t="s">
        <v>1042</v>
      </c>
      <c r="I25" s="1">
        <v>43513</v>
      </c>
      <c r="J25" t="s">
        <v>1044</v>
      </c>
      <c r="K25" s="5">
        <v>0.46875</v>
      </c>
      <c r="L25" t="s">
        <v>18</v>
      </c>
      <c r="M25">
        <v>8.64</v>
      </c>
      <c r="N25">
        <v>9.9</v>
      </c>
    </row>
    <row r="26" spans="1:14" x14ac:dyDescent="0.25">
      <c r="A26" t="s">
        <v>55</v>
      </c>
      <c r="B26" t="s">
        <v>13</v>
      </c>
      <c r="C26" t="s">
        <v>14</v>
      </c>
      <c r="D26" t="s">
        <v>15</v>
      </c>
      <c r="E26" t="s">
        <v>26</v>
      </c>
      <c r="F26" t="s">
        <v>31</v>
      </c>
      <c r="G26" t="s">
        <v>1035</v>
      </c>
      <c r="H26" t="s">
        <v>1043</v>
      </c>
      <c r="I26" s="1">
        <v>43526</v>
      </c>
      <c r="J26" t="s">
        <v>1046</v>
      </c>
      <c r="K26" s="5">
        <v>0.73333333333333339</v>
      </c>
      <c r="L26" t="s">
        <v>18</v>
      </c>
      <c r="M26">
        <v>13.294499999999999</v>
      </c>
      <c r="N26">
        <v>6</v>
      </c>
    </row>
    <row r="27" spans="1:14" x14ac:dyDescent="0.25">
      <c r="A27" t="s">
        <v>56</v>
      </c>
      <c r="B27" t="s">
        <v>13</v>
      </c>
      <c r="C27" t="s">
        <v>14</v>
      </c>
      <c r="D27" t="s">
        <v>15</v>
      </c>
      <c r="E27" t="s">
        <v>16</v>
      </c>
      <c r="F27" t="s">
        <v>27</v>
      </c>
      <c r="G27" t="s">
        <v>1037</v>
      </c>
      <c r="H27" t="s">
        <v>1043</v>
      </c>
      <c r="I27" s="1">
        <v>43546</v>
      </c>
      <c r="J27" t="s">
        <v>1046</v>
      </c>
      <c r="K27" s="5">
        <v>0.80555555555555547</v>
      </c>
      <c r="L27" t="s">
        <v>28</v>
      </c>
      <c r="M27">
        <v>21.036000000000001</v>
      </c>
      <c r="N27">
        <v>8.5</v>
      </c>
    </row>
    <row r="28" spans="1:14" x14ac:dyDescent="0.25">
      <c r="A28" t="s">
        <v>57</v>
      </c>
      <c r="B28" t="s">
        <v>37</v>
      </c>
      <c r="C28" t="s">
        <v>38</v>
      </c>
      <c r="D28" t="s">
        <v>22</v>
      </c>
      <c r="E28" t="s">
        <v>26</v>
      </c>
      <c r="F28" t="s">
        <v>41</v>
      </c>
      <c r="G28" t="s">
        <v>1038</v>
      </c>
      <c r="H28" t="s">
        <v>1042</v>
      </c>
      <c r="I28" s="1">
        <v>43504</v>
      </c>
      <c r="J28" t="s">
        <v>1045</v>
      </c>
      <c r="K28" s="5">
        <v>0.64652777777777781</v>
      </c>
      <c r="L28" t="s">
        <v>24</v>
      </c>
      <c r="M28">
        <v>1.6759999999999999</v>
      </c>
      <c r="N28">
        <v>6.7</v>
      </c>
    </row>
    <row r="29" spans="1:14" x14ac:dyDescent="0.25">
      <c r="A29" t="s">
        <v>58</v>
      </c>
      <c r="B29" t="s">
        <v>13</v>
      </c>
      <c r="C29" t="s">
        <v>14</v>
      </c>
      <c r="D29" t="s">
        <v>22</v>
      </c>
      <c r="E29" t="s">
        <v>16</v>
      </c>
      <c r="F29" t="s">
        <v>41</v>
      </c>
      <c r="G29" t="s">
        <v>1036</v>
      </c>
      <c r="H29" t="s">
        <v>1043</v>
      </c>
      <c r="I29" s="1">
        <v>43534</v>
      </c>
      <c r="J29" t="s">
        <v>1045</v>
      </c>
      <c r="K29" s="5">
        <v>0.51180555555555551</v>
      </c>
      <c r="L29" t="s">
        <v>28</v>
      </c>
      <c r="M29">
        <v>8.7669999999999995</v>
      </c>
      <c r="N29">
        <v>7.7</v>
      </c>
    </row>
    <row r="30" spans="1:14" x14ac:dyDescent="0.25">
      <c r="A30" t="s">
        <v>59</v>
      </c>
      <c r="B30" t="s">
        <v>37</v>
      </c>
      <c r="C30" t="s">
        <v>38</v>
      </c>
      <c r="D30" t="s">
        <v>22</v>
      </c>
      <c r="E30" t="s">
        <v>16</v>
      </c>
      <c r="F30" t="s">
        <v>39</v>
      </c>
      <c r="G30" t="s">
        <v>1036</v>
      </c>
      <c r="H30" t="s">
        <v>1041</v>
      </c>
      <c r="I30" s="1">
        <v>43490</v>
      </c>
      <c r="J30" t="s">
        <v>1046</v>
      </c>
      <c r="K30" s="5">
        <v>0.82500000000000007</v>
      </c>
      <c r="L30" t="s">
        <v>24</v>
      </c>
      <c r="M30">
        <v>22.09</v>
      </c>
      <c r="N30">
        <v>9.6</v>
      </c>
    </row>
    <row r="31" spans="1:14" x14ac:dyDescent="0.25">
      <c r="A31" t="s">
        <v>60</v>
      </c>
      <c r="B31" t="s">
        <v>13</v>
      </c>
      <c r="C31" t="s">
        <v>14</v>
      </c>
      <c r="D31" t="s">
        <v>22</v>
      </c>
      <c r="E31" t="s">
        <v>26</v>
      </c>
      <c r="F31" t="s">
        <v>17</v>
      </c>
      <c r="G31" t="s">
        <v>1036</v>
      </c>
      <c r="H31" t="s">
        <v>1043</v>
      </c>
      <c r="I31" s="1">
        <v>43539</v>
      </c>
      <c r="J31" t="s">
        <v>1045</v>
      </c>
      <c r="K31" s="5">
        <v>0.65</v>
      </c>
      <c r="L31" t="s">
        <v>24</v>
      </c>
      <c r="M31">
        <v>11.2005</v>
      </c>
      <c r="N31">
        <v>7.4</v>
      </c>
    </row>
    <row r="32" spans="1:14" x14ac:dyDescent="0.25">
      <c r="A32" t="s">
        <v>61</v>
      </c>
      <c r="B32" t="s">
        <v>37</v>
      </c>
      <c r="C32" t="s">
        <v>38</v>
      </c>
      <c r="D32" t="s">
        <v>22</v>
      </c>
      <c r="E32" t="s">
        <v>26</v>
      </c>
      <c r="F32" t="s">
        <v>41</v>
      </c>
      <c r="G32" t="s">
        <v>1034</v>
      </c>
      <c r="H32" t="s">
        <v>1042</v>
      </c>
      <c r="I32" s="1">
        <v>43521</v>
      </c>
      <c r="J32" t="s">
        <v>1046</v>
      </c>
      <c r="K32" s="5">
        <v>0.81874999999999998</v>
      </c>
      <c r="L32" t="s">
        <v>28</v>
      </c>
      <c r="M32">
        <v>23.532499999999999</v>
      </c>
      <c r="N32">
        <v>4.8</v>
      </c>
    </row>
    <row r="33" spans="1:14" x14ac:dyDescent="0.25">
      <c r="A33" t="s">
        <v>62</v>
      </c>
      <c r="B33" t="s">
        <v>37</v>
      </c>
      <c r="C33" t="s">
        <v>38</v>
      </c>
      <c r="D33" t="s">
        <v>15</v>
      </c>
      <c r="E33" t="s">
        <v>26</v>
      </c>
      <c r="F33" t="s">
        <v>31</v>
      </c>
      <c r="G33" t="s">
        <v>1037</v>
      </c>
      <c r="H33" t="s">
        <v>1041</v>
      </c>
      <c r="I33" s="1">
        <v>43493</v>
      </c>
      <c r="J33" t="s">
        <v>1045</v>
      </c>
      <c r="K33" s="5">
        <v>0.52986111111111112</v>
      </c>
      <c r="L33" t="s">
        <v>24</v>
      </c>
      <c r="M33">
        <v>35.131500000000003</v>
      </c>
      <c r="N33">
        <v>4.5</v>
      </c>
    </row>
    <row r="34" spans="1:14" x14ac:dyDescent="0.25">
      <c r="A34" t="s">
        <v>63</v>
      </c>
      <c r="B34" t="s">
        <v>37</v>
      </c>
      <c r="C34" t="s">
        <v>38</v>
      </c>
      <c r="D34" t="s">
        <v>22</v>
      </c>
      <c r="E34" t="s">
        <v>26</v>
      </c>
      <c r="F34" t="s">
        <v>31</v>
      </c>
      <c r="G34" t="s">
        <v>1034</v>
      </c>
      <c r="H34" t="s">
        <v>1041</v>
      </c>
      <c r="I34" s="1">
        <v>43475</v>
      </c>
      <c r="J34" t="s">
        <v>1045</v>
      </c>
      <c r="K34" s="5">
        <v>0.61736111111111114</v>
      </c>
      <c r="L34" t="s">
        <v>24</v>
      </c>
      <c r="M34">
        <v>33.512</v>
      </c>
      <c r="N34">
        <v>5.0999999999999996</v>
      </c>
    </row>
    <row r="35" spans="1:14" x14ac:dyDescent="0.25">
      <c r="A35" t="s">
        <v>64</v>
      </c>
      <c r="B35" t="s">
        <v>13</v>
      </c>
      <c r="C35" t="s">
        <v>14</v>
      </c>
      <c r="D35" t="s">
        <v>22</v>
      </c>
      <c r="E35" t="s">
        <v>26</v>
      </c>
      <c r="F35" t="s">
        <v>17</v>
      </c>
      <c r="G35" t="s">
        <v>1036</v>
      </c>
      <c r="H35" t="s">
        <v>1043</v>
      </c>
      <c r="I35" s="1">
        <v>43539</v>
      </c>
      <c r="J35" t="s">
        <v>1044</v>
      </c>
      <c r="K35" s="5">
        <v>0.42499999999999999</v>
      </c>
      <c r="L35" t="s">
        <v>28</v>
      </c>
      <c r="M35">
        <v>9.6579999999999995</v>
      </c>
      <c r="N35">
        <v>5.0999999999999996</v>
      </c>
    </row>
    <row r="36" spans="1:14" x14ac:dyDescent="0.25">
      <c r="A36" t="s">
        <v>65</v>
      </c>
      <c r="B36" t="s">
        <v>20</v>
      </c>
      <c r="C36" t="s">
        <v>21</v>
      </c>
      <c r="D36" t="s">
        <v>15</v>
      </c>
      <c r="E36" t="s">
        <v>16</v>
      </c>
      <c r="F36" t="s">
        <v>39</v>
      </c>
      <c r="G36" t="s">
        <v>1038</v>
      </c>
      <c r="H36" t="s">
        <v>1042</v>
      </c>
      <c r="I36" s="1">
        <v>43502</v>
      </c>
      <c r="J36" t="s">
        <v>1044</v>
      </c>
      <c r="K36" s="5">
        <v>0.4458333333333333</v>
      </c>
      <c r="L36" t="s">
        <v>18</v>
      </c>
      <c r="M36">
        <v>19.884</v>
      </c>
      <c r="N36">
        <v>7.5</v>
      </c>
    </row>
    <row r="37" spans="1:14" x14ac:dyDescent="0.25">
      <c r="A37" t="s">
        <v>66</v>
      </c>
      <c r="B37" t="s">
        <v>20</v>
      </c>
      <c r="C37" t="s">
        <v>21</v>
      </c>
      <c r="D37" t="s">
        <v>15</v>
      </c>
      <c r="E37" t="s">
        <v>16</v>
      </c>
      <c r="F37" t="s">
        <v>31</v>
      </c>
      <c r="G37" t="s">
        <v>1034</v>
      </c>
      <c r="H37" t="s">
        <v>1041</v>
      </c>
      <c r="I37" s="1">
        <v>43472</v>
      </c>
      <c r="J37" t="s">
        <v>1045</v>
      </c>
      <c r="K37" s="5">
        <v>0.51944444444444449</v>
      </c>
      <c r="L37" t="s">
        <v>18</v>
      </c>
      <c r="M37">
        <v>3.4060000000000001</v>
      </c>
      <c r="N37">
        <v>6.8</v>
      </c>
    </row>
    <row r="38" spans="1:14" x14ac:dyDescent="0.25">
      <c r="A38" t="s">
        <v>67</v>
      </c>
      <c r="B38" t="s">
        <v>13</v>
      </c>
      <c r="C38" t="s">
        <v>14</v>
      </c>
      <c r="D38" t="s">
        <v>15</v>
      </c>
      <c r="E38" t="s">
        <v>26</v>
      </c>
      <c r="F38" t="s">
        <v>31</v>
      </c>
      <c r="G38" t="s">
        <v>1036</v>
      </c>
      <c r="H38" t="s">
        <v>1043</v>
      </c>
      <c r="I38" s="1">
        <v>43534</v>
      </c>
      <c r="J38" t="s">
        <v>1046</v>
      </c>
      <c r="K38" s="5">
        <v>0.80208333333333337</v>
      </c>
      <c r="L38" t="s">
        <v>18</v>
      </c>
      <c r="M38">
        <v>15.654999999999999</v>
      </c>
      <c r="N38">
        <v>7</v>
      </c>
    </row>
    <row r="39" spans="1:14" x14ac:dyDescent="0.25">
      <c r="A39" t="s">
        <v>68</v>
      </c>
      <c r="B39" t="s">
        <v>13</v>
      </c>
      <c r="C39" t="s">
        <v>14</v>
      </c>
      <c r="D39" t="s">
        <v>22</v>
      </c>
      <c r="E39" t="s">
        <v>16</v>
      </c>
      <c r="F39" t="s">
        <v>23</v>
      </c>
      <c r="G39" t="s">
        <v>1035</v>
      </c>
      <c r="H39" t="s">
        <v>1041</v>
      </c>
      <c r="I39" s="1">
        <v>43480</v>
      </c>
      <c r="J39" t="s">
        <v>1046</v>
      </c>
      <c r="K39" s="5">
        <v>0.72013888888888899</v>
      </c>
      <c r="L39" t="s">
        <v>18</v>
      </c>
      <c r="M39">
        <v>27.396000000000001</v>
      </c>
      <c r="N39">
        <v>4.7</v>
      </c>
    </row>
    <row r="40" spans="1:14" x14ac:dyDescent="0.25">
      <c r="A40" t="s">
        <v>69</v>
      </c>
      <c r="B40" t="s">
        <v>20</v>
      </c>
      <c r="C40" t="s">
        <v>21</v>
      </c>
      <c r="D40" t="s">
        <v>22</v>
      </c>
      <c r="E40" t="s">
        <v>16</v>
      </c>
      <c r="F40" t="s">
        <v>17</v>
      </c>
      <c r="G40" t="s">
        <v>1038</v>
      </c>
      <c r="H40" t="s">
        <v>1043</v>
      </c>
      <c r="I40" s="1">
        <v>43547</v>
      </c>
      <c r="J40" t="s">
        <v>1045</v>
      </c>
      <c r="K40" s="5">
        <v>0.55833333333333335</v>
      </c>
      <c r="L40" t="s">
        <v>18</v>
      </c>
      <c r="M40">
        <v>21.968</v>
      </c>
      <c r="N40">
        <v>7.6</v>
      </c>
    </row>
    <row r="41" spans="1:14" x14ac:dyDescent="0.25">
      <c r="A41" t="s">
        <v>70</v>
      </c>
      <c r="B41" t="s">
        <v>37</v>
      </c>
      <c r="C41" t="s">
        <v>38</v>
      </c>
      <c r="D41" t="s">
        <v>15</v>
      </c>
      <c r="E41" t="s">
        <v>26</v>
      </c>
      <c r="F41" t="s">
        <v>27</v>
      </c>
      <c r="G41" t="s">
        <v>1035</v>
      </c>
      <c r="H41" t="s">
        <v>1043</v>
      </c>
      <c r="I41" s="1">
        <v>43527</v>
      </c>
      <c r="J41" t="s">
        <v>1045</v>
      </c>
      <c r="K41" s="5">
        <v>0.54236111111111118</v>
      </c>
      <c r="L41" t="s">
        <v>24</v>
      </c>
      <c r="M41">
        <v>12.048</v>
      </c>
      <c r="N41">
        <v>7.7</v>
      </c>
    </row>
    <row r="42" spans="1:14" x14ac:dyDescent="0.25">
      <c r="A42" t="s">
        <v>71</v>
      </c>
      <c r="B42" t="s">
        <v>37</v>
      </c>
      <c r="C42" t="s">
        <v>38</v>
      </c>
      <c r="D42" t="s">
        <v>15</v>
      </c>
      <c r="E42" t="s">
        <v>16</v>
      </c>
      <c r="F42" t="s">
        <v>27</v>
      </c>
      <c r="G42" t="s">
        <v>1035</v>
      </c>
      <c r="H42" t="s">
        <v>1041</v>
      </c>
      <c r="I42" s="1">
        <v>43482</v>
      </c>
      <c r="J42" t="s">
        <v>1046</v>
      </c>
      <c r="K42" s="5">
        <v>0.78125</v>
      </c>
      <c r="L42" t="s">
        <v>18</v>
      </c>
      <c r="M42">
        <v>4.3360000000000003</v>
      </c>
      <c r="N42">
        <v>7.9</v>
      </c>
    </row>
    <row r="43" spans="1:14" x14ac:dyDescent="0.25">
      <c r="A43" t="s">
        <v>72</v>
      </c>
      <c r="B43" t="s">
        <v>20</v>
      </c>
      <c r="C43" t="s">
        <v>21</v>
      </c>
      <c r="D43" t="s">
        <v>15</v>
      </c>
      <c r="E43" t="s">
        <v>26</v>
      </c>
      <c r="F43" t="s">
        <v>27</v>
      </c>
      <c r="G43" t="s">
        <v>1038</v>
      </c>
      <c r="H43" t="s">
        <v>1042</v>
      </c>
      <c r="I43" s="1">
        <v>43498</v>
      </c>
      <c r="J43" t="s">
        <v>1044</v>
      </c>
      <c r="K43" s="5">
        <v>0.42430555555555555</v>
      </c>
      <c r="L43" t="s">
        <v>24</v>
      </c>
      <c r="M43">
        <v>5.6109999999999998</v>
      </c>
      <c r="N43">
        <v>6.3</v>
      </c>
    </row>
    <row r="44" spans="1:14" x14ac:dyDescent="0.25">
      <c r="A44" t="s">
        <v>73</v>
      </c>
      <c r="B44" t="s">
        <v>37</v>
      </c>
      <c r="C44" t="s">
        <v>38</v>
      </c>
      <c r="D44" t="s">
        <v>15</v>
      </c>
      <c r="E44" t="s">
        <v>16</v>
      </c>
      <c r="F44" t="s">
        <v>31</v>
      </c>
      <c r="G44" t="s">
        <v>1038</v>
      </c>
      <c r="H44" t="s">
        <v>1042</v>
      </c>
      <c r="I44" s="1">
        <v>43504</v>
      </c>
      <c r="J44" t="s">
        <v>1045</v>
      </c>
      <c r="K44" s="5">
        <v>0.54375000000000007</v>
      </c>
      <c r="L44" t="s">
        <v>24</v>
      </c>
      <c r="M44">
        <v>20.736000000000001</v>
      </c>
      <c r="N44">
        <v>5.6</v>
      </c>
    </row>
    <row r="45" spans="1:14" x14ac:dyDescent="0.25">
      <c r="A45" t="s">
        <v>74</v>
      </c>
      <c r="B45" t="s">
        <v>20</v>
      </c>
      <c r="C45" t="s">
        <v>21</v>
      </c>
      <c r="D45" t="s">
        <v>15</v>
      </c>
      <c r="E45" t="s">
        <v>16</v>
      </c>
      <c r="F45" t="s">
        <v>39</v>
      </c>
      <c r="G45" t="s">
        <v>1035</v>
      </c>
      <c r="H45" t="s">
        <v>1043</v>
      </c>
      <c r="I45" s="1">
        <v>43528</v>
      </c>
      <c r="J45" t="s">
        <v>1046</v>
      </c>
      <c r="K45" s="5">
        <v>0.86041666666666661</v>
      </c>
      <c r="L45" t="s">
        <v>24</v>
      </c>
      <c r="M45">
        <v>39.479999999999997</v>
      </c>
      <c r="N45">
        <v>7.6</v>
      </c>
    </row>
    <row r="46" spans="1:14" x14ac:dyDescent="0.25">
      <c r="A46" t="s">
        <v>75</v>
      </c>
      <c r="B46" t="s">
        <v>20</v>
      </c>
      <c r="C46" t="s">
        <v>21</v>
      </c>
      <c r="D46" t="s">
        <v>15</v>
      </c>
      <c r="E46" t="s">
        <v>26</v>
      </c>
      <c r="F46" t="s">
        <v>17</v>
      </c>
      <c r="G46" t="s">
        <v>1037</v>
      </c>
      <c r="H46" t="s">
        <v>1043</v>
      </c>
      <c r="I46" s="1">
        <v>43540</v>
      </c>
      <c r="J46" t="s">
        <v>1046</v>
      </c>
      <c r="K46" s="5">
        <v>0.82430555555555562</v>
      </c>
      <c r="L46" t="s">
        <v>24</v>
      </c>
      <c r="M46">
        <v>1.5369999999999999</v>
      </c>
      <c r="N46">
        <v>7.2</v>
      </c>
    </row>
    <row r="47" spans="1:14" x14ac:dyDescent="0.25">
      <c r="A47" t="s">
        <v>76</v>
      </c>
      <c r="B47" t="s">
        <v>37</v>
      </c>
      <c r="C47" t="s">
        <v>38</v>
      </c>
      <c r="D47" t="s">
        <v>15</v>
      </c>
      <c r="E47" t="s">
        <v>16</v>
      </c>
      <c r="F47" t="s">
        <v>23</v>
      </c>
      <c r="G47" t="s">
        <v>1036</v>
      </c>
      <c r="H47" t="s">
        <v>1043</v>
      </c>
      <c r="I47" s="1">
        <v>43533</v>
      </c>
      <c r="J47" t="s">
        <v>1046</v>
      </c>
      <c r="K47" s="5">
        <v>0.75</v>
      </c>
      <c r="L47" t="s">
        <v>24</v>
      </c>
      <c r="M47">
        <v>18.792000000000002</v>
      </c>
      <c r="N47">
        <v>9.5</v>
      </c>
    </row>
    <row r="48" spans="1:14" x14ac:dyDescent="0.25">
      <c r="A48" t="s">
        <v>77</v>
      </c>
      <c r="B48" t="s">
        <v>37</v>
      </c>
      <c r="C48" t="s">
        <v>38</v>
      </c>
      <c r="D48" t="s">
        <v>15</v>
      </c>
      <c r="E48" t="s">
        <v>26</v>
      </c>
      <c r="F48" t="s">
        <v>17</v>
      </c>
      <c r="G48" t="s">
        <v>1034</v>
      </c>
      <c r="H48" t="s">
        <v>1042</v>
      </c>
      <c r="I48" s="1">
        <v>43523</v>
      </c>
      <c r="J48" t="s">
        <v>1046</v>
      </c>
      <c r="K48" s="5">
        <v>0.72499999999999998</v>
      </c>
      <c r="L48" t="s">
        <v>28</v>
      </c>
      <c r="M48">
        <v>25.5105</v>
      </c>
      <c r="N48">
        <v>8.4</v>
      </c>
    </row>
    <row r="49" spans="1:14" x14ac:dyDescent="0.25">
      <c r="A49" t="s">
        <v>78</v>
      </c>
      <c r="B49" t="s">
        <v>37</v>
      </c>
      <c r="C49" t="s">
        <v>38</v>
      </c>
      <c r="D49" t="s">
        <v>15</v>
      </c>
      <c r="E49" t="s">
        <v>16</v>
      </c>
      <c r="F49" t="s">
        <v>39</v>
      </c>
      <c r="G49" t="s">
        <v>1038</v>
      </c>
      <c r="H49" t="s">
        <v>1042</v>
      </c>
      <c r="I49" s="1">
        <v>43502</v>
      </c>
      <c r="J49" t="s">
        <v>1045</v>
      </c>
      <c r="K49" s="5">
        <v>0.65763888888888888</v>
      </c>
      <c r="L49" t="s">
        <v>18</v>
      </c>
      <c r="M49">
        <v>9.0045000000000002</v>
      </c>
      <c r="N49">
        <v>4.0999999999999996</v>
      </c>
    </row>
    <row r="50" spans="1:14" x14ac:dyDescent="0.25">
      <c r="A50" t="s">
        <v>79</v>
      </c>
      <c r="B50" t="s">
        <v>37</v>
      </c>
      <c r="C50" t="s">
        <v>38</v>
      </c>
      <c r="D50" t="s">
        <v>15</v>
      </c>
      <c r="E50" t="s">
        <v>26</v>
      </c>
      <c r="F50" t="s">
        <v>23</v>
      </c>
      <c r="G50" t="s">
        <v>1039</v>
      </c>
      <c r="H50" t="s">
        <v>1042</v>
      </c>
      <c r="I50" s="1">
        <v>43506</v>
      </c>
      <c r="J50" t="s">
        <v>1045</v>
      </c>
      <c r="K50" s="5">
        <v>0.53125</v>
      </c>
      <c r="L50" t="s">
        <v>28</v>
      </c>
      <c r="M50">
        <v>5.6790000000000003</v>
      </c>
      <c r="N50">
        <v>8.1</v>
      </c>
    </row>
    <row r="51" spans="1:14" x14ac:dyDescent="0.25">
      <c r="A51" t="s">
        <v>80</v>
      </c>
      <c r="B51" t="s">
        <v>20</v>
      </c>
      <c r="C51" t="s">
        <v>21</v>
      </c>
      <c r="D51" t="s">
        <v>15</v>
      </c>
      <c r="E51" t="s">
        <v>16</v>
      </c>
      <c r="F51" t="s">
        <v>41</v>
      </c>
      <c r="G51" t="s">
        <v>1037</v>
      </c>
      <c r="H51" t="s">
        <v>1043</v>
      </c>
      <c r="I51" s="1">
        <v>43543</v>
      </c>
      <c r="J51" t="s">
        <v>1046</v>
      </c>
      <c r="K51" s="5">
        <v>0.71388888888888891</v>
      </c>
      <c r="L51" t="s">
        <v>18</v>
      </c>
      <c r="M51">
        <v>41.314999999999998</v>
      </c>
      <c r="N51">
        <v>7.9</v>
      </c>
    </row>
    <row r="52" spans="1:14" x14ac:dyDescent="0.25">
      <c r="A52" t="s">
        <v>81</v>
      </c>
      <c r="B52" t="s">
        <v>20</v>
      </c>
      <c r="C52" t="s">
        <v>21</v>
      </c>
      <c r="D52" t="s">
        <v>15</v>
      </c>
      <c r="E52" t="s">
        <v>26</v>
      </c>
      <c r="F52" t="s">
        <v>39</v>
      </c>
      <c r="G52" t="s">
        <v>1038</v>
      </c>
      <c r="H52" t="s">
        <v>1042</v>
      </c>
      <c r="I52" s="1">
        <v>43499</v>
      </c>
      <c r="J52" t="s">
        <v>1044</v>
      </c>
      <c r="K52" s="5">
        <v>0.42986111111111108</v>
      </c>
      <c r="L52" t="s">
        <v>24</v>
      </c>
      <c r="M52">
        <v>31.99</v>
      </c>
      <c r="N52">
        <v>9.5</v>
      </c>
    </row>
    <row r="53" spans="1:14" x14ac:dyDescent="0.25">
      <c r="A53" t="s">
        <v>82</v>
      </c>
      <c r="B53" t="s">
        <v>13</v>
      </c>
      <c r="C53" t="s">
        <v>14</v>
      </c>
      <c r="D53" t="s">
        <v>15</v>
      </c>
      <c r="E53" t="s">
        <v>16</v>
      </c>
      <c r="F53" t="s">
        <v>39</v>
      </c>
      <c r="G53" t="s">
        <v>1039</v>
      </c>
      <c r="H53" t="s">
        <v>1042</v>
      </c>
      <c r="I53" s="1">
        <v>43506</v>
      </c>
      <c r="J53" t="s">
        <v>1045</v>
      </c>
      <c r="K53" s="5">
        <v>0.63194444444444442</v>
      </c>
      <c r="L53" t="s">
        <v>24</v>
      </c>
      <c r="M53">
        <v>11.147500000000001</v>
      </c>
      <c r="N53">
        <v>8.5</v>
      </c>
    </row>
    <row r="54" spans="1:14" x14ac:dyDescent="0.25">
      <c r="A54" t="s">
        <v>83</v>
      </c>
      <c r="B54" t="s">
        <v>37</v>
      </c>
      <c r="C54" t="s">
        <v>38</v>
      </c>
      <c r="D54" t="s">
        <v>15</v>
      </c>
      <c r="E54" t="s">
        <v>16</v>
      </c>
      <c r="F54" t="s">
        <v>41</v>
      </c>
      <c r="G54" t="s">
        <v>1037</v>
      </c>
      <c r="H54" t="s">
        <v>1043</v>
      </c>
      <c r="I54" s="1">
        <v>43546</v>
      </c>
      <c r="J54" t="s">
        <v>1045</v>
      </c>
      <c r="K54" s="5">
        <v>0.61249999999999993</v>
      </c>
      <c r="L54" t="s">
        <v>18</v>
      </c>
      <c r="M54">
        <v>3.5739999999999998</v>
      </c>
      <c r="N54">
        <v>6.5</v>
      </c>
    </row>
    <row r="55" spans="1:14" x14ac:dyDescent="0.25">
      <c r="A55" t="s">
        <v>84</v>
      </c>
      <c r="B55" t="s">
        <v>20</v>
      </c>
      <c r="C55" t="s">
        <v>21</v>
      </c>
      <c r="D55" t="s">
        <v>15</v>
      </c>
      <c r="E55" t="s">
        <v>26</v>
      </c>
      <c r="F55" t="s">
        <v>41</v>
      </c>
      <c r="G55" t="s">
        <v>1036</v>
      </c>
      <c r="H55" t="s">
        <v>1041</v>
      </c>
      <c r="I55" s="1">
        <v>43490</v>
      </c>
      <c r="J55" t="s">
        <v>1045</v>
      </c>
      <c r="K55" s="5">
        <v>0.65694444444444444</v>
      </c>
      <c r="L55" t="s">
        <v>28</v>
      </c>
      <c r="M55">
        <v>0.77149999999999996</v>
      </c>
      <c r="N55">
        <v>6.1</v>
      </c>
    </row>
    <row r="56" spans="1:14" x14ac:dyDescent="0.25">
      <c r="A56" t="s">
        <v>85</v>
      </c>
      <c r="B56" t="s">
        <v>37</v>
      </c>
      <c r="C56" t="s">
        <v>38</v>
      </c>
      <c r="D56" t="s">
        <v>22</v>
      </c>
      <c r="E56" t="s">
        <v>26</v>
      </c>
      <c r="F56" t="s">
        <v>27</v>
      </c>
      <c r="G56" t="s">
        <v>1035</v>
      </c>
      <c r="H56" t="s">
        <v>1043</v>
      </c>
      <c r="I56" s="1">
        <v>43531</v>
      </c>
      <c r="J56" t="s">
        <v>1044</v>
      </c>
      <c r="K56" s="5">
        <v>0.49236111111111108</v>
      </c>
      <c r="L56" t="s">
        <v>18</v>
      </c>
      <c r="M56">
        <v>1.6160000000000001</v>
      </c>
      <c r="N56">
        <v>6.5</v>
      </c>
    </row>
    <row r="57" spans="1:14" x14ac:dyDescent="0.25">
      <c r="A57" t="s">
        <v>86</v>
      </c>
      <c r="B57" t="s">
        <v>20</v>
      </c>
      <c r="C57" t="s">
        <v>21</v>
      </c>
      <c r="D57" t="s">
        <v>22</v>
      </c>
      <c r="E57" t="s">
        <v>16</v>
      </c>
      <c r="F57" t="s">
        <v>23</v>
      </c>
      <c r="G57" t="s">
        <v>1034</v>
      </c>
      <c r="H57" t="s">
        <v>1042</v>
      </c>
      <c r="I57" s="1">
        <v>43524</v>
      </c>
      <c r="J57" t="s">
        <v>1046</v>
      </c>
      <c r="K57" s="5">
        <v>0.79236111111111107</v>
      </c>
      <c r="L57" t="s">
        <v>24</v>
      </c>
      <c r="M57">
        <v>34.392000000000003</v>
      </c>
      <c r="N57">
        <v>8.1999999999999993</v>
      </c>
    </row>
    <row r="58" spans="1:14" x14ac:dyDescent="0.25">
      <c r="A58" t="s">
        <v>87</v>
      </c>
      <c r="B58" t="s">
        <v>13</v>
      </c>
      <c r="C58" t="s">
        <v>14</v>
      </c>
      <c r="D58" t="s">
        <v>15</v>
      </c>
      <c r="E58" t="s">
        <v>26</v>
      </c>
      <c r="F58" t="s">
        <v>27</v>
      </c>
      <c r="G58" t="s">
        <v>1038</v>
      </c>
      <c r="H58" t="s">
        <v>1043</v>
      </c>
      <c r="I58" s="1">
        <v>43551</v>
      </c>
      <c r="J58" t="s">
        <v>1044</v>
      </c>
      <c r="K58" s="5">
        <v>0.47638888888888892</v>
      </c>
      <c r="L58" t="s">
        <v>24</v>
      </c>
      <c r="M58">
        <v>4.4340000000000002</v>
      </c>
      <c r="N58">
        <v>5.8</v>
      </c>
    </row>
    <row r="59" spans="1:14" x14ac:dyDescent="0.25">
      <c r="A59" t="s">
        <v>88</v>
      </c>
      <c r="B59" t="s">
        <v>13</v>
      </c>
      <c r="C59" t="s">
        <v>14</v>
      </c>
      <c r="D59" t="s">
        <v>22</v>
      </c>
      <c r="E59" t="s">
        <v>26</v>
      </c>
      <c r="F59" t="s">
        <v>17</v>
      </c>
      <c r="G59" t="s">
        <v>1038</v>
      </c>
      <c r="H59" t="s">
        <v>1042</v>
      </c>
      <c r="I59" s="1">
        <v>43503</v>
      </c>
      <c r="J59" t="s">
        <v>1044</v>
      </c>
      <c r="K59" s="5">
        <v>0.4777777777777778</v>
      </c>
      <c r="L59" t="s">
        <v>18</v>
      </c>
      <c r="M59">
        <v>35.840000000000003</v>
      </c>
      <c r="N59">
        <v>6.6</v>
      </c>
    </row>
    <row r="60" spans="1:14" x14ac:dyDescent="0.25">
      <c r="A60" t="s">
        <v>89</v>
      </c>
      <c r="B60" t="s">
        <v>13</v>
      </c>
      <c r="C60" t="s">
        <v>14</v>
      </c>
      <c r="D60" t="s">
        <v>15</v>
      </c>
      <c r="E60" t="s">
        <v>16</v>
      </c>
      <c r="F60" t="s">
        <v>27</v>
      </c>
      <c r="G60" t="s">
        <v>1036</v>
      </c>
      <c r="H60" t="s">
        <v>1041</v>
      </c>
      <c r="I60" s="1">
        <v>43485</v>
      </c>
      <c r="J60" t="s">
        <v>1045</v>
      </c>
      <c r="K60" s="5">
        <v>0.66319444444444442</v>
      </c>
      <c r="L60" t="s">
        <v>24</v>
      </c>
      <c r="M60">
        <v>36.174999999999997</v>
      </c>
      <c r="N60">
        <v>5.4</v>
      </c>
    </row>
    <row r="61" spans="1:14" x14ac:dyDescent="0.25">
      <c r="A61" t="s">
        <v>90</v>
      </c>
      <c r="B61" t="s">
        <v>20</v>
      </c>
      <c r="C61" t="s">
        <v>21</v>
      </c>
      <c r="D61" t="s">
        <v>22</v>
      </c>
      <c r="E61" t="s">
        <v>26</v>
      </c>
      <c r="F61" t="s">
        <v>23</v>
      </c>
      <c r="G61" t="s">
        <v>1036</v>
      </c>
      <c r="H61" t="s">
        <v>1043</v>
      </c>
      <c r="I61" s="1">
        <v>43536</v>
      </c>
      <c r="J61" t="s">
        <v>1046</v>
      </c>
      <c r="K61" s="5">
        <v>0.85833333333333339</v>
      </c>
      <c r="L61" t="s">
        <v>24</v>
      </c>
      <c r="M61">
        <v>9.1829999999999998</v>
      </c>
      <c r="N61">
        <v>9.3000000000000007</v>
      </c>
    </row>
    <row r="62" spans="1:14" x14ac:dyDescent="0.25">
      <c r="A62" t="s">
        <v>91</v>
      </c>
      <c r="B62" t="s">
        <v>20</v>
      </c>
      <c r="C62" t="s">
        <v>21</v>
      </c>
      <c r="D62" t="s">
        <v>15</v>
      </c>
      <c r="E62" t="s">
        <v>16</v>
      </c>
      <c r="F62" t="s">
        <v>31</v>
      </c>
      <c r="G62" t="s">
        <v>1039</v>
      </c>
      <c r="H62" t="s">
        <v>1042</v>
      </c>
      <c r="I62" s="1">
        <v>43511</v>
      </c>
      <c r="J62" t="s">
        <v>1046</v>
      </c>
      <c r="K62" s="5">
        <v>0.74097222222222225</v>
      </c>
      <c r="L62" t="s">
        <v>28</v>
      </c>
      <c r="M62">
        <v>3.7109999999999999</v>
      </c>
      <c r="N62">
        <v>10</v>
      </c>
    </row>
    <row r="63" spans="1:14" x14ac:dyDescent="0.25">
      <c r="A63" t="s">
        <v>92</v>
      </c>
      <c r="B63" t="s">
        <v>20</v>
      </c>
      <c r="C63" t="s">
        <v>21</v>
      </c>
      <c r="D63" t="s">
        <v>22</v>
      </c>
      <c r="E63" t="s">
        <v>26</v>
      </c>
      <c r="F63" t="s">
        <v>27</v>
      </c>
      <c r="G63" t="s">
        <v>1034</v>
      </c>
      <c r="H63" t="s">
        <v>1042</v>
      </c>
      <c r="I63" s="1">
        <v>43520</v>
      </c>
      <c r="J63" t="s">
        <v>1044</v>
      </c>
      <c r="K63" s="5">
        <v>0.4548611111111111</v>
      </c>
      <c r="L63" t="s">
        <v>18</v>
      </c>
      <c r="M63">
        <v>16.719000000000001</v>
      </c>
      <c r="N63">
        <v>7</v>
      </c>
    </row>
    <row r="64" spans="1:14" x14ac:dyDescent="0.25">
      <c r="A64" t="s">
        <v>93</v>
      </c>
      <c r="B64" t="s">
        <v>37</v>
      </c>
      <c r="C64" t="s">
        <v>38</v>
      </c>
      <c r="D64" t="s">
        <v>15</v>
      </c>
      <c r="E64" t="s">
        <v>16</v>
      </c>
      <c r="F64" t="s">
        <v>31</v>
      </c>
      <c r="G64" t="s">
        <v>1038</v>
      </c>
      <c r="H64" t="s">
        <v>1042</v>
      </c>
      <c r="I64" s="1">
        <v>43499</v>
      </c>
      <c r="J64" t="s">
        <v>1045</v>
      </c>
      <c r="K64" s="5">
        <v>0.56944444444444442</v>
      </c>
      <c r="L64" t="s">
        <v>18</v>
      </c>
      <c r="M64">
        <v>24.781500000000001</v>
      </c>
      <c r="N64">
        <v>10</v>
      </c>
    </row>
    <row r="65" spans="1:14" x14ac:dyDescent="0.25">
      <c r="A65" t="s">
        <v>94</v>
      </c>
      <c r="B65" t="s">
        <v>13</v>
      </c>
      <c r="C65" t="s">
        <v>14</v>
      </c>
      <c r="D65" t="s">
        <v>15</v>
      </c>
      <c r="E65" t="s">
        <v>26</v>
      </c>
      <c r="F65" t="s">
        <v>31</v>
      </c>
      <c r="G65" t="s">
        <v>1035</v>
      </c>
      <c r="H65" t="s">
        <v>1043</v>
      </c>
      <c r="I65" s="1">
        <v>43530</v>
      </c>
      <c r="J65" t="s">
        <v>1045</v>
      </c>
      <c r="K65" s="5">
        <v>0.51874999999999993</v>
      </c>
      <c r="L65" t="s">
        <v>28</v>
      </c>
      <c r="M65">
        <v>7.9050000000000002</v>
      </c>
      <c r="N65">
        <v>8.6</v>
      </c>
    </row>
    <row r="66" spans="1:14" x14ac:dyDescent="0.25">
      <c r="A66" t="s">
        <v>95</v>
      </c>
      <c r="B66" t="s">
        <v>37</v>
      </c>
      <c r="C66" t="s">
        <v>38</v>
      </c>
      <c r="D66" t="s">
        <v>15</v>
      </c>
      <c r="E66" t="s">
        <v>26</v>
      </c>
      <c r="F66" t="s">
        <v>17</v>
      </c>
      <c r="G66" t="s">
        <v>1039</v>
      </c>
      <c r="H66" t="s">
        <v>1042</v>
      </c>
      <c r="I66" s="1">
        <v>43510</v>
      </c>
      <c r="J66" t="s">
        <v>1045</v>
      </c>
      <c r="K66" s="5">
        <v>0.60763888888888895</v>
      </c>
      <c r="L66" t="s">
        <v>24</v>
      </c>
      <c r="M66">
        <v>15.148</v>
      </c>
      <c r="N66">
        <v>7.6</v>
      </c>
    </row>
    <row r="67" spans="1:14" x14ac:dyDescent="0.25">
      <c r="A67" t="s">
        <v>96</v>
      </c>
      <c r="B67" t="s">
        <v>13</v>
      </c>
      <c r="C67" t="s">
        <v>14</v>
      </c>
      <c r="D67" t="s">
        <v>15</v>
      </c>
      <c r="E67" t="s">
        <v>26</v>
      </c>
      <c r="F67" t="s">
        <v>17</v>
      </c>
      <c r="G67" t="s">
        <v>1036</v>
      </c>
      <c r="H67" t="s">
        <v>1043</v>
      </c>
      <c r="I67" s="1">
        <v>43537</v>
      </c>
      <c r="J67" t="s">
        <v>1046</v>
      </c>
      <c r="K67" s="5">
        <v>0.69444444444444453</v>
      </c>
      <c r="L67" t="s">
        <v>24</v>
      </c>
      <c r="M67">
        <v>7.9349999999999996</v>
      </c>
      <c r="N67">
        <v>5.8</v>
      </c>
    </row>
    <row r="68" spans="1:14" x14ac:dyDescent="0.25">
      <c r="A68" t="s">
        <v>97</v>
      </c>
      <c r="B68" t="s">
        <v>20</v>
      </c>
      <c r="C68" t="s">
        <v>21</v>
      </c>
      <c r="D68" t="s">
        <v>22</v>
      </c>
      <c r="E68" t="s">
        <v>16</v>
      </c>
      <c r="F68" t="s">
        <v>17</v>
      </c>
      <c r="G68" t="s">
        <v>1039</v>
      </c>
      <c r="H68" t="s">
        <v>1042</v>
      </c>
      <c r="I68" s="1">
        <v>43506</v>
      </c>
      <c r="J68" t="s">
        <v>1045</v>
      </c>
      <c r="K68" s="5">
        <v>0.65486111111111112</v>
      </c>
      <c r="L68" t="s">
        <v>18</v>
      </c>
      <c r="M68">
        <v>3.347</v>
      </c>
      <c r="N68">
        <v>6.7</v>
      </c>
    </row>
    <row r="69" spans="1:14" x14ac:dyDescent="0.25">
      <c r="A69" t="s">
        <v>98</v>
      </c>
      <c r="B69" t="s">
        <v>37</v>
      </c>
      <c r="C69" t="s">
        <v>38</v>
      </c>
      <c r="D69" t="s">
        <v>15</v>
      </c>
      <c r="E69" t="s">
        <v>16</v>
      </c>
      <c r="F69" t="s">
        <v>41</v>
      </c>
      <c r="G69" t="s">
        <v>1034</v>
      </c>
      <c r="H69" t="s">
        <v>1041</v>
      </c>
      <c r="I69" s="1">
        <v>43472</v>
      </c>
      <c r="J69" t="s">
        <v>1045</v>
      </c>
      <c r="K69" s="5">
        <v>0.62569444444444444</v>
      </c>
      <c r="L69" t="s">
        <v>18</v>
      </c>
      <c r="M69">
        <v>29.283000000000001</v>
      </c>
      <c r="N69">
        <v>9.9</v>
      </c>
    </row>
    <row r="70" spans="1:14" x14ac:dyDescent="0.25">
      <c r="A70" t="s">
        <v>99</v>
      </c>
      <c r="B70" t="s">
        <v>13</v>
      </c>
      <c r="C70" t="s">
        <v>14</v>
      </c>
      <c r="D70" t="s">
        <v>22</v>
      </c>
      <c r="E70" t="s">
        <v>26</v>
      </c>
      <c r="F70" t="s">
        <v>31</v>
      </c>
      <c r="G70" t="s">
        <v>1036</v>
      </c>
      <c r="H70" t="s">
        <v>1041</v>
      </c>
      <c r="I70" s="1">
        <v>43489</v>
      </c>
      <c r="J70" t="s">
        <v>1044</v>
      </c>
      <c r="K70" s="5">
        <v>0.41944444444444445</v>
      </c>
      <c r="L70" t="s">
        <v>24</v>
      </c>
      <c r="M70">
        <v>39.384999999999998</v>
      </c>
      <c r="N70">
        <v>6.4</v>
      </c>
    </row>
    <row r="71" spans="1:14" x14ac:dyDescent="0.25">
      <c r="A71" t="s">
        <v>100</v>
      </c>
      <c r="B71" t="s">
        <v>13</v>
      </c>
      <c r="C71" t="s">
        <v>14</v>
      </c>
      <c r="D71" t="s">
        <v>15</v>
      </c>
      <c r="E71" t="s">
        <v>16</v>
      </c>
      <c r="F71" t="s">
        <v>17</v>
      </c>
      <c r="G71" t="s">
        <v>1038</v>
      </c>
      <c r="H71" t="s">
        <v>1042</v>
      </c>
      <c r="I71" s="1">
        <v>43498</v>
      </c>
      <c r="J71" t="s">
        <v>1046</v>
      </c>
      <c r="K71" s="5">
        <v>0.78472222222222221</v>
      </c>
      <c r="L71" t="s">
        <v>24</v>
      </c>
      <c r="M71">
        <v>0.91649999999999998</v>
      </c>
      <c r="N71">
        <v>4.3</v>
      </c>
    </row>
    <row r="72" spans="1:14" x14ac:dyDescent="0.25">
      <c r="A72" t="s">
        <v>101</v>
      </c>
      <c r="B72" t="s">
        <v>20</v>
      </c>
      <c r="C72" t="s">
        <v>21</v>
      </c>
      <c r="D72" t="s">
        <v>22</v>
      </c>
      <c r="E72" t="s">
        <v>26</v>
      </c>
      <c r="F72" t="s">
        <v>39</v>
      </c>
      <c r="G72" t="s">
        <v>1034</v>
      </c>
      <c r="H72" t="s">
        <v>1041</v>
      </c>
      <c r="I72" s="1">
        <v>43471</v>
      </c>
      <c r="J72" t="s">
        <v>1045</v>
      </c>
      <c r="K72" s="5">
        <v>0.53194444444444444</v>
      </c>
      <c r="L72" t="s">
        <v>28</v>
      </c>
      <c r="M72">
        <v>44.74</v>
      </c>
      <c r="N72">
        <v>9.6</v>
      </c>
    </row>
    <row r="73" spans="1:14" x14ac:dyDescent="0.25">
      <c r="A73" t="s">
        <v>102</v>
      </c>
      <c r="B73" t="s">
        <v>20</v>
      </c>
      <c r="C73" t="s">
        <v>21</v>
      </c>
      <c r="D73" t="s">
        <v>22</v>
      </c>
      <c r="E73" t="s">
        <v>26</v>
      </c>
      <c r="F73" t="s">
        <v>41</v>
      </c>
      <c r="G73" t="s">
        <v>1039</v>
      </c>
      <c r="H73" t="s">
        <v>1042</v>
      </c>
      <c r="I73" s="1">
        <v>43507</v>
      </c>
      <c r="J73" t="s">
        <v>1046</v>
      </c>
      <c r="K73" s="5">
        <v>0.67986111111111114</v>
      </c>
      <c r="L73" t="s">
        <v>24</v>
      </c>
      <c r="M73">
        <v>31.06</v>
      </c>
      <c r="N73">
        <v>5.9</v>
      </c>
    </row>
    <row r="74" spans="1:14" x14ac:dyDescent="0.25">
      <c r="A74" t="s">
        <v>103</v>
      </c>
      <c r="B74" t="s">
        <v>37</v>
      </c>
      <c r="C74" t="s">
        <v>38</v>
      </c>
      <c r="D74" t="s">
        <v>15</v>
      </c>
      <c r="E74" t="s">
        <v>16</v>
      </c>
      <c r="F74" t="s">
        <v>39</v>
      </c>
      <c r="G74" t="s">
        <v>1035</v>
      </c>
      <c r="H74" t="s">
        <v>1043</v>
      </c>
      <c r="I74" s="1">
        <v>43529</v>
      </c>
      <c r="J74" t="s">
        <v>1046</v>
      </c>
      <c r="K74" s="5">
        <v>0.76180555555555562</v>
      </c>
      <c r="L74" t="s">
        <v>18</v>
      </c>
      <c r="M74">
        <v>7.2779999999999996</v>
      </c>
      <c r="N74">
        <v>4</v>
      </c>
    </row>
    <row r="75" spans="1:14" x14ac:dyDescent="0.25">
      <c r="A75" t="s">
        <v>104</v>
      </c>
      <c r="B75" t="s">
        <v>20</v>
      </c>
      <c r="C75" t="s">
        <v>21</v>
      </c>
      <c r="D75" t="s">
        <v>22</v>
      </c>
      <c r="E75" t="s">
        <v>16</v>
      </c>
      <c r="F75" t="s">
        <v>23</v>
      </c>
      <c r="G75" t="s">
        <v>1036</v>
      </c>
      <c r="H75" t="s">
        <v>1043</v>
      </c>
      <c r="I75" s="1">
        <v>43533</v>
      </c>
      <c r="J75" t="s">
        <v>1046</v>
      </c>
      <c r="K75" s="5">
        <v>0.76458333333333339</v>
      </c>
      <c r="L75" t="s">
        <v>24</v>
      </c>
      <c r="M75">
        <v>22.773</v>
      </c>
      <c r="N75">
        <v>8.6999999999999993</v>
      </c>
    </row>
    <row r="76" spans="1:14" x14ac:dyDescent="0.25">
      <c r="A76" t="s">
        <v>105</v>
      </c>
      <c r="B76" t="s">
        <v>13</v>
      </c>
      <c r="C76" t="s">
        <v>14</v>
      </c>
      <c r="D76" t="s">
        <v>22</v>
      </c>
      <c r="E76" t="s">
        <v>26</v>
      </c>
      <c r="F76" t="s">
        <v>27</v>
      </c>
      <c r="G76" t="s">
        <v>1036</v>
      </c>
      <c r="H76" t="s">
        <v>1041</v>
      </c>
      <c r="I76" s="1">
        <v>43487</v>
      </c>
      <c r="J76" t="s">
        <v>1044</v>
      </c>
      <c r="K76" s="5">
        <v>0.4548611111111111</v>
      </c>
      <c r="L76" t="s">
        <v>18</v>
      </c>
      <c r="M76">
        <v>33.601500000000001</v>
      </c>
      <c r="N76">
        <v>9.4</v>
      </c>
    </row>
    <row r="77" spans="1:14" x14ac:dyDescent="0.25">
      <c r="A77" t="s">
        <v>106</v>
      </c>
      <c r="B77" t="s">
        <v>20</v>
      </c>
      <c r="C77" t="s">
        <v>21</v>
      </c>
      <c r="D77" t="s">
        <v>22</v>
      </c>
      <c r="E77" t="s">
        <v>16</v>
      </c>
      <c r="F77" t="s">
        <v>23</v>
      </c>
      <c r="G77" t="s">
        <v>1035</v>
      </c>
      <c r="H77" t="s">
        <v>1041</v>
      </c>
      <c r="I77" s="1">
        <v>43478</v>
      </c>
      <c r="J77" t="s">
        <v>1046</v>
      </c>
      <c r="K77" s="5">
        <v>0.71111111111111114</v>
      </c>
      <c r="L77" t="s">
        <v>28</v>
      </c>
      <c r="M77">
        <v>20.824999999999999</v>
      </c>
      <c r="N77">
        <v>5.4</v>
      </c>
    </row>
    <row r="78" spans="1:14" x14ac:dyDescent="0.25">
      <c r="A78" t="s">
        <v>107</v>
      </c>
      <c r="B78" t="s">
        <v>20</v>
      </c>
      <c r="C78" t="s">
        <v>21</v>
      </c>
      <c r="D78" t="s">
        <v>15</v>
      </c>
      <c r="E78" t="s">
        <v>26</v>
      </c>
      <c r="F78" t="s">
        <v>41</v>
      </c>
      <c r="G78" t="s">
        <v>1034</v>
      </c>
      <c r="H78" t="s">
        <v>1041</v>
      </c>
      <c r="I78" s="1">
        <v>43474</v>
      </c>
      <c r="J78" t="s">
        <v>1045</v>
      </c>
      <c r="K78" s="5">
        <v>0.59722222222222221</v>
      </c>
      <c r="L78" t="s">
        <v>28</v>
      </c>
      <c r="M78">
        <v>22.068000000000001</v>
      </c>
      <c r="N78">
        <v>8.6</v>
      </c>
    </row>
    <row r="79" spans="1:14" x14ac:dyDescent="0.25">
      <c r="A79" t="s">
        <v>108</v>
      </c>
      <c r="B79" t="s">
        <v>13</v>
      </c>
      <c r="C79" t="s">
        <v>14</v>
      </c>
      <c r="D79" t="s">
        <v>15</v>
      </c>
      <c r="E79" t="s">
        <v>16</v>
      </c>
      <c r="F79" t="s">
        <v>41</v>
      </c>
      <c r="G79" t="s">
        <v>1035</v>
      </c>
      <c r="H79" t="s">
        <v>1041</v>
      </c>
      <c r="I79" s="1">
        <v>43477</v>
      </c>
      <c r="J79" t="s">
        <v>1045</v>
      </c>
      <c r="K79" s="5">
        <v>0.65833333333333333</v>
      </c>
      <c r="L79" t="s">
        <v>28</v>
      </c>
      <c r="M79">
        <v>9.0045000000000002</v>
      </c>
      <c r="N79">
        <v>5.7</v>
      </c>
    </row>
    <row r="80" spans="1:14" x14ac:dyDescent="0.25">
      <c r="A80" t="s">
        <v>109</v>
      </c>
      <c r="B80" t="s">
        <v>20</v>
      </c>
      <c r="C80" t="s">
        <v>21</v>
      </c>
      <c r="D80" t="s">
        <v>15</v>
      </c>
      <c r="E80" t="s">
        <v>16</v>
      </c>
      <c r="F80" t="s">
        <v>39</v>
      </c>
      <c r="G80" t="s">
        <v>1035</v>
      </c>
      <c r="H80" t="s">
        <v>1043</v>
      </c>
      <c r="I80" s="1">
        <v>43529</v>
      </c>
      <c r="J80" t="s">
        <v>1046</v>
      </c>
      <c r="K80" s="5">
        <v>0.68333333333333324</v>
      </c>
      <c r="L80" t="s">
        <v>18</v>
      </c>
      <c r="M80">
        <v>39.155000000000001</v>
      </c>
      <c r="N80">
        <v>6.6</v>
      </c>
    </row>
    <row r="81" spans="1:14" x14ac:dyDescent="0.25">
      <c r="A81" t="s">
        <v>110</v>
      </c>
      <c r="B81" t="s">
        <v>20</v>
      </c>
      <c r="C81" t="s">
        <v>21</v>
      </c>
      <c r="D81" t="s">
        <v>22</v>
      </c>
      <c r="E81" t="s">
        <v>16</v>
      </c>
      <c r="F81" t="s">
        <v>17</v>
      </c>
      <c r="G81" t="s">
        <v>1036</v>
      </c>
      <c r="H81" t="s">
        <v>1041</v>
      </c>
      <c r="I81" s="1">
        <v>43487</v>
      </c>
      <c r="J81" t="s">
        <v>1046</v>
      </c>
      <c r="K81" s="5">
        <v>0.78888888888888886</v>
      </c>
      <c r="L81" t="s">
        <v>24</v>
      </c>
      <c r="M81">
        <v>5.0949999999999998</v>
      </c>
      <c r="N81">
        <v>6</v>
      </c>
    </row>
    <row r="82" spans="1:14" x14ac:dyDescent="0.25">
      <c r="A82" t="s">
        <v>111</v>
      </c>
      <c r="B82" t="s">
        <v>20</v>
      </c>
      <c r="C82" t="s">
        <v>21</v>
      </c>
      <c r="D82" t="s">
        <v>22</v>
      </c>
      <c r="E82" t="s">
        <v>16</v>
      </c>
      <c r="F82" t="s">
        <v>17</v>
      </c>
      <c r="G82" t="s">
        <v>1036</v>
      </c>
      <c r="H82" t="s">
        <v>1041</v>
      </c>
      <c r="I82" s="1">
        <v>43486</v>
      </c>
      <c r="J82" t="s">
        <v>1045</v>
      </c>
      <c r="K82" s="5">
        <v>0.61249999999999993</v>
      </c>
      <c r="L82" t="s">
        <v>28</v>
      </c>
      <c r="M82">
        <v>29.757000000000001</v>
      </c>
      <c r="N82">
        <v>5.5</v>
      </c>
    </row>
    <row r="83" spans="1:14" x14ac:dyDescent="0.25">
      <c r="A83" t="s">
        <v>112</v>
      </c>
      <c r="B83" t="s">
        <v>37</v>
      </c>
      <c r="C83" t="s">
        <v>38</v>
      </c>
      <c r="D83" t="s">
        <v>22</v>
      </c>
      <c r="E83" t="s">
        <v>16</v>
      </c>
      <c r="F83" t="s">
        <v>39</v>
      </c>
      <c r="G83" t="s">
        <v>1037</v>
      </c>
      <c r="H83" t="s">
        <v>1041</v>
      </c>
      <c r="I83" s="1">
        <v>43491</v>
      </c>
      <c r="J83" t="s">
        <v>1046</v>
      </c>
      <c r="K83" s="5">
        <v>0.8305555555555556</v>
      </c>
      <c r="L83" t="s">
        <v>18</v>
      </c>
      <c r="M83">
        <v>14.502000000000001</v>
      </c>
      <c r="N83">
        <v>6.4</v>
      </c>
    </row>
    <row r="84" spans="1:14" x14ac:dyDescent="0.25">
      <c r="A84" t="s">
        <v>113</v>
      </c>
      <c r="B84" t="s">
        <v>20</v>
      </c>
      <c r="C84" t="s">
        <v>21</v>
      </c>
      <c r="D84" t="s">
        <v>22</v>
      </c>
      <c r="E84" t="s">
        <v>26</v>
      </c>
      <c r="F84" t="s">
        <v>39</v>
      </c>
      <c r="G84" t="s">
        <v>1036</v>
      </c>
      <c r="H84" t="s">
        <v>1041</v>
      </c>
      <c r="I84" s="1">
        <v>43488</v>
      </c>
      <c r="J84" t="s">
        <v>1046</v>
      </c>
      <c r="K84" s="5">
        <v>0.77569444444444446</v>
      </c>
      <c r="L84" t="s">
        <v>18</v>
      </c>
      <c r="M84">
        <v>7.7</v>
      </c>
      <c r="N84">
        <v>6.6</v>
      </c>
    </row>
    <row r="85" spans="1:14" x14ac:dyDescent="0.25">
      <c r="A85" t="s">
        <v>114</v>
      </c>
      <c r="B85" t="s">
        <v>20</v>
      </c>
      <c r="C85" t="s">
        <v>21</v>
      </c>
      <c r="D85" t="s">
        <v>15</v>
      </c>
      <c r="E85" t="s">
        <v>16</v>
      </c>
      <c r="F85" t="s">
        <v>39</v>
      </c>
      <c r="G85" t="s">
        <v>1034</v>
      </c>
      <c r="H85" t="s">
        <v>1042</v>
      </c>
      <c r="I85" s="1">
        <v>43519</v>
      </c>
      <c r="J85" t="s">
        <v>1046</v>
      </c>
      <c r="K85" s="5">
        <v>0.78125</v>
      </c>
      <c r="L85" t="s">
        <v>28</v>
      </c>
      <c r="M85">
        <v>16.071999999999999</v>
      </c>
      <c r="N85">
        <v>8.3000000000000007</v>
      </c>
    </row>
    <row r="86" spans="1:14" x14ac:dyDescent="0.25">
      <c r="A86" t="s">
        <v>115</v>
      </c>
      <c r="B86" t="s">
        <v>20</v>
      </c>
      <c r="C86" t="s">
        <v>21</v>
      </c>
      <c r="D86" t="s">
        <v>15</v>
      </c>
      <c r="E86" t="s">
        <v>26</v>
      </c>
      <c r="F86" t="s">
        <v>31</v>
      </c>
      <c r="G86" t="s">
        <v>1036</v>
      </c>
      <c r="H86" t="s">
        <v>1043</v>
      </c>
      <c r="I86" s="1">
        <v>43533</v>
      </c>
      <c r="J86" t="s">
        <v>1044</v>
      </c>
      <c r="K86" s="5">
        <v>0.4284722222222222</v>
      </c>
      <c r="L86" t="s">
        <v>24</v>
      </c>
      <c r="M86">
        <v>12.227499999999999</v>
      </c>
      <c r="N86">
        <v>6.6</v>
      </c>
    </row>
    <row r="87" spans="1:14" x14ac:dyDescent="0.25">
      <c r="A87" t="s">
        <v>116</v>
      </c>
      <c r="B87" t="s">
        <v>20</v>
      </c>
      <c r="C87" t="s">
        <v>21</v>
      </c>
      <c r="D87" t="s">
        <v>22</v>
      </c>
      <c r="E87" t="s">
        <v>16</v>
      </c>
      <c r="F87" t="s">
        <v>31</v>
      </c>
      <c r="G87" t="s">
        <v>1035</v>
      </c>
      <c r="H87" t="s">
        <v>1043</v>
      </c>
      <c r="I87" s="1">
        <v>43529</v>
      </c>
      <c r="J87" t="s">
        <v>1045</v>
      </c>
      <c r="K87" s="5">
        <v>0.60486111111111118</v>
      </c>
      <c r="L87" t="s">
        <v>18</v>
      </c>
      <c r="M87">
        <v>29.071000000000002</v>
      </c>
      <c r="N87">
        <v>4</v>
      </c>
    </row>
    <row r="88" spans="1:14" x14ac:dyDescent="0.25">
      <c r="A88" t="s">
        <v>117</v>
      </c>
      <c r="B88" t="s">
        <v>20</v>
      </c>
      <c r="C88" t="s">
        <v>21</v>
      </c>
      <c r="D88" t="s">
        <v>22</v>
      </c>
      <c r="E88" t="s">
        <v>26</v>
      </c>
      <c r="F88" t="s">
        <v>41</v>
      </c>
      <c r="G88" t="s">
        <v>1038</v>
      </c>
      <c r="H88" t="s">
        <v>1043</v>
      </c>
      <c r="I88" s="1">
        <v>43549</v>
      </c>
      <c r="J88" t="s">
        <v>1044</v>
      </c>
      <c r="K88" s="5">
        <v>0.43263888888888885</v>
      </c>
      <c r="L88" t="s">
        <v>24</v>
      </c>
      <c r="M88">
        <v>19.13</v>
      </c>
      <c r="N88">
        <v>9.9</v>
      </c>
    </row>
    <row r="89" spans="1:14" x14ac:dyDescent="0.25">
      <c r="A89" t="s">
        <v>118</v>
      </c>
      <c r="B89" t="s">
        <v>13</v>
      </c>
      <c r="C89" t="s">
        <v>14</v>
      </c>
      <c r="D89" t="s">
        <v>15</v>
      </c>
      <c r="E89" t="s">
        <v>26</v>
      </c>
      <c r="F89" t="s">
        <v>39</v>
      </c>
      <c r="G89" t="s">
        <v>1038</v>
      </c>
      <c r="H89" t="s">
        <v>1043</v>
      </c>
      <c r="I89" s="1">
        <v>43551</v>
      </c>
      <c r="J89" t="s">
        <v>1046</v>
      </c>
      <c r="K89" s="5">
        <v>0.85763888888888884</v>
      </c>
      <c r="L89" t="s">
        <v>28</v>
      </c>
      <c r="M89">
        <v>17.283000000000001</v>
      </c>
      <c r="N89">
        <v>7.3</v>
      </c>
    </row>
    <row r="90" spans="1:14" x14ac:dyDescent="0.25">
      <c r="A90" t="s">
        <v>119</v>
      </c>
      <c r="B90" t="s">
        <v>13</v>
      </c>
      <c r="C90" t="s">
        <v>14</v>
      </c>
      <c r="D90" t="s">
        <v>22</v>
      </c>
      <c r="E90" t="s">
        <v>26</v>
      </c>
      <c r="F90" t="s">
        <v>31</v>
      </c>
      <c r="G90" t="s">
        <v>1040</v>
      </c>
      <c r="H90" t="s">
        <v>1041</v>
      </c>
      <c r="I90" s="1">
        <v>43467</v>
      </c>
      <c r="J90" t="s">
        <v>1046</v>
      </c>
      <c r="K90" s="5">
        <v>0.70624999999999993</v>
      </c>
      <c r="L90" t="s">
        <v>24</v>
      </c>
      <c r="M90">
        <v>2.1234999999999999</v>
      </c>
      <c r="N90">
        <v>5.7</v>
      </c>
    </row>
    <row r="91" spans="1:14" x14ac:dyDescent="0.25">
      <c r="A91" t="s">
        <v>120</v>
      </c>
      <c r="B91" t="s">
        <v>37</v>
      </c>
      <c r="C91" t="s">
        <v>38</v>
      </c>
      <c r="D91" t="s">
        <v>22</v>
      </c>
      <c r="E91" t="s">
        <v>16</v>
      </c>
      <c r="F91" t="s">
        <v>17</v>
      </c>
      <c r="G91" t="s">
        <v>1034</v>
      </c>
      <c r="H91" t="s">
        <v>1042</v>
      </c>
      <c r="I91" s="1">
        <v>43523</v>
      </c>
      <c r="J91" t="s">
        <v>1046</v>
      </c>
      <c r="K91" s="5">
        <v>0.74652777777777779</v>
      </c>
      <c r="L91" t="s">
        <v>24</v>
      </c>
      <c r="M91">
        <v>23.097000000000001</v>
      </c>
      <c r="N91">
        <v>6.1</v>
      </c>
    </row>
    <row r="92" spans="1:14" x14ac:dyDescent="0.25">
      <c r="A92" t="s">
        <v>121</v>
      </c>
      <c r="B92" t="s">
        <v>20</v>
      </c>
      <c r="C92" t="s">
        <v>21</v>
      </c>
      <c r="D92" t="s">
        <v>15</v>
      </c>
      <c r="E92" t="s">
        <v>16</v>
      </c>
      <c r="F92" t="s">
        <v>27</v>
      </c>
      <c r="G92" t="s">
        <v>1036</v>
      </c>
      <c r="H92" t="s">
        <v>1041</v>
      </c>
      <c r="I92" s="1">
        <v>43488</v>
      </c>
      <c r="J92" t="s">
        <v>1044</v>
      </c>
      <c r="K92" s="5">
        <v>0.43402777777777773</v>
      </c>
      <c r="L92" t="s">
        <v>24</v>
      </c>
      <c r="M92">
        <v>9.4760000000000009</v>
      </c>
      <c r="N92">
        <v>7.1</v>
      </c>
    </row>
    <row r="93" spans="1:14" x14ac:dyDescent="0.25">
      <c r="A93" t="s">
        <v>122</v>
      </c>
      <c r="B93" t="s">
        <v>20</v>
      </c>
      <c r="C93" t="s">
        <v>21</v>
      </c>
      <c r="D93" t="s">
        <v>22</v>
      </c>
      <c r="E93" t="s">
        <v>16</v>
      </c>
      <c r="F93" t="s">
        <v>31</v>
      </c>
      <c r="G93" t="s">
        <v>1037</v>
      </c>
      <c r="H93" t="s">
        <v>1041</v>
      </c>
      <c r="I93" s="1">
        <v>43491</v>
      </c>
      <c r="J93" t="s">
        <v>1046</v>
      </c>
      <c r="K93" s="5">
        <v>0.82916666666666661</v>
      </c>
      <c r="L93" t="s">
        <v>18</v>
      </c>
      <c r="M93">
        <v>22.43</v>
      </c>
      <c r="N93">
        <v>8.1999999999999993</v>
      </c>
    </row>
    <row r="94" spans="1:14" x14ac:dyDescent="0.25">
      <c r="A94" t="s">
        <v>123</v>
      </c>
      <c r="B94" t="s">
        <v>13</v>
      </c>
      <c r="C94" t="s">
        <v>14</v>
      </c>
      <c r="D94" t="s">
        <v>15</v>
      </c>
      <c r="E94" t="s">
        <v>16</v>
      </c>
      <c r="F94" t="s">
        <v>31</v>
      </c>
      <c r="G94" t="s">
        <v>1034</v>
      </c>
      <c r="H94" t="s">
        <v>1041</v>
      </c>
      <c r="I94" s="1">
        <v>43475</v>
      </c>
      <c r="J94" t="s">
        <v>1046</v>
      </c>
      <c r="K94" s="5">
        <v>0.6958333333333333</v>
      </c>
      <c r="L94" t="s">
        <v>18</v>
      </c>
      <c r="M94">
        <v>7.6929999999999996</v>
      </c>
      <c r="N94">
        <v>5.0999999999999996</v>
      </c>
    </row>
    <row r="95" spans="1:14" x14ac:dyDescent="0.25">
      <c r="A95" t="s">
        <v>124</v>
      </c>
      <c r="B95" t="s">
        <v>37</v>
      </c>
      <c r="C95" t="s">
        <v>38</v>
      </c>
      <c r="D95" t="s">
        <v>15</v>
      </c>
      <c r="E95" t="s">
        <v>26</v>
      </c>
      <c r="F95" t="s">
        <v>17</v>
      </c>
      <c r="G95" t="s">
        <v>1036</v>
      </c>
      <c r="H95" t="s">
        <v>1043</v>
      </c>
      <c r="I95" s="1">
        <v>43536</v>
      </c>
      <c r="J95" t="s">
        <v>1045</v>
      </c>
      <c r="K95" s="5">
        <v>0.50624999999999998</v>
      </c>
      <c r="L95" t="s">
        <v>28</v>
      </c>
      <c r="M95">
        <v>28.962</v>
      </c>
      <c r="N95">
        <v>8.6</v>
      </c>
    </row>
    <row r="96" spans="1:14" x14ac:dyDescent="0.25">
      <c r="A96" t="s">
        <v>125</v>
      </c>
      <c r="B96" t="s">
        <v>20</v>
      </c>
      <c r="C96" t="s">
        <v>21</v>
      </c>
      <c r="D96" t="s">
        <v>22</v>
      </c>
      <c r="E96" t="s">
        <v>26</v>
      </c>
      <c r="F96" t="s">
        <v>17</v>
      </c>
      <c r="G96" t="s">
        <v>1038</v>
      </c>
      <c r="H96" t="s">
        <v>1042</v>
      </c>
      <c r="I96" s="1">
        <v>43502</v>
      </c>
      <c r="J96" t="s">
        <v>1046</v>
      </c>
      <c r="K96" s="5">
        <v>0.83680555555555547</v>
      </c>
      <c r="L96" t="s">
        <v>28</v>
      </c>
      <c r="M96">
        <v>4.4874999999999998</v>
      </c>
      <c r="N96">
        <v>6.6</v>
      </c>
    </row>
    <row r="97" spans="1:14" x14ac:dyDescent="0.25">
      <c r="A97" t="s">
        <v>126</v>
      </c>
      <c r="B97" t="s">
        <v>13</v>
      </c>
      <c r="C97" t="s">
        <v>14</v>
      </c>
      <c r="D97" t="s">
        <v>22</v>
      </c>
      <c r="E97" t="s">
        <v>26</v>
      </c>
      <c r="F97" t="s">
        <v>23</v>
      </c>
      <c r="G97" t="s">
        <v>1035</v>
      </c>
      <c r="H97" t="s">
        <v>1043</v>
      </c>
      <c r="I97" s="1">
        <v>43532</v>
      </c>
      <c r="J97" t="s">
        <v>1046</v>
      </c>
      <c r="K97" s="5">
        <v>0.85972222222222217</v>
      </c>
      <c r="L97" t="s">
        <v>18</v>
      </c>
      <c r="M97">
        <v>4.8579999999999997</v>
      </c>
      <c r="N97">
        <v>7.2</v>
      </c>
    </row>
    <row r="98" spans="1:14" x14ac:dyDescent="0.25">
      <c r="A98" t="s">
        <v>127</v>
      </c>
      <c r="B98" t="s">
        <v>37</v>
      </c>
      <c r="C98" t="s">
        <v>38</v>
      </c>
      <c r="D98" t="s">
        <v>22</v>
      </c>
      <c r="E98" t="s">
        <v>26</v>
      </c>
      <c r="F98" t="s">
        <v>17</v>
      </c>
      <c r="G98" t="s">
        <v>1038</v>
      </c>
      <c r="H98" t="s">
        <v>1043</v>
      </c>
      <c r="I98" s="1">
        <v>43553</v>
      </c>
      <c r="J98" t="s">
        <v>1044</v>
      </c>
      <c r="K98" s="5">
        <v>0.43402777777777773</v>
      </c>
      <c r="L98" t="s">
        <v>18</v>
      </c>
      <c r="M98">
        <v>43.935000000000002</v>
      </c>
      <c r="N98">
        <v>5.0999999999999996</v>
      </c>
    </row>
    <row r="99" spans="1:14" x14ac:dyDescent="0.25">
      <c r="A99" t="s">
        <v>128</v>
      </c>
      <c r="B99" t="s">
        <v>20</v>
      </c>
      <c r="C99" t="s">
        <v>21</v>
      </c>
      <c r="D99" t="s">
        <v>22</v>
      </c>
      <c r="E99" t="s">
        <v>16</v>
      </c>
      <c r="F99" t="s">
        <v>23</v>
      </c>
      <c r="G99" t="s">
        <v>1039</v>
      </c>
      <c r="H99" t="s">
        <v>1042</v>
      </c>
      <c r="I99" s="1">
        <v>43505</v>
      </c>
      <c r="J99" t="s">
        <v>1045</v>
      </c>
      <c r="K99" s="5">
        <v>0.5493055555555556</v>
      </c>
      <c r="L99" t="s">
        <v>24</v>
      </c>
      <c r="M99">
        <v>3.7349999999999999</v>
      </c>
      <c r="N99">
        <v>4.0999999999999996</v>
      </c>
    </row>
    <row r="100" spans="1:14" x14ac:dyDescent="0.25">
      <c r="A100" t="s">
        <v>129</v>
      </c>
      <c r="B100" t="s">
        <v>13</v>
      </c>
      <c r="C100" t="s">
        <v>14</v>
      </c>
      <c r="D100" t="s">
        <v>22</v>
      </c>
      <c r="E100" t="s">
        <v>26</v>
      </c>
      <c r="F100" t="s">
        <v>39</v>
      </c>
      <c r="G100" t="s">
        <v>1038</v>
      </c>
      <c r="H100" t="s">
        <v>1043</v>
      </c>
      <c r="I100" s="1">
        <v>43547</v>
      </c>
      <c r="J100" t="s">
        <v>1044</v>
      </c>
      <c r="K100" s="5">
        <v>0.42777777777777781</v>
      </c>
      <c r="L100" t="s">
        <v>18</v>
      </c>
      <c r="M100">
        <v>7.9124999999999996</v>
      </c>
      <c r="N100">
        <v>9.3000000000000007</v>
      </c>
    </row>
    <row r="101" spans="1:14" x14ac:dyDescent="0.25">
      <c r="A101" t="s">
        <v>130</v>
      </c>
      <c r="B101" t="s">
        <v>37</v>
      </c>
      <c r="C101" t="s">
        <v>38</v>
      </c>
      <c r="D101" t="s">
        <v>22</v>
      </c>
      <c r="E101" t="s">
        <v>26</v>
      </c>
      <c r="F101" t="s">
        <v>27</v>
      </c>
      <c r="G101" t="s">
        <v>1035</v>
      </c>
      <c r="H101" t="s">
        <v>1043</v>
      </c>
      <c r="I101" s="1">
        <v>43529</v>
      </c>
      <c r="J101" t="s">
        <v>1046</v>
      </c>
      <c r="K101" s="5">
        <v>0.7597222222222223</v>
      </c>
      <c r="L101" t="s">
        <v>24</v>
      </c>
      <c r="M101">
        <v>24.81</v>
      </c>
      <c r="N101">
        <v>7.4</v>
      </c>
    </row>
    <row r="102" spans="1:14" x14ac:dyDescent="0.25">
      <c r="A102" t="s">
        <v>131</v>
      </c>
      <c r="B102" t="s">
        <v>20</v>
      </c>
      <c r="C102" t="s">
        <v>21</v>
      </c>
      <c r="D102" t="s">
        <v>15</v>
      </c>
      <c r="E102" t="s">
        <v>26</v>
      </c>
      <c r="F102" t="s">
        <v>41</v>
      </c>
      <c r="G102" t="s">
        <v>1038</v>
      </c>
      <c r="H102" t="s">
        <v>1043</v>
      </c>
      <c r="I102" s="1">
        <v>43550</v>
      </c>
      <c r="J102" t="s">
        <v>1046</v>
      </c>
      <c r="K102" s="5">
        <v>0.80555555555555547</v>
      </c>
      <c r="L102" t="s">
        <v>24</v>
      </c>
      <c r="M102">
        <v>2.4355000000000002</v>
      </c>
      <c r="N102">
        <v>4.0999999999999996</v>
      </c>
    </row>
    <row r="103" spans="1:14" x14ac:dyDescent="0.25">
      <c r="A103" t="s">
        <v>132</v>
      </c>
      <c r="B103" t="s">
        <v>20</v>
      </c>
      <c r="C103" t="s">
        <v>21</v>
      </c>
      <c r="D103" t="s">
        <v>22</v>
      </c>
      <c r="E103" t="s">
        <v>26</v>
      </c>
      <c r="F103" t="s">
        <v>41</v>
      </c>
      <c r="G103" t="s">
        <v>1034</v>
      </c>
      <c r="H103" t="s">
        <v>1043</v>
      </c>
      <c r="I103" s="1">
        <v>43525</v>
      </c>
      <c r="J103" t="s">
        <v>1045</v>
      </c>
      <c r="K103" s="5">
        <v>0.55694444444444446</v>
      </c>
      <c r="L103" t="s">
        <v>24</v>
      </c>
      <c r="M103">
        <v>35.347499999999997</v>
      </c>
      <c r="N103">
        <v>7.2</v>
      </c>
    </row>
    <row r="104" spans="1:14" x14ac:dyDescent="0.25">
      <c r="A104" t="s">
        <v>133</v>
      </c>
      <c r="B104" t="s">
        <v>20</v>
      </c>
      <c r="C104" t="s">
        <v>21</v>
      </c>
      <c r="D104" t="s">
        <v>22</v>
      </c>
      <c r="E104" t="s">
        <v>16</v>
      </c>
      <c r="F104" t="s">
        <v>23</v>
      </c>
      <c r="G104" t="s">
        <v>1037</v>
      </c>
      <c r="H104" t="s">
        <v>1042</v>
      </c>
      <c r="I104" s="1">
        <v>43497</v>
      </c>
      <c r="J104" t="s">
        <v>1044</v>
      </c>
      <c r="K104" s="5">
        <v>0.4770833333333333</v>
      </c>
      <c r="L104" t="s">
        <v>24</v>
      </c>
      <c r="M104">
        <v>10.381500000000001</v>
      </c>
      <c r="N104">
        <v>4.9000000000000004</v>
      </c>
    </row>
    <row r="105" spans="1:14" x14ac:dyDescent="0.25">
      <c r="A105" t="s">
        <v>134</v>
      </c>
      <c r="B105" t="s">
        <v>13</v>
      </c>
      <c r="C105" t="s">
        <v>14</v>
      </c>
      <c r="D105" t="s">
        <v>22</v>
      </c>
      <c r="E105" t="s">
        <v>26</v>
      </c>
      <c r="F105" t="s">
        <v>39</v>
      </c>
      <c r="G105" t="s">
        <v>1038</v>
      </c>
      <c r="H105" t="s">
        <v>1043</v>
      </c>
      <c r="I105" s="1">
        <v>43552</v>
      </c>
      <c r="J105" t="s">
        <v>1046</v>
      </c>
      <c r="K105" s="5">
        <v>0.6972222222222223</v>
      </c>
      <c r="L105" t="s">
        <v>24</v>
      </c>
      <c r="M105">
        <v>17.478000000000002</v>
      </c>
      <c r="N105">
        <v>9.9</v>
      </c>
    </row>
    <row r="106" spans="1:14" x14ac:dyDescent="0.25">
      <c r="A106" t="s">
        <v>135</v>
      </c>
      <c r="B106" t="s">
        <v>37</v>
      </c>
      <c r="C106" t="s">
        <v>38</v>
      </c>
      <c r="D106" t="s">
        <v>22</v>
      </c>
      <c r="E106" t="s">
        <v>26</v>
      </c>
      <c r="F106" t="s">
        <v>17</v>
      </c>
      <c r="G106" t="s">
        <v>1037</v>
      </c>
      <c r="H106" t="s">
        <v>1043</v>
      </c>
      <c r="I106" s="1">
        <v>43543</v>
      </c>
      <c r="J106" t="s">
        <v>1046</v>
      </c>
      <c r="K106" s="5">
        <v>0.7631944444444444</v>
      </c>
      <c r="L106" t="s">
        <v>24</v>
      </c>
      <c r="M106">
        <v>10.6225</v>
      </c>
      <c r="N106">
        <v>8</v>
      </c>
    </row>
    <row r="107" spans="1:14" x14ac:dyDescent="0.25">
      <c r="A107" t="s">
        <v>136</v>
      </c>
      <c r="B107" t="s">
        <v>13</v>
      </c>
      <c r="C107" t="s">
        <v>14</v>
      </c>
      <c r="D107" t="s">
        <v>15</v>
      </c>
      <c r="E107" t="s">
        <v>26</v>
      </c>
      <c r="F107" t="s">
        <v>23</v>
      </c>
      <c r="G107" t="s">
        <v>1035</v>
      </c>
      <c r="H107" t="s">
        <v>1041</v>
      </c>
      <c r="I107" s="1">
        <v>43477</v>
      </c>
      <c r="J107" t="s">
        <v>1045</v>
      </c>
      <c r="K107" s="5">
        <v>0.61805555555555558</v>
      </c>
      <c r="L107" t="s">
        <v>18</v>
      </c>
      <c r="M107">
        <v>44.335000000000001</v>
      </c>
      <c r="N107">
        <v>7.3</v>
      </c>
    </row>
    <row r="108" spans="1:14" x14ac:dyDescent="0.25">
      <c r="A108" t="s">
        <v>137</v>
      </c>
      <c r="B108" t="s">
        <v>20</v>
      </c>
      <c r="C108" t="s">
        <v>21</v>
      </c>
      <c r="D108" t="s">
        <v>22</v>
      </c>
      <c r="E108" t="s">
        <v>26</v>
      </c>
      <c r="F108" t="s">
        <v>41</v>
      </c>
      <c r="G108" t="s">
        <v>1034</v>
      </c>
      <c r="H108" t="s">
        <v>1041</v>
      </c>
      <c r="I108" s="1">
        <v>43470</v>
      </c>
      <c r="J108" t="s">
        <v>1046</v>
      </c>
      <c r="K108" s="5">
        <v>0.87083333333333324</v>
      </c>
      <c r="L108" t="s">
        <v>28</v>
      </c>
      <c r="M108">
        <v>8.2140000000000004</v>
      </c>
      <c r="N108">
        <v>7.9</v>
      </c>
    </row>
    <row r="109" spans="1:14" x14ac:dyDescent="0.25">
      <c r="A109" t="s">
        <v>138</v>
      </c>
      <c r="B109" t="s">
        <v>13</v>
      </c>
      <c r="C109" t="s">
        <v>14</v>
      </c>
      <c r="D109" t="s">
        <v>22</v>
      </c>
      <c r="E109" t="s">
        <v>26</v>
      </c>
      <c r="F109" t="s">
        <v>31</v>
      </c>
      <c r="G109" t="s">
        <v>1037</v>
      </c>
      <c r="H109" t="s">
        <v>1043</v>
      </c>
      <c r="I109" s="1">
        <v>43546</v>
      </c>
      <c r="J109" t="s">
        <v>1046</v>
      </c>
      <c r="K109" s="5">
        <v>0.84652777777777777</v>
      </c>
      <c r="L109" t="s">
        <v>24</v>
      </c>
      <c r="M109">
        <v>18.638999999999999</v>
      </c>
      <c r="N109">
        <v>7.4</v>
      </c>
    </row>
    <row r="110" spans="1:14" x14ac:dyDescent="0.25">
      <c r="A110" t="s">
        <v>139</v>
      </c>
      <c r="B110" t="s">
        <v>20</v>
      </c>
      <c r="C110" t="s">
        <v>21</v>
      </c>
      <c r="D110" t="s">
        <v>22</v>
      </c>
      <c r="E110" t="s">
        <v>16</v>
      </c>
      <c r="F110" t="s">
        <v>39</v>
      </c>
      <c r="G110" t="s">
        <v>1038</v>
      </c>
      <c r="H110" t="s">
        <v>1043</v>
      </c>
      <c r="I110" s="1">
        <v>43548</v>
      </c>
      <c r="J110" t="s">
        <v>1044</v>
      </c>
      <c r="K110" s="5">
        <v>0.4465277777777778</v>
      </c>
      <c r="L110" t="s">
        <v>24</v>
      </c>
      <c r="M110">
        <v>15.291</v>
      </c>
      <c r="N110">
        <v>4.2</v>
      </c>
    </row>
    <row r="111" spans="1:14" x14ac:dyDescent="0.25">
      <c r="A111" t="s">
        <v>140</v>
      </c>
      <c r="B111" t="s">
        <v>20</v>
      </c>
      <c r="C111" t="s">
        <v>21</v>
      </c>
      <c r="D111" t="s">
        <v>15</v>
      </c>
      <c r="E111" t="s">
        <v>26</v>
      </c>
      <c r="F111" t="s">
        <v>23</v>
      </c>
      <c r="G111" t="s">
        <v>1035</v>
      </c>
      <c r="H111" t="s">
        <v>1043</v>
      </c>
      <c r="I111" s="1">
        <v>43527</v>
      </c>
      <c r="J111" t="s">
        <v>1045</v>
      </c>
      <c r="K111" s="5">
        <v>0.60416666666666663</v>
      </c>
      <c r="L111" t="s">
        <v>24</v>
      </c>
      <c r="M111">
        <v>40.984999999999999</v>
      </c>
      <c r="N111">
        <v>9.1999999999999993</v>
      </c>
    </row>
    <row r="112" spans="1:14" x14ac:dyDescent="0.25">
      <c r="A112" t="s">
        <v>141</v>
      </c>
      <c r="B112" t="s">
        <v>37</v>
      </c>
      <c r="C112" t="s">
        <v>38</v>
      </c>
      <c r="D112" t="s">
        <v>15</v>
      </c>
      <c r="E112" t="s">
        <v>16</v>
      </c>
      <c r="F112" t="s">
        <v>31</v>
      </c>
      <c r="G112" t="s">
        <v>1038</v>
      </c>
      <c r="H112" t="s">
        <v>1042</v>
      </c>
      <c r="I112" s="1">
        <v>43501</v>
      </c>
      <c r="J112" t="s">
        <v>1044</v>
      </c>
      <c r="K112" s="5">
        <v>0.48055555555555557</v>
      </c>
      <c r="L112" t="s">
        <v>18</v>
      </c>
      <c r="M112">
        <v>1.649</v>
      </c>
      <c r="N112">
        <v>4.5999999999999996</v>
      </c>
    </row>
    <row r="113" spans="1:14" x14ac:dyDescent="0.25">
      <c r="A113" t="s">
        <v>142</v>
      </c>
      <c r="B113" t="s">
        <v>20</v>
      </c>
      <c r="C113" t="s">
        <v>21</v>
      </c>
      <c r="D113" t="s">
        <v>15</v>
      </c>
      <c r="E113" t="s">
        <v>16</v>
      </c>
      <c r="F113" t="s">
        <v>17</v>
      </c>
      <c r="G113" t="s">
        <v>1038</v>
      </c>
      <c r="H113" t="s">
        <v>1042</v>
      </c>
      <c r="I113" s="1">
        <v>43501</v>
      </c>
      <c r="J113" t="s">
        <v>1044</v>
      </c>
      <c r="K113" s="5">
        <v>0.44513888888888892</v>
      </c>
      <c r="L113" t="s">
        <v>28</v>
      </c>
      <c r="M113">
        <v>14.7315</v>
      </c>
      <c r="N113">
        <v>7.8</v>
      </c>
    </row>
    <row r="114" spans="1:14" x14ac:dyDescent="0.25">
      <c r="A114" t="s">
        <v>143</v>
      </c>
      <c r="B114" t="s">
        <v>37</v>
      </c>
      <c r="C114" t="s">
        <v>38</v>
      </c>
      <c r="D114" t="s">
        <v>22</v>
      </c>
      <c r="E114" t="s">
        <v>16</v>
      </c>
      <c r="F114" t="s">
        <v>41</v>
      </c>
      <c r="G114" t="s">
        <v>1039</v>
      </c>
      <c r="H114" t="s">
        <v>1042</v>
      </c>
      <c r="I114" s="1">
        <v>43511</v>
      </c>
      <c r="J114" t="s">
        <v>1045</v>
      </c>
      <c r="K114" s="5">
        <v>0.53055555555555556</v>
      </c>
      <c r="L114" t="s">
        <v>24</v>
      </c>
      <c r="M114">
        <v>25.494</v>
      </c>
      <c r="N114">
        <v>8.4</v>
      </c>
    </row>
    <row r="115" spans="1:14" x14ac:dyDescent="0.25">
      <c r="A115" t="s">
        <v>144</v>
      </c>
      <c r="B115" t="s">
        <v>13</v>
      </c>
      <c r="C115" t="s">
        <v>14</v>
      </c>
      <c r="D115" t="s">
        <v>15</v>
      </c>
      <c r="E115" t="s">
        <v>26</v>
      </c>
      <c r="F115" t="s">
        <v>27</v>
      </c>
      <c r="G115" t="s">
        <v>1036</v>
      </c>
      <c r="H115" t="s">
        <v>1041</v>
      </c>
      <c r="I115" s="1">
        <v>43484</v>
      </c>
      <c r="J115" t="s">
        <v>1046</v>
      </c>
      <c r="K115" s="5">
        <v>0.83819444444444446</v>
      </c>
      <c r="L115" t="s">
        <v>18</v>
      </c>
      <c r="M115">
        <v>26.131499999999999</v>
      </c>
      <c r="N115">
        <v>4.3</v>
      </c>
    </row>
    <row r="116" spans="1:14" x14ac:dyDescent="0.25">
      <c r="A116" t="s">
        <v>145</v>
      </c>
      <c r="B116" t="s">
        <v>20</v>
      </c>
      <c r="C116" t="s">
        <v>21</v>
      </c>
      <c r="D116" t="s">
        <v>15</v>
      </c>
      <c r="E116" t="s">
        <v>16</v>
      </c>
      <c r="F116" t="s">
        <v>27</v>
      </c>
      <c r="G116" t="s">
        <v>1037</v>
      </c>
      <c r="H116" t="s">
        <v>1042</v>
      </c>
      <c r="I116" s="1">
        <v>43497</v>
      </c>
      <c r="J116" t="s">
        <v>1046</v>
      </c>
      <c r="K116" s="5">
        <v>0.85486111111111107</v>
      </c>
      <c r="L116" t="s">
        <v>28</v>
      </c>
      <c r="M116">
        <v>36.355499999999999</v>
      </c>
      <c r="N116">
        <v>9.5</v>
      </c>
    </row>
    <row r="117" spans="1:14" x14ac:dyDescent="0.25">
      <c r="A117" t="s">
        <v>146</v>
      </c>
      <c r="B117" t="s">
        <v>20</v>
      </c>
      <c r="C117" t="s">
        <v>21</v>
      </c>
      <c r="D117" t="s">
        <v>22</v>
      </c>
      <c r="E117" t="s">
        <v>16</v>
      </c>
      <c r="F117" t="s">
        <v>41</v>
      </c>
      <c r="G117" t="s">
        <v>1035</v>
      </c>
      <c r="H117" t="s">
        <v>1043</v>
      </c>
      <c r="I117" s="1">
        <v>43526</v>
      </c>
      <c r="J117" t="s">
        <v>1045</v>
      </c>
      <c r="K117" s="5">
        <v>0.54236111111111118</v>
      </c>
      <c r="L117" t="s">
        <v>28</v>
      </c>
      <c r="M117">
        <v>4.0529999999999999</v>
      </c>
      <c r="N117">
        <v>7.1</v>
      </c>
    </row>
    <row r="118" spans="1:14" x14ac:dyDescent="0.25">
      <c r="A118" t="s">
        <v>147</v>
      </c>
      <c r="B118" t="s">
        <v>37</v>
      </c>
      <c r="C118" t="s">
        <v>38</v>
      </c>
      <c r="D118" t="s">
        <v>15</v>
      </c>
      <c r="E118" t="s">
        <v>26</v>
      </c>
      <c r="F118" t="s">
        <v>41</v>
      </c>
      <c r="G118" t="s">
        <v>1035</v>
      </c>
      <c r="H118" t="s">
        <v>1043</v>
      </c>
      <c r="I118" s="1">
        <v>43529</v>
      </c>
      <c r="J118" t="s">
        <v>1045</v>
      </c>
      <c r="K118" s="5">
        <v>0.52013888888888882</v>
      </c>
      <c r="L118" t="s">
        <v>18</v>
      </c>
      <c r="M118">
        <v>5.4850000000000003</v>
      </c>
      <c r="N118">
        <v>5.3</v>
      </c>
    </row>
    <row r="119" spans="1:14" x14ac:dyDescent="0.25">
      <c r="A119" t="s">
        <v>148</v>
      </c>
      <c r="B119" t="s">
        <v>37</v>
      </c>
      <c r="C119" t="s">
        <v>38</v>
      </c>
      <c r="D119" t="s">
        <v>15</v>
      </c>
      <c r="E119" t="s">
        <v>26</v>
      </c>
      <c r="F119" t="s">
        <v>41</v>
      </c>
      <c r="G119" t="s">
        <v>1035</v>
      </c>
      <c r="H119" t="s">
        <v>1041</v>
      </c>
      <c r="I119" s="1">
        <v>43481</v>
      </c>
      <c r="J119" t="s">
        <v>1045</v>
      </c>
      <c r="K119" s="5">
        <v>0.6430555555555556</v>
      </c>
      <c r="L119" t="s">
        <v>18</v>
      </c>
      <c r="M119">
        <v>2.5680000000000001</v>
      </c>
      <c r="N119">
        <v>5.2</v>
      </c>
    </row>
    <row r="120" spans="1:14" x14ac:dyDescent="0.25">
      <c r="A120" t="s">
        <v>149</v>
      </c>
      <c r="B120" t="s">
        <v>13</v>
      </c>
      <c r="C120" t="s">
        <v>14</v>
      </c>
      <c r="D120" t="s">
        <v>22</v>
      </c>
      <c r="E120" t="s">
        <v>16</v>
      </c>
      <c r="F120" t="s">
        <v>39</v>
      </c>
      <c r="G120" t="s">
        <v>1038</v>
      </c>
      <c r="H120" t="s">
        <v>1042</v>
      </c>
      <c r="I120" s="1">
        <v>43498</v>
      </c>
      <c r="J120" t="s">
        <v>1046</v>
      </c>
      <c r="K120" s="5">
        <v>0.8666666666666667</v>
      </c>
      <c r="L120" t="s">
        <v>18</v>
      </c>
      <c r="M120">
        <v>5.48</v>
      </c>
      <c r="N120">
        <v>6</v>
      </c>
    </row>
    <row r="121" spans="1:14" x14ac:dyDescent="0.25">
      <c r="A121" t="s">
        <v>150</v>
      </c>
      <c r="B121" t="s">
        <v>37</v>
      </c>
      <c r="C121" t="s">
        <v>38</v>
      </c>
      <c r="D121" t="s">
        <v>22</v>
      </c>
      <c r="E121" t="s">
        <v>26</v>
      </c>
      <c r="F121" t="s">
        <v>27</v>
      </c>
      <c r="G121" t="s">
        <v>1036</v>
      </c>
      <c r="H121" t="s">
        <v>1041</v>
      </c>
      <c r="I121" s="1">
        <v>43485</v>
      </c>
      <c r="J121" t="s">
        <v>1046</v>
      </c>
      <c r="K121" s="5">
        <v>0.85972222222222217</v>
      </c>
      <c r="L121" t="s">
        <v>18</v>
      </c>
      <c r="M121">
        <v>5.3440000000000003</v>
      </c>
      <c r="N121">
        <v>4.0999999999999996</v>
      </c>
    </row>
    <row r="122" spans="1:14" x14ac:dyDescent="0.25">
      <c r="A122" t="s">
        <v>151</v>
      </c>
      <c r="B122" t="s">
        <v>13</v>
      </c>
      <c r="C122" t="s">
        <v>14</v>
      </c>
      <c r="D122" t="s">
        <v>22</v>
      </c>
      <c r="E122" t="s">
        <v>16</v>
      </c>
      <c r="F122" t="s">
        <v>23</v>
      </c>
      <c r="G122" t="s">
        <v>1039</v>
      </c>
      <c r="H122" t="s">
        <v>1042</v>
      </c>
      <c r="I122" s="1">
        <v>43510</v>
      </c>
      <c r="J122" t="s">
        <v>1046</v>
      </c>
      <c r="K122" s="5">
        <v>0.7104166666666667</v>
      </c>
      <c r="L122" t="s">
        <v>28</v>
      </c>
      <c r="M122">
        <v>39.823999999999998</v>
      </c>
      <c r="N122">
        <v>5.2</v>
      </c>
    </row>
    <row r="123" spans="1:14" x14ac:dyDescent="0.25">
      <c r="A123" t="s">
        <v>152</v>
      </c>
      <c r="B123" t="s">
        <v>20</v>
      </c>
      <c r="C123" t="s">
        <v>21</v>
      </c>
      <c r="D123" t="s">
        <v>15</v>
      </c>
      <c r="E123" t="s">
        <v>26</v>
      </c>
      <c r="F123" t="s">
        <v>31</v>
      </c>
      <c r="G123" t="s">
        <v>1035</v>
      </c>
      <c r="H123" t="s">
        <v>1041</v>
      </c>
      <c r="I123" s="1">
        <v>43477</v>
      </c>
      <c r="J123" t="s">
        <v>1045</v>
      </c>
      <c r="K123" s="5">
        <v>0.50138888888888888</v>
      </c>
      <c r="L123" t="s">
        <v>28</v>
      </c>
      <c r="M123">
        <v>19.992000000000001</v>
      </c>
      <c r="N123">
        <v>6.5</v>
      </c>
    </row>
    <row r="124" spans="1:14" x14ac:dyDescent="0.25">
      <c r="A124" t="s">
        <v>153</v>
      </c>
      <c r="B124" t="s">
        <v>37</v>
      </c>
      <c r="C124" t="s">
        <v>38</v>
      </c>
      <c r="D124" t="s">
        <v>15</v>
      </c>
      <c r="E124" t="s">
        <v>26</v>
      </c>
      <c r="F124" t="s">
        <v>31</v>
      </c>
      <c r="G124" t="s">
        <v>1036</v>
      </c>
      <c r="H124" t="s">
        <v>1043</v>
      </c>
      <c r="I124" s="1">
        <v>43533</v>
      </c>
      <c r="J124" t="s">
        <v>1046</v>
      </c>
      <c r="K124" s="5">
        <v>0.72638888888888886</v>
      </c>
      <c r="L124" t="s">
        <v>28</v>
      </c>
      <c r="M124">
        <v>44.981999999999999</v>
      </c>
      <c r="N124">
        <v>4.2</v>
      </c>
    </row>
    <row r="125" spans="1:14" x14ac:dyDescent="0.25">
      <c r="A125" t="s">
        <v>154</v>
      </c>
      <c r="B125" t="s">
        <v>20</v>
      </c>
      <c r="C125" t="s">
        <v>21</v>
      </c>
      <c r="D125" t="s">
        <v>15</v>
      </c>
      <c r="E125" t="s">
        <v>26</v>
      </c>
      <c r="F125" t="s">
        <v>27</v>
      </c>
      <c r="G125" t="s">
        <v>1036</v>
      </c>
      <c r="H125" t="s">
        <v>1043</v>
      </c>
      <c r="I125" s="1">
        <v>43537</v>
      </c>
      <c r="J125" t="s">
        <v>1046</v>
      </c>
      <c r="K125" s="5">
        <v>0.82777777777777783</v>
      </c>
      <c r="L125" t="s">
        <v>28</v>
      </c>
      <c r="M125">
        <v>25.564</v>
      </c>
      <c r="N125">
        <v>4.5999999999999996</v>
      </c>
    </row>
    <row r="126" spans="1:14" x14ac:dyDescent="0.25">
      <c r="A126" t="s">
        <v>155</v>
      </c>
      <c r="B126" t="s">
        <v>37</v>
      </c>
      <c r="C126" t="s">
        <v>38</v>
      </c>
      <c r="D126" t="s">
        <v>15</v>
      </c>
      <c r="E126" t="s">
        <v>16</v>
      </c>
      <c r="F126" t="s">
        <v>41</v>
      </c>
      <c r="G126" t="s">
        <v>1036</v>
      </c>
      <c r="H126" t="s">
        <v>1043</v>
      </c>
      <c r="I126" s="1">
        <v>43533</v>
      </c>
      <c r="J126" t="s">
        <v>1045</v>
      </c>
      <c r="K126" s="5">
        <v>0.62291666666666667</v>
      </c>
      <c r="L126" t="s">
        <v>18</v>
      </c>
      <c r="M126">
        <v>22.588000000000001</v>
      </c>
      <c r="N126">
        <v>7.3</v>
      </c>
    </row>
    <row r="127" spans="1:14" x14ac:dyDescent="0.25">
      <c r="A127" t="s">
        <v>156</v>
      </c>
      <c r="B127" t="s">
        <v>13</v>
      </c>
      <c r="C127" t="s">
        <v>14</v>
      </c>
      <c r="D127" t="s">
        <v>22</v>
      </c>
      <c r="E127" t="s">
        <v>16</v>
      </c>
      <c r="F127" t="s">
        <v>27</v>
      </c>
      <c r="G127" t="s">
        <v>1036</v>
      </c>
      <c r="H127" t="s">
        <v>1043</v>
      </c>
      <c r="I127" s="1">
        <v>43534</v>
      </c>
      <c r="J127" t="s">
        <v>1046</v>
      </c>
      <c r="K127" s="5">
        <v>0.78055555555555556</v>
      </c>
      <c r="L127" t="s">
        <v>28</v>
      </c>
      <c r="M127">
        <v>32.791499999999999</v>
      </c>
      <c r="N127">
        <v>4.5</v>
      </c>
    </row>
    <row r="128" spans="1:14" x14ac:dyDescent="0.25">
      <c r="A128" t="s">
        <v>157</v>
      </c>
      <c r="B128" t="s">
        <v>13</v>
      </c>
      <c r="C128" t="s">
        <v>14</v>
      </c>
      <c r="D128" t="s">
        <v>22</v>
      </c>
      <c r="E128" t="s">
        <v>16</v>
      </c>
      <c r="F128" t="s">
        <v>31</v>
      </c>
      <c r="G128" t="s">
        <v>1037</v>
      </c>
      <c r="H128" t="s">
        <v>1041</v>
      </c>
      <c r="I128" s="1">
        <v>43492</v>
      </c>
      <c r="J128" t="s">
        <v>1045</v>
      </c>
      <c r="K128" s="5">
        <v>0.55972222222222223</v>
      </c>
      <c r="L128" t="s">
        <v>24</v>
      </c>
      <c r="M128">
        <v>8.0625</v>
      </c>
      <c r="N128">
        <v>9</v>
      </c>
    </row>
    <row r="129" spans="1:14" x14ac:dyDescent="0.25">
      <c r="A129" t="s">
        <v>158</v>
      </c>
      <c r="B129" t="s">
        <v>20</v>
      </c>
      <c r="C129" t="s">
        <v>21</v>
      </c>
      <c r="D129" t="s">
        <v>22</v>
      </c>
      <c r="E129" t="s">
        <v>16</v>
      </c>
      <c r="F129" t="s">
        <v>41</v>
      </c>
      <c r="G129" t="s">
        <v>1034</v>
      </c>
      <c r="H129" t="s">
        <v>1041</v>
      </c>
      <c r="I129" s="1">
        <v>43473</v>
      </c>
      <c r="J129" t="s">
        <v>1046</v>
      </c>
      <c r="K129" s="5">
        <v>0.67847222222222225</v>
      </c>
      <c r="L129" t="s">
        <v>28</v>
      </c>
      <c r="M129">
        <v>14.278499999999999</v>
      </c>
      <c r="N129">
        <v>5.9</v>
      </c>
    </row>
    <row r="130" spans="1:14" x14ac:dyDescent="0.25">
      <c r="A130" t="s">
        <v>159</v>
      </c>
      <c r="B130" t="s">
        <v>20</v>
      </c>
      <c r="C130" t="s">
        <v>21</v>
      </c>
      <c r="D130" t="s">
        <v>15</v>
      </c>
      <c r="E130" t="s">
        <v>16</v>
      </c>
      <c r="F130" t="s">
        <v>39</v>
      </c>
      <c r="G130" t="s">
        <v>1034</v>
      </c>
      <c r="H130" t="s">
        <v>1041</v>
      </c>
      <c r="I130" s="1">
        <v>43473</v>
      </c>
      <c r="J130" t="s">
        <v>1045</v>
      </c>
      <c r="K130" s="5">
        <v>0.6645833333333333</v>
      </c>
      <c r="L130" t="s">
        <v>18</v>
      </c>
      <c r="M130">
        <v>27.416</v>
      </c>
      <c r="N130">
        <v>8.5</v>
      </c>
    </row>
    <row r="131" spans="1:14" x14ac:dyDescent="0.25">
      <c r="A131" t="s">
        <v>160</v>
      </c>
      <c r="B131" t="s">
        <v>37</v>
      </c>
      <c r="C131" t="s">
        <v>38</v>
      </c>
      <c r="D131" t="s">
        <v>22</v>
      </c>
      <c r="E131" t="s">
        <v>16</v>
      </c>
      <c r="F131" t="s">
        <v>31</v>
      </c>
      <c r="G131" t="s">
        <v>1038</v>
      </c>
      <c r="H131" t="s">
        <v>1042</v>
      </c>
      <c r="I131" s="1">
        <v>43504</v>
      </c>
      <c r="J131" t="s">
        <v>1044</v>
      </c>
      <c r="K131" s="5">
        <v>0.46875</v>
      </c>
      <c r="L131" t="s">
        <v>18</v>
      </c>
      <c r="M131">
        <v>40.625999999999998</v>
      </c>
      <c r="N131">
        <v>7.2</v>
      </c>
    </row>
    <row r="132" spans="1:14" x14ac:dyDescent="0.25">
      <c r="A132" t="s">
        <v>161</v>
      </c>
      <c r="B132" t="s">
        <v>37</v>
      </c>
      <c r="C132" t="s">
        <v>38</v>
      </c>
      <c r="D132" t="s">
        <v>22</v>
      </c>
      <c r="E132" t="s">
        <v>16</v>
      </c>
      <c r="F132" t="s">
        <v>41</v>
      </c>
      <c r="G132" t="s">
        <v>1036</v>
      </c>
      <c r="H132" t="s">
        <v>1041</v>
      </c>
      <c r="I132" s="1">
        <v>43490</v>
      </c>
      <c r="J132" t="s">
        <v>1045</v>
      </c>
      <c r="K132" s="5">
        <v>0.5541666666666667</v>
      </c>
      <c r="L132" t="s">
        <v>24</v>
      </c>
      <c r="M132">
        <v>13.867000000000001</v>
      </c>
      <c r="N132">
        <v>7.5</v>
      </c>
    </row>
    <row r="133" spans="1:14" x14ac:dyDescent="0.25">
      <c r="A133" t="s">
        <v>162</v>
      </c>
      <c r="B133" t="s">
        <v>13</v>
      </c>
      <c r="C133" t="s">
        <v>14</v>
      </c>
      <c r="D133" t="s">
        <v>15</v>
      </c>
      <c r="E133" t="s">
        <v>16</v>
      </c>
      <c r="F133" t="s">
        <v>31</v>
      </c>
      <c r="G133" t="s">
        <v>1035</v>
      </c>
      <c r="H133" t="s">
        <v>1043</v>
      </c>
      <c r="I133" s="1">
        <v>43530</v>
      </c>
      <c r="J133" t="s">
        <v>1046</v>
      </c>
      <c r="K133" s="5">
        <v>0.8569444444444444</v>
      </c>
      <c r="L133" t="s">
        <v>24</v>
      </c>
      <c r="M133">
        <v>27.638999999999999</v>
      </c>
      <c r="N133">
        <v>8.3000000000000007</v>
      </c>
    </row>
    <row r="134" spans="1:14" x14ac:dyDescent="0.25">
      <c r="A134" t="s">
        <v>163</v>
      </c>
      <c r="B134" t="s">
        <v>37</v>
      </c>
      <c r="C134" t="s">
        <v>38</v>
      </c>
      <c r="D134" t="s">
        <v>22</v>
      </c>
      <c r="E134" t="s">
        <v>16</v>
      </c>
      <c r="F134" t="s">
        <v>31</v>
      </c>
      <c r="G134" t="s">
        <v>1039</v>
      </c>
      <c r="H134" t="s">
        <v>1042</v>
      </c>
      <c r="I134" s="1">
        <v>43506</v>
      </c>
      <c r="J134" t="s">
        <v>1046</v>
      </c>
      <c r="K134" s="5">
        <v>0.77500000000000002</v>
      </c>
      <c r="L134" t="s">
        <v>24</v>
      </c>
      <c r="M134">
        <v>6.968</v>
      </c>
      <c r="N134">
        <v>7.4</v>
      </c>
    </row>
    <row r="135" spans="1:14" x14ac:dyDescent="0.25">
      <c r="A135" t="s">
        <v>164</v>
      </c>
      <c r="B135" t="s">
        <v>37</v>
      </c>
      <c r="C135" t="s">
        <v>38</v>
      </c>
      <c r="D135" t="s">
        <v>15</v>
      </c>
      <c r="E135" t="s">
        <v>26</v>
      </c>
      <c r="F135" t="s">
        <v>23</v>
      </c>
      <c r="G135" t="s">
        <v>1040</v>
      </c>
      <c r="H135" t="s">
        <v>1042</v>
      </c>
      <c r="I135" s="1">
        <v>43513</v>
      </c>
      <c r="J135" t="s">
        <v>1045</v>
      </c>
      <c r="K135" s="5">
        <v>0.61111111111111105</v>
      </c>
      <c r="L135" t="s">
        <v>28</v>
      </c>
      <c r="M135">
        <v>26.234999999999999</v>
      </c>
      <c r="N135">
        <v>8.8000000000000007</v>
      </c>
    </row>
    <row r="136" spans="1:14" x14ac:dyDescent="0.25">
      <c r="A136" t="s">
        <v>165</v>
      </c>
      <c r="B136" t="s">
        <v>20</v>
      </c>
      <c r="C136" t="s">
        <v>21</v>
      </c>
      <c r="D136" t="s">
        <v>22</v>
      </c>
      <c r="E136" t="s">
        <v>16</v>
      </c>
      <c r="F136" t="s">
        <v>17</v>
      </c>
      <c r="G136" t="s">
        <v>1035</v>
      </c>
      <c r="H136" t="s">
        <v>1043</v>
      </c>
      <c r="I136" s="1">
        <v>43532</v>
      </c>
      <c r="J136" t="s">
        <v>1046</v>
      </c>
      <c r="K136" s="5">
        <v>0.69652777777777775</v>
      </c>
      <c r="L136" t="s">
        <v>18</v>
      </c>
      <c r="M136">
        <v>24.39</v>
      </c>
      <c r="N136">
        <v>5.3</v>
      </c>
    </row>
    <row r="137" spans="1:14" x14ac:dyDescent="0.25">
      <c r="A137" t="s">
        <v>166</v>
      </c>
      <c r="B137" t="s">
        <v>20</v>
      </c>
      <c r="C137" t="s">
        <v>21</v>
      </c>
      <c r="D137" t="s">
        <v>22</v>
      </c>
      <c r="E137" t="s">
        <v>26</v>
      </c>
      <c r="F137" t="s">
        <v>41</v>
      </c>
      <c r="G137" t="s">
        <v>1040</v>
      </c>
      <c r="H137" t="s">
        <v>1042</v>
      </c>
      <c r="I137" s="1">
        <v>43514</v>
      </c>
      <c r="J137" t="s">
        <v>1046</v>
      </c>
      <c r="K137" s="5">
        <v>0.81874999999999998</v>
      </c>
      <c r="L137" t="s">
        <v>24</v>
      </c>
      <c r="M137">
        <v>13.532999999999999</v>
      </c>
      <c r="N137">
        <v>6.2</v>
      </c>
    </row>
    <row r="138" spans="1:14" x14ac:dyDescent="0.25">
      <c r="A138" t="s">
        <v>167</v>
      </c>
      <c r="B138" t="s">
        <v>13</v>
      </c>
      <c r="C138" t="s">
        <v>14</v>
      </c>
      <c r="D138" t="s">
        <v>22</v>
      </c>
      <c r="E138" t="s">
        <v>16</v>
      </c>
      <c r="F138" t="s">
        <v>23</v>
      </c>
      <c r="G138" t="s">
        <v>1035</v>
      </c>
      <c r="H138" t="s">
        <v>1041</v>
      </c>
      <c r="I138" s="1">
        <v>43483</v>
      </c>
      <c r="J138" t="s">
        <v>1046</v>
      </c>
      <c r="K138" s="5">
        <v>0.87430555555555556</v>
      </c>
      <c r="L138" t="s">
        <v>28</v>
      </c>
      <c r="M138">
        <v>6.5774999999999997</v>
      </c>
      <c r="N138">
        <v>8.8000000000000007</v>
      </c>
    </row>
    <row r="139" spans="1:14" x14ac:dyDescent="0.25">
      <c r="A139" t="s">
        <v>168</v>
      </c>
      <c r="B139" t="s">
        <v>13</v>
      </c>
      <c r="C139" t="s">
        <v>14</v>
      </c>
      <c r="D139" t="s">
        <v>15</v>
      </c>
      <c r="E139" t="s">
        <v>16</v>
      </c>
      <c r="F139" t="s">
        <v>27</v>
      </c>
      <c r="G139" t="s">
        <v>1040</v>
      </c>
      <c r="H139" t="s">
        <v>1042</v>
      </c>
      <c r="I139" s="1">
        <v>43514</v>
      </c>
      <c r="J139" t="s">
        <v>1045</v>
      </c>
      <c r="K139" s="5">
        <v>0.65208333333333335</v>
      </c>
      <c r="L139" t="s">
        <v>24</v>
      </c>
      <c r="M139">
        <v>10.326000000000001</v>
      </c>
      <c r="N139">
        <v>9.8000000000000007</v>
      </c>
    </row>
    <row r="140" spans="1:14" x14ac:dyDescent="0.25">
      <c r="A140" t="s">
        <v>169</v>
      </c>
      <c r="B140" t="s">
        <v>37</v>
      </c>
      <c r="C140" t="s">
        <v>38</v>
      </c>
      <c r="D140" t="s">
        <v>22</v>
      </c>
      <c r="E140" t="s">
        <v>26</v>
      </c>
      <c r="F140" t="s">
        <v>31</v>
      </c>
      <c r="G140" t="s">
        <v>1040</v>
      </c>
      <c r="H140" t="s">
        <v>1042</v>
      </c>
      <c r="I140" s="1">
        <v>43512</v>
      </c>
      <c r="J140" t="s">
        <v>1045</v>
      </c>
      <c r="K140" s="5">
        <v>0.51458333333333328</v>
      </c>
      <c r="L140" t="s">
        <v>24</v>
      </c>
      <c r="M140">
        <v>25.954999999999998</v>
      </c>
      <c r="N140">
        <v>8.1999999999999993</v>
      </c>
    </row>
    <row r="141" spans="1:14" x14ac:dyDescent="0.25">
      <c r="A141" t="s">
        <v>170</v>
      </c>
      <c r="B141" t="s">
        <v>13</v>
      </c>
      <c r="C141" t="s">
        <v>14</v>
      </c>
      <c r="D141" t="s">
        <v>22</v>
      </c>
      <c r="E141" t="s">
        <v>26</v>
      </c>
      <c r="F141" t="s">
        <v>31</v>
      </c>
      <c r="G141" t="s">
        <v>1037</v>
      </c>
      <c r="H141" t="s">
        <v>1043</v>
      </c>
      <c r="I141" s="1">
        <v>43540</v>
      </c>
      <c r="J141" t="s">
        <v>1046</v>
      </c>
      <c r="K141" s="5">
        <v>0.80902777777777779</v>
      </c>
      <c r="L141" t="s">
        <v>18</v>
      </c>
      <c r="M141">
        <v>29</v>
      </c>
      <c r="N141">
        <v>9.1999999999999993</v>
      </c>
    </row>
    <row r="142" spans="1:14" x14ac:dyDescent="0.25">
      <c r="A142" t="s">
        <v>171</v>
      </c>
      <c r="B142" t="s">
        <v>20</v>
      </c>
      <c r="C142" t="s">
        <v>21</v>
      </c>
      <c r="D142" t="s">
        <v>15</v>
      </c>
      <c r="E142" t="s">
        <v>16</v>
      </c>
      <c r="F142" t="s">
        <v>31</v>
      </c>
      <c r="G142" t="s">
        <v>1036</v>
      </c>
      <c r="H142" t="s">
        <v>1041</v>
      </c>
      <c r="I142" s="1">
        <v>43488</v>
      </c>
      <c r="J142" t="s">
        <v>1045</v>
      </c>
      <c r="K142" s="5">
        <v>0.54166666666666663</v>
      </c>
      <c r="L142" t="s">
        <v>28</v>
      </c>
      <c r="M142">
        <v>44.9</v>
      </c>
      <c r="N142">
        <v>5.4</v>
      </c>
    </row>
    <row r="143" spans="1:14" x14ac:dyDescent="0.25">
      <c r="A143" t="s">
        <v>172</v>
      </c>
      <c r="B143" t="s">
        <v>20</v>
      </c>
      <c r="C143" t="s">
        <v>21</v>
      </c>
      <c r="D143" t="s">
        <v>15</v>
      </c>
      <c r="E143" t="s">
        <v>26</v>
      </c>
      <c r="F143" t="s">
        <v>17</v>
      </c>
      <c r="G143" t="s">
        <v>1036</v>
      </c>
      <c r="H143" t="s">
        <v>1041</v>
      </c>
      <c r="I143" s="1">
        <v>43490</v>
      </c>
      <c r="J143" t="s">
        <v>1045</v>
      </c>
      <c r="K143" s="5">
        <v>0.57500000000000007</v>
      </c>
      <c r="L143" t="s">
        <v>24</v>
      </c>
      <c r="M143">
        <v>45.25</v>
      </c>
      <c r="N143">
        <v>8.1</v>
      </c>
    </row>
    <row r="144" spans="1:14" x14ac:dyDescent="0.25">
      <c r="A144" t="s">
        <v>173</v>
      </c>
      <c r="B144" t="s">
        <v>20</v>
      </c>
      <c r="C144" t="s">
        <v>21</v>
      </c>
      <c r="D144" t="s">
        <v>15</v>
      </c>
      <c r="E144" t="s">
        <v>16</v>
      </c>
      <c r="F144" t="s">
        <v>17</v>
      </c>
      <c r="G144" t="s">
        <v>1038</v>
      </c>
      <c r="H144" t="s">
        <v>1042</v>
      </c>
      <c r="I144" s="1">
        <v>43501</v>
      </c>
      <c r="J144" t="s">
        <v>1046</v>
      </c>
      <c r="K144" s="5">
        <v>0.83124999999999993</v>
      </c>
      <c r="L144" t="s">
        <v>24</v>
      </c>
      <c r="M144">
        <v>34.299999999999997</v>
      </c>
      <c r="N144">
        <v>9.1</v>
      </c>
    </row>
    <row r="145" spans="1:14" x14ac:dyDescent="0.25">
      <c r="A145" t="s">
        <v>174</v>
      </c>
      <c r="B145" t="s">
        <v>20</v>
      </c>
      <c r="C145" t="s">
        <v>21</v>
      </c>
      <c r="D145" t="s">
        <v>15</v>
      </c>
      <c r="E145" t="s">
        <v>16</v>
      </c>
      <c r="F145" t="s">
        <v>39</v>
      </c>
      <c r="G145" t="s">
        <v>1040</v>
      </c>
      <c r="H145" t="s">
        <v>1042</v>
      </c>
      <c r="I145" s="1">
        <v>43518</v>
      </c>
      <c r="J145" t="s">
        <v>1044</v>
      </c>
      <c r="K145" s="5">
        <v>0.44166666666666665</v>
      </c>
      <c r="L145" t="s">
        <v>28</v>
      </c>
      <c r="M145">
        <v>1.5205</v>
      </c>
      <c r="N145">
        <v>8.4</v>
      </c>
    </row>
    <row r="146" spans="1:14" x14ac:dyDescent="0.25">
      <c r="A146" t="s">
        <v>175</v>
      </c>
      <c r="B146" t="s">
        <v>13</v>
      </c>
      <c r="C146" t="s">
        <v>14</v>
      </c>
      <c r="D146" t="s">
        <v>22</v>
      </c>
      <c r="E146" t="s">
        <v>16</v>
      </c>
      <c r="F146" t="s">
        <v>27</v>
      </c>
      <c r="G146" t="s">
        <v>1036</v>
      </c>
      <c r="H146" t="s">
        <v>1041</v>
      </c>
      <c r="I146" s="1">
        <v>43486</v>
      </c>
      <c r="J146" t="s">
        <v>1046</v>
      </c>
      <c r="K146" s="5">
        <v>0.69236111111111109</v>
      </c>
      <c r="L146" t="s">
        <v>18</v>
      </c>
      <c r="M146">
        <v>23.385000000000002</v>
      </c>
      <c r="N146">
        <v>8</v>
      </c>
    </row>
    <row r="147" spans="1:14" x14ac:dyDescent="0.25">
      <c r="A147" t="s">
        <v>176</v>
      </c>
      <c r="B147" t="s">
        <v>20</v>
      </c>
      <c r="C147" t="s">
        <v>21</v>
      </c>
      <c r="D147" t="s">
        <v>22</v>
      </c>
      <c r="E147" t="s">
        <v>16</v>
      </c>
      <c r="F147" t="s">
        <v>17</v>
      </c>
      <c r="G147" t="s">
        <v>1035</v>
      </c>
      <c r="H147" t="s">
        <v>1043</v>
      </c>
      <c r="I147" s="1">
        <v>43532</v>
      </c>
      <c r="J147" t="s">
        <v>1046</v>
      </c>
      <c r="K147" s="5">
        <v>0.71597222222222223</v>
      </c>
      <c r="L147" t="s">
        <v>28</v>
      </c>
      <c r="M147">
        <v>13.878</v>
      </c>
      <c r="N147">
        <v>9.5</v>
      </c>
    </row>
    <row r="148" spans="1:14" x14ac:dyDescent="0.25">
      <c r="A148" t="s">
        <v>177</v>
      </c>
      <c r="B148" t="s">
        <v>13</v>
      </c>
      <c r="C148" t="s">
        <v>14</v>
      </c>
      <c r="D148" t="s">
        <v>15</v>
      </c>
      <c r="E148" t="s">
        <v>16</v>
      </c>
      <c r="F148" t="s">
        <v>41</v>
      </c>
      <c r="G148" t="s">
        <v>1039</v>
      </c>
      <c r="H148" t="s">
        <v>1042</v>
      </c>
      <c r="I148" s="1">
        <v>43506</v>
      </c>
      <c r="J148" t="s">
        <v>1045</v>
      </c>
      <c r="K148" s="5">
        <v>0.51944444444444449</v>
      </c>
      <c r="L148" t="s">
        <v>18</v>
      </c>
      <c r="M148">
        <v>15.07</v>
      </c>
      <c r="N148">
        <v>9.1999999999999993</v>
      </c>
    </row>
    <row r="149" spans="1:14" x14ac:dyDescent="0.25">
      <c r="A149" t="s">
        <v>178</v>
      </c>
      <c r="B149" t="s">
        <v>20</v>
      </c>
      <c r="C149" t="s">
        <v>21</v>
      </c>
      <c r="D149" t="s">
        <v>22</v>
      </c>
      <c r="E149" t="s">
        <v>26</v>
      </c>
      <c r="F149" t="s">
        <v>17</v>
      </c>
      <c r="G149" t="s">
        <v>1037</v>
      </c>
      <c r="H149" t="s">
        <v>1043</v>
      </c>
      <c r="I149" s="1">
        <v>43543</v>
      </c>
      <c r="J149" t="s">
        <v>1045</v>
      </c>
      <c r="K149" s="5">
        <v>0.53194444444444444</v>
      </c>
      <c r="L149" t="s">
        <v>28</v>
      </c>
      <c r="M149">
        <v>13.228</v>
      </c>
      <c r="N149">
        <v>5.6</v>
      </c>
    </row>
    <row r="150" spans="1:14" x14ac:dyDescent="0.25">
      <c r="A150" t="s">
        <v>179</v>
      </c>
      <c r="B150" t="s">
        <v>37</v>
      </c>
      <c r="C150" t="s">
        <v>38</v>
      </c>
      <c r="D150" t="s">
        <v>15</v>
      </c>
      <c r="E150" t="s">
        <v>26</v>
      </c>
      <c r="F150" t="s">
        <v>27</v>
      </c>
      <c r="G150" t="s">
        <v>1035</v>
      </c>
      <c r="H150" t="s">
        <v>1043</v>
      </c>
      <c r="I150" s="1">
        <v>43530</v>
      </c>
      <c r="J150" t="s">
        <v>1045</v>
      </c>
      <c r="K150" s="5">
        <v>0.62986111111111109</v>
      </c>
      <c r="L150" t="s">
        <v>28</v>
      </c>
      <c r="M150">
        <v>28.744</v>
      </c>
      <c r="N150">
        <v>6.2</v>
      </c>
    </row>
    <row r="151" spans="1:14" x14ac:dyDescent="0.25">
      <c r="A151" t="s">
        <v>180</v>
      </c>
      <c r="B151" t="s">
        <v>13</v>
      </c>
      <c r="C151" t="s">
        <v>14</v>
      </c>
      <c r="D151" t="s">
        <v>22</v>
      </c>
      <c r="E151" t="s">
        <v>26</v>
      </c>
      <c r="F151" t="s">
        <v>17</v>
      </c>
      <c r="G151" t="s">
        <v>1038</v>
      </c>
      <c r="H151" t="s">
        <v>1043</v>
      </c>
      <c r="I151" s="1">
        <v>43551</v>
      </c>
      <c r="J151" t="s">
        <v>1045</v>
      </c>
      <c r="K151" s="5">
        <v>0.57500000000000007</v>
      </c>
      <c r="L151" t="s">
        <v>28</v>
      </c>
      <c r="M151">
        <v>12.984</v>
      </c>
      <c r="N151">
        <v>4.9000000000000004</v>
      </c>
    </row>
    <row r="152" spans="1:14" x14ac:dyDescent="0.25">
      <c r="A152" t="s">
        <v>181</v>
      </c>
      <c r="B152" t="s">
        <v>37</v>
      </c>
      <c r="C152" t="s">
        <v>38</v>
      </c>
      <c r="D152" t="s">
        <v>15</v>
      </c>
      <c r="E152" t="s">
        <v>16</v>
      </c>
      <c r="F152" t="s">
        <v>41</v>
      </c>
      <c r="G152" t="s">
        <v>1038</v>
      </c>
      <c r="H152" t="s">
        <v>1043</v>
      </c>
      <c r="I152" s="1">
        <v>43547</v>
      </c>
      <c r="J152" t="s">
        <v>1046</v>
      </c>
      <c r="K152" s="5">
        <v>0.80555555555555547</v>
      </c>
      <c r="L152" t="s">
        <v>28</v>
      </c>
      <c r="M152">
        <v>18.308</v>
      </c>
      <c r="N152">
        <v>4.8</v>
      </c>
    </row>
    <row r="153" spans="1:14" x14ac:dyDescent="0.25">
      <c r="A153" t="s">
        <v>182</v>
      </c>
      <c r="B153" t="s">
        <v>20</v>
      </c>
      <c r="C153" t="s">
        <v>21</v>
      </c>
      <c r="D153" t="s">
        <v>15</v>
      </c>
      <c r="E153" t="s">
        <v>26</v>
      </c>
      <c r="F153" t="s">
        <v>31</v>
      </c>
      <c r="G153" t="s">
        <v>1036</v>
      </c>
      <c r="H153" t="s">
        <v>1043</v>
      </c>
      <c r="I153" s="1">
        <v>43535</v>
      </c>
      <c r="J153" t="s">
        <v>1046</v>
      </c>
      <c r="K153" s="5">
        <v>0.67152777777777783</v>
      </c>
      <c r="L153" t="s">
        <v>28</v>
      </c>
      <c r="M153">
        <v>12.096</v>
      </c>
      <c r="N153">
        <v>7.3</v>
      </c>
    </row>
    <row r="154" spans="1:14" x14ac:dyDescent="0.25">
      <c r="A154" t="s">
        <v>183</v>
      </c>
      <c r="B154" t="s">
        <v>13</v>
      </c>
      <c r="C154" t="s">
        <v>14</v>
      </c>
      <c r="D154" t="s">
        <v>22</v>
      </c>
      <c r="E154" t="s">
        <v>26</v>
      </c>
      <c r="F154" t="s">
        <v>41</v>
      </c>
      <c r="G154" t="s">
        <v>1037</v>
      </c>
      <c r="H154" t="s">
        <v>1041</v>
      </c>
      <c r="I154" s="1">
        <v>43494</v>
      </c>
      <c r="J154" t="s">
        <v>1044</v>
      </c>
      <c r="K154" s="5">
        <v>0.49722222222222223</v>
      </c>
      <c r="L154" t="s">
        <v>28</v>
      </c>
      <c r="M154">
        <v>37.457999999999998</v>
      </c>
      <c r="N154">
        <v>7.4</v>
      </c>
    </row>
    <row r="155" spans="1:14" x14ac:dyDescent="0.25">
      <c r="A155" t="s">
        <v>184</v>
      </c>
      <c r="B155" t="s">
        <v>20</v>
      </c>
      <c r="C155" t="s">
        <v>21</v>
      </c>
      <c r="D155" t="s">
        <v>22</v>
      </c>
      <c r="E155" t="s">
        <v>16</v>
      </c>
      <c r="F155" t="s">
        <v>39</v>
      </c>
      <c r="G155" t="s">
        <v>1038</v>
      </c>
      <c r="H155" t="s">
        <v>1042</v>
      </c>
      <c r="I155" s="1">
        <v>43503</v>
      </c>
      <c r="J155" t="s">
        <v>1046</v>
      </c>
      <c r="K155" s="5">
        <v>0.76597222222222217</v>
      </c>
      <c r="L155" t="s">
        <v>18</v>
      </c>
      <c r="M155">
        <v>4.944</v>
      </c>
      <c r="N155">
        <v>9.9</v>
      </c>
    </row>
    <row r="156" spans="1:14" x14ac:dyDescent="0.25">
      <c r="A156" t="s">
        <v>185</v>
      </c>
      <c r="B156" t="s">
        <v>20</v>
      </c>
      <c r="C156" t="s">
        <v>21</v>
      </c>
      <c r="D156" t="s">
        <v>22</v>
      </c>
      <c r="E156" t="s">
        <v>16</v>
      </c>
      <c r="F156" t="s">
        <v>31</v>
      </c>
      <c r="G156" t="s">
        <v>1037</v>
      </c>
      <c r="H156" t="s">
        <v>1041</v>
      </c>
      <c r="I156" s="1">
        <v>43493</v>
      </c>
      <c r="J156" t="s">
        <v>1045</v>
      </c>
      <c r="K156" s="5">
        <v>0.54513888888888895</v>
      </c>
      <c r="L156" t="s">
        <v>24</v>
      </c>
      <c r="M156">
        <v>32.387999999999998</v>
      </c>
      <c r="N156">
        <v>9.3000000000000007</v>
      </c>
    </row>
    <row r="157" spans="1:14" x14ac:dyDescent="0.25">
      <c r="A157" t="s">
        <v>186</v>
      </c>
      <c r="B157" t="s">
        <v>13</v>
      </c>
      <c r="C157" t="s">
        <v>14</v>
      </c>
      <c r="D157" t="s">
        <v>15</v>
      </c>
      <c r="E157" t="s">
        <v>26</v>
      </c>
      <c r="F157" t="s">
        <v>39</v>
      </c>
      <c r="G157" t="s">
        <v>1040</v>
      </c>
      <c r="H157" t="s">
        <v>1042</v>
      </c>
      <c r="I157" s="1">
        <v>43516</v>
      </c>
      <c r="J157" t="s">
        <v>1045</v>
      </c>
      <c r="K157" s="5">
        <v>0.66319444444444442</v>
      </c>
      <c r="L157" t="s">
        <v>28</v>
      </c>
      <c r="M157">
        <v>23.072500000000002</v>
      </c>
      <c r="N157">
        <v>9</v>
      </c>
    </row>
    <row r="158" spans="1:14" x14ac:dyDescent="0.25">
      <c r="A158" t="s">
        <v>187</v>
      </c>
      <c r="B158" t="s">
        <v>37</v>
      </c>
      <c r="C158" t="s">
        <v>38</v>
      </c>
      <c r="D158" t="s">
        <v>15</v>
      </c>
      <c r="E158" t="s">
        <v>26</v>
      </c>
      <c r="F158" t="s">
        <v>23</v>
      </c>
      <c r="G158" t="s">
        <v>1040</v>
      </c>
      <c r="H158" t="s">
        <v>1041</v>
      </c>
      <c r="I158" s="1">
        <v>43469</v>
      </c>
      <c r="J158" t="s">
        <v>1046</v>
      </c>
      <c r="K158" s="5">
        <v>0.81944444444444453</v>
      </c>
      <c r="L158" t="s">
        <v>24</v>
      </c>
      <c r="M158">
        <v>3.6084999999999998</v>
      </c>
      <c r="N158">
        <v>6.1</v>
      </c>
    </row>
    <row r="159" spans="1:14" x14ac:dyDescent="0.25">
      <c r="A159" t="s">
        <v>188</v>
      </c>
      <c r="B159" t="s">
        <v>37</v>
      </c>
      <c r="C159" t="s">
        <v>38</v>
      </c>
      <c r="D159" t="s">
        <v>22</v>
      </c>
      <c r="E159" t="s">
        <v>26</v>
      </c>
      <c r="F159" t="s">
        <v>27</v>
      </c>
      <c r="G159" t="s">
        <v>1035</v>
      </c>
      <c r="H159" t="s">
        <v>1043</v>
      </c>
      <c r="I159" s="1">
        <v>43531</v>
      </c>
      <c r="J159" t="s">
        <v>1045</v>
      </c>
      <c r="K159" s="5">
        <v>0.58194444444444449</v>
      </c>
      <c r="L159" t="s">
        <v>18</v>
      </c>
      <c r="M159">
        <v>12.57</v>
      </c>
      <c r="N159">
        <v>9.6999999999999993</v>
      </c>
    </row>
    <row r="160" spans="1:14" x14ac:dyDescent="0.25">
      <c r="A160" t="s">
        <v>189</v>
      </c>
      <c r="B160" t="s">
        <v>37</v>
      </c>
      <c r="C160" t="s">
        <v>38</v>
      </c>
      <c r="D160" t="s">
        <v>15</v>
      </c>
      <c r="E160" t="s">
        <v>26</v>
      </c>
      <c r="F160" t="s">
        <v>17</v>
      </c>
      <c r="G160" t="s">
        <v>1039</v>
      </c>
      <c r="H160" t="s">
        <v>1043</v>
      </c>
      <c r="I160" s="1">
        <v>43554</v>
      </c>
      <c r="J160" t="s">
        <v>1045</v>
      </c>
      <c r="K160" s="5">
        <v>0.61319444444444449</v>
      </c>
      <c r="L160" t="s">
        <v>18</v>
      </c>
      <c r="M160">
        <v>43.749000000000002</v>
      </c>
      <c r="N160">
        <v>6</v>
      </c>
    </row>
    <row r="161" spans="1:14" x14ac:dyDescent="0.25">
      <c r="A161" t="s">
        <v>190</v>
      </c>
      <c r="B161" t="s">
        <v>37</v>
      </c>
      <c r="C161" t="s">
        <v>38</v>
      </c>
      <c r="D161" t="s">
        <v>22</v>
      </c>
      <c r="E161" t="s">
        <v>26</v>
      </c>
      <c r="F161" t="s">
        <v>31</v>
      </c>
      <c r="G161" t="s">
        <v>1038</v>
      </c>
      <c r="H161" t="s">
        <v>1043</v>
      </c>
      <c r="I161" s="1">
        <v>43551</v>
      </c>
      <c r="J161" t="s">
        <v>1046</v>
      </c>
      <c r="K161" s="5">
        <v>0.8041666666666667</v>
      </c>
      <c r="L161" t="s">
        <v>18</v>
      </c>
      <c r="M161">
        <v>28.016999999999999</v>
      </c>
      <c r="N161">
        <v>10</v>
      </c>
    </row>
    <row r="162" spans="1:14" x14ac:dyDescent="0.25">
      <c r="A162" t="s">
        <v>191</v>
      </c>
      <c r="B162" t="s">
        <v>20</v>
      </c>
      <c r="C162" t="s">
        <v>21</v>
      </c>
      <c r="D162" t="s">
        <v>22</v>
      </c>
      <c r="E162" t="s">
        <v>16</v>
      </c>
      <c r="F162" t="s">
        <v>39</v>
      </c>
      <c r="G162" t="s">
        <v>1036</v>
      </c>
      <c r="H162" t="s">
        <v>1041</v>
      </c>
      <c r="I162" s="1">
        <v>43484</v>
      </c>
      <c r="J162" t="s">
        <v>1046</v>
      </c>
      <c r="K162" s="5">
        <v>0.81874999999999998</v>
      </c>
      <c r="L162" t="s">
        <v>28</v>
      </c>
      <c r="M162">
        <v>17.271999999999998</v>
      </c>
      <c r="N162">
        <v>8.3000000000000007</v>
      </c>
    </row>
    <row r="163" spans="1:14" x14ac:dyDescent="0.25">
      <c r="A163" t="s">
        <v>192</v>
      </c>
      <c r="B163" t="s">
        <v>13</v>
      </c>
      <c r="C163" t="s">
        <v>14</v>
      </c>
      <c r="D163" t="s">
        <v>22</v>
      </c>
      <c r="E163" t="s">
        <v>26</v>
      </c>
      <c r="F163" t="s">
        <v>31</v>
      </c>
      <c r="G163" t="s">
        <v>1034</v>
      </c>
      <c r="H163" t="s">
        <v>1042</v>
      </c>
      <c r="I163" s="1">
        <v>43521</v>
      </c>
      <c r="J163" t="s">
        <v>1046</v>
      </c>
      <c r="K163" s="5">
        <v>0.68125000000000002</v>
      </c>
      <c r="L163" t="s">
        <v>24</v>
      </c>
      <c r="M163">
        <v>3.1844999999999999</v>
      </c>
      <c r="N163">
        <v>6</v>
      </c>
    </row>
    <row r="164" spans="1:14" x14ac:dyDescent="0.25">
      <c r="A164" t="s">
        <v>193</v>
      </c>
      <c r="B164" t="s">
        <v>13</v>
      </c>
      <c r="C164" t="s">
        <v>14</v>
      </c>
      <c r="D164" t="s">
        <v>22</v>
      </c>
      <c r="E164" t="s">
        <v>26</v>
      </c>
      <c r="F164" t="s">
        <v>39</v>
      </c>
      <c r="G164" t="s">
        <v>1036</v>
      </c>
      <c r="H164" t="s">
        <v>1043</v>
      </c>
      <c r="I164" s="1">
        <v>43537</v>
      </c>
      <c r="J164" t="s">
        <v>1046</v>
      </c>
      <c r="K164" s="5">
        <v>0.8222222222222223</v>
      </c>
      <c r="L164" t="s">
        <v>28</v>
      </c>
      <c r="M164">
        <v>16.026499999999999</v>
      </c>
      <c r="N164">
        <v>7</v>
      </c>
    </row>
    <row r="165" spans="1:14" x14ac:dyDescent="0.25">
      <c r="A165" t="s">
        <v>194</v>
      </c>
      <c r="B165" t="s">
        <v>20</v>
      </c>
      <c r="C165" t="s">
        <v>21</v>
      </c>
      <c r="D165" t="s">
        <v>22</v>
      </c>
      <c r="E165" t="s">
        <v>26</v>
      </c>
      <c r="F165" t="s">
        <v>31</v>
      </c>
      <c r="G165" t="s">
        <v>1037</v>
      </c>
      <c r="H165" t="s">
        <v>1041</v>
      </c>
      <c r="I165" s="1">
        <v>43495</v>
      </c>
      <c r="J165" t="s">
        <v>1046</v>
      </c>
      <c r="K165" s="5">
        <v>0.8208333333333333</v>
      </c>
      <c r="L165" t="s">
        <v>18</v>
      </c>
      <c r="M165">
        <v>7.64</v>
      </c>
      <c r="N165">
        <v>6.5</v>
      </c>
    </row>
    <row r="166" spans="1:14" x14ac:dyDescent="0.25">
      <c r="A166" t="s">
        <v>195</v>
      </c>
      <c r="B166" t="s">
        <v>37</v>
      </c>
      <c r="C166" t="s">
        <v>38</v>
      </c>
      <c r="D166" t="s">
        <v>22</v>
      </c>
      <c r="E166" t="s">
        <v>26</v>
      </c>
      <c r="F166" t="s">
        <v>39</v>
      </c>
      <c r="G166" t="s">
        <v>1040</v>
      </c>
      <c r="H166" t="s">
        <v>1042</v>
      </c>
      <c r="I166" s="1">
        <v>43516</v>
      </c>
      <c r="J166" t="s">
        <v>1045</v>
      </c>
      <c r="K166" s="5">
        <v>0.64166666666666672</v>
      </c>
      <c r="L166" t="s">
        <v>28</v>
      </c>
      <c r="M166">
        <v>19.95</v>
      </c>
      <c r="N166">
        <v>5.9</v>
      </c>
    </row>
    <row r="167" spans="1:14" x14ac:dyDescent="0.25">
      <c r="A167" t="s">
        <v>196</v>
      </c>
      <c r="B167" t="s">
        <v>37</v>
      </c>
      <c r="C167" t="s">
        <v>38</v>
      </c>
      <c r="D167" t="s">
        <v>15</v>
      </c>
      <c r="E167" t="s">
        <v>26</v>
      </c>
      <c r="F167" t="s">
        <v>17</v>
      </c>
      <c r="G167" t="s">
        <v>1034</v>
      </c>
      <c r="H167" t="s">
        <v>1042</v>
      </c>
      <c r="I167" s="1">
        <v>43521</v>
      </c>
      <c r="J167" t="s">
        <v>1045</v>
      </c>
      <c r="K167" s="5">
        <v>0.59166666666666667</v>
      </c>
      <c r="L167" t="s">
        <v>18</v>
      </c>
      <c r="M167">
        <v>17.027999999999999</v>
      </c>
      <c r="N167">
        <v>5.6</v>
      </c>
    </row>
    <row r="168" spans="1:14" x14ac:dyDescent="0.25">
      <c r="A168" t="s">
        <v>197</v>
      </c>
      <c r="B168" t="s">
        <v>20</v>
      </c>
      <c r="C168" t="s">
        <v>21</v>
      </c>
      <c r="D168" t="s">
        <v>22</v>
      </c>
      <c r="E168" t="s">
        <v>26</v>
      </c>
      <c r="F168" t="s">
        <v>27</v>
      </c>
      <c r="G168" t="s">
        <v>1035</v>
      </c>
      <c r="H168" t="s">
        <v>1041</v>
      </c>
      <c r="I168" s="1">
        <v>43481</v>
      </c>
      <c r="J168" t="s">
        <v>1045</v>
      </c>
      <c r="K168" s="5">
        <v>0.56388888888888888</v>
      </c>
      <c r="L168" t="s">
        <v>24</v>
      </c>
      <c r="M168">
        <v>47.79</v>
      </c>
      <c r="N168">
        <v>4.8</v>
      </c>
    </row>
    <row r="169" spans="1:14" x14ac:dyDescent="0.25">
      <c r="A169" t="s">
        <v>198</v>
      </c>
      <c r="B169" t="s">
        <v>13</v>
      </c>
      <c r="C169" t="s">
        <v>14</v>
      </c>
      <c r="D169" t="s">
        <v>22</v>
      </c>
      <c r="E169" t="s">
        <v>26</v>
      </c>
      <c r="F169" t="s">
        <v>41</v>
      </c>
      <c r="G169" t="s">
        <v>1038</v>
      </c>
      <c r="H169" t="s">
        <v>1042</v>
      </c>
      <c r="I169" s="1">
        <v>43504</v>
      </c>
      <c r="J169" t="s">
        <v>1046</v>
      </c>
      <c r="K169" s="5">
        <v>0.68055555555555547</v>
      </c>
      <c r="L169" t="s">
        <v>28</v>
      </c>
      <c r="M169">
        <v>49.49</v>
      </c>
      <c r="N169">
        <v>8.6999999999999993</v>
      </c>
    </row>
    <row r="170" spans="1:14" x14ac:dyDescent="0.25">
      <c r="A170" t="s">
        <v>199</v>
      </c>
      <c r="B170" t="s">
        <v>13</v>
      </c>
      <c r="C170" t="s">
        <v>14</v>
      </c>
      <c r="D170" t="s">
        <v>22</v>
      </c>
      <c r="E170" t="s">
        <v>26</v>
      </c>
      <c r="F170" t="s">
        <v>39</v>
      </c>
      <c r="G170" t="s">
        <v>1036</v>
      </c>
      <c r="H170" t="s">
        <v>1041</v>
      </c>
      <c r="I170" s="1">
        <v>43484</v>
      </c>
      <c r="J170" t="s">
        <v>1046</v>
      </c>
      <c r="K170" s="5">
        <v>0.68819444444444444</v>
      </c>
      <c r="L170" t="s">
        <v>24</v>
      </c>
      <c r="M170">
        <v>15.384</v>
      </c>
      <c r="N170">
        <v>6.5</v>
      </c>
    </row>
    <row r="171" spans="1:14" x14ac:dyDescent="0.25">
      <c r="A171" t="s">
        <v>200</v>
      </c>
      <c r="B171" t="s">
        <v>13</v>
      </c>
      <c r="C171" t="s">
        <v>14</v>
      </c>
      <c r="D171" t="s">
        <v>15</v>
      </c>
      <c r="E171" t="s">
        <v>26</v>
      </c>
      <c r="F171" t="s">
        <v>31</v>
      </c>
      <c r="G171" t="s">
        <v>1037</v>
      </c>
      <c r="H171" t="s">
        <v>1042</v>
      </c>
      <c r="I171" s="1">
        <v>43497</v>
      </c>
      <c r="J171" t="s">
        <v>1045</v>
      </c>
      <c r="K171" s="5">
        <v>0.63194444444444442</v>
      </c>
      <c r="L171" t="s">
        <v>28</v>
      </c>
      <c r="M171">
        <v>24.332000000000001</v>
      </c>
      <c r="N171">
        <v>8.5</v>
      </c>
    </row>
    <row r="172" spans="1:14" x14ac:dyDescent="0.25">
      <c r="A172" t="s">
        <v>201</v>
      </c>
      <c r="B172" t="s">
        <v>13</v>
      </c>
      <c r="C172" t="s">
        <v>14</v>
      </c>
      <c r="D172" t="s">
        <v>22</v>
      </c>
      <c r="E172" t="s">
        <v>26</v>
      </c>
      <c r="F172" t="s">
        <v>17</v>
      </c>
      <c r="G172" t="s">
        <v>1040</v>
      </c>
      <c r="H172" t="s">
        <v>1041</v>
      </c>
      <c r="I172" s="1">
        <v>43468</v>
      </c>
      <c r="J172" t="s">
        <v>1044</v>
      </c>
      <c r="K172" s="5">
        <v>0.48333333333333334</v>
      </c>
      <c r="L172" t="s">
        <v>18</v>
      </c>
      <c r="M172">
        <v>17.502500000000001</v>
      </c>
      <c r="N172">
        <v>5.5</v>
      </c>
    </row>
    <row r="173" spans="1:14" x14ac:dyDescent="0.25">
      <c r="A173" t="s">
        <v>202</v>
      </c>
      <c r="B173" t="s">
        <v>37</v>
      </c>
      <c r="C173" t="s">
        <v>38</v>
      </c>
      <c r="D173" t="s">
        <v>15</v>
      </c>
      <c r="E173" t="s">
        <v>26</v>
      </c>
      <c r="F173" t="s">
        <v>39</v>
      </c>
      <c r="G173" t="s">
        <v>1037</v>
      </c>
      <c r="H173" t="s">
        <v>1041</v>
      </c>
      <c r="I173" s="1">
        <v>43491</v>
      </c>
      <c r="J173" t="s">
        <v>1045</v>
      </c>
      <c r="K173" s="5">
        <v>0.53125</v>
      </c>
      <c r="L173" t="s">
        <v>28</v>
      </c>
      <c r="M173">
        <v>20.012499999999999</v>
      </c>
      <c r="N173">
        <v>9.4</v>
      </c>
    </row>
    <row r="174" spans="1:14" x14ac:dyDescent="0.25">
      <c r="A174" t="s">
        <v>203</v>
      </c>
      <c r="B174" t="s">
        <v>20</v>
      </c>
      <c r="C174" t="s">
        <v>21</v>
      </c>
      <c r="D174" t="s">
        <v>22</v>
      </c>
      <c r="E174" t="s">
        <v>26</v>
      </c>
      <c r="F174" t="s">
        <v>23</v>
      </c>
      <c r="G174" t="s">
        <v>1035</v>
      </c>
      <c r="H174" t="s">
        <v>1043</v>
      </c>
      <c r="I174" s="1">
        <v>43527</v>
      </c>
      <c r="J174" t="s">
        <v>1046</v>
      </c>
      <c r="K174" s="5">
        <v>0.80347222222222225</v>
      </c>
      <c r="L174" t="s">
        <v>24</v>
      </c>
      <c r="M174">
        <v>8.34</v>
      </c>
      <c r="N174">
        <v>6.3</v>
      </c>
    </row>
    <row r="175" spans="1:14" x14ac:dyDescent="0.25">
      <c r="A175" t="s">
        <v>204</v>
      </c>
      <c r="B175" t="s">
        <v>37</v>
      </c>
      <c r="C175" t="s">
        <v>38</v>
      </c>
      <c r="D175" t="s">
        <v>15</v>
      </c>
      <c r="E175" t="s">
        <v>26</v>
      </c>
      <c r="F175" t="s">
        <v>23</v>
      </c>
      <c r="G175" t="s">
        <v>1036</v>
      </c>
      <c r="H175" t="s">
        <v>1041</v>
      </c>
      <c r="I175" s="1">
        <v>43484</v>
      </c>
      <c r="J175" t="s">
        <v>1046</v>
      </c>
      <c r="K175" s="5">
        <v>0.7319444444444444</v>
      </c>
      <c r="L175" t="s">
        <v>28</v>
      </c>
      <c r="M175">
        <v>15.867000000000001</v>
      </c>
      <c r="N175">
        <v>9.8000000000000007</v>
      </c>
    </row>
    <row r="176" spans="1:14" x14ac:dyDescent="0.25">
      <c r="A176" t="s">
        <v>205</v>
      </c>
      <c r="B176" t="s">
        <v>37</v>
      </c>
      <c r="C176" t="s">
        <v>38</v>
      </c>
      <c r="D176" t="s">
        <v>22</v>
      </c>
      <c r="E176" t="s">
        <v>26</v>
      </c>
      <c r="F176" t="s">
        <v>39</v>
      </c>
      <c r="G176" t="s">
        <v>1035</v>
      </c>
      <c r="H176" t="s">
        <v>1041</v>
      </c>
      <c r="I176" s="1">
        <v>43483</v>
      </c>
      <c r="J176" t="s">
        <v>1045</v>
      </c>
      <c r="K176" s="5">
        <v>0.50277777777777777</v>
      </c>
      <c r="L176" t="s">
        <v>18</v>
      </c>
      <c r="M176">
        <v>7.9160000000000004</v>
      </c>
      <c r="N176">
        <v>8.6999999999999993</v>
      </c>
    </row>
    <row r="177" spans="1:14" x14ac:dyDescent="0.25">
      <c r="A177" t="s">
        <v>206</v>
      </c>
      <c r="B177" t="s">
        <v>13</v>
      </c>
      <c r="C177" t="s">
        <v>14</v>
      </c>
      <c r="D177" t="s">
        <v>15</v>
      </c>
      <c r="E177" t="s">
        <v>26</v>
      </c>
      <c r="F177" t="s">
        <v>27</v>
      </c>
      <c r="G177" t="s">
        <v>1037</v>
      </c>
      <c r="H177" t="s">
        <v>1043</v>
      </c>
      <c r="I177" s="1">
        <v>43545</v>
      </c>
      <c r="J177" t="s">
        <v>1046</v>
      </c>
      <c r="K177" s="5">
        <v>0.68125000000000002</v>
      </c>
      <c r="L177" t="s">
        <v>18</v>
      </c>
      <c r="M177">
        <v>15.228</v>
      </c>
      <c r="N177">
        <v>8.8000000000000007</v>
      </c>
    </row>
    <row r="178" spans="1:14" x14ac:dyDescent="0.25">
      <c r="A178" t="s">
        <v>207</v>
      </c>
      <c r="B178" t="s">
        <v>13</v>
      </c>
      <c r="C178" t="s">
        <v>14</v>
      </c>
      <c r="D178" t="s">
        <v>15</v>
      </c>
      <c r="E178" t="s">
        <v>26</v>
      </c>
      <c r="F178" t="s">
        <v>39</v>
      </c>
      <c r="G178" t="s">
        <v>1035</v>
      </c>
      <c r="H178" t="s">
        <v>1043</v>
      </c>
      <c r="I178" s="1">
        <v>43527</v>
      </c>
      <c r="J178" t="s">
        <v>1046</v>
      </c>
      <c r="K178" s="5">
        <v>0.7090277777777777</v>
      </c>
      <c r="L178" t="s">
        <v>28</v>
      </c>
      <c r="M178">
        <v>8.8680000000000003</v>
      </c>
      <c r="N178">
        <v>9.6</v>
      </c>
    </row>
    <row r="179" spans="1:14" x14ac:dyDescent="0.25">
      <c r="A179" t="s">
        <v>208</v>
      </c>
      <c r="B179" t="s">
        <v>20</v>
      </c>
      <c r="C179" t="s">
        <v>21</v>
      </c>
      <c r="D179" t="s">
        <v>22</v>
      </c>
      <c r="E179" t="s">
        <v>16</v>
      </c>
      <c r="F179" t="s">
        <v>41</v>
      </c>
      <c r="G179" t="s">
        <v>1039</v>
      </c>
      <c r="H179" t="s">
        <v>1042</v>
      </c>
      <c r="I179" s="1">
        <v>43509</v>
      </c>
      <c r="J179" t="s">
        <v>1044</v>
      </c>
      <c r="K179" s="5">
        <v>0.4513888888888889</v>
      </c>
      <c r="L179" t="s">
        <v>28</v>
      </c>
      <c r="M179">
        <v>7.8784999999999998</v>
      </c>
      <c r="N179">
        <v>4.8</v>
      </c>
    </row>
    <row r="180" spans="1:14" x14ac:dyDescent="0.25">
      <c r="A180" t="s">
        <v>209</v>
      </c>
      <c r="B180" t="s">
        <v>13</v>
      </c>
      <c r="C180" t="s">
        <v>14</v>
      </c>
      <c r="D180" t="s">
        <v>22</v>
      </c>
      <c r="E180" t="s">
        <v>26</v>
      </c>
      <c r="F180" t="s">
        <v>39</v>
      </c>
      <c r="G180" t="s">
        <v>1038</v>
      </c>
      <c r="H180" t="s">
        <v>1043</v>
      </c>
      <c r="I180" s="1">
        <v>43547</v>
      </c>
      <c r="J180" t="s">
        <v>1046</v>
      </c>
      <c r="K180" s="5">
        <v>0.8027777777777777</v>
      </c>
      <c r="L180" t="s">
        <v>18</v>
      </c>
      <c r="M180">
        <v>22.164000000000001</v>
      </c>
      <c r="N180">
        <v>4.4000000000000004</v>
      </c>
    </row>
    <row r="181" spans="1:14" x14ac:dyDescent="0.25">
      <c r="A181" t="s">
        <v>210</v>
      </c>
      <c r="B181" t="s">
        <v>20</v>
      </c>
      <c r="C181" t="s">
        <v>21</v>
      </c>
      <c r="D181" t="s">
        <v>15</v>
      </c>
      <c r="E181" t="s">
        <v>26</v>
      </c>
      <c r="F181" t="s">
        <v>17</v>
      </c>
      <c r="G181" t="s">
        <v>1037</v>
      </c>
      <c r="H181" t="s">
        <v>1041</v>
      </c>
      <c r="I181" s="1">
        <v>43493</v>
      </c>
      <c r="J181" t="s">
        <v>1046</v>
      </c>
      <c r="K181" s="5">
        <v>0.69930555555555562</v>
      </c>
      <c r="L181" t="s">
        <v>18</v>
      </c>
      <c r="M181">
        <v>13.02</v>
      </c>
      <c r="N181">
        <v>9.9</v>
      </c>
    </row>
    <row r="182" spans="1:14" x14ac:dyDescent="0.25">
      <c r="A182" t="s">
        <v>211</v>
      </c>
      <c r="B182" t="s">
        <v>20</v>
      </c>
      <c r="C182" t="s">
        <v>21</v>
      </c>
      <c r="D182" t="s">
        <v>22</v>
      </c>
      <c r="E182" t="s">
        <v>26</v>
      </c>
      <c r="F182" t="s">
        <v>41</v>
      </c>
      <c r="G182" t="s">
        <v>1039</v>
      </c>
      <c r="H182" t="s">
        <v>1042</v>
      </c>
      <c r="I182" s="1">
        <v>43505</v>
      </c>
      <c r="J182" t="s">
        <v>1044</v>
      </c>
      <c r="K182" s="5">
        <v>0.41666666666666669</v>
      </c>
      <c r="L182" t="s">
        <v>24</v>
      </c>
      <c r="M182">
        <v>22.491</v>
      </c>
      <c r="N182">
        <v>5.7</v>
      </c>
    </row>
    <row r="183" spans="1:14" x14ac:dyDescent="0.25">
      <c r="A183" t="s">
        <v>212</v>
      </c>
      <c r="B183" t="s">
        <v>20</v>
      </c>
      <c r="C183" t="s">
        <v>21</v>
      </c>
      <c r="D183" t="s">
        <v>15</v>
      </c>
      <c r="E183" t="s">
        <v>26</v>
      </c>
      <c r="F183" t="s">
        <v>39</v>
      </c>
      <c r="G183" t="s">
        <v>1036</v>
      </c>
      <c r="H183" t="s">
        <v>1041</v>
      </c>
      <c r="I183" s="1">
        <v>43488</v>
      </c>
      <c r="J183" t="s">
        <v>1044</v>
      </c>
      <c r="K183" s="5">
        <v>0.49374999999999997</v>
      </c>
      <c r="L183" t="s">
        <v>24</v>
      </c>
      <c r="M183">
        <v>15.388</v>
      </c>
      <c r="N183">
        <v>7.7</v>
      </c>
    </row>
    <row r="184" spans="1:14" x14ac:dyDescent="0.25">
      <c r="A184" t="s">
        <v>213</v>
      </c>
      <c r="B184" t="s">
        <v>13</v>
      </c>
      <c r="C184" t="s">
        <v>14</v>
      </c>
      <c r="D184" t="s">
        <v>15</v>
      </c>
      <c r="E184" t="s">
        <v>26</v>
      </c>
      <c r="F184" t="s">
        <v>31</v>
      </c>
      <c r="G184" t="s">
        <v>1038</v>
      </c>
      <c r="H184" t="s">
        <v>1043</v>
      </c>
      <c r="I184" s="1">
        <v>43547</v>
      </c>
      <c r="J184" t="s">
        <v>1044</v>
      </c>
      <c r="K184" s="5">
        <v>0.4548611111111111</v>
      </c>
      <c r="L184" t="s">
        <v>18</v>
      </c>
      <c r="M184">
        <v>7.75</v>
      </c>
      <c r="N184">
        <v>8</v>
      </c>
    </row>
    <row r="185" spans="1:14" x14ac:dyDescent="0.25">
      <c r="A185" t="s">
        <v>214</v>
      </c>
      <c r="B185" t="s">
        <v>20</v>
      </c>
      <c r="C185" t="s">
        <v>21</v>
      </c>
      <c r="D185" t="s">
        <v>22</v>
      </c>
      <c r="E185" t="s">
        <v>26</v>
      </c>
      <c r="F185" t="s">
        <v>17</v>
      </c>
      <c r="G185" t="s">
        <v>1036</v>
      </c>
      <c r="H185" t="s">
        <v>1041</v>
      </c>
      <c r="I185" s="1">
        <v>43490</v>
      </c>
      <c r="J185" t="s">
        <v>1045</v>
      </c>
      <c r="K185" s="5">
        <v>0.625</v>
      </c>
      <c r="L185" t="s">
        <v>18</v>
      </c>
      <c r="M185">
        <v>13.724</v>
      </c>
      <c r="N185">
        <v>5.7</v>
      </c>
    </row>
    <row r="186" spans="1:14" x14ac:dyDescent="0.25">
      <c r="A186" t="s">
        <v>215</v>
      </c>
      <c r="B186" t="s">
        <v>13</v>
      </c>
      <c r="C186" t="s">
        <v>14</v>
      </c>
      <c r="D186" t="s">
        <v>22</v>
      </c>
      <c r="E186" t="s">
        <v>16</v>
      </c>
      <c r="F186" t="s">
        <v>31</v>
      </c>
      <c r="G186" t="s">
        <v>1035</v>
      </c>
      <c r="H186" t="s">
        <v>1043</v>
      </c>
      <c r="I186" s="1">
        <v>43528</v>
      </c>
      <c r="J186" t="s">
        <v>1044</v>
      </c>
      <c r="K186" s="5">
        <v>0.47152777777777777</v>
      </c>
      <c r="L186" t="s">
        <v>28</v>
      </c>
      <c r="M186">
        <v>4.319</v>
      </c>
      <c r="N186">
        <v>6.7</v>
      </c>
    </row>
    <row r="187" spans="1:14" x14ac:dyDescent="0.25">
      <c r="A187" t="s">
        <v>216</v>
      </c>
      <c r="B187" t="s">
        <v>37</v>
      </c>
      <c r="C187" t="s">
        <v>38</v>
      </c>
      <c r="D187" t="s">
        <v>15</v>
      </c>
      <c r="E187" t="s">
        <v>26</v>
      </c>
      <c r="F187" t="s">
        <v>39</v>
      </c>
      <c r="G187" t="s">
        <v>1035</v>
      </c>
      <c r="H187" t="s">
        <v>1043</v>
      </c>
      <c r="I187" s="1">
        <v>43529</v>
      </c>
      <c r="J187" t="s">
        <v>1046</v>
      </c>
      <c r="K187" s="5">
        <v>0.82361111111111107</v>
      </c>
      <c r="L187" t="s">
        <v>18</v>
      </c>
      <c r="M187">
        <v>2.7120000000000002</v>
      </c>
      <c r="N187">
        <v>8</v>
      </c>
    </row>
    <row r="188" spans="1:14" x14ac:dyDescent="0.25">
      <c r="A188" t="s">
        <v>217</v>
      </c>
      <c r="B188" t="s">
        <v>37</v>
      </c>
      <c r="C188" t="s">
        <v>38</v>
      </c>
      <c r="D188" t="s">
        <v>15</v>
      </c>
      <c r="E188" t="s">
        <v>16</v>
      </c>
      <c r="F188" t="s">
        <v>27</v>
      </c>
      <c r="G188" t="s">
        <v>1035</v>
      </c>
      <c r="H188" t="s">
        <v>1043</v>
      </c>
      <c r="I188" s="1">
        <v>43527</v>
      </c>
      <c r="J188" t="s">
        <v>1046</v>
      </c>
      <c r="K188" s="5">
        <v>0.79166666666666663</v>
      </c>
      <c r="L188" t="s">
        <v>18</v>
      </c>
      <c r="M188">
        <v>37.795999999999999</v>
      </c>
      <c r="N188">
        <v>7.5</v>
      </c>
    </row>
    <row r="189" spans="1:14" x14ac:dyDescent="0.25">
      <c r="A189" t="s">
        <v>218</v>
      </c>
      <c r="B189" t="s">
        <v>37</v>
      </c>
      <c r="C189" t="s">
        <v>38</v>
      </c>
      <c r="D189" t="s">
        <v>15</v>
      </c>
      <c r="E189" t="s">
        <v>26</v>
      </c>
      <c r="F189" t="s">
        <v>27</v>
      </c>
      <c r="G189" t="s">
        <v>1038</v>
      </c>
      <c r="H189" t="s">
        <v>1042</v>
      </c>
      <c r="I189" s="1">
        <v>43504</v>
      </c>
      <c r="J189" t="s">
        <v>1044</v>
      </c>
      <c r="K189" s="5">
        <v>0.45347222222222222</v>
      </c>
      <c r="L189" t="s">
        <v>24</v>
      </c>
      <c r="M189">
        <v>9.2940000000000005</v>
      </c>
      <c r="N189">
        <v>7</v>
      </c>
    </row>
    <row r="190" spans="1:14" x14ac:dyDescent="0.25">
      <c r="A190" t="s">
        <v>219</v>
      </c>
      <c r="B190" t="s">
        <v>13</v>
      </c>
      <c r="C190" t="s">
        <v>14</v>
      </c>
      <c r="D190" t="s">
        <v>22</v>
      </c>
      <c r="E190" t="s">
        <v>26</v>
      </c>
      <c r="F190" t="s">
        <v>27</v>
      </c>
      <c r="G190" t="s">
        <v>1039</v>
      </c>
      <c r="H190" t="s">
        <v>1042</v>
      </c>
      <c r="I190" s="1">
        <v>43506</v>
      </c>
      <c r="J190" t="s">
        <v>1045</v>
      </c>
      <c r="K190" s="5">
        <v>0.53472222222222221</v>
      </c>
      <c r="L190" t="s">
        <v>18</v>
      </c>
      <c r="M190">
        <v>3.7035</v>
      </c>
      <c r="N190">
        <v>9.9</v>
      </c>
    </row>
    <row r="191" spans="1:14" x14ac:dyDescent="0.25">
      <c r="A191" t="s">
        <v>220</v>
      </c>
      <c r="B191" t="s">
        <v>20</v>
      </c>
      <c r="C191" t="s">
        <v>21</v>
      </c>
      <c r="D191" t="s">
        <v>22</v>
      </c>
      <c r="E191" t="s">
        <v>16</v>
      </c>
      <c r="F191" t="s">
        <v>27</v>
      </c>
      <c r="G191" t="s">
        <v>1037</v>
      </c>
      <c r="H191" t="s">
        <v>1041</v>
      </c>
      <c r="I191" s="1">
        <v>43493</v>
      </c>
      <c r="J191" t="s">
        <v>1046</v>
      </c>
      <c r="K191" s="5">
        <v>0.86805555555555547</v>
      </c>
      <c r="L191" t="s">
        <v>28</v>
      </c>
      <c r="M191">
        <v>13.962</v>
      </c>
      <c r="N191">
        <v>5.9</v>
      </c>
    </row>
    <row r="192" spans="1:14" x14ac:dyDescent="0.25">
      <c r="A192" t="s">
        <v>221</v>
      </c>
      <c r="B192" t="s">
        <v>37</v>
      </c>
      <c r="C192" t="s">
        <v>38</v>
      </c>
      <c r="D192" t="s">
        <v>22</v>
      </c>
      <c r="E192" t="s">
        <v>16</v>
      </c>
      <c r="F192" t="s">
        <v>27</v>
      </c>
      <c r="G192" t="s">
        <v>1039</v>
      </c>
      <c r="H192" t="s">
        <v>1042</v>
      </c>
      <c r="I192" s="1">
        <v>43507</v>
      </c>
      <c r="J192" t="s">
        <v>1044</v>
      </c>
      <c r="K192" s="5">
        <v>0.44375000000000003</v>
      </c>
      <c r="L192" t="s">
        <v>28</v>
      </c>
      <c r="M192">
        <v>11.555999999999999</v>
      </c>
      <c r="N192">
        <v>7.2</v>
      </c>
    </row>
    <row r="193" spans="1:14" x14ac:dyDescent="0.25">
      <c r="A193" t="s">
        <v>222</v>
      </c>
      <c r="B193" t="s">
        <v>37</v>
      </c>
      <c r="C193" t="s">
        <v>38</v>
      </c>
      <c r="D193" t="s">
        <v>22</v>
      </c>
      <c r="E193" t="s">
        <v>16</v>
      </c>
      <c r="F193" t="s">
        <v>41</v>
      </c>
      <c r="G193" t="s">
        <v>1035</v>
      </c>
      <c r="H193" t="s">
        <v>1041</v>
      </c>
      <c r="I193" s="1">
        <v>43480</v>
      </c>
      <c r="J193" t="s">
        <v>1045</v>
      </c>
      <c r="K193" s="5">
        <v>0.57013888888888886</v>
      </c>
      <c r="L193" t="s">
        <v>18</v>
      </c>
      <c r="M193">
        <v>7.3520000000000003</v>
      </c>
      <c r="N193">
        <v>4.5999999999999996</v>
      </c>
    </row>
    <row r="194" spans="1:14" x14ac:dyDescent="0.25">
      <c r="A194" t="s">
        <v>223</v>
      </c>
      <c r="B194" t="s">
        <v>20</v>
      </c>
      <c r="C194" t="s">
        <v>21</v>
      </c>
      <c r="D194" t="s">
        <v>22</v>
      </c>
      <c r="E194" t="s">
        <v>16</v>
      </c>
      <c r="F194" t="s">
        <v>39</v>
      </c>
      <c r="G194" t="s">
        <v>1037</v>
      </c>
      <c r="H194" t="s">
        <v>1043</v>
      </c>
      <c r="I194" s="1">
        <v>43540</v>
      </c>
      <c r="J194" t="s">
        <v>1046</v>
      </c>
      <c r="K194" s="5">
        <v>0.79722222222222217</v>
      </c>
      <c r="L194" t="s">
        <v>24</v>
      </c>
      <c r="M194">
        <v>39.51</v>
      </c>
      <c r="N194">
        <v>9.1999999999999993</v>
      </c>
    </row>
    <row r="195" spans="1:14" x14ac:dyDescent="0.25">
      <c r="A195" t="s">
        <v>224</v>
      </c>
      <c r="B195" t="s">
        <v>37</v>
      </c>
      <c r="C195" t="s">
        <v>38</v>
      </c>
      <c r="D195" t="s">
        <v>22</v>
      </c>
      <c r="E195" t="s">
        <v>26</v>
      </c>
      <c r="F195" t="s">
        <v>27</v>
      </c>
      <c r="G195" t="s">
        <v>1037</v>
      </c>
      <c r="H195" t="s">
        <v>1041</v>
      </c>
      <c r="I195" s="1">
        <v>43491</v>
      </c>
      <c r="J195" t="s">
        <v>1046</v>
      </c>
      <c r="K195" s="5">
        <v>0.84930555555555554</v>
      </c>
      <c r="L195" t="s">
        <v>18</v>
      </c>
      <c r="M195">
        <v>5.1100000000000003</v>
      </c>
      <c r="N195">
        <v>5.7</v>
      </c>
    </row>
    <row r="196" spans="1:14" x14ac:dyDescent="0.25">
      <c r="A196" t="s">
        <v>225</v>
      </c>
      <c r="B196" t="s">
        <v>13</v>
      </c>
      <c r="C196" t="s">
        <v>14</v>
      </c>
      <c r="D196" t="s">
        <v>22</v>
      </c>
      <c r="E196" t="s">
        <v>26</v>
      </c>
      <c r="F196" t="s">
        <v>23</v>
      </c>
      <c r="G196" t="s">
        <v>1037</v>
      </c>
      <c r="H196" t="s">
        <v>1043</v>
      </c>
      <c r="I196" s="1">
        <v>43543</v>
      </c>
      <c r="J196" t="s">
        <v>1044</v>
      </c>
      <c r="K196" s="5">
        <v>0.47916666666666669</v>
      </c>
      <c r="L196" t="s">
        <v>28</v>
      </c>
      <c r="M196">
        <v>8.1775000000000002</v>
      </c>
      <c r="N196">
        <v>9.9</v>
      </c>
    </row>
    <row r="197" spans="1:14" x14ac:dyDescent="0.25">
      <c r="A197" t="s">
        <v>226</v>
      </c>
      <c r="B197" t="s">
        <v>20</v>
      </c>
      <c r="C197" t="s">
        <v>21</v>
      </c>
      <c r="D197" t="s">
        <v>15</v>
      </c>
      <c r="E197" t="s">
        <v>16</v>
      </c>
      <c r="F197" t="s">
        <v>41</v>
      </c>
      <c r="G197" t="s">
        <v>1035</v>
      </c>
      <c r="H197" t="s">
        <v>1041</v>
      </c>
      <c r="I197" s="1">
        <v>43478</v>
      </c>
      <c r="J197" t="s">
        <v>1046</v>
      </c>
      <c r="K197" s="5">
        <v>0.8125</v>
      </c>
      <c r="L197" t="s">
        <v>24</v>
      </c>
      <c r="M197">
        <v>3.7145000000000001</v>
      </c>
      <c r="N197">
        <v>5</v>
      </c>
    </row>
    <row r="198" spans="1:14" x14ac:dyDescent="0.25">
      <c r="A198" t="s">
        <v>227</v>
      </c>
      <c r="B198" t="s">
        <v>20</v>
      </c>
      <c r="C198" t="s">
        <v>21</v>
      </c>
      <c r="D198" t="s">
        <v>15</v>
      </c>
      <c r="E198" t="s">
        <v>26</v>
      </c>
      <c r="F198" t="s">
        <v>17</v>
      </c>
      <c r="G198" t="s">
        <v>1038</v>
      </c>
      <c r="H198" t="s">
        <v>1043</v>
      </c>
      <c r="I198" s="1">
        <v>43550</v>
      </c>
      <c r="J198" t="s">
        <v>1046</v>
      </c>
      <c r="K198" s="5">
        <v>0.75208333333333333</v>
      </c>
      <c r="L198" t="s">
        <v>24</v>
      </c>
      <c r="M198">
        <v>4.37</v>
      </c>
      <c r="N198">
        <v>4.9000000000000004</v>
      </c>
    </row>
    <row r="199" spans="1:14" x14ac:dyDescent="0.25">
      <c r="A199" t="s">
        <v>228</v>
      </c>
      <c r="B199" t="s">
        <v>13</v>
      </c>
      <c r="C199" t="s">
        <v>14</v>
      </c>
      <c r="D199" t="s">
        <v>22</v>
      </c>
      <c r="E199" t="s">
        <v>16</v>
      </c>
      <c r="F199" t="s">
        <v>27</v>
      </c>
      <c r="G199" t="s">
        <v>1038</v>
      </c>
      <c r="H199" t="s">
        <v>1043</v>
      </c>
      <c r="I199" s="1">
        <v>43547</v>
      </c>
      <c r="J199" t="s">
        <v>1044</v>
      </c>
      <c r="K199" s="5">
        <v>0.42569444444444443</v>
      </c>
      <c r="L199" t="s">
        <v>18</v>
      </c>
      <c r="M199">
        <v>1.2645</v>
      </c>
      <c r="N199">
        <v>6.1</v>
      </c>
    </row>
    <row r="200" spans="1:14" x14ac:dyDescent="0.25">
      <c r="A200" t="s">
        <v>229</v>
      </c>
      <c r="B200" t="s">
        <v>20</v>
      </c>
      <c r="C200" t="s">
        <v>21</v>
      </c>
      <c r="D200" t="s">
        <v>22</v>
      </c>
      <c r="E200" t="s">
        <v>26</v>
      </c>
      <c r="F200" t="s">
        <v>17</v>
      </c>
      <c r="G200" t="s">
        <v>1036</v>
      </c>
      <c r="H200" t="s">
        <v>1043</v>
      </c>
      <c r="I200" s="1">
        <v>43536</v>
      </c>
      <c r="J200" t="s">
        <v>1046</v>
      </c>
      <c r="K200" s="5">
        <v>0.83194444444444438</v>
      </c>
      <c r="L200" t="s">
        <v>28</v>
      </c>
      <c r="M200">
        <v>8.3000000000000007</v>
      </c>
      <c r="N200">
        <v>8.1999999999999993</v>
      </c>
    </row>
    <row r="201" spans="1:14" x14ac:dyDescent="0.25">
      <c r="A201" t="s">
        <v>230</v>
      </c>
      <c r="B201" t="s">
        <v>20</v>
      </c>
      <c r="C201" t="s">
        <v>21</v>
      </c>
      <c r="D201" t="s">
        <v>15</v>
      </c>
      <c r="E201" t="s">
        <v>16</v>
      </c>
      <c r="F201" t="s">
        <v>39</v>
      </c>
      <c r="G201" t="s">
        <v>1040</v>
      </c>
      <c r="H201" t="s">
        <v>1042</v>
      </c>
      <c r="I201" s="1">
        <v>43513</v>
      </c>
      <c r="J201" t="s">
        <v>1046</v>
      </c>
      <c r="K201" s="5">
        <v>0.83124999999999993</v>
      </c>
      <c r="L201" t="s">
        <v>28</v>
      </c>
      <c r="M201">
        <v>17.8475</v>
      </c>
      <c r="N201">
        <v>5.5</v>
      </c>
    </row>
    <row r="202" spans="1:14" x14ac:dyDescent="0.25">
      <c r="A202" t="s">
        <v>231</v>
      </c>
      <c r="B202" t="s">
        <v>20</v>
      </c>
      <c r="C202" t="s">
        <v>21</v>
      </c>
      <c r="D202" t="s">
        <v>15</v>
      </c>
      <c r="E202" t="s">
        <v>16</v>
      </c>
      <c r="F202" t="s">
        <v>31</v>
      </c>
      <c r="G202" t="s">
        <v>1037</v>
      </c>
      <c r="H202" t="s">
        <v>1041</v>
      </c>
      <c r="I202" s="1">
        <v>43494</v>
      </c>
      <c r="J202" t="s">
        <v>1044</v>
      </c>
      <c r="K202" s="5">
        <v>0.41736111111111113</v>
      </c>
      <c r="L202" t="s">
        <v>28</v>
      </c>
      <c r="M202">
        <v>5.7450000000000001</v>
      </c>
      <c r="N202">
        <v>6.8</v>
      </c>
    </row>
    <row r="203" spans="1:14" x14ac:dyDescent="0.25">
      <c r="A203" t="s">
        <v>232</v>
      </c>
      <c r="B203" t="s">
        <v>37</v>
      </c>
      <c r="C203" t="s">
        <v>38</v>
      </c>
      <c r="D203" t="s">
        <v>15</v>
      </c>
      <c r="E203" t="s">
        <v>16</v>
      </c>
      <c r="F203" t="s">
        <v>23</v>
      </c>
      <c r="G203" t="s">
        <v>1036</v>
      </c>
      <c r="H203" t="s">
        <v>1043</v>
      </c>
      <c r="I203" s="1">
        <v>43539</v>
      </c>
      <c r="J203" t="s">
        <v>1044</v>
      </c>
      <c r="K203" s="5">
        <v>0.49791666666666662</v>
      </c>
      <c r="L203" t="s">
        <v>24</v>
      </c>
      <c r="M203">
        <v>11.497999999999999</v>
      </c>
      <c r="N203">
        <v>6.6</v>
      </c>
    </row>
    <row r="204" spans="1:14" x14ac:dyDescent="0.25">
      <c r="A204" t="s">
        <v>233</v>
      </c>
      <c r="B204" t="s">
        <v>20</v>
      </c>
      <c r="C204" t="s">
        <v>21</v>
      </c>
      <c r="D204" t="s">
        <v>22</v>
      </c>
      <c r="E204" t="s">
        <v>26</v>
      </c>
      <c r="F204" t="s">
        <v>23</v>
      </c>
      <c r="G204" t="s">
        <v>1035</v>
      </c>
      <c r="H204" t="s">
        <v>1041</v>
      </c>
      <c r="I204" s="1">
        <v>43479</v>
      </c>
      <c r="J204" t="s">
        <v>1044</v>
      </c>
      <c r="K204" s="5">
        <v>0.41805555555555557</v>
      </c>
      <c r="L204" t="s">
        <v>24</v>
      </c>
      <c r="M204">
        <v>21.493500000000001</v>
      </c>
      <c r="N204">
        <v>9.8000000000000007</v>
      </c>
    </row>
    <row r="205" spans="1:14" x14ac:dyDescent="0.25">
      <c r="A205" t="s">
        <v>234</v>
      </c>
      <c r="B205" t="s">
        <v>37</v>
      </c>
      <c r="C205" t="s">
        <v>38</v>
      </c>
      <c r="D205" t="s">
        <v>15</v>
      </c>
      <c r="E205" t="s">
        <v>26</v>
      </c>
      <c r="F205" t="s">
        <v>17</v>
      </c>
      <c r="G205" t="s">
        <v>1038</v>
      </c>
      <c r="H205" t="s">
        <v>1042</v>
      </c>
      <c r="I205" s="1">
        <v>43502</v>
      </c>
      <c r="J205" t="s">
        <v>1045</v>
      </c>
      <c r="K205" s="5">
        <v>0.61875000000000002</v>
      </c>
      <c r="L205" t="s">
        <v>18</v>
      </c>
      <c r="M205">
        <v>12.95</v>
      </c>
      <c r="N205">
        <v>8.6999999999999993</v>
      </c>
    </row>
    <row r="206" spans="1:14" x14ac:dyDescent="0.25">
      <c r="A206" t="s">
        <v>235</v>
      </c>
      <c r="B206" t="s">
        <v>37</v>
      </c>
      <c r="C206" t="s">
        <v>38</v>
      </c>
      <c r="D206" t="s">
        <v>15</v>
      </c>
      <c r="E206" t="s">
        <v>26</v>
      </c>
      <c r="F206" t="s">
        <v>27</v>
      </c>
      <c r="G206" t="s">
        <v>1039</v>
      </c>
      <c r="H206" t="s">
        <v>1042</v>
      </c>
      <c r="I206" s="1">
        <v>43511</v>
      </c>
      <c r="J206" t="s">
        <v>1045</v>
      </c>
      <c r="K206" s="5">
        <v>0.52916666666666667</v>
      </c>
      <c r="L206" t="s">
        <v>28</v>
      </c>
      <c r="M206">
        <v>4.4424999999999999</v>
      </c>
      <c r="N206">
        <v>5.4</v>
      </c>
    </row>
    <row r="207" spans="1:14" x14ac:dyDescent="0.25">
      <c r="A207" t="s">
        <v>236</v>
      </c>
      <c r="B207" t="s">
        <v>13</v>
      </c>
      <c r="C207" t="s">
        <v>14</v>
      </c>
      <c r="D207" t="s">
        <v>22</v>
      </c>
      <c r="E207" t="s">
        <v>16</v>
      </c>
      <c r="F207" t="s">
        <v>17</v>
      </c>
      <c r="G207" t="s">
        <v>1040</v>
      </c>
      <c r="H207" t="s">
        <v>1041</v>
      </c>
      <c r="I207" s="1">
        <v>43468</v>
      </c>
      <c r="J207" t="s">
        <v>1045</v>
      </c>
      <c r="K207" s="5">
        <v>0.50138888888888888</v>
      </c>
      <c r="L207" t="s">
        <v>18</v>
      </c>
      <c r="M207">
        <v>10.3635</v>
      </c>
      <c r="N207">
        <v>7.9</v>
      </c>
    </row>
    <row r="208" spans="1:14" x14ac:dyDescent="0.25">
      <c r="A208" t="s">
        <v>237</v>
      </c>
      <c r="B208" t="s">
        <v>20</v>
      </c>
      <c r="C208" t="s">
        <v>21</v>
      </c>
      <c r="D208" t="s">
        <v>15</v>
      </c>
      <c r="E208" t="s">
        <v>16</v>
      </c>
      <c r="F208" t="s">
        <v>23</v>
      </c>
      <c r="G208" t="s">
        <v>1040</v>
      </c>
      <c r="H208" t="s">
        <v>1041</v>
      </c>
      <c r="I208" s="1">
        <v>43469</v>
      </c>
      <c r="J208" t="s">
        <v>1046</v>
      </c>
      <c r="K208" s="5">
        <v>0.7631944444444444</v>
      </c>
      <c r="L208" t="s">
        <v>28</v>
      </c>
      <c r="M208">
        <v>29.9925</v>
      </c>
      <c r="N208">
        <v>9.6999999999999993</v>
      </c>
    </row>
    <row r="209" spans="1:14" x14ac:dyDescent="0.25">
      <c r="A209" t="s">
        <v>238</v>
      </c>
      <c r="B209" t="s">
        <v>20</v>
      </c>
      <c r="C209" t="s">
        <v>21</v>
      </c>
      <c r="D209" t="s">
        <v>15</v>
      </c>
      <c r="E209" t="s">
        <v>16</v>
      </c>
      <c r="F209" t="s">
        <v>27</v>
      </c>
      <c r="G209" t="s">
        <v>1037</v>
      </c>
      <c r="H209" t="s">
        <v>1043</v>
      </c>
      <c r="I209" s="1">
        <v>43542</v>
      </c>
      <c r="J209" t="s">
        <v>1046</v>
      </c>
      <c r="K209" s="5">
        <v>0.73472222222222217</v>
      </c>
      <c r="L209" t="s">
        <v>18</v>
      </c>
      <c r="M209">
        <v>14.265000000000001</v>
      </c>
      <c r="N209">
        <v>7.8</v>
      </c>
    </row>
    <row r="210" spans="1:14" x14ac:dyDescent="0.25">
      <c r="A210" t="s">
        <v>239</v>
      </c>
      <c r="B210" t="s">
        <v>37</v>
      </c>
      <c r="C210" t="s">
        <v>38</v>
      </c>
      <c r="D210" t="s">
        <v>22</v>
      </c>
      <c r="E210" t="s">
        <v>16</v>
      </c>
      <c r="F210" t="s">
        <v>41</v>
      </c>
      <c r="G210" t="s">
        <v>1038</v>
      </c>
      <c r="H210" t="s">
        <v>1043</v>
      </c>
      <c r="I210" s="1">
        <v>43552</v>
      </c>
      <c r="J210" t="s">
        <v>1045</v>
      </c>
      <c r="K210" s="5">
        <v>0.57013888888888886</v>
      </c>
      <c r="L210" t="s">
        <v>18</v>
      </c>
      <c r="M210">
        <v>4.5555000000000003</v>
      </c>
      <c r="N210">
        <v>5.0999999999999996</v>
      </c>
    </row>
    <row r="211" spans="1:14" x14ac:dyDescent="0.25">
      <c r="A211" t="s">
        <v>240</v>
      </c>
      <c r="B211" t="s">
        <v>37</v>
      </c>
      <c r="C211" t="s">
        <v>38</v>
      </c>
      <c r="D211" t="s">
        <v>22</v>
      </c>
      <c r="E211" t="s">
        <v>16</v>
      </c>
      <c r="F211" t="s">
        <v>23</v>
      </c>
      <c r="G211" t="s">
        <v>1035</v>
      </c>
      <c r="H211" t="s">
        <v>1043</v>
      </c>
      <c r="I211" s="1">
        <v>43526</v>
      </c>
      <c r="J211" t="s">
        <v>1046</v>
      </c>
      <c r="K211" s="5">
        <v>0.8208333333333333</v>
      </c>
      <c r="L211" t="s">
        <v>28</v>
      </c>
      <c r="M211">
        <v>44.878500000000003</v>
      </c>
      <c r="N211">
        <v>6.5</v>
      </c>
    </row>
    <row r="212" spans="1:14" x14ac:dyDescent="0.25">
      <c r="A212" t="s">
        <v>241</v>
      </c>
      <c r="B212" t="s">
        <v>13</v>
      </c>
      <c r="C212" t="s">
        <v>14</v>
      </c>
      <c r="D212" t="s">
        <v>22</v>
      </c>
      <c r="E212" t="s">
        <v>26</v>
      </c>
      <c r="F212" t="s">
        <v>23</v>
      </c>
      <c r="G212" t="s">
        <v>1036</v>
      </c>
      <c r="H212" t="s">
        <v>1041</v>
      </c>
      <c r="I212" s="1">
        <v>43490</v>
      </c>
      <c r="J212" t="s">
        <v>1046</v>
      </c>
      <c r="K212" s="5">
        <v>0.85</v>
      </c>
      <c r="L212" t="s">
        <v>18</v>
      </c>
      <c r="M212">
        <v>11.8035</v>
      </c>
      <c r="N212">
        <v>5.9</v>
      </c>
    </row>
    <row r="213" spans="1:14" x14ac:dyDescent="0.25">
      <c r="A213" t="s">
        <v>242</v>
      </c>
      <c r="B213" t="s">
        <v>20</v>
      </c>
      <c r="C213" t="s">
        <v>21</v>
      </c>
      <c r="D213" t="s">
        <v>22</v>
      </c>
      <c r="E213" t="s">
        <v>16</v>
      </c>
      <c r="F213" t="s">
        <v>39</v>
      </c>
      <c r="G213" t="s">
        <v>1035</v>
      </c>
      <c r="H213" t="s">
        <v>1041</v>
      </c>
      <c r="I213" s="1">
        <v>43481</v>
      </c>
      <c r="J213" t="s">
        <v>1046</v>
      </c>
      <c r="K213" s="5">
        <v>0.75555555555555554</v>
      </c>
      <c r="L213" t="s">
        <v>24</v>
      </c>
      <c r="M213">
        <v>41.966999999999999</v>
      </c>
      <c r="N213">
        <v>8.8000000000000007</v>
      </c>
    </row>
    <row r="214" spans="1:14" x14ac:dyDescent="0.25">
      <c r="A214" t="s">
        <v>243</v>
      </c>
      <c r="B214" t="s">
        <v>37</v>
      </c>
      <c r="C214" t="s">
        <v>38</v>
      </c>
      <c r="D214" t="s">
        <v>22</v>
      </c>
      <c r="E214" t="s">
        <v>26</v>
      </c>
      <c r="F214" t="s">
        <v>27</v>
      </c>
      <c r="G214" t="s">
        <v>1037</v>
      </c>
      <c r="H214" t="s">
        <v>1043</v>
      </c>
      <c r="I214" s="1">
        <v>43544</v>
      </c>
      <c r="J214" t="s">
        <v>1046</v>
      </c>
      <c r="K214" s="5">
        <v>0.80347222222222225</v>
      </c>
      <c r="L214" t="s">
        <v>18</v>
      </c>
      <c r="M214">
        <v>23.09</v>
      </c>
      <c r="N214">
        <v>4.9000000000000004</v>
      </c>
    </row>
    <row r="215" spans="1:14" x14ac:dyDescent="0.25">
      <c r="A215" t="s">
        <v>244</v>
      </c>
      <c r="B215" t="s">
        <v>37</v>
      </c>
      <c r="C215" t="s">
        <v>38</v>
      </c>
      <c r="D215" t="s">
        <v>22</v>
      </c>
      <c r="E215" t="s">
        <v>26</v>
      </c>
      <c r="F215" t="s">
        <v>31</v>
      </c>
      <c r="G215" t="s">
        <v>1040</v>
      </c>
      <c r="H215" t="s">
        <v>1041</v>
      </c>
      <c r="I215" s="1">
        <v>43469</v>
      </c>
      <c r="J215" t="s">
        <v>1045</v>
      </c>
      <c r="K215" s="5">
        <v>0.55833333333333335</v>
      </c>
      <c r="L215" t="s">
        <v>28</v>
      </c>
      <c r="M215">
        <v>6.9630000000000001</v>
      </c>
      <c r="N215">
        <v>4.4000000000000004</v>
      </c>
    </row>
    <row r="216" spans="1:14" x14ac:dyDescent="0.25">
      <c r="A216" t="s">
        <v>245</v>
      </c>
      <c r="B216" t="s">
        <v>37</v>
      </c>
      <c r="C216" t="s">
        <v>38</v>
      </c>
      <c r="D216" t="s">
        <v>15</v>
      </c>
      <c r="E216" t="s">
        <v>16</v>
      </c>
      <c r="F216" t="s">
        <v>31</v>
      </c>
      <c r="G216" t="s">
        <v>1036</v>
      </c>
      <c r="H216" t="s">
        <v>1043</v>
      </c>
      <c r="I216" s="1">
        <v>43535</v>
      </c>
      <c r="J216" t="s">
        <v>1045</v>
      </c>
      <c r="K216" s="5">
        <v>0.66180555555555554</v>
      </c>
      <c r="L216" t="s">
        <v>24</v>
      </c>
      <c r="M216">
        <v>10.3635</v>
      </c>
      <c r="N216">
        <v>6.5</v>
      </c>
    </row>
    <row r="217" spans="1:14" x14ac:dyDescent="0.25">
      <c r="A217" t="s">
        <v>246</v>
      </c>
      <c r="B217" t="s">
        <v>13</v>
      </c>
      <c r="C217" t="s">
        <v>14</v>
      </c>
      <c r="D217" t="s">
        <v>22</v>
      </c>
      <c r="E217" t="s">
        <v>26</v>
      </c>
      <c r="F217" t="s">
        <v>27</v>
      </c>
      <c r="G217" t="s">
        <v>1037</v>
      </c>
      <c r="H217" t="s">
        <v>1043</v>
      </c>
      <c r="I217" s="1">
        <v>43546</v>
      </c>
      <c r="J217" t="s">
        <v>1045</v>
      </c>
      <c r="K217" s="5">
        <v>0.62847222222222221</v>
      </c>
      <c r="L217" t="s">
        <v>28</v>
      </c>
      <c r="M217">
        <v>0.91400000000000003</v>
      </c>
      <c r="N217">
        <v>8.3000000000000007</v>
      </c>
    </row>
    <row r="218" spans="1:14" x14ac:dyDescent="0.25">
      <c r="A218" t="s">
        <v>247</v>
      </c>
      <c r="B218" t="s">
        <v>37</v>
      </c>
      <c r="C218" t="s">
        <v>38</v>
      </c>
      <c r="D218" t="s">
        <v>22</v>
      </c>
      <c r="E218" t="s">
        <v>16</v>
      </c>
      <c r="F218" t="s">
        <v>31</v>
      </c>
      <c r="G218" t="s">
        <v>1038</v>
      </c>
      <c r="H218" t="s">
        <v>1043</v>
      </c>
      <c r="I218" s="1">
        <v>43548</v>
      </c>
      <c r="J218" t="s">
        <v>1046</v>
      </c>
      <c r="K218" s="5">
        <v>0.76874999999999993</v>
      </c>
      <c r="L218" t="s">
        <v>24</v>
      </c>
      <c r="M218">
        <v>6.1924999999999999</v>
      </c>
      <c r="N218">
        <v>8.5</v>
      </c>
    </row>
    <row r="219" spans="1:14" x14ac:dyDescent="0.25">
      <c r="A219" t="s">
        <v>248</v>
      </c>
      <c r="B219" t="s">
        <v>13</v>
      </c>
      <c r="C219" t="s">
        <v>14</v>
      </c>
      <c r="D219" t="s">
        <v>15</v>
      </c>
      <c r="E219" t="s">
        <v>16</v>
      </c>
      <c r="F219" t="s">
        <v>23</v>
      </c>
      <c r="G219" t="s">
        <v>1040</v>
      </c>
      <c r="H219" t="s">
        <v>1042</v>
      </c>
      <c r="I219" s="1">
        <v>43517</v>
      </c>
      <c r="J219" t="s">
        <v>1046</v>
      </c>
      <c r="K219" s="5">
        <v>0.70486111111111116</v>
      </c>
      <c r="L219" t="s">
        <v>24</v>
      </c>
      <c r="M219">
        <v>14.196</v>
      </c>
      <c r="N219">
        <v>5.5</v>
      </c>
    </row>
    <row r="220" spans="1:14" x14ac:dyDescent="0.25">
      <c r="A220" t="s">
        <v>249</v>
      </c>
      <c r="B220" t="s">
        <v>37</v>
      </c>
      <c r="C220" t="s">
        <v>38</v>
      </c>
      <c r="D220" t="s">
        <v>22</v>
      </c>
      <c r="E220" t="s">
        <v>26</v>
      </c>
      <c r="F220" t="s">
        <v>41</v>
      </c>
      <c r="G220" t="s">
        <v>1039</v>
      </c>
      <c r="H220" t="s">
        <v>1042</v>
      </c>
      <c r="I220" s="1">
        <v>43508</v>
      </c>
      <c r="J220" t="s">
        <v>1045</v>
      </c>
      <c r="K220" s="5">
        <v>0.54027777777777775</v>
      </c>
      <c r="L220" t="s">
        <v>18</v>
      </c>
      <c r="M220">
        <v>37.948</v>
      </c>
      <c r="N220">
        <v>8.6999999999999993</v>
      </c>
    </row>
    <row r="221" spans="1:14" x14ac:dyDescent="0.25">
      <c r="A221" t="s">
        <v>250</v>
      </c>
      <c r="B221" t="s">
        <v>37</v>
      </c>
      <c r="C221" t="s">
        <v>38</v>
      </c>
      <c r="D221" t="s">
        <v>22</v>
      </c>
      <c r="E221" t="s">
        <v>16</v>
      </c>
      <c r="F221" t="s">
        <v>39</v>
      </c>
      <c r="G221" t="s">
        <v>1036</v>
      </c>
      <c r="H221" t="s">
        <v>1043</v>
      </c>
      <c r="I221" s="1">
        <v>43534</v>
      </c>
      <c r="J221" t="s">
        <v>1046</v>
      </c>
      <c r="K221" s="5">
        <v>0.7909722222222223</v>
      </c>
      <c r="L221" t="s">
        <v>28</v>
      </c>
      <c r="M221">
        <v>8.6010000000000009</v>
      </c>
      <c r="N221">
        <v>7.9</v>
      </c>
    </row>
    <row r="222" spans="1:14" x14ac:dyDescent="0.25">
      <c r="A222" t="s">
        <v>251</v>
      </c>
      <c r="B222" t="s">
        <v>37</v>
      </c>
      <c r="C222" t="s">
        <v>38</v>
      </c>
      <c r="D222" t="s">
        <v>22</v>
      </c>
      <c r="E222" t="s">
        <v>26</v>
      </c>
      <c r="F222" t="s">
        <v>23</v>
      </c>
      <c r="G222" t="s">
        <v>1037</v>
      </c>
      <c r="H222" t="s">
        <v>1041</v>
      </c>
      <c r="I222" s="1">
        <v>43496</v>
      </c>
      <c r="J222" t="s">
        <v>1045</v>
      </c>
      <c r="K222" s="5">
        <v>0.57222222222222219</v>
      </c>
      <c r="L222" t="s">
        <v>18</v>
      </c>
      <c r="M222">
        <v>13.605</v>
      </c>
      <c r="N222">
        <v>6.1</v>
      </c>
    </row>
    <row r="223" spans="1:14" x14ac:dyDescent="0.25">
      <c r="A223" t="s">
        <v>252</v>
      </c>
      <c r="B223" t="s">
        <v>37</v>
      </c>
      <c r="C223" t="s">
        <v>38</v>
      </c>
      <c r="D223" t="s">
        <v>22</v>
      </c>
      <c r="E223" t="s">
        <v>26</v>
      </c>
      <c r="F223" t="s">
        <v>39</v>
      </c>
      <c r="G223" t="s">
        <v>1035</v>
      </c>
      <c r="H223" t="s">
        <v>1043</v>
      </c>
      <c r="I223" s="1">
        <v>43530</v>
      </c>
      <c r="J223" t="s">
        <v>1045</v>
      </c>
      <c r="K223" s="5">
        <v>0.57361111111111118</v>
      </c>
      <c r="L223" t="s">
        <v>18</v>
      </c>
      <c r="M223">
        <v>21.728000000000002</v>
      </c>
      <c r="N223">
        <v>5.4</v>
      </c>
    </row>
    <row r="224" spans="1:14" x14ac:dyDescent="0.25">
      <c r="A224" t="s">
        <v>253</v>
      </c>
      <c r="B224" t="s">
        <v>20</v>
      </c>
      <c r="C224" t="s">
        <v>21</v>
      </c>
      <c r="D224" t="s">
        <v>22</v>
      </c>
      <c r="E224" t="s">
        <v>26</v>
      </c>
      <c r="F224" t="s">
        <v>23</v>
      </c>
      <c r="G224" t="s">
        <v>1040</v>
      </c>
      <c r="H224" t="s">
        <v>1042</v>
      </c>
      <c r="I224" s="1">
        <v>43513</v>
      </c>
      <c r="J224" t="s">
        <v>1046</v>
      </c>
      <c r="K224" s="5">
        <v>0.75416666666666676</v>
      </c>
      <c r="L224" t="s">
        <v>24</v>
      </c>
      <c r="M224">
        <v>2.9525000000000001</v>
      </c>
      <c r="N224">
        <v>9.4</v>
      </c>
    </row>
    <row r="225" spans="1:14" x14ac:dyDescent="0.25">
      <c r="A225" t="s">
        <v>254</v>
      </c>
      <c r="B225" t="s">
        <v>20</v>
      </c>
      <c r="C225" t="s">
        <v>21</v>
      </c>
      <c r="D225" t="s">
        <v>15</v>
      </c>
      <c r="E225" t="s">
        <v>16</v>
      </c>
      <c r="F225" t="s">
        <v>41</v>
      </c>
      <c r="G225" t="s">
        <v>1040</v>
      </c>
      <c r="H225" t="s">
        <v>1042</v>
      </c>
      <c r="I225" s="1">
        <v>43517</v>
      </c>
      <c r="J225" t="s">
        <v>1045</v>
      </c>
      <c r="K225" s="5">
        <v>0.52638888888888891</v>
      </c>
      <c r="L225" t="s">
        <v>24</v>
      </c>
      <c r="M225">
        <v>0.627</v>
      </c>
      <c r="N225">
        <v>8.1999999999999993</v>
      </c>
    </row>
    <row r="226" spans="1:14" x14ac:dyDescent="0.25">
      <c r="A226" t="s">
        <v>255</v>
      </c>
      <c r="B226" t="s">
        <v>13</v>
      </c>
      <c r="C226" t="s">
        <v>14</v>
      </c>
      <c r="D226" t="s">
        <v>22</v>
      </c>
      <c r="E226" t="s">
        <v>26</v>
      </c>
      <c r="F226" t="s">
        <v>39</v>
      </c>
      <c r="G226" t="s">
        <v>1037</v>
      </c>
      <c r="H226" t="s">
        <v>1043</v>
      </c>
      <c r="I226" s="1">
        <v>43544</v>
      </c>
      <c r="J226" t="s">
        <v>1045</v>
      </c>
      <c r="K226" s="5">
        <v>0.66388888888888886</v>
      </c>
      <c r="L226" t="s">
        <v>24</v>
      </c>
      <c r="M226">
        <v>4.3250000000000002</v>
      </c>
      <c r="N226">
        <v>6.2</v>
      </c>
    </row>
    <row r="227" spans="1:14" x14ac:dyDescent="0.25">
      <c r="A227" t="s">
        <v>256</v>
      </c>
      <c r="B227" t="s">
        <v>20</v>
      </c>
      <c r="C227" t="s">
        <v>21</v>
      </c>
      <c r="D227" t="s">
        <v>15</v>
      </c>
      <c r="E227" t="s">
        <v>16</v>
      </c>
      <c r="F227" t="s">
        <v>31</v>
      </c>
      <c r="G227" t="s">
        <v>1034</v>
      </c>
      <c r="H227" t="s">
        <v>1041</v>
      </c>
      <c r="I227" s="1">
        <v>43476</v>
      </c>
      <c r="J227" t="s">
        <v>1045</v>
      </c>
      <c r="K227" s="5">
        <v>0.60347222222222219</v>
      </c>
      <c r="L227" t="s">
        <v>28</v>
      </c>
      <c r="M227">
        <v>8.7159999999999993</v>
      </c>
      <c r="N227">
        <v>9.6999999999999993</v>
      </c>
    </row>
    <row r="228" spans="1:14" x14ac:dyDescent="0.25">
      <c r="A228" t="s">
        <v>257</v>
      </c>
      <c r="B228" t="s">
        <v>37</v>
      </c>
      <c r="C228" t="s">
        <v>38</v>
      </c>
      <c r="D228" t="s">
        <v>15</v>
      </c>
      <c r="E228" t="s">
        <v>26</v>
      </c>
      <c r="F228" t="s">
        <v>17</v>
      </c>
      <c r="G228" t="s">
        <v>1037</v>
      </c>
      <c r="H228" t="s">
        <v>1041</v>
      </c>
      <c r="I228" s="1">
        <v>43491</v>
      </c>
      <c r="J228" t="s">
        <v>1046</v>
      </c>
      <c r="K228" s="5">
        <v>0.80138888888888893</v>
      </c>
      <c r="L228" t="s">
        <v>18</v>
      </c>
      <c r="M228">
        <v>31.2165</v>
      </c>
      <c r="N228">
        <v>4</v>
      </c>
    </row>
    <row r="229" spans="1:14" x14ac:dyDescent="0.25">
      <c r="A229" t="s">
        <v>258</v>
      </c>
      <c r="B229" t="s">
        <v>20</v>
      </c>
      <c r="C229" t="s">
        <v>21</v>
      </c>
      <c r="D229" t="s">
        <v>15</v>
      </c>
      <c r="E229" t="s">
        <v>26</v>
      </c>
      <c r="F229" t="s">
        <v>23</v>
      </c>
      <c r="G229" t="s">
        <v>1037</v>
      </c>
      <c r="H229" t="s">
        <v>1041</v>
      </c>
      <c r="I229" s="1">
        <v>43496</v>
      </c>
      <c r="J229" t="s">
        <v>1046</v>
      </c>
      <c r="K229" s="5">
        <v>0.68333333333333324</v>
      </c>
      <c r="L229" t="s">
        <v>18</v>
      </c>
      <c r="M229">
        <v>7.4119999999999999</v>
      </c>
      <c r="N229">
        <v>9.6999999999999993</v>
      </c>
    </row>
    <row r="230" spans="1:14" x14ac:dyDescent="0.25">
      <c r="A230" t="s">
        <v>259</v>
      </c>
      <c r="B230" t="s">
        <v>37</v>
      </c>
      <c r="C230" t="s">
        <v>38</v>
      </c>
      <c r="D230" t="s">
        <v>15</v>
      </c>
      <c r="E230" t="s">
        <v>16</v>
      </c>
      <c r="F230" t="s">
        <v>23</v>
      </c>
      <c r="G230" t="s">
        <v>1034</v>
      </c>
      <c r="H230" t="s">
        <v>1042</v>
      </c>
      <c r="I230" s="1">
        <v>43522</v>
      </c>
      <c r="J230" t="s">
        <v>1044</v>
      </c>
      <c r="K230" s="5">
        <v>0.45277777777777778</v>
      </c>
      <c r="L230" t="s">
        <v>24</v>
      </c>
      <c r="M230">
        <v>27.21</v>
      </c>
      <c r="N230">
        <v>5.3</v>
      </c>
    </row>
    <row r="231" spans="1:14" x14ac:dyDescent="0.25">
      <c r="A231" t="s">
        <v>260</v>
      </c>
      <c r="B231" t="s">
        <v>13</v>
      </c>
      <c r="C231" t="s">
        <v>14</v>
      </c>
      <c r="D231" t="s">
        <v>22</v>
      </c>
      <c r="E231" t="s">
        <v>16</v>
      </c>
      <c r="F231" t="s">
        <v>27</v>
      </c>
      <c r="G231" t="s">
        <v>1036</v>
      </c>
      <c r="H231" t="s">
        <v>1043</v>
      </c>
      <c r="I231" s="1">
        <v>43535</v>
      </c>
      <c r="J231" t="s">
        <v>1045</v>
      </c>
      <c r="K231" s="5">
        <v>0.53819444444444442</v>
      </c>
      <c r="L231" t="s">
        <v>18</v>
      </c>
      <c r="M231">
        <v>25.367999999999999</v>
      </c>
      <c r="N231">
        <v>7.4</v>
      </c>
    </row>
    <row r="232" spans="1:14" x14ac:dyDescent="0.25">
      <c r="A232" t="s">
        <v>261</v>
      </c>
      <c r="B232" t="s">
        <v>37</v>
      </c>
      <c r="C232" t="s">
        <v>38</v>
      </c>
      <c r="D232" t="s">
        <v>22</v>
      </c>
      <c r="E232" t="s">
        <v>16</v>
      </c>
      <c r="F232" t="s">
        <v>41</v>
      </c>
      <c r="G232" t="s">
        <v>1037</v>
      </c>
      <c r="H232" t="s">
        <v>1041</v>
      </c>
      <c r="I232" s="1">
        <v>43491</v>
      </c>
      <c r="J232" t="s">
        <v>1046</v>
      </c>
      <c r="K232" s="5">
        <v>0.81111111111111101</v>
      </c>
      <c r="L232" t="s">
        <v>24</v>
      </c>
      <c r="M232">
        <v>8.1370000000000005</v>
      </c>
      <c r="N232">
        <v>6.5</v>
      </c>
    </row>
    <row r="233" spans="1:14" x14ac:dyDescent="0.25">
      <c r="A233" t="s">
        <v>262</v>
      </c>
      <c r="B233" t="s">
        <v>37</v>
      </c>
      <c r="C233" t="s">
        <v>38</v>
      </c>
      <c r="D233" t="s">
        <v>15</v>
      </c>
      <c r="E233" t="s">
        <v>16</v>
      </c>
      <c r="F233" t="s">
        <v>23</v>
      </c>
      <c r="G233" t="s">
        <v>1036</v>
      </c>
      <c r="H233" t="s">
        <v>1043</v>
      </c>
      <c r="I233" s="1">
        <v>43536</v>
      </c>
      <c r="J233" t="s">
        <v>1045</v>
      </c>
      <c r="K233" s="5">
        <v>0.57777777777777783</v>
      </c>
      <c r="L233" t="s">
        <v>28</v>
      </c>
      <c r="M233">
        <v>1.5885</v>
      </c>
      <c r="N233">
        <v>8.6999999999999993</v>
      </c>
    </row>
    <row r="234" spans="1:14" x14ac:dyDescent="0.25">
      <c r="A234" t="s">
        <v>263</v>
      </c>
      <c r="B234" t="s">
        <v>37</v>
      </c>
      <c r="C234" t="s">
        <v>38</v>
      </c>
      <c r="D234" t="s">
        <v>22</v>
      </c>
      <c r="E234" t="s">
        <v>16</v>
      </c>
      <c r="F234" t="s">
        <v>17</v>
      </c>
      <c r="G234" t="s">
        <v>1039</v>
      </c>
      <c r="H234" t="s">
        <v>1042</v>
      </c>
      <c r="I234" s="1">
        <v>43507</v>
      </c>
      <c r="J234" t="s">
        <v>1044</v>
      </c>
      <c r="K234" s="5">
        <v>0.45416666666666666</v>
      </c>
      <c r="L234" t="s">
        <v>24</v>
      </c>
      <c r="M234">
        <v>37.840499999999999</v>
      </c>
      <c r="N234">
        <v>8</v>
      </c>
    </row>
    <row r="235" spans="1:14" x14ac:dyDescent="0.25">
      <c r="A235" t="s">
        <v>264</v>
      </c>
      <c r="B235" t="s">
        <v>37</v>
      </c>
      <c r="C235" t="s">
        <v>38</v>
      </c>
      <c r="D235" t="s">
        <v>15</v>
      </c>
      <c r="E235" t="s">
        <v>26</v>
      </c>
      <c r="F235" t="s">
        <v>41</v>
      </c>
      <c r="G235" t="s">
        <v>1040</v>
      </c>
      <c r="H235" t="s">
        <v>1042</v>
      </c>
      <c r="I235" s="1">
        <v>43517</v>
      </c>
      <c r="J235" t="s">
        <v>1046</v>
      </c>
      <c r="K235" s="5">
        <v>0.7715277777777777</v>
      </c>
      <c r="L235" t="s">
        <v>24</v>
      </c>
      <c r="M235">
        <v>14.763999999999999</v>
      </c>
      <c r="N235">
        <v>6.7</v>
      </c>
    </row>
    <row r="236" spans="1:14" x14ac:dyDescent="0.25">
      <c r="A236" t="s">
        <v>265</v>
      </c>
      <c r="B236" t="s">
        <v>13</v>
      </c>
      <c r="C236" t="s">
        <v>14</v>
      </c>
      <c r="D236" t="s">
        <v>15</v>
      </c>
      <c r="E236" t="s">
        <v>26</v>
      </c>
      <c r="F236" t="s">
        <v>17</v>
      </c>
      <c r="G236" t="s">
        <v>1036</v>
      </c>
      <c r="H236" t="s">
        <v>1043</v>
      </c>
      <c r="I236" s="1">
        <v>43533</v>
      </c>
      <c r="J236" t="s">
        <v>1046</v>
      </c>
      <c r="K236" s="5">
        <v>0.76666666666666661</v>
      </c>
      <c r="L236" t="s">
        <v>18</v>
      </c>
      <c r="M236">
        <v>25.97</v>
      </c>
      <c r="N236">
        <v>6.5</v>
      </c>
    </row>
    <row r="237" spans="1:14" x14ac:dyDescent="0.25">
      <c r="A237" t="s">
        <v>266</v>
      </c>
      <c r="B237" t="s">
        <v>13</v>
      </c>
      <c r="C237" t="s">
        <v>14</v>
      </c>
      <c r="D237" t="s">
        <v>22</v>
      </c>
      <c r="E237" t="s">
        <v>16</v>
      </c>
      <c r="F237" t="s">
        <v>31</v>
      </c>
      <c r="G237" t="s">
        <v>1036</v>
      </c>
      <c r="H237" t="s">
        <v>1041</v>
      </c>
      <c r="I237" s="1">
        <v>43485</v>
      </c>
      <c r="J237" t="s">
        <v>1046</v>
      </c>
      <c r="K237" s="5">
        <v>0.75624999999999998</v>
      </c>
      <c r="L237" t="s">
        <v>18</v>
      </c>
      <c r="M237">
        <v>9.3140000000000001</v>
      </c>
      <c r="N237">
        <v>4.0999999999999996</v>
      </c>
    </row>
    <row r="238" spans="1:14" x14ac:dyDescent="0.25">
      <c r="A238" t="s">
        <v>267</v>
      </c>
      <c r="B238" t="s">
        <v>20</v>
      </c>
      <c r="C238" t="s">
        <v>21</v>
      </c>
      <c r="D238" t="s">
        <v>22</v>
      </c>
      <c r="E238" t="s">
        <v>26</v>
      </c>
      <c r="F238" t="s">
        <v>17</v>
      </c>
      <c r="G238" t="s">
        <v>1037</v>
      </c>
      <c r="H238" t="s">
        <v>1041</v>
      </c>
      <c r="I238" s="1">
        <v>43493</v>
      </c>
      <c r="J238" t="s">
        <v>1045</v>
      </c>
      <c r="K238" s="5">
        <v>0.63611111111111118</v>
      </c>
      <c r="L238" t="s">
        <v>28</v>
      </c>
      <c r="M238">
        <v>4.3525</v>
      </c>
      <c r="N238">
        <v>4.9000000000000004</v>
      </c>
    </row>
    <row r="239" spans="1:14" x14ac:dyDescent="0.25">
      <c r="A239" t="s">
        <v>268</v>
      </c>
      <c r="B239" t="s">
        <v>20</v>
      </c>
      <c r="C239" t="s">
        <v>21</v>
      </c>
      <c r="D239" t="s">
        <v>15</v>
      </c>
      <c r="E239" t="s">
        <v>16</v>
      </c>
      <c r="F239" t="s">
        <v>41</v>
      </c>
      <c r="G239" t="s">
        <v>1035</v>
      </c>
      <c r="H239" t="s">
        <v>1043</v>
      </c>
      <c r="I239" s="1">
        <v>43529</v>
      </c>
      <c r="J239" t="s">
        <v>1046</v>
      </c>
      <c r="K239" s="5">
        <v>0.71319444444444446</v>
      </c>
      <c r="L239" t="s">
        <v>28</v>
      </c>
      <c r="M239">
        <v>11.055</v>
      </c>
      <c r="N239">
        <v>8.6</v>
      </c>
    </row>
    <row r="240" spans="1:14" x14ac:dyDescent="0.25">
      <c r="A240" t="s">
        <v>269</v>
      </c>
      <c r="B240" t="s">
        <v>37</v>
      </c>
      <c r="C240" t="s">
        <v>38</v>
      </c>
      <c r="D240" t="s">
        <v>15</v>
      </c>
      <c r="E240" t="s">
        <v>16</v>
      </c>
      <c r="F240" t="s">
        <v>23</v>
      </c>
      <c r="G240" t="s">
        <v>1035</v>
      </c>
      <c r="H240" t="s">
        <v>1043</v>
      </c>
      <c r="I240" s="1">
        <v>43526</v>
      </c>
      <c r="J240" t="s">
        <v>1046</v>
      </c>
      <c r="K240" s="5">
        <v>0.80972222222222223</v>
      </c>
      <c r="L240" t="s">
        <v>24</v>
      </c>
      <c r="M240">
        <v>3.3050000000000002</v>
      </c>
      <c r="N240">
        <v>4.3</v>
      </c>
    </row>
    <row r="241" spans="1:14" x14ac:dyDescent="0.25">
      <c r="A241" t="s">
        <v>270</v>
      </c>
      <c r="B241" t="s">
        <v>13</v>
      </c>
      <c r="C241" t="s">
        <v>14</v>
      </c>
      <c r="D241" t="s">
        <v>22</v>
      </c>
      <c r="E241" t="s">
        <v>26</v>
      </c>
      <c r="F241" t="s">
        <v>41</v>
      </c>
      <c r="G241" t="s">
        <v>1034</v>
      </c>
      <c r="H241" t="s">
        <v>1041</v>
      </c>
      <c r="I241" s="1">
        <v>43476</v>
      </c>
      <c r="J241" t="s">
        <v>1044</v>
      </c>
      <c r="K241" s="5">
        <v>0.47222222222222227</v>
      </c>
      <c r="L241" t="s">
        <v>18</v>
      </c>
      <c r="M241">
        <v>4.4844999999999997</v>
      </c>
      <c r="N241">
        <v>4.9000000000000004</v>
      </c>
    </row>
    <row r="242" spans="1:14" x14ac:dyDescent="0.25">
      <c r="A242" t="s">
        <v>271</v>
      </c>
      <c r="B242" t="s">
        <v>13</v>
      </c>
      <c r="C242" t="s">
        <v>14</v>
      </c>
      <c r="D242" t="s">
        <v>22</v>
      </c>
      <c r="E242" t="s">
        <v>26</v>
      </c>
      <c r="F242" t="s">
        <v>39</v>
      </c>
      <c r="G242" t="s">
        <v>1034</v>
      </c>
      <c r="H242" t="s">
        <v>1041</v>
      </c>
      <c r="I242" s="1">
        <v>43476</v>
      </c>
      <c r="J242" t="s">
        <v>1046</v>
      </c>
      <c r="K242" s="5">
        <v>0.7006944444444444</v>
      </c>
      <c r="L242" t="s">
        <v>28</v>
      </c>
      <c r="M242">
        <v>11.223000000000001</v>
      </c>
      <c r="N242">
        <v>5.6</v>
      </c>
    </row>
    <row r="243" spans="1:14" x14ac:dyDescent="0.25">
      <c r="A243" t="s">
        <v>272</v>
      </c>
      <c r="B243" t="s">
        <v>13</v>
      </c>
      <c r="C243" t="s">
        <v>14</v>
      </c>
      <c r="D243" t="s">
        <v>22</v>
      </c>
      <c r="E243" t="s">
        <v>26</v>
      </c>
      <c r="F243" t="s">
        <v>17</v>
      </c>
      <c r="G243" t="s">
        <v>1036</v>
      </c>
      <c r="H243" t="s">
        <v>1043</v>
      </c>
      <c r="I243" s="1">
        <v>43535</v>
      </c>
      <c r="J243" t="s">
        <v>1045</v>
      </c>
      <c r="K243" s="5">
        <v>0.50069444444444444</v>
      </c>
      <c r="L243" t="s">
        <v>28</v>
      </c>
      <c r="M243">
        <v>5.9770000000000003</v>
      </c>
      <c r="N243">
        <v>5.8</v>
      </c>
    </row>
    <row r="244" spans="1:14" x14ac:dyDescent="0.25">
      <c r="A244" t="s">
        <v>273</v>
      </c>
      <c r="B244" t="s">
        <v>20</v>
      </c>
      <c r="C244" t="s">
        <v>21</v>
      </c>
      <c r="D244" t="s">
        <v>15</v>
      </c>
      <c r="E244" t="s">
        <v>26</v>
      </c>
      <c r="F244" t="s">
        <v>41</v>
      </c>
      <c r="G244" t="s">
        <v>1034</v>
      </c>
      <c r="H244" t="s">
        <v>1042</v>
      </c>
      <c r="I244" s="1">
        <v>43524</v>
      </c>
      <c r="J244" t="s">
        <v>1046</v>
      </c>
      <c r="K244" s="5">
        <v>0.77569444444444446</v>
      </c>
      <c r="L244" t="s">
        <v>28</v>
      </c>
      <c r="M244">
        <v>9.32</v>
      </c>
      <c r="N244">
        <v>6</v>
      </c>
    </row>
    <row r="245" spans="1:14" x14ac:dyDescent="0.25">
      <c r="A245" t="s">
        <v>274</v>
      </c>
      <c r="B245" t="s">
        <v>13</v>
      </c>
      <c r="C245" t="s">
        <v>14</v>
      </c>
      <c r="D245" t="s">
        <v>15</v>
      </c>
      <c r="E245" t="s">
        <v>26</v>
      </c>
      <c r="F245" t="s">
        <v>27</v>
      </c>
      <c r="G245" t="s">
        <v>1034</v>
      </c>
      <c r="H245" t="s">
        <v>1041</v>
      </c>
      <c r="I245" s="1">
        <v>43470</v>
      </c>
      <c r="J245" t="s">
        <v>1044</v>
      </c>
      <c r="K245" s="5">
        <v>0.47569444444444442</v>
      </c>
      <c r="L245" t="s">
        <v>24</v>
      </c>
      <c r="M245">
        <v>12.53</v>
      </c>
      <c r="N245">
        <v>4.2</v>
      </c>
    </row>
    <row r="246" spans="1:14" x14ac:dyDescent="0.25">
      <c r="A246" t="s">
        <v>275</v>
      </c>
      <c r="B246" t="s">
        <v>37</v>
      </c>
      <c r="C246" t="s">
        <v>38</v>
      </c>
      <c r="D246" t="s">
        <v>22</v>
      </c>
      <c r="E246" t="s">
        <v>26</v>
      </c>
      <c r="F246" t="s">
        <v>27</v>
      </c>
      <c r="G246" t="s">
        <v>1038</v>
      </c>
      <c r="H246" t="s">
        <v>1042</v>
      </c>
      <c r="I246" s="1">
        <v>43498</v>
      </c>
      <c r="J246" t="s">
        <v>1046</v>
      </c>
      <c r="K246" s="5">
        <v>0.77916666666666667</v>
      </c>
      <c r="L246" t="s">
        <v>28</v>
      </c>
      <c r="M246">
        <v>37.548000000000002</v>
      </c>
      <c r="N246">
        <v>8.3000000000000007</v>
      </c>
    </row>
    <row r="247" spans="1:14" x14ac:dyDescent="0.25">
      <c r="A247" t="s">
        <v>276</v>
      </c>
      <c r="B247" t="s">
        <v>13</v>
      </c>
      <c r="C247" t="s">
        <v>14</v>
      </c>
      <c r="D247" t="s">
        <v>15</v>
      </c>
      <c r="E247" t="s">
        <v>26</v>
      </c>
      <c r="F247" t="s">
        <v>27</v>
      </c>
      <c r="G247" t="s">
        <v>1040</v>
      </c>
      <c r="H247" t="s">
        <v>1041</v>
      </c>
      <c r="I247" s="1">
        <v>43466</v>
      </c>
      <c r="J247" t="s">
        <v>1045</v>
      </c>
      <c r="K247" s="5">
        <v>0.61597222222222225</v>
      </c>
      <c r="L247" t="s">
        <v>24</v>
      </c>
      <c r="M247">
        <v>19.036000000000001</v>
      </c>
      <c r="N247">
        <v>5.7</v>
      </c>
    </row>
    <row r="248" spans="1:14" x14ac:dyDescent="0.25">
      <c r="A248" t="s">
        <v>277</v>
      </c>
      <c r="B248" t="s">
        <v>37</v>
      </c>
      <c r="C248" t="s">
        <v>38</v>
      </c>
      <c r="D248" t="s">
        <v>15</v>
      </c>
      <c r="E248" t="s">
        <v>16</v>
      </c>
      <c r="F248" t="s">
        <v>23</v>
      </c>
      <c r="G248" t="s">
        <v>1039</v>
      </c>
      <c r="H248" t="s">
        <v>1042</v>
      </c>
      <c r="I248" s="1">
        <v>43505</v>
      </c>
      <c r="J248" t="s">
        <v>1046</v>
      </c>
      <c r="K248" s="5">
        <v>0.82152777777777775</v>
      </c>
      <c r="L248" t="s">
        <v>24</v>
      </c>
      <c r="M248">
        <v>12.21</v>
      </c>
      <c r="N248">
        <v>4.8</v>
      </c>
    </row>
    <row r="249" spans="1:14" x14ac:dyDescent="0.25">
      <c r="A249" t="s">
        <v>278</v>
      </c>
      <c r="B249" t="s">
        <v>13</v>
      </c>
      <c r="C249" t="s">
        <v>14</v>
      </c>
      <c r="D249" t="s">
        <v>15</v>
      </c>
      <c r="E249" t="s">
        <v>26</v>
      </c>
      <c r="F249" t="s">
        <v>41</v>
      </c>
      <c r="G249" t="s">
        <v>1036</v>
      </c>
      <c r="H249" t="s">
        <v>1041</v>
      </c>
      <c r="I249" s="1">
        <v>43488</v>
      </c>
      <c r="J249" t="s">
        <v>1045</v>
      </c>
      <c r="K249" s="5">
        <v>0.58611111111111114</v>
      </c>
      <c r="L249" t="s">
        <v>18</v>
      </c>
      <c r="M249">
        <v>4.4850000000000003</v>
      </c>
      <c r="N249">
        <v>6.8</v>
      </c>
    </row>
    <row r="250" spans="1:14" x14ac:dyDescent="0.25">
      <c r="A250" t="s">
        <v>279</v>
      </c>
      <c r="B250" t="s">
        <v>13</v>
      </c>
      <c r="C250" t="s">
        <v>14</v>
      </c>
      <c r="D250" t="s">
        <v>15</v>
      </c>
      <c r="E250" t="s">
        <v>26</v>
      </c>
      <c r="F250" t="s">
        <v>23</v>
      </c>
      <c r="G250" t="s">
        <v>1034</v>
      </c>
      <c r="H250" t="s">
        <v>1041</v>
      </c>
      <c r="I250" s="1">
        <v>43472</v>
      </c>
      <c r="J250" t="s">
        <v>1046</v>
      </c>
      <c r="K250" s="5">
        <v>0.6743055555555556</v>
      </c>
      <c r="L250" t="s">
        <v>28</v>
      </c>
      <c r="M250">
        <v>15.544</v>
      </c>
      <c r="N250">
        <v>8.8000000000000007</v>
      </c>
    </row>
    <row r="251" spans="1:14" x14ac:dyDescent="0.25">
      <c r="A251" t="s">
        <v>280</v>
      </c>
      <c r="B251" t="s">
        <v>37</v>
      </c>
      <c r="C251" t="s">
        <v>38</v>
      </c>
      <c r="D251" t="s">
        <v>22</v>
      </c>
      <c r="E251" t="s">
        <v>26</v>
      </c>
      <c r="F251" t="s">
        <v>39</v>
      </c>
      <c r="G251" t="s">
        <v>1035</v>
      </c>
      <c r="H251" t="s">
        <v>1041</v>
      </c>
      <c r="I251" s="1">
        <v>43479</v>
      </c>
      <c r="J251" t="s">
        <v>1046</v>
      </c>
      <c r="K251" s="5">
        <v>0.79583333333333339</v>
      </c>
      <c r="L251" t="s">
        <v>28</v>
      </c>
      <c r="M251">
        <v>25.571000000000002</v>
      </c>
      <c r="N251">
        <v>4.2</v>
      </c>
    </row>
    <row r="252" spans="1:14" x14ac:dyDescent="0.25">
      <c r="A252" t="s">
        <v>281</v>
      </c>
      <c r="B252" t="s">
        <v>37</v>
      </c>
      <c r="C252" t="s">
        <v>38</v>
      </c>
      <c r="D252" t="s">
        <v>15</v>
      </c>
      <c r="E252" t="s">
        <v>26</v>
      </c>
      <c r="F252" t="s">
        <v>39</v>
      </c>
      <c r="G252" t="s">
        <v>1038</v>
      </c>
      <c r="H252" t="s">
        <v>1042</v>
      </c>
      <c r="I252" s="1">
        <v>43498</v>
      </c>
      <c r="J252" t="s">
        <v>1045</v>
      </c>
      <c r="K252" s="5">
        <v>0.64861111111111114</v>
      </c>
      <c r="L252" t="s">
        <v>18</v>
      </c>
      <c r="M252">
        <v>20.947500000000002</v>
      </c>
      <c r="N252">
        <v>6.4</v>
      </c>
    </row>
    <row r="253" spans="1:14" x14ac:dyDescent="0.25">
      <c r="A253" t="s">
        <v>282</v>
      </c>
      <c r="B253" t="s">
        <v>20</v>
      </c>
      <c r="C253" t="s">
        <v>21</v>
      </c>
      <c r="D253" t="s">
        <v>15</v>
      </c>
      <c r="E253" t="s">
        <v>26</v>
      </c>
      <c r="F253" t="s">
        <v>41</v>
      </c>
      <c r="G253" t="s">
        <v>1037</v>
      </c>
      <c r="H253" t="s">
        <v>1043</v>
      </c>
      <c r="I253" s="1">
        <v>43541</v>
      </c>
      <c r="J253" t="s">
        <v>1046</v>
      </c>
      <c r="K253" s="5">
        <v>0.79583333333333339</v>
      </c>
      <c r="L253" t="s">
        <v>28</v>
      </c>
      <c r="M253">
        <v>17.594999999999999</v>
      </c>
      <c r="N253">
        <v>8.4</v>
      </c>
    </row>
    <row r="254" spans="1:14" x14ac:dyDescent="0.25">
      <c r="A254" t="s">
        <v>283</v>
      </c>
      <c r="B254" t="s">
        <v>20</v>
      </c>
      <c r="C254" t="s">
        <v>21</v>
      </c>
      <c r="D254" t="s">
        <v>22</v>
      </c>
      <c r="E254" t="s">
        <v>16</v>
      </c>
      <c r="F254" t="s">
        <v>31</v>
      </c>
      <c r="G254" t="s">
        <v>1035</v>
      </c>
      <c r="H254" t="s">
        <v>1043</v>
      </c>
      <c r="I254" s="1">
        <v>43526</v>
      </c>
      <c r="J254" t="s">
        <v>1046</v>
      </c>
      <c r="K254" s="5">
        <v>0.8222222222222223</v>
      </c>
      <c r="L254" t="s">
        <v>28</v>
      </c>
      <c r="M254">
        <v>1.4390000000000001</v>
      </c>
      <c r="N254">
        <v>7.2</v>
      </c>
    </row>
    <row r="255" spans="1:14" x14ac:dyDescent="0.25">
      <c r="A255" t="s">
        <v>284</v>
      </c>
      <c r="B255" t="s">
        <v>13</v>
      </c>
      <c r="C255" t="s">
        <v>14</v>
      </c>
      <c r="D255" t="s">
        <v>22</v>
      </c>
      <c r="E255" t="s">
        <v>26</v>
      </c>
      <c r="F255" t="s">
        <v>27</v>
      </c>
      <c r="G255" t="s">
        <v>1037</v>
      </c>
      <c r="H255" t="s">
        <v>1043</v>
      </c>
      <c r="I255" s="1">
        <v>43540</v>
      </c>
      <c r="J255" t="s">
        <v>1044</v>
      </c>
      <c r="K255" s="5">
        <v>0.47361111111111115</v>
      </c>
      <c r="L255" t="s">
        <v>24</v>
      </c>
      <c r="M255">
        <v>4.75</v>
      </c>
      <c r="N255">
        <v>5.2</v>
      </c>
    </row>
    <row r="256" spans="1:14" x14ac:dyDescent="0.25">
      <c r="A256" t="s">
        <v>285</v>
      </c>
      <c r="B256" t="s">
        <v>13</v>
      </c>
      <c r="C256" t="s">
        <v>14</v>
      </c>
      <c r="D256" t="s">
        <v>15</v>
      </c>
      <c r="E256" t="s">
        <v>26</v>
      </c>
      <c r="F256" t="s">
        <v>27</v>
      </c>
      <c r="G256" t="s">
        <v>1034</v>
      </c>
      <c r="H256" t="s">
        <v>1041</v>
      </c>
      <c r="I256" s="1">
        <v>43471</v>
      </c>
      <c r="J256" t="s">
        <v>1044</v>
      </c>
      <c r="K256" s="5">
        <v>0.47430555555555554</v>
      </c>
      <c r="L256" t="s">
        <v>24</v>
      </c>
      <c r="M256">
        <v>23.56</v>
      </c>
      <c r="N256">
        <v>8.9</v>
      </c>
    </row>
    <row r="257" spans="1:14" x14ac:dyDescent="0.25">
      <c r="A257" t="s">
        <v>286</v>
      </c>
      <c r="B257" t="s">
        <v>37</v>
      </c>
      <c r="C257" t="s">
        <v>38</v>
      </c>
      <c r="D257" t="s">
        <v>15</v>
      </c>
      <c r="E257" t="s">
        <v>26</v>
      </c>
      <c r="F257" t="s">
        <v>41</v>
      </c>
      <c r="G257" t="s">
        <v>1037</v>
      </c>
      <c r="H257" t="s">
        <v>1041</v>
      </c>
      <c r="I257" s="1">
        <v>43494</v>
      </c>
      <c r="J257" t="s">
        <v>1045</v>
      </c>
      <c r="K257" s="5">
        <v>0.59166666666666667</v>
      </c>
      <c r="L257" t="s">
        <v>24</v>
      </c>
      <c r="M257">
        <v>6.524</v>
      </c>
      <c r="N257">
        <v>9</v>
      </c>
    </row>
    <row r="258" spans="1:14" x14ac:dyDescent="0.25">
      <c r="A258" t="s">
        <v>287</v>
      </c>
      <c r="B258" t="s">
        <v>13</v>
      </c>
      <c r="C258" t="s">
        <v>14</v>
      </c>
      <c r="D258" t="s">
        <v>15</v>
      </c>
      <c r="E258" t="s">
        <v>26</v>
      </c>
      <c r="F258" t="s">
        <v>23</v>
      </c>
      <c r="G258" t="s">
        <v>1037</v>
      </c>
      <c r="H258" t="s">
        <v>1041</v>
      </c>
      <c r="I258" s="1">
        <v>43496</v>
      </c>
      <c r="J258" t="s">
        <v>1044</v>
      </c>
      <c r="K258" s="5">
        <v>0.44861111111111113</v>
      </c>
      <c r="L258" t="s">
        <v>28</v>
      </c>
      <c r="M258">
        <v>3.3174999999999999</v>
      </c>
      <c r="N258">
        <v>9.6999999999999993</v>
      </c>
    </row>
    <row r="259" spans="1:14" x14ac:dyDescent="0.25">
      <c r="A259" t="s">
        <v>288</v>
      </c>
      <c r="B259" t="s">
        <v>13</v>
      </c>
      <c r="C259" t="s">
        <v>14</v>
      </c>
      <c r="D259" t="s">
        <v>15</v>
      </c>
      <c r="E259" t="s">
        <v>26</v>
      </c>
      <c r="F259" t="s">
        <v>27</v>
      </c>
      <c r="G259" t="s">
        <v>1038</v>
      </c>
      <c r="H259" t="s">
        <v>1042</v>
      </c>
      <c r="I259" s="1">
        <v>43501</v>
      </c>
      <c r="J259" t="s">
        <v>1044</v>
      </c>
      <c r="K259" s="5">
        <v>0.42777777777777781</v>
      </c>
      <c r="L259" t="s">
        <v>18</v>
      </c>
      <c r="M259">
        <v>7.7729999999999997</v>
      </c>
      <c r="N259">
        <v>8.6999999999999993</v>
      </c>
    </row>
    <row r="260" spans="1:14" x14ac:dyDescent="0.25">
      <c r="A260" t="s">
        <v>289</v>
      </c>
      <c r="B260" t="s">
        <v>13</v>
      </c>
      <c r="C260" t="s">
        <v>14</v>
      </c>
      <c r="D260" t="s">
        <v>15</v>
      </c>
      <c r="E260" t="s">
        <v>26</v>
      </c>
      <c r="F260" t="s">
        <v>23</v>
      </c>
      <c r="G260" t="s">
        <v>1039</v>
      </c>
      <c r="H260" t="s">
        <v>1042</v>
      </c>
      <c r="I260" s="1">
        <v>43509</v>
      </c>
      <c r="J260" t="s">
        <v>1045</v>
      </c>
      <c r="K260" s="5">
        <v>0.52638888888888891</v>
      </c>
      <c r="L260" t="s">
        <v>18</v>
      </c>
      <c r="M260">
        <v>6.45</v>
      </c>
      <c r="N260">
        <v>6.5</v>
      </c>
    </row>
    <row r="261" spans="1:14" x14ac:dyDescent="0.25">
      <c r="A261" t="s">
        <v>290</v>
      </c>
      <c r="B261" t="s">
        <v>20</v>
      </c>
      <c r="C261" t="s">
        <v>21</v>
      </c>
      <c r="D261" t="s">
        <v>15</v>
      </c>
      <c r="E261" t="s">
        <v>26</v>
      </c>
      <c r="F261" t="s">
        <v>23</v>
      </c>
      <c r="G261" t="s">
        <v>1038</v>
      </c>
      <c r="H261" t="s">
        <v>1042</v>
      </c>
      <c r="I261" s="1">
        <v>43503</v>
      </c>
      <c r="J261" t="s">
        <v>1045</v>
      </c>
      <c r="K261" s="5">
        <v>0.54513888888888895</v>
      </c>
      <c r="L261" t="s">
        <v>28</v>
      </c>
      <c r="M261">
        <v>13.188000000000001</v>
      </c>
      <c r="N261">
        <v>6.9</v>
      </c>
    </row>
    <row r="262" spans="1:14" x14ac:dyDescent="0.25">
      <c r="A262" t="s">
        <v>291</v>
      </c>
      <c r="B262" t="s">
        <v>13</v>
      </c>
      <c r="C262" t="s">
        <v>14</v>
      </c>
      <c r="D262" t="s">
        <v>22</v>
      </c>
      <c r="E262" t="s">
        <v>16</v>
      </c>
      <c r="F262" t="s">
        <v>23</v>
      </c>
      <c r="G262" t="s">
        <v>1037</v>
      </c>
      <c r="H262" t="s">
        <v>1043</v>
      </c>
      <c r="I262" s="1">
        <v>43543</v>
      </c>
      <c r="J262" t="s">
        <v>1045</v>
      </c>
      <c r="K262" s="5">
        <v>0.55902777777777779</v>
      </c>
      <c r="L262" t="s">
        <v>18</v>
      </c>
      <c r="M262">
        <v>33.777000000000001</v>
      </c>
      <c r="N262">
        <v>6.2</v>
      </c>
    </row>
    <row r="263" spans="1:14" x14ac:dyDescent="0.25">
      <c r="A263" t="s">
        <v>292</v>
      </c>
      <c r="B263" t="s">
        <v>20</v>
      </c>
      <c r="C263" t="s">
        <v>21</v>
      </c>
      <c r="D263" t="s">
        <v>22</v>
      </c>
      <c r="E263" t="s">
        <v>16</v>
      </c>
      <c r="F263" t="s">
        <v>41</v>
      </c>
      <c r="G263" t="s">
        <v>1035</v>
      </c>
      <c r="H263" t="s">
        <v>1043</v>
      </c>
      <c r="I263" s="1">
        <v>43531</v>
      </c>
      <c r="J263" t="s">
        <v>1045</v>
      </c>
      <c r="K263" s="5">
        <v>0.62013888888888891</v>
      </c>
      <c r="L263" t="s">
        <v>18</v>
      </c>
      <c r="M263">
        <v>3.29</v>
      </c>
      <c r="N263">
        <v>5.6</v>
      </c>
    </row>
    <row r="264" spans="1:14" x14ac:dyDescent="0.25">
      <c r="A264" t="s">
        <v>293</v>
      </c>
      <c r="B264" t="s">
        <v>37</v>
      </c>
      <c r="C264" t="s">
        <v>38</v>
      </c>
      <c r="D264" t="s">
        <v>15</v>
      </c>
      <c r="E264" t="s">
        <v>16</v>
      </c>
      <c r="F264" t="s">
        <v>41</v>
      </c>
      <c r="G264" t="s">
        <v>1036</v>
      </c>
      <c r="H264" t="s">
        <v>1043</v>
      </c>
      <c r="I264" s="1">
        <v>43537</v>
      </c>
      <c r="J264" t="s">
        <v>1046</v>
      </c>
      <c r="K264" s="5">
        <v>0.80694444444444446</v>
      </c>
      <c r="L264" t="s">
        <v>24</v>
      </c>
      <c r="M264">
        <v>7.66</v>
      </c>
      <c r="N264">
        <v>5.7</v>
      </c>
    </row>
    <row r="265" spans="1:14" x14ac:dyDescent="0.25">
      <c r="A265" t="s">
        <v>294</v>
      </c>
      <c r="B265" t="s">
        <v>13</v>
      </c>
      <c r="C265" t="s">
        <v>14</v>
      </c>
      <c r="D265" t="s">
        <v>15</v>
      </c>
      <c r="E265" t="s">
        <v>16</v>
      </c>
      <c r="F265" t="s">
        <v>31</v>
      </c>
      <c r="G265" t="s">
        <v>1039</v>
      </c>
      <c r="H265" t="s">
        <v>1042</v>
      </c>
      <c r="I265" s="1">
        <v>43505</v>
      </c>
      <c r="J265" t="s">
        <v>1044</v>
      </c>
      <c r="K265" s="5">
        <v>0.45833333333333331</v>
      </c>
      <c r="L265" t="s">
        <v>24</v>
      </c>
      <c r="M265">
        <v>11.12</v>
      </c>
      <c r="N265">
        <v>4.2</v>
      </c>
    </row>
    <row r="266" spans="1:14" x14ac:dyDescent="0.25">
      <c r="A266" t="s">
        <v>295</v>
      </c>
      <c r="B266" t="s">
        <v>37</v>
      </c>
      <c r="C266" t="s">
        <v>38</v>
      </c>
      <c r="D266" t="s">
        <v>22</v>
      </c>
      <c r="E266" t="s">
        <v>26</v>
      </c>
      <c r="F266" t="s">
        <v>31</v>
      </c>
      <c r="G266" t="s">
        <v>1034</v>
      </c>
      <c r="H266" t="s">
        <v>1042</v>
      </c>
      <c r="I266" s="1">
        <v>43522</v>
      </c>
      <c r="J266" t="s">
        <v>1046</v>
      </c>
      <c r="K266" s="5">
        <v>0.80833333333333324</v>
      </c>
      <c r="L266" t="s">
        <v>18</v>
      </c>
      <c r="M266">
        <v>2.7225000000000001</v>
      </c>
      <c r="N266">
        <v>7.9</v>
      </c>
    </row>
    <row r="267" spans="1:14" x14ac:dyDescent="0.25">
      <c r="A267" t="s">
        <v>296</v>
      </c>
      <c r="B267" t="s">
        <v>13</v>
      </c>
      <c r="C267" t="s">
        <v>14</v>
      </c>
      <c r="D267" t="s">
        <v>15</v>
      </c>
      <c r="E267" t="s">
        <v>16</v>
      </c>
      <c r="F267" t="s">
        <v>31</v>
      </c>
      <c r="G267" t="s">
        <v>1036</v>
      </c>
      <c r="H267" t="s">
        <v>1043</v>
      </c>
      <c r="I267" s="1">
        <v>43536</v>
      </c>
      <c r="J267" t="s">
        <v>1045</v>
      </c>
      <c r="K267" s="5">
        <v>0.52986111111111112</v>
      </c>
      <c r="L267" t="s">
        <v>28</v>
      </c>
      <c r="M267">
        <v>34.44</v>
      </c>
      <c r="N267">
        <v>8.6999999999999993</v>
      </c>
    </row>
    <row r="268" spans="1:14" x14ac:dyDescent="0.25">
      <c r="A268" t="s">
        <v>297</v>
      </c>
      <c r="B268" t="s">
        <v>20</v>
      </c>
      <c r="C268" t="s">
        <v>21</v>
      </c>
      <c r="D268" t="s">
        <v>22</v>
      </c>
      <c r="E268" t="s">
        <v>26</v>
      </c>
      <c r="F268" t="s">
        <v>27</v>
      </c>
      <c r="G268" t="s">
        <v>1036</v>
      </c>
      <c r="H268" t="s">
        <v>1043</v>
      </c>
      <c r="I268" s="1">
        <v>43538</v>
      </c>
      <c r="J268" t="s">
        <v>1046</v>
      </c>
      <c r="K268" s="5">
        <v>0.72361111111111109</v>
      </c>
      <c r="L268" t="s">
        <v>28</v>
      </c>
      <c r="M268">
        <v>7.0940000000000003</v>
      </c>
      <c r="N268">
        <v>6.9</v>
      </c>
    </row>
    <row r="269" spans="1:14" x14ac:dyDescent="0.25">
      <c r="A269" t="s">
        <v>298</v>
      </c>
      <c r="B269" t="s">
        <v>37</v>
      </c>
      <c r="C269" t="s">
        <v>38</v>
      </c>
      <c r="D269" t="s">
        <v>15</v>
      </c>
      <c r="E269" t="s">
        <v>16</v>
      </c>
      <c r="F269" t="s">
        <v>39</v>
      </c>
      <c r="G269" t="s">
        <v>1034</v>
      </c>
      <c r="H269" t="s">
        <v>1041</v>
      </c>
      <c r="I269" s="1">
        <v>43473</v>
      </c>
      <c r="J269" t="s">
        <v>1046</v>
      </c>
      <c r="K269" s="5">
        <v>0.87152777777777779</v>
      </c>
      <c r="L269" t="s">
        <v>24</v>
      </c>
      <c r="M269">
        <v>37.299999999999997</v>
      </c>
      <c r="N269">
        <v>9.5</v>
      </c>
    </row>
    <row r="270" spans="1:14" x14ac:dyDescent="0.25">
      <c r="A270" t="s">
        <v>299</v>
      </c>
      <c r="B270" t="s">
        <v>13</v>
      </c>
      <c r="C270" t="s">
        <v>14</v>
      </c>
      <c r="D270" t="s">
        <v>15</v>
      </c>
      <c r="E270" t="s">
        <v>26</v>
      </c>
      <c r="F270" t="s">
        <v>27</v>
      </c>
      <c r="G270" t="s">
        <v>1034</v>
      </c>
      <c r="H270" t="s">
        <v>1041</v>
      </c>
      <c r="I270" s="1">
        <v>43470</v>
      </c>
      <c r="J270" t="s">
        <v>1046</v>
      </c>
      <c r="K270" s="5">
        <v>0.67013888888888884</v>
      </c>
      <c r="L270" t="s">
        <v>28</v>
      </c>
      <c r="M270">
        <v>14.148</v>
      </c>
      <c r="N270">
        <v>4.4000000000000004</v>
      </c>
    </row>
    <row r="271" spans="1:14" x14ac:dyDescent="0.25">
      <c r="A271" t="s">
        <v>300</v>
      </c>
      <c r="B271" t="s">
        <v>13</v>
      </c>
      <c r="C271" t="s">
        <v>14</v>
      </c>
      <c r="D271" t="s">
        <v>15</v>
      </c>
      <c r="E271" t="s">
        <v>16</v>
      </c>
      <c r="F271" t="s">
        <v>27</v>
      </c>
      <c r="G271" t="s">
        <v>1040</v>
      </c>
      <c r="H271" t="s">
        <v>1041</v>
      </c>
      <c r="I271" s="1">
        <v>43469</v>
      </c>
      <c r="J271" t="s">
        <v>1045</v>
      </c>
      <c r="K271" s="5">
        <v>0.56527777777777777</v>
      </c>
      <c r="L271" t="s">
        <v>18</v>
      </c>
      <c r="M271">
        <v>17.77</v>
      </c>
      <c r="N271">
        <v>7</v>
      </c>
    </row>
    <row r="272" spans="1:14" x14ac:dyDescent="0.25">
      <c r="A272" t="s">
        <v>301</v>
      </c>
      <c r="B272" t="s">
        <v>37</v>
      </c>
      <c r="C272" t="s">
        <v>38</v>
      </c>
      <c r="D272" t="s">
        <v>22</v>
      </c>
      <c r="E272" t="s">
        <v>16</v>
      </c>
      <c r="F272" t="s">
        <v>31</v>
      </c>
      <c r="G272" t="s">
        <v>1035</v>
      </c>
      <c r="H272" t="s">
        <v>1043</v>
      </c>
      <c r="I272" s="1">
        <v>43530</v>
      </c>
      <c r="J272" t="s">
        <v>1046</v>
      </c>
      <c r="K272" s="5">
        <v>0.75902777777777775</v>
      </c>
      <c r="L272" t="s">
        <v>18</v>
      </c>
      <c r="M272">
        <v>16.857500000000002</v>
      </c>
      <c r="N272">
        <v>6.3</v>
      </c>
    </row>
    <row r="273" spans="1:14" x14ac:dyDescent="0.25">
      <c r="A273" t="s">
        <v>302</v>
      </c>
      <c r="B273" t="s">
        <v>20</v>
      </c>
      <c r="C273" t="s">
        <v>21</v>
      </c>
      <c r="D273" t="s">
        <v>15</v>
      </c>
      <c r="E273" t="s">
        <v>16</v>
      </c>
      <c r="F273" t="s">
        <v>17</v>
      </c>
      <c r="G273" t="s">
        <v>1040</v>
      </c>
      <c r="H273" t="s">
        <v>1041</v>
      </c>
      <c r="I273" s="1">
        <v>43468</v>
      </c>
      <c r="J273" t="s">
        <v>1046</v>
      </c>
      <c r="K273" s="5">
        <v>0.80347222222222225</v>
      </c>
      <c r="L273" t="s">
        <v>24</v>
      </c>
      <c r="M273">
        <v>2.1120000000000001</v>
      </c>
      <c r="N273">
        <v>9.6999999999999993</v>
      </c>
    </row>
    <row r="274" spans="1:14" x14ac:dyDescent="0.25">
      <c r="A274" t="s">
        <v>303</v>
      </c>
      <c r="B274" t="s">
        <v>13</v>
      </c>
      <c r="C274" t="s">
        <v>14</v>
      </c>
      <c r="D274" t="s">
        <v>15</v>
      </c>
      <c r="E274" t="s">
        <v>16</v>
      </c>
      <c r="F274" t="s">
        <v>27</v>
      </c>
      <c r="G274" t="s">
        <v>1034</v>
      </c>
      <c r="H274" t="s">
        <v>1041</v>
      </c>
      <c r="I274" s="1">
        <v>43472</v>
      </c>
      <c r="J274" t="s">
        <v>1044</v>
      </c>
      <c r="K274" s="5">
        <v>0.48888888888888887</v>
      </c>
      <c r="L274" t="s">
        <v>28</v>
      </c>
      <c r="M274">
        <v>9.6929999999999996</v>
      </c>
      <c r="N274">
        <v>8.8000000000000007</v>
      </c>
    </row>
    <row r="275" spans="1:14" x14ac:dyDescent="0.25">
      <c r="A275" t="s">
        <v>304</v>
      </c>
      <c r="B275" t="s">
        <v>13</v>
      </c>
      <c r="C275" t="s">
        <v>14</v>
      </c>
      <c r="D275" t="s">
        <v>22</v>
      </c>
      <c r="E275" t="s">
        <v>16</v>
      </c>
      <c r="F275" t="s">
        <v>27</v>
      </c>
      <c r="G275" t="s">
        <v>1037</v>
      </c>
      <c r="H275" t="s">
        <v>1041</v>
      </c>
      <c r="I275" s="1">
        <v>43492</v>
      </c>
      <c r="J275" t="s">
        <v>1045</v>
      </c>
      <c r="K275" s="5">
        <v>0.66041666666666665</v>
      </c>
      <c r="L275" t="s">
        <v>24</v>
      </c>
      <c r="M275">
        <v>1.2030000000000001</v>
      </c>
      <c r="N275">
        <v>5.0999999999999996</v>
      </c>
    </row>
    <row r="276" spans="1:14" x14ac:dyDescent="0.25">
      <c r="A276" t="s">
        <v>305</v>
      </c>
      <c r="B276" t="s">
        <v>37</v>
      </c>
      <c r="C276" t="s">
        <v>38</v>
      </c>
      <c r="D276" t="s">
        <v>22</v>
      </c>
      <c r="E276" t="s">
        <v>16</v>
      </c>
      <c r="F276" t="s">
        <v>17</v>
      </c>
      <c r="G276" t="s">
        <v>1034</v>
      </c>
      <c r="H276" t="s">
        <v>1042</v>
      </c>
      <c r="I276" s="1">
        <v>43522</v>
      </c>
      <c r="J276" t="s">
        <v>1046</v>
      </c>
      <c r="K276" s="5">
        <v>0.70277777777777783</v>
      </c>
      <c r="L276" t="s">
        <v>18</v>
      </c>
      <c r="M276">
        <v>29.913</v>
      </c>
      <c r="N276">
        <v>7.9</v>
      </c>
    </row>
    <row r="277" spans="1:14" x14ac:dyDescent="0.25">
      <c r="A277" t="s">
        <v>306</v>
      </c>
      <c r="B277" t="s">
        <v>37</v>
      </c>
      <c r="C277" t="s">
        <v>38</v>
      </c>
      <c r="D277" t="s">
        <v>22</v>
      </c>
      <c r="E277" t="s">
        <v>26</v>
      </c>
      <c r="F277" t="s">
        <v>41</v>
      </c>
      <c r="G277" t="s">
        <v>1034</v>
      </c>
      <c r="H277" t="s">
        <v>1041</v>
      </c>
      <c r="I277" s="1">
        <v>43472</v>
      </c>
      <c r="J277" t="s">
        <v>1046</v>
      </c>
      <c r="K277" s="5">
        <v>0.86944444444444446</v>
      </c>
      <c r="L277" t="s">
        <v>24</v>
      </c>
      <c r="M277">
        <v>16.7895</v>
      </c>
      <c r="N277">
        <v>6.2</v>
      </c>
    </row>
    <row r="278" spans="1:14" x14ac:dyDescent="0.25">
      <c r="A278" t="s">
        <v>307</v>
      </c>
      <c r="B278" t="s">
        <v>20</v>
      </c>
      <c r="C278" t="s">
        <v>21</v>
      </c>
      <c r="D278" t="s">
        <v>15</v>
      </c>
      <c r="E278" t="s">
        <v>16</v>
      </c>
      <c r="F278" t="s">
        <v>27</v>
      </c>
      <c r="G278" t="s">
        <v>1034</v>
      </c>
      <c r="H278" t="s">
        <v>1041</v>
      </c>
      <c r="I278" s="1">
        <v>43472</v>
      </c>
      <c r="J278" t="s">
        <v>1046</v>
      </c>
      <c r="K278" s="5">
        <v>0.73333333333333339</v>
      </c>
      <c r="L278" t="s">
        <v>24</v>
      </c>
      <c r="M278">
        <v>10.91</v>
      </c>
      <c r="N278">
        <v>7.1</v>
      </c>
    </row>
    <row r="279" spans="1:14" x14ac:dyDescent="0.25">
      <c r="A279" t="s">
        <v>308</v>
      </c>
      <c r="B279" t="s">
        <v>20</v>
      </c>
      <c r="C279" t="s">
        <v>21</v>
      </c>
      <c r="D279" t="s">
        <v>22</v>
      </c>
      <c r="E279" t="s">
        <v>16</v>
      </c>
      <c r="F279" t="s">
        <v>41</v>
      </c>
      <c r="G279" t="s">
        <v>1038</v>
      </c>
      <c r="H279" t="s">
        <v>1042</v>
      </c>
      <c r="I279" s="1">
        <v>43498</v>
      </c>
      <c r="J279" t="s">
        <v>1045</v>
      </c>
      <c r="K279" s="5">
        <v>0.55763888888888891</v>
      </c>
      <c r="L279" t="s">
        <v>18</v>
      </c>
      <c r="M279">
        <v>19.084</v>
      </c>
      <c r="N279">
        <v>6.4</v>
      </c>
    </row>
    <row r="280" spans="1:14" x14ac:dyDescent="0.25">
      <c r="A280" t="s">
        <v>309</v>
      </c>
      <c r="B280" t="s">
        <v>20</v>
      </c>
      <c r="C280" t="s">
        <v>21</v>
      </c>
      <c r="D280" t="s">
        <v>15</v>
      </c>
      <c r="E280" t="s">
        <v>26</v>
      </c>
      <c r="F280" t="s">
        <v>41</v>
      </c>
      <c r="G280" t="s">
        <v>1037</v>
      </c>
      <c r="H280" t="s">
        <v>1043</v>
      </c>
      <c r="I280" s="1">
        <v>43544</v>
      </c>
      <c r="J280" t="s">
        <v>1046</v>
      </c>
      <c r="K280" s="5">
        <v>0.68611111111111101</v>
      </c>
      <c r="L280" t="s">
        <v>24</v>
      </c>
      <c r="M280">
        <v>35.494999999999997</v>
      </c>
      <c r="N280">
        <v>5.7</v>
      </c>
    </row>
    <row r="281" spans="1:14" x14ac:dyDescent="0.25">
      <c r="A281" t="s">
        <v>310</v>
      </c>
      <c r="B281" t="s">
        <v>13</v>
      </c>
      <c r="C281" t="s">
        <v>14</v>
      </c>
      <c r="D281" t="s">
        <v>15</v>
      </c>
      <c r="E281" t="s">
        <v>26</v>
      </c>
      <c r="F281" t="s">
        <v>31</v>
      </c>
      <c r="G281" t="s">
        <v>1037</v>
      </c>
      <c r="H281" t="s">
        <v>1043</v>
      </c>
      <c r="I281" s="1">
        <v>43544</v>
      </c>
      <c r="J281" t="s">
        <v>1046</v>
      </c>
      <c r="K281" s="5">
        <v>0.83124999999999993</v>
      </c>
      <c r="L281" t="s">
        <v>28</v>
      </c>
      <c r="M281">
        <v>22.01</v>
      </c>
      <c r="N281">
        <v>9.6</v>
      </c>
    </row>
    <row r="282" spans="1:14" x14ac:dyDescent="0.25">
      <c r="A282" t="s">
        <v>311</v>
      </c>
      <c r="B282" t="s">
        <v>13</v>
      </c>
      <c r="C282" t="s">
        <v>14</v>
      </c>
      <c r="D282" t="s">
        <v>22</v>
      </c>
      <c r="E282" t="s">
        <v>16</v>
      </c>
      <c r="F282" t="s">
        <v>27</v>
      </c>
      <c r="G282" t="s">
        <v>1039</v>
      </c>
      <c r="H282" t="s">
        <v>1042</v>
      </c>
      <c r="I282" s="1">
        <v>43511</v>
      </c>
      <c r="J282" t="s">
        <v>1046</v>
      </c>
      <c r="K282" s="5">
        <v>0.7090277777777777</v>
      </c>
      <c r="L282" t="s">
        <v>28</v>
      </c>
      <c r="M282">
        <v>27.984000000000002</v>
      </c>
      <c r="N282">
        <v>6.4</v>
      </c>
    </row>
    <row r="283" spans="1:14" x14ac:dyDescent="0.25">
      <c r="A283" t="s">
        <v>312</v>
      </c>
      <c r="B283" t="s">
        <v>20</v>
      </c>
      <c r="C283" t="s">
        <v>21</v>
      </c>
      <c r="D283" t="s">
        <v>22</v>
      </c>
      <c r="E283" t="s">
        <v>26</v>
      </c>
      <c r="F283" t="s">
        <v>27</v>
      </c>
      <c r="G283" t="s">
        <v>1035</v>
      </c>
      <c r="H283" t="s">
        <v>1043</v>
      </c>
      <c r="I283" s="1">
        <v>43530</v>
      </c>
      <c r="J283" t="s">
        <v>1045</v>
      </c>
      <c r="K283" s="5">
        <v>0.56180555555555556</v>
      </c>
      <c r="L283" t="s">
        <v>28</v>
      </c>
      <c r="M283">
        <v>1.85</v>
      </c>
      <c r="N283">
        <v>7.9</v>
      </c>
    </row>
    <row r="284" spans="1:14" x14ac:dyDescent="0.25">
      <c r="A284" t="s">
        <v>313</v>
      </c>
      <c r="B284" t="s">
        <v>13</v>
      </c>
      <c r="C284" t="s">
        <v>14</v>
      </c>
      <c r="D284" t="s">
        <v>22</v>
      </c>
      <c r="E284" t="s">
        <v>16</v>
      </c>
      <c r="F284" t="s">
        <v>31</v>
      </c>
      <c r="G284" t="s">
        <v>1034</v>
      </c>
      <c r="H284" t="s">
        <v>1041</v>
      </c>
      <c r="I284" s="1">
        <v>43471</v>
      </c>
      <c r="J284" t="s">
        <v>1044</v>
      </c>
      <c r="K284" s="5">
        <v>0.46458333333333335</v>
      </c>
      <c r="L284" t="s">
        <v>24</v>
      </c>
      <c r="M284">
        <v>0.76700000000000002</v>
      </c>
      <c r="N284">
        <v>6.5</v>
      </c>
    </row>
    <row r="285" spans="1:14" x14ac:dyDescent="0.25">
      <c r="A285" t="s">
        <v>314</v>
      </c>
      <c r="B285" t="s">
        <v>13</v>
      </c>
      <c r="C285" t="s">
        <v>14</v>
      </c>
      <c r="D285" t="s">
        <v>15</v>
      </c>
      <c r="E285" t="s">
        <v>26</v>
      </c>
      <c r="F285" t="s">
        <v>17</v>
      </c>
      <c r="G285" t="s">
        <v>1035</v>
      </c>
      <c r="H285" t="s">
        <v>1043</v>
      </c>
      <c r="I285" s="1">
        <v>43528</v>
      </c>
      <c r="J285" t="s">
        <v>1045</v>
      </c>
      <c r="K285" s="5">
        <v>0.62638888888888888</v>
      </c>
      <c r="L285" t="s">
        <v>18</v>
      </c>
      <c r="M285">
        <v>29.949000000000002</v>
      </c>
      <c r="N285">
        <v>8.5</v>
      </c>
    </row>
    <row r="286" spans="1:14" x14ac:dyDescent="0.25">
      <c r="A286" t="s">
        <v>315</v>
      </c>
      <c r="B286" t="s">
        <v>13</v>
      </c>
      <c r="C286" t="s">
        <v>14</v>
      </c>
      <c r="D286" t="s">
        <v>15</v>
      </c>
      <c r="E286" t="s">
        <v>16</v>
      </c>
      <c r="F286" t="s">
        <v>17</v>
      </c>
      <c r="G286" t="s">
        <v>1036</v>
      </c>
      <c r="H286" t="s">
        <v>1043</v>
      </c>
      <c r="I286" s="1">
        <v>43536</v>
      </c>
      <c r="J286" t="s">
        <v>1045</v>
      </c>
      <c r="K286" s="5">
        <v>0.59791666666666665</v>
      </c>
      <c r="L286" t="s">
        <v>24</v>
      </c>
      <c r="M286">
        <v>9.5340000000000007</v>
      </c>
      <c r="N286">
        <v>9.1</v>
      </c>
    </row>
    <row r="287" spans="1:14" x14ac:dyDescent="0.25">
      <c r="A287" t="s">
        <v>316</v>
      </c>
      <c r="B287" t="s">
        <v>37</v>
      </c>
      <c r="C287" t="s">
        <v>38</v>
      </c>
      <c r="D287" t="s">
        <v>22</v>
      </c>
      <c r="E287" t="s">
        <v>26</v>
      </c>
      <c r="F287" t="s">
        <v>17</v>
      </c>
      <c r="G287" t="s">
        <v>1040</v>
      </c>
      <c r="H287" t="s">
        <v>1042</v>
      </c>
      <c r="I287" s="1">
        <v>43516</v>
      </c>
      <c r="J287" t="s">
        <v>1046</v>
      </c>
      <c r="K287" s="5">
        <v>0.75069444444444444</v>
      </c>
      <c r="L287" t="s">
        <v>24</v>
      </c>
      <c r="M287">
        <v>16.670000000000002</v>
      </c>
      <c r="N287">
        <v>7.6</v>
      </c>
    </row>
    <row r="288" spans="1:14" x14ac:dyDescent="0.25">
      <c r="A288" t="s">
        <v>317</v>
      </c>
      <c r="B288" t="s">
        <v>20</v>
      </c>
      <c r="C288" t="s">
        <v>21</v>
      </c>
      <c r="D288" t="s">
        <v>15</v>
      </c>
      <c r="E288" t="s">
        <v>26</v>
      </c>
      <c r="F288" t="s">
        <v>27</v>
      </c>
      <c r="G288" t="s">
        <v>1038</v>
      </c>
      <c r="H288" t="s">
        <v>1043</v>
      </c>
      <c r="I288" s="1">
        <v>43548</v>
      </c>
      <c r="J288" t="s">
        <v>1045</v>
      </c>
      <c r="K288" s="5">
        <v>0.61736111111111114</v>
      </c>
      <c r="L288" t="s">
        <v>24</v>
      </c>
      <c r="M288">
        <v>3.7429999999999999</v>
      </c>
      <c r="N288">
        <v>6.9</v>
      </c>
    </row>
    <row r="289" spans="1:14" x14ac:dyDescent="0.25">
      <c r="A289" t="s">
        <v>318</v>
      </c>
      <c r="B289" t="s">
        <v>20</v>
      </c>
      <c r="C289" t="s">
        <v>21</v>
      </c>
      <c r="D289" t="s">
        <v>22</v>
      </c>
      <c r="E289" t="s">
        <v>16</v>
      </c>
      <c r="F289" t="s">
        <v>31</v>
      </c>
      <c r="G289" t="s">
        <v>1037</v>
      </c>
      <c r="H289" t="s">
        <v>1041</v>
      </c>
      <c r="I289" s="1">
        <v>43496</v>
      </c>
      <c r="J289" t="s">
        <v>1045</v>
      </c>
      <c r="K289" s="5">
        <v>0.50138888888888888</v>
      </c>
      <c r="L289" t="s">
        <v>24</v>
      </c>
      <c r="M289">
        <v>10.6875</v>
      </c>
      <c r="N289">
        <v>9.5</v>
      </c>
    </row>
    <row r="290" spans="1:14" x14ac:dyDescent="0.25">
      <c r="A290" t="s">
        <v>319</v>
      </c>
      <c r="B290" t="s">
        <v>37</v>
      </c>
      <c r="C290" t="s">
        <v>38</v>
      </c>
      <c r="D290" t="s">
        <v>22</v>
      </c>
      <c r="E290" t="s">
        <v>16</v>
      </c>
      <c r="F290" t="s">
        <v>39</v>
      </c>
      <c r="G290" t="s">
        <v>1036</v>
      </c>
      <c r="H290" t="s">
        <v>1041</v>
      </c>
      <c r="I290" s="1">
        <v>43490</v>
      </c>
      <c r="J290" t="s">
        <v>1045</v>
      </c>
      <c r="K290" s="5">
        <v>0.5625</v>
      </c>
      <c r="L290" t="s">
        <v>28</v>
      </c>
      <c r="M290">
        <v>16.9785</v>
      </c>
      <c r="N290">
        <v>5.2</v>
      </c>
    </row>
    <row r="291" spans="1:14" x14ac:dyDescent="0.25">
      <c r="A291" t="s">
        <v>320</v>
      </c>
      <c r="B291" t="s">
        <v>13</v>
      </c>
      <c r="C291" t="s">
        <v>14</v>
      </c>
      <c r="D291" t="s">
        <v>15</v>
      </c>
      <c r="E291" t="s">
        <v>16</v>
      </c>
      <c r="F291" t="s">
        <v>27</v>
      </c>
      <c r="G291" t="s">
        <v>1038</v>
      </c>
      <c r="H291" t="s">
        <v>1042</v>
      </c>
      <c r="I291" s="1">
        <v>43499</v>
      </c>
      <c r="J291" t="s">
        <v>1045</v>
      </c>
      <c r="K291" s="5">
        <v>0.60972222222222217</v>
      </c>
      <c r="L291" t="s">
        <v>24</v>
      </c>
      <c r="M291">
        <v>33.207999999999998</v>
      </c>
      <c r="N291">
        <v>4.2</v>
      </c>
    </row>
    <row r="292" spans="1:14" x14ac:dyDescent="0.25">
      <c r="A292" t="s">
        <v>321</v>
      </c>
      <c r="B292" t="s">
        <v>37</v>
      </c>
      <c r="C292" t="s">
        <v>38</v>
      </c>
      <c r="D292" t="s">
        <v>15</v>
      </c>
      <c r="E292" t="s">
        <v>26</v>
      </c>
      <c r="F292" t="s">
        <v>23</v>
      </c>
      <c r="G292" t="s">
        <v>1036</v>
      </c>
      <c r="H292" t="s">
        <v>1041</v>
      </c>
      <c r="I292" s="1">
        <v>43489</v>
      </c>
      <c r="J292" t="s">
        <v>1046</v>
      </c>
      <c r="K292" s="5">
        <v>0.73402777777777783</v>
      </c>
      <c r="L292" t="s">
        <v>28</v>
      </c>
      <c r="M292">
        <v>20.149999999999999</v>
      </c>
      <c r="N292">
        <v>7</v>
      </c>
    </row>
    <row r="293" spans="1:14" x14ac:dyDescent="0.25">
      <c r="A293" t="s">
        <v>322</v>
      </c>
      <c r="B293" t="s">
        <v>20</v>
      </c>
      <c r="C293" t="s">
        <v>21</v>
      </c>
      <c r="D293" t="s">
        <v>22</v>
      </c>
      <c r="E293" t="s">
        <v>26</v>
      </c>
      <c r="F293" t="s">
        <v>23</v>
      </c>
      <c r="G293" t="s">
        <v>1036</v>
      </c>
      <c r="H293" t="s">
        <v>1043</v>
      </c>
      <c r="I293" s="1">
        <v>43538</v>
      </c>
      <c r="J293" t="s">
        <v>1046</v>
      </c>
      <c r="K293" s="5">
        <v>0.72222222222222221</v>
      </c>
      <c r="L293" t="s">
        <v>18</v>
      </c>
      <c r="M293">
        <v>9.7475000000000005</v>
      </c>
      <c r="N293">
        <v>6</v>
      </c>
    </row>
    <row r="294" spans="1:14" x14ac:dyDescent="0.25">
      <c r="A294" t="s">
        <v>323</v>
      </c>
      <c r="B294" t="s">
        <v>13</v>
      </c>
      <c r="C294" t="s">
        <v>14</v>
      </c>
      <c r="D294" t="s">
        <v>15</v>
      </c>
      <c r="E294" t="s">
        <v>16</v>
      </c>
      <c r="F294" t="s">
        <v>23</v>
      </c>
      <c r="G294" t="s">
        <v>1040</v>
      </c>
      <c r="H294" t="s">
        <v>1042</v>
      </c>
      <c r="I294" s="1">
        <v>43514</v>
      </c>
      <c r="J294" t="s">
        <v>1046</v>
      </c>
      <c r="K294" s="5">
        <v>0.8534722222222223</v>
      </c>
      <c r="L294" t="s">
        <v>24</v>
      </c>
      <c r="M294">
        <v>3.1240000000000001</v>
      </c>
      <c r="N294">
        <v>4.7</v>
      </c>
    </row>
    <row r="295" spans="1:14" x14ac:dyDescent="0.25">
      <c r="A295" t="s">
        <v>324</v>
      </c>
      <c r="B295" t="s">
        <v>13</v>
      </c>
      <c r="C295" t="s">
        <v>14</v>
      </c>
      <c r="D295" t="s">
        <v>15</v>
      </c>
      <c r="E295" t="s">
        <v>16</v>
      </c>
      <c r="F295" t="s">
        <v>39</v>
      </c>
      <c r="G295" t="s">
        <v>1036</v>
      </c>
      <c r="H295" t="s">
        <v>1041</v>
      </c>
      <c r="I295" s="1">
        <v>43486</v>
      </c>
      <c r="J295" t="s">
        <v>1044</v>
      </c>
      <c r="K295" s="5">
        <v>0.41666666666666669</v>
      </c>
      <c r="L295" t="s">
        <v>24</v>
      </c>
      <c r="M295">
        <v>3.6360000000000001</v>
      </c>
      <c r="N295">
        <v>7.1</v>
      </c>
    </row>
    <row r="296" spans="1:14" x14ac:dyDescent="0.25">
      <c r="A296" t="s">
        <v>325</v>
      </c>
      <c r="B296" t="s">
        <v>37</v>
      </c>
      <c r="C296" t="s">
        <v>38</v>
      </c>
      <c r="D296" t="s">
        <v>22</v>
      </c>
      <c r="E296" t="s">
        <v>26</v>
      </c>
      <c r="F296" t="s">
        <v>17</v>
      </c>
      <c r="G296" t="s">
        <v>1036</v>
      </c>
      <c r="H296" t="s">
        <v>1043</v>
      </c>
      <c r="I296" s="1">
        <v>43537</v>
      </c>
      <c r="J296" t="s">
        <v>1044</v>
      </c>
      <c r="K296" s="5">
        <v>0.49027777777777781</v>
      </c>
      <c r="L296" t="s">
        <v>18</v>
      </c>
      <c r="M296">
        <v>9.0549999999999997</v>
      </c>
      <c r="N296">
        <v>5.9</v>
      </c>
    </row>
    <row r="297" spans="1:14" x14ac:dyDescent="0.25">
      <c r="A297" t="s">
        <v>326</v>
      </c>
      <c r="B297" t="s">
        <v>20</v>
      </c>
      <c r="C297" t="s">
        <v>21</v>
      </c>
      <c r="D297" t="s">
        <v>15</v>
      </c>
      <c r="E297" t="s">
        <v>16</v>
      </c>
      <c r="F297" t="s">
        <v>23</v>
      </c>
      <c r="G297" t="s">
        <v>1035</v>
      </c>
      <c r="H297" t="s">
        <v>1043</v>
      </c>
      <c r="I297" s="1">
        <v>43527</v>
      </c>
      <c r="J297" t="s">
        <v>1045</v>
      </c>
      <c r="K297" s="5">
        <v>0.5708333333333333</v>
      </c>
      <c r="L297" t="s">
        <v>24</v>
      </c>
      <c r="M297">
        <v>12.98</v>
      </c>
      <c r="N297">
        <v>7.5</v>
      </c>
    </row>
    <row r="298" spans="1:14" x14ac:dyDescent="0.25">
      <c r="A298" t="s">
        <v>327</v>
      </c>
      <c r="B298" t="s">
        <v>20</v>
      </c>
      <c r="C298" t="s">
        <v>21</v>
      </c>
      <c r="D298" t="s">
        <v>22</v>
      </c>
      <c r="E298" t="s">
        <v>26</v>
      </c>
      <c r="F298" t="s">
        <v>23</v>
      </c>
      <c r="G298" t="s">
        <v>1038</v>
      </c>
      <c r="H298" t="s">
        <v>1043</v>
      </c>
      <c r="I298" s="1">
        <v>43553</v>
      </c>
      <c r="J298" t="s">
        <v>1045</v>
      </c>
      <c r="K298" s="5">
        <v>0.61388888888888882</v>
      </c>
      <c r="L298" t="s">
        <v>24</v>
      </c>
      <c r="M298">
        <v>5.7679999999999998</v>
      </c>
      <c r="N298">
        <v>6.4</v>
      </c>
    </row>
    <row r="299" spans="1:14" x14ac:dyDescent="0.25">
      <c r="A299" t="s">
        <v>328</v>
      </c>
      <c r="B299" t="s">
        <v>13</v>
      </c>
      <c r="C299" t="s">
        <v>14</v>
      </c>
      <c r="D299" t="s">
        <v>15</v>
      </c>
      <c r="E299" t="s">
        <v>26</v>
      </c>
      <c r="F299" t="s">
        <v>27</v>
      </c>
      <c r="G299" t="s">
        <v>1034</v>
      </c>
      <c r="H299" t="s">
        <v>1041</v>
      </c>
      <c r="I299" s="1">
        <v>43475</v>
      </c>
      <c r="J299" t="s">
        <v>1045</v>
      </c>
      <c r="K299" s="5">
        <v>0.59444444444444444</v>
      </c>
      <c r="L299" t="s">
        <v>18</v>
      </c>
      <c r="M299">
        <v>23.513999999999999</v>
      </c>
      <c r="N299">
        <v>5.8</v>
      </c>
    </row>
    <row r="300" spans="1:14" x14ac:dyDescent="0.25">
      <c r="A300" t="s">
        <v>329</v>
      </c>
      <c r="B300" t="s">
        <v>13</v>
      </c>
      <c r="C300" t="s">
        <v>14</v>
      </c>
      <c r="D300" t="s">
        <v>15</v>
      </c>
      <c r="E300" t="s">
        <v>26</v>
      </c>
      <c r="F300" t="s">
        <v>27</v>
      </c>
      <c r="G300" t="s">
        <v>1036</v>
      </c>
      <c r="H300" t="s">
        <v>1041</v>
      </c>
      <c r="I300" s="1">
        <v>43490</v>
      </c>
      <c r="J300" t="s">
        <v>1045</v>
      </c>
      <c r="K300" s="5">
        <v>0.66249999999999998</v>
      </c>
      <c r="L300" t="s">
        <v>24</v>
      </c>
      <c r="M300">
        <v>12.002000000000001</v>
      </c>
      <c r="N300">
        <v>4.5</v>
      </c>
    </row>
    <row r="301" spans="1:14" x14ac:dyDescent="0.25">
      <c r="A301" t="s">
        <v>330</v>
      </c>
      <c r="B301" t="s">
        <v>20</v>
      </c>
      <c r="C301" t="s">
        <v>21</v>
      </c>
      <c r="D301" t="s">
        <v>15</v>
      </c>
      <c r="E301" t="s">
        <v>16</v>
      </c>
      <c r="F301" t="s">
        <v>27</v>
      </c>
      <c r="G301" t="s">
        <v>1036</v>
      </c>
      <c r="H301" t="s">
        <v>1041</v>
      </c>
      <c r="I301" s="1">
        <v>43484</v>
      </c>
      <c r="J301" t="s">
        <v>1044</v>
      </c>
      <c r="K301" s="5">
        <v>0.43124999999999997</v>
      </c>
      <c r="L301" t="s">
        <v>24</v>
      </c>
      <c r="M301">
        <v>4.4305000000000003</v>
      </c>
      <c r="N301">
        <v>7.7</v>
      </c>
    </row>
    <row r="302" spans="1:14" x14ac:dyDescent="0.25">
      <c r="A302" t="s">
        <v>331</v>
      </c>
      <c r="B302" t="s">
        <v>20</v>
      </c>
      <c r="C302" t="s">
        <v>21</v>
      </c>
      <c r="D302" t="s">
        <v>22</v>
      </c>
      <c r="E302" t="s">
        <v>26</v>
      </c>
      <c r="F302" t="s">
        <v>41</v>
      </c>
      <c r="G302" t="s">
        <v>1040</v>
      </c>
      <c r="H302" t="s">
        <v>1041</v>
      </c>
      <c r="I302" s="1">
        <v>43467</v>
      </c>
      <c r="J302" t="s">
        <v>1046</v>
      </c>
      <c r="K302" s="5">
        <v>0.75624999999999998</v>
      </c>
      <c r="L302" t="s">
        <v>28</v>
      </c>
      <c r="M302">
        <v>9.9819999999999993</v>
      </c>
      <c r="N302">
        <v>6.7</v>
      </c>
    </row>
    <row r="303" spans="1:14" x14ac:dyDescent="0.25">
      <c r="A303" t="s">
        <v>332</v>
      </c>
      <c r="B303" t="s">
        <v>37</v>
      </c>
      <c r="C303" t="s">
        <v>38</v>
      </c>
      <c r="D303" t="s">
        <v>15</v>
      </c>
      <c r="E303" t="s">
        <v>26</v>
      </c>
      <c r="F303" t="s">
        <v>17</v>
      </c>
      <c r="G303" t="s">
        <v>1036</v>
      </c>
      <c r="H303" t="s">
        <v>1043</v>
      </c>
      <c r="I303" s="1">
        <v>43536</v>
      </c>
      <c r="J303" t="s">
        <v>1046</v>
      </c>
      <c r="K303" s="5">
        <v>0.69861111111111107</v>
      </c>
      <c r="L303" t="s">
        <v>28</v>
      </c>
      <c r="M303">
        <v>1.9504999999999999</v>
      </c>
      <c r="N303">
        <v>4.7</v>
      </c>
    </row>
    <row r="304" spans="1:14" x14ac:dyDescent="0.25">
      <c r="A304" t="s">
        <v>333</v>
      </c>
      <c r="B304" t="s">
        <v>20</v>
      </c>
      <c r="C304" t="s">
        <v>21</v>
      </c>
      <c r="D304" t="s">
        <v>22</v>
      </c>
      <c r="E304" t="s">
        <v>26</v>
      </c>
      <c r="F304" t="s">
        <v>39</v>
      </c>
      <c r="G304" t="s">
        <v>1034</v>
      </c>
      <c r="H304" t="s">
        <v>1042</v>
      </c>
      <c r="I304" s="1">
        <v>43521</v>
      </c>
      <c r="J304" t="s">
        <v>1045</v>
      </c>
      <c r="K304" s="5">
        <v>0.64652777777777781</v>
      </c>
      <c r="L304" t="s">
        <v>24</v>
      </c>
      <c r="M304">
        <v>2.4304999999999999</v>
      </c>
      <c r="N304">
        <v>4.4000000000000004</v>
      </c>
    </row>
    <row r="305" spans="1:14" x14ac:dyDescent="0.25">
      <c r="A305" t="s">
        <v>334</v>
      </c>
      <c r="B305" t="s">
        <v>13</v>
      </c>
      <c r="C305" t="s">
        <v>14</v>
      </c>
      <c r="D305" t="s">
        <v>22</v>
      </c>
      <c r="E305" t="s">
        <v>16</v>
      </c>
      <c r="F305" t="s">
        <v>23</v>
      </c>
      <c r="G305" t="s">
        <v>1037</v>
      </c>
      <c r="H305" t="s">
        <v>1043</v>
      </c>
      <c r="I305" s="1">
        <v>43542</v>
      </c>
      <c r="J305" t="s">
        <v>1046</v>
      </c>
      <c r="K305" s="5">
        <v>0.71875</v>
      </c>
      <c r="L305" t="s">
        <v>28</v>
      </c>
      <c r="M305">
        <v>10.238</v>
      </c>
      <c r="N305">
        <v>4.7</v>
      </c>
    </row>
    <row r="306" spans="1:14" x14ac:dyDescent="0.25">
      <c r="A306" t="s">
        <v>335</v>
      </c>
      <c r="B306" t="s">
        <v>37</v>
      </c>
      <c r="C306" t="s">
        <v>38</v>
      </c>
      <c r="D306" t="s">
        <v>22</v>
      </c>
      <c r="E306" t="s">
        <v>16</v>
      </c>
      <c r="F306" t="s">
        <v>23</v>
      </c>
      <c r="G306" t="s">
        <v>1034</v>
      </c>
      <c r="H306" t="s">
        <v>1042</v>
      </c>
      <c r="I306" s="1">
        <v>43519</v>
      </c>
      <c r="J306" t="s">
        <v>1045</v>
      </c>
      <c r="K306" s="5">
        <v>0.52013888888888882</v>
      </c>
      <c r="L306" t="s">
        <v>24</v>
      </c>
      <c r="M306">
        <v>5.984</v>
      </c>
      <c r="N306">
        <v>8.6</v>
      </c>
    </row>
    <row r="307" spans="1:14" x14ac:dyDescent="0.25">
      <c r="A307" t="s">
        <v>336</v>
      </c>
      <c r="B307" t="s">
        <v>13</v>
      </c>
      <c r="C307" t="s">
        <v>14</v>
      </c>
      <c r="D307" t="s">
        <v>15</v>
      </c>
      <c r="E307" t="s">
        <v>26</v>
      </c>
      <c r="F307" t="s">
        <v>23</v>
      </c>
      <c r="G307" t="s">
        <v>1038</v>
      </c>
      <c r="H307" t="s">
        <v>1043</v>
      </c>
      <c r="I307" s="1">
        <v>43550</v>
      </c>
      <c r="J307" t="s">
        <v>1046</v>
      </c>
      <c r="K307" s="5">
        <v>0.84305555555555556</v>
      </c>
      <c r="L307" t="s">
        <v>18</v>
      </c>
      <c r="M307">
        <v>25.27</v>
      </c>
      <c r="N307">
        <v>4.3</v>
      </c>
    </row>
    <row r="308" spans="1:14" x14ac:dyDescent="0.25">
      <c r="A308" t="s">
        <v>337</v>
      </c>
      <c r="B308" t="s">
        <v>13</v>
      </c>
      <c r="C308" t="s">
        <v>14</v>
      </c>
      <c r="D308" t="s">
        <v>22</v>
      </c>
      <c r="E308" t="s">
        <v>16</v>
      </c>
      <c r="F308" t="s">
        <v>31</v>
      </c>
      <c r="G308" t="s">
        <v>1039</v>
      </c>
      <c r="H308" t="s">
        <v>1043</v>
      </c>
      <c r="I308" s="1">
        <v>43554</v>
      </c>
      <c r="J308" t="s">
        <v>1045</v>
      </c>
      <c r="K308" s="5">
        <v>0.55694444444444446</v>
      </c>
      <c r="L308" t="s">
        <v>24</v>
      </c>
      <c r="M308">
        <v>14.080500000000001</v>
      </c>
      <c r="N308">
        <v>9.6</v>
      </c>
    </row>
    <row r="309" spans="1:14" x14ac:dyDescent="0.25">
      <c r="A309" t="s">
        <v>338</v>
      </c>
      <c r="B309" t="s">
        <v>13</v>
      </c>
      <c r="C309" t="s">
        <v>14</v>
      </c>
      <c r="D309" t="s">
        <v>15</v>
      </c>
      <c r="E309" t="s">
        <v>16</v>
      </c>
      <c r="F309" t="s">
        <v>27</v>
      </c>
      <c r="G309" t="s">
        <v>1040</v>
      </c>
      <c r="H309" t="s">
        <v>1042</v>
      </c>
      <c r="I309" s="1">
        <v>43513</v>
      </c>
      <c r="J309" t="s">
        <v>1046</v>
      </c>
      <c r="K309" s="5">
        <v>0.71458333333333324</v>
      </c>
      <c r="L309" t="s">
        <v>24</v>
      </c>
      <c r="M309">
        <v>35.515999999999998</v>
      </c>
      <c r="N309">
        <v>4.0999999999999996</v>
      </c>
    </row>
    <row r="310" spans="1:14" x14ac:dyDescent="0.25">
      <c r="A310" t="s">
        <v>339</v>
      </c>
      <c r="B310" t="s">
        <v>13</v>
      </c>
      <c r="C310" t="s">
        <v>14</v>
      </c>
      <c r="D310" t="s">
        <v>15</v>
      </c>
      <c r="E310" t="s">
        <v>16</v>
      </c>
      <c r="F310" t="s">
        <v>23</v>
      </c>
      <c r="G310" t="s">
        <v>1037</v>
      </c>
      <c r="H310" t="s">
        <v>1043</v>
      </c>
      <c r="I310" s="1">
        <v>43545</v>
      </c>
      <c r="J310" t="s">
        <v>1044</v>
      </c>
      <c r="K310" s="5">
        <v>0.44444444444444442</v>
      </c>
      <c r="L310" t="s">
        <v>18</v>
      </c>
      <c r="M310">
        <v>3.972</v>
      </c>
      <c r="N310">
        <v>4.7</v>
      </c>
    </row>
    <row r="311" spans="1:14" x14ac:dyDescent="0.25">
      <c r="A311" t="s">
        <v>340</v>
      </c>
      <c r="B311" t="s">
        <v>13</v>
      </c>
      <c r="C311" t="s">
        <v>14</v>
      </c>
      <c r="D311" t="s">
        <v>22</v>
      </c>
      <c r="E311" t="s">
        <v>16</v>
      </c>
      <c r="F311" t="s">
        <v>41</v>
      </c>
      <c r="G311" t="s">
        <v>1035</v>
      </c>
      <c r="H311" t="s">
        <v>1043</v>
      </c>
      <c r="I311" s="1">
        <v>43529</v>
      </c>
      <c r="J311" t="s">
        <v>1046</v>
      </c>
      <c r="K311" s="5">
        <v>0.73819444444444438</v>
      </c>
      <c r="L311" t="s">
        <v>24</v>
      </c>
      <c r="M311">
        <v>8.1910000000000007</v>
      </c>
      <c r="N311">
        <v>7.8</v>
      </c>
    </row>
    <row r="312" spans="1:14" x14ac:dyDescent="0.25">
      <c r="A312" t="s">
        <v>341</v>
      </c>
      <c r="B312" t="s">
        <v>37</v>
      </c>
      <c r="C312" t="s">
        <v>38</v>
      </c>
      <c r="D312" t="s">
        <v>15</v>
      </c>
      <c r="E312" t="s">
        <v>26</v>
      </c>
      <c r="F312" t="s">
        <v>31</v>
      </c>
      <c r="G312" t="s">
        <v>1037</v>
      </c>
      <c r="H312" t="s">
        <v>1041</v>
      </c>
      <c r="I312" s="1">
        <v>43496</v>
      </c>
      <c r="J312" t="s">
        <v>1045</v>
      </c>
      <c r="K312" s="5">
        <v>0.58611111111111114</v>
      </c>
      <c r="L312" t="s">
        <v>24</v>
      </c>
      <c r="M312">
        <v>23.978999999999999</v>
      </c>
      <c r="N312">
        <v>5.5</v>
      </c>
    </row>
    <row r="313" spans="1:14" x14ac:dyDescent="0.25">
      <c r="A313" t="s">
        <v>342</v>
      </c>
      <c r="B313" t="s">
        <v>20</v>
      </c>
      <c r="C313" t="s">
        <v>21</v>
      </c>
      <c r="D313" t="s">
        <v>15</v>
      </c>
      <c r="E313" t="s">
        <v>26</v>
      </c>
      <c r="F313" t="s">
        <v>41</v>
      </c>
      <c r="G313" t="s">
        <v>1038</v>
      </c>
      <c r="H313" t="s">
        <v>1042</v>
      </c>
      <c r="I313" s="1">
        <v>43501</v>
      </c>
      <c r="J313" t="s">
        <v>1046</v>
      </c>
      <c r="K313" s="5">
        <v>0.79513888888888884</v>
      </c>
      <c r="L313" t="s">
        <v>18</v>
      </c>
      <c r="M313">
        <v>6.9329999999999998</v>
      </c>
      <c r="N313">
        <v>9.6999999999999993</v>
      </c>
    </row>
    <row r="314" spans="1:14" x14ac:dyDescent="0.25">
      <c r="A314" t="s">
        <v>343</v>
      </c>
      <c r="B314" t="s">
        <v>13</v>
      </c>
      <c r="C314" t="s">
        <v>14</v>
      </c>
      <c r="D314" t="s">
        <v>15</v>
      </c>
      <c r="E314" t="s">
        <v>16</v>
      </c>
      <c r="F314" t="s">
        <v>39</v>
      </c>
      <c r="G314" t="s">
        <v>1037</v>
      </c>
      <c r="H314" t="s">
        <v>1042</v>
      </c>
      <c r="I314" s="1">
        <v>43497</v>
      </c>
      <c r="J314" t="s">
        <v>1044</v>
      </c>
      <c r="K314" s="5">
        <v>0.42222222222222222</v>
      </c>
      <c r="L314" t="s">
        <v>28</v>
      </c>
      <c r="M314">
        <v>3.5575000000000001</v>
      </c>
      <c r="N314">
        <v>4.4000000000000004</v>
      </c>
    </row>
    <row r="315" spans="1:14" x14ac:dyDescent="0.25">
      <c r="A315" t="s">
        <v>344</v>
      </c>
      <c r="B315" t="s">
        <v>13</v>
      </c>
      <c r="C315" t="s">
        <v>14</v>
      </c>
      <c r="D315" t="s">
        <v>15</v>
      </c>
      <c r="E315" t="s">
        <v>16</v>
      </c>
      <c r="F315" t="s">
        <v>17</v>
      </c>
      <c r="G315" t="s">
        <v>1035</v>
      </c>
      <c r="H315" t="s">
        <v>1043</v>
      </c>
      <c r="I315" s="1">
        <v>43531</v>
      </c>
      <c r="J315" t="s">
        <v>1045</v>
      </c>
      <c r="K315" s="5">
        <v>0.54999999999999993</v>
      </c>
      <c r="L315" t="s">
        <v>24</v>
      </c>
      <c r="M315">
        <v>6.9974999999999996</v>
      </c>
      <c r="N315">
        <v>5</v>
      </c>
    </row>
    <row r="316" spans="1:14" x14ac:dyDescent="0.25">
      <c r="A316" t="s">
        <v>345</v>
      </c>
      <c r="B316" t="s">
        <v>20</v>
      </c>
      <c r="C316" t="s">
        <v>21</v>
      </c>
      <c r="D316" t="s">
        <v>15</v>
      </c>
      <c r="E316" t="s">
        <v>16</v>
      </c>
      <c r="F316" t="s">
        <v>23</v>
      </c>
      <c r="G316" t="s">
        <v>1039</v>
      </c>
      <c r="H316" t="s">
        <v>1042</v>
      </c>
      <c r="I316" s="1">
        <v>43506</v>
      </c>
      <c r="J316" t="s">
        <v>1046</v>
      </c>
      <c r="K316" s="5">
        <v>0.86875000000000002</v>
      </c>
      <c r="L316" t="s">
        <v>24</v>
      </c>
      <c r="M316">
        <v>39.064999999999998</v>
      </c>
      <c r="N316">
        <v>4.4000000000000004</v>
      </c>
    </row>
    <row r="317" spans="1:14" x14ac:dyDescent="0.25">
      <c r="A317" t="s">
        <v>346</v>
      </c>
      <c r="B317" t="s">
        <v>20</v>
      </c>
      <c r="C317" t="s">
        <v>21</v>
      </c>
      <c r="D317" t="s">
        <v>15</v>
      </c>
      <c r="E317" t="s">
        <v>26</v>
      </c>
      <c r="F317" t="s">
        <v>39</v>
      </c>
      <c r="G317" t="s">
        <v>1039</v>
      </c>
      <c r="H317" t="s">
        <v>1042</v>
      </c>
      <c r="I317" s="1">
        <v>43510</v>
      </c>
      <c r="J317" t="s">
        <v>1046</v>
      </c>
      <c r="K317" s="5">
        <v>0.7284722222222223</v>
      </c>
      <c r="L317" t="s">
        <v>24</v>
      </c>
      <c r="M317">
        <v>9.9369999999999994</v>
      </c>
      <c r="N317">
        <v>5.2</v>
      </c>
    </row>
    <row r="318" spans="1:14" x14ac:dyDescent="0.25">
      <c r="A318" t="s">
        <v>347</v>
      </c>
      <c r="B318" t="s">
        <v>20</v>
      </c>
      <c r="C318" t="s">
        <v>21</v>
      </c>
      <c r="D318" t="s">
        <v>15</v>
      </c>
      <c r="E318" t="s">
        <v>16</v>
      </c>
      <c r="F318" t="s">
        <v>39</v>
      </c>
      <c r="G318" t="s">
        <v>1039</v>
      </c>
      <c r="H318" t="s">
        <v>1042</v>
      </c>
      <c r="I318" s="1">
        <v>43505</v>
      </c>
      <c r="J318" t="s">
        <v>1044</v>
      </c>
      <c r="K318" s="5">
        <v>0.43402777777777773</v>
      </c>
      <c r="L318" t="s">
        <v>24</v>
      </c>
      <c r="M318">
        <v>3.1619999999999999</v>
      </c>
      <c r="N318">
        <v>7.3</v>
      </c>
    </row>
    <row r="319" spans="1:14" x14ac:dyDescent="0.25">
      <c r="A319" t="s">
        <v>348</v>
      </c>
      <c r="B319" t="s">
        <v>20</v>
      </c>
      <c r="C319" t="s">
        <v>21</v>
      </c>
      <c r="D319" t="s">
        <v>15</v>
      </c>
      <c r="E319" t="s">
        <v>26</v>
      </c>
      <c r="F319" t="s">
        <v>23</v>
      </c>
      <c r="G319" t="s">
        <v>1034</v>
      </c>
      <c r="H319" t="s">
        <v>1041</v>
      </c>
      <c r="I319" s="1">
        <v>43475</v>
      </c>
      <c r="J319" t="s">
        <v>1044</v>
      </c>
      <c r="K319" s="5">
        <v>0.48194444444444445</v>
      </c>
      <c r="L319" t="s">
        <v>24</v>
      </c>
      <c r="M319">
        <v>18.697500000000002</v>
      </c>
      <c r="N319">
        <v>4.9000000000000004</v>
      </c>
    </row>
    <row r="320" spans="1:14" x14ac:dyDescent="0.25">
      <c r="A320" t="s">
        <v>349</v>
      </c>
      <c r="B320" t="s">
        <v>20</v>
      </c>
      <c r="C320" t="s">
        <v>21</v>
      </c>
      <c r="D320" t="s">
        <v>15</v>
      </c>
      <c r="E320" t="s">
        <v>16</v>
      </c>
      <c r="F320" t="s">
        <v>17</v>
      </c>
      <c r="G320" t="s">
        <v>1036</v>
      </c>
      <c r="H320" t="s">
        <v>1043</v>
      </c>
      <c r="I320" s="1">
        <v>43535</v>
      </c>
      <c r="J320" t="s">
        <v>1046</v>
      </c>
      <c r="K320" s="5">
        <v>0.79027777777777775</v>
      </c>
      <c r="L320" t="s">
        <v>28</v>
      </c>
      <c r="M320">
        <v>10.384499999999999</v>
      </c>
      <c r="N320">
        <v>8.1</v>
      </c>
    </row>
    <row r="321" spans="1:14" x14ac:dyDescent="0.25">
      <c r="A321" t="s">
        <v>350</v>
      </c>
      <c r="B321" t="s">
        <v>20</v>
      </c>
      <c r="C321" t="s">
        <v>21</v>
      </c>
      <c r="D321" t="s">
        <v>15</v>
      </c>
      <c r="E321" t="s">
        <v>26</v>
      </c>
      <c r="F321" t="s">
        <v>17</v>
      </c>
      <c r="G321" t="s">
        <v>1040</v>
      </c>
      <c r="H321" t="s">
        <v>1042</v>
      </c>
      <c r="I321" s="1">
        <v>43514</v>
      </c>
      <c r="J321" t="s">
        <v>1046</v>
      </c>
      <c r="K321" s="5">
        <v>0.68611111111111101</v>
      </c>
      <c r="L321" t="s">
        <v>18</v>
      </c>
      <c r="M321">
        <v>8.8140000000000001</v>
      </c>
      <c r="N321">
        <v>8.4</v>
      </c>
    </row>
    <row r="322" spans="1:14" x14ac:dyDescent="0.25">
      <c r="A322" t="s">
        <v>351</v>
      </c>
      <c r="B322" t="s">
        <v>20</v>
      </c>
      <c r="C322" t="s">
        <v>21</v>
      </c>
      <c r="D322" t="s">
        <v>22</v>
      </c>
      <c r="E322" t="s">
        <v>16</v>
      </c>
      <c r="F322" t="s">
        <v>39</v>
      </c>
      <c r="G322" t="s">
        <v>1034</v>
      </c>
      <c r="H322" t="s">
        <v>1042</v>
      </c>
      <c r="I322" s="1">
        <v>43522</v>
      </c>
      <c r="J322" t="s">
        <v>1046</v>
      </c>
      <c r="K322" s="5">
        <v>0.85138888888888886</v>
      </c>
      <c r="L322" t="s">
        <v>24</v>
      </c>
      <c r="M322">
        <v>10.3185</v>
      </c>
      <c r="N322">
        <v>5.5</v>
      </c>
    </row>
    <row r="323" spans="1:14" x14ac:dyDescent="0.25">
      <c r="A323" t="s">
        <v>352</v>
      </c>
      <c r="B323" t="s">
        <v>20</v>
      </c>
      <c r="C323" t="s">
        <v>21</v>
      </c>
      <c r="D323" t="s">
        <v>22</v>
      </c>
      <c r="E323" t="s">
        <v>16</v>
      </c>
      <c r="F323" t="s">
        <v>17</v>
      </c>
      <c r="G323" t="s">
        <v>1035</v>
      </c>
      <c r="H323" t="s">
        <v>1041</v>
      </c>
      <c r="I323" s="1">
        <v>43483</v>
      </c>
      <c r="J323" t="s">
        <v>1045</v>
      </c>
      <c r="K323" s="5">
        <v>0.63055555555555554</v>
      </c>
      <c r="L323" t="s">
        <v>24</v>
      </c>
      <c r="M323">
        <v>1.9710000000000001</v>
      </c>
      <c r="N323">
        <v>8.4</v>
      </c>
    </row>
    <row r="324" spans="1:14" x14ac:dyDescent="0.25">
      <c r="A324" t="s">
        <v>353</v>
      </c>
      <c r="B324" t="s">
        <v>13</v>
      </c>
      <c r="C324" t="s">
        <v>14</v>
      </c>
      <c r="D324" t="s">
        <v>22</v>
      </c>
      <c r="E324" t="s">
        <v>26</v>
      </c>
      <c r="F324" t="s">
        <v>17</v>
      </c>
      <c r="G324" t="s">
        <v>1039</v>
      </c>
      <c r="H324" t="s">
        <v>1042</v>
      </c>
      <c r="I324" s="1">
        <v>43511</v>
      </c>
      <c r="J324" t="s">
        <v>1046</v>
      </c>
      <c r="K324" s="5">
        <v>0.75208333333333333</v>
      </c>
      <c r="L324" t="s">
        <v>18</v>
      </c>
      <c r="M324">
        <v>4.5780000000000003</v>
      </c>
      <c r="N324">
        <v>9.8000000000000007</v>
      </c>
    </row>
    <row r="325" spans="1:14" x14ac:dyDescent="0.25">
      <c r="A325" t="s">
        <v>354</v>
      </c>
      <c r="B325" t="s">
        <v>13</v>
      </c>
      <c r="C325" t="s">
        <v>14</v>
      </c>
      <c r="D325" t="s">
        <v>22</v>
      </c>
      <c r="E325" t="s">
        <v>16</v>
      </c>
      <c r="F325" t="s">
        <v>41</v>
      </c>
      <c r="G325" t="s">
        <v>1035</v>
      </c>
      <c r="H325" t="s">
        <v>1043</v>
      </c>
      <c r="I325" s="1">
        <v>43532</v>
      </c>
      <c r="J325" t="s">
        <v>1045</v>
      </c>
      <c r="K325" s="5">
        <v>0.55625000000000002</v>
      </c>
      <c r="L325" t="s">
        <v>24</v>
      </c>
      <c r="M325">
        <v>15.442500000000001</v>
      </c>
      <c r="N325">
        <v>6.7</v>
      </c>
    </row>
    <row r="326" spans="1:14" x14ac:dyDescent="0.25">
      <c r="A326" t="s">
        <v>355</v>
      </c>
      <c r="B326" t="s">
        <v>13</v>
      </c>
      <c r="C326" t="s">
        <v>14</v>
      </c>
      <c r="D326" t="s">
        <v>22</v>
      </c>
      <c r="E326" t="s">
        <v>26</v>
      </c>
      <c r="F326" t="s">
        <v>27</v>
      </c>
      <c r="G326" t="s">
        <v>1035</v>
      </c>
      <c r="H326" t="s">
        <v>1041</v>
      </c>
      <c r="I326" s="1">
        <v>43482</v>
      </c>
      <c r="J326" t="s">
        <v>1045</v>
      </c>
      <c r="K326" s="5">
        <v>0.53333333333333333</v>
      </c>
      <c r="L326" t="s">
        <v>28</v>
      </c>
      <c r="M326">
        <v>6.4560000000000004</v>
      </c>
      <c r="N326">
        <v>9.4</v>
      </c>
    </row>
    <row r="327" spans="1:14" x14ac:dyDescent="0.25">
      <c r="A327" t="s">
        <v>356</v>
      </c>
      <c r="B327" t="s">
        <v>37</v>
      </c>
      <c r="C327" t="s">
        <v>38</v>
      </c>
      <c r="D327" t="s">
        <v>22</v>
      </c>
      <c r="E327" t="s">
        <v>26</v>
      </c>
      <c r="F327" t="s">
        <v>31</v>
      </c>
      <c r="G327" t="s">
        <v>1036</v>
      </c>
      <c r="H327" t="s">
        <v>1043</v>
      </c>
      <c r="I327" s="1">
        <v>43536</v>
      </c>
      <c r="J327" t="s">
        <v>1046</v>
      </c>
      <c r="K327" s="5">
        <v>0.82847222222222217</v>
      </c>
      <c r="L327" t="s">
        <v>18</v>
      </c>
      <c r="M327">
        <v>19.547999999999998</v>
      </c>
      <c r="N327">
        <v>6.4</v>
      </c>
    </row>
    <row r="328" spans="1:14" x14ac:dyDescent="0.25">
      <c r="A328" t="s">
        <v>357</v>
      </c>
      <c r="B328" t="s">
        <v>13</v>
      </c>
      <c r="C328" t="s">
        <v>14</v>
      </c>
      <c r="D328" t="s">
        <v>15</v>
      </c>
      <c r="E328" t="s">
        <v>26</v>
      </c>
      <c r="F328" t="s">
        <v>39</v>
      </c>
      <c r="G328" t="s">
        <v>1036</v>
      </c>
      <c r="H328" t="s">
        <v>1043</v>
      </c>
      <c r="I328" s="1">
        <v>43533</v>
      </c>
      <c r="J328" t="s">
        <v>1046</v>
      </c>
      <c r="K328" s="5">
        <v>0.79791666666666661</v>
      </c>
      <c r="L328" t="s">
        <v>24</v>
      </c>
      <c r="M328">
        <v>24.945</v>
      </c>
      <c r="N328">
        <v>5.4</v>
      </c>
    </row>
    <row r="329" spans="1:14" x14ac:dyDescent="0.25">
      <c r="A329" t="s">
        <v>358</v>
      </c>
      <c r="B329" t="s">
        <v>20</v>
      </c>
      <c r="C329" t="s">
        <v>21</v>
      </c>
      <c r="D329" t="s">
        <v>15</v>
      </c>
      <c r="E329" t="s">
        <v>26</v>
      </c>
      <c r="F329" t="s">
        <v>39</v>
      </c>
      <c r="G329" t="s">
        <v>1036</v>
      </c>
      <c r="H329" t="s">
        <v>1043</v>
      </c>
      <c r="I329" s="1">
        <v>43536</v>
      </c>
      <c r="J329" t="s">
        <v>1046</v>
      </c>
      <c r="K329" s="5">
        <v>0.6875</v>
      </c>
      <c r="L329" t="s">
        <v>24</v>
      </c>
      <c r="M329">
        <v>18.852</v>
      </c>
      <c r="N329">
        <v>8.6</v>
      </c>
    </row>
    <row r="330" spans="1:14" x14ac:dyDescent="0.25">
      <c r="A330" t="s">
        <v>359</v>
      </c>
      <c r="B330" t="s">
        <v>37</v>
      </c>
      <c r="C330" t="s">
        <v>38</v>
      </c>
      <c r="D330" t="s">
        <v>15</v>
      </c>
      <c r="E330" t="s">
        <v>26</v>
      </c>
      <c r="F330" t="s">
        <v>17</v>
      </c>
      <c r="G330" t="s">
        <v>1036</v>
      </c>
      <c r="H330" t="s">
        <v>1041</v>
      </c>
      <c r="I330" s="1">
        <v>43490</v>
      </c>
      <c r="J330" t="s">
        <v>1044</v>
      </c>
      <c r="K330" s="5">
        <v>0.42430555555555555</v>
      </c>
      <c r="L330" t="s">
        <v>28</v>
      </c>
      <c r="M330">
        <v>10.226000000000001</v>
      </c>
      <c r="N330">
        <v>4</v>
      </c>
    </row>
    <row r="331" spans="1:14" x14ac:dyDescent="0.25">
      <c r="A331" t="s">
        <v>360</v>
      </c>
      <c r="B331" t="s">
        <v>13</v>
      </c>
      <c r="C331" t="s">
        <v>14</v>
      </c>
      <c r="D331" t="s">
        <v>15</v>
      </c>
      <c r="E331" t="s">
        <v>26</v>
      </c>
      <c r="F331" t="s">
        <v>23</v>
      </c>
      <c r="G331" t="s">
        <v>1038</v>
      </c>
      <c r="H331" t="s">
        <v>1043</v>
      </c>
      <c r="I331" s="1">
        <v>43549</v>
      </c>
      <c r="J331" t="s">
        <v>1045</v>
      </c>
      <c r="K331" s="5">
        <v>0.54652777777777783</v>
      </c>
      <c r="L331" t="s">
        <v>24</v>
      </c>
      <c r="M331">
        <v>7.2720000000000002</v>
      </c>
      <c r="N331">
        <v>7.6</v>
      </c>
    </row>
    <row r="332" spans="1:14" x14ac:dyDescent="0.25">
      <c r="A332" t="s">
        <v>361</v>
      </c>
      <c r="B332" t="s">
        <v>37</v>
      </c>
      <c r="C332" t="s">
        <v>38</v>
      </c>
      <c r="D332" t="s">
        <v>22</v>
      </c>
      <c r="E332" t="s">
        <v>26</v>
      </c>
      <c r="F332" t="s">
        <v>27</v>
      </c>
      <c r="G332" t="s">
        <v>1038</v>
      </c>
      <c r="H332" t="s">
        <v>1042</v>
      </c>
      <c r="I332" s="1">
        <v>43503</v>
      </c>
      <c r="J332" t="s">
        <v>1046</v>
      </c>
      <c r="K332" s="5">
        <v>0.78333333333333333</v>
      </c>
      <c r="L332" t="s">
        <v>24</v>
      </c>
      <c r="M332">
        <v>9.9090000000000007</v>
      </c>
      <c r="N332">
        <v>6.8</v>
      </c>
    </row>
    <row r="333" spans="1:14" x14ac:dyDescent="0.25">
      <c r="A333" t="s">
        <v>362</v>
      </c>
      <c r="B333" t="s">
        <v>13</v>
      </c>
      <c r="C333" t="s">
        <v>14</v>
      </c>
      <c r="D333" t="s">
        <v>22</v>
      </c>
      <c r="E333" t="s">
        <v>26</v>
      </c>
      <c r="F333" t="s">
        <v>39</v>
      </c>
      <c r="G333" t="s">
        <v>1040</v>
      </c>
      <c r="H333" t="s">
        <v>1042</v>
      </c>
      <c r="I333" s="1">
        <v>43513</v>
      </c>
      <c r="J333" t="s">
        <v>1046</v>
      </c>
      <c r="K333" s="5">
        <v>0.7270833333333333</v>
      </c>
      <c r="L333" t="s">
        <v>28</v>
      </c>
      <c r="M333">
        <v>4.9349999999999996</v>
      </c>
      <c r="N333">
        <v>9.1</v>
      </c>
    </row>
    <row r="334" spans="1:14" x14ac:dyDescent="0.25">
      <c r="A334" t="s">
        <v>363</v>
      </c>
      <c r="B334" t="s">
        <v>13</v>
      </c>
      <c r="C334" t="s">
        <v>14</v>
      </c>
      <c r="D334" t="s">
        <v>22</v>
      </c>
      <c r="E334" t="s">
        <v>26</v>
      </c>
      <c r="F334" t="s">
        <v>41</v>
      </c>
      <c r="G334" t="s">
        <v>1038</v>
      </c>
      <c r="H334" t="s">
        <v>1042</v>
      </c>
      <c r="I334" s="1">
        <v>43499</v>
      </c>
      <c r="J334" t="s">
        <v>1045</v>
      </c>
      <c r="K334" s="5">
        <v>0.66597222222222219</v>
      </c>
      <c r="L334" t="s">
        <v>24</v>
      </c>
      <c r="M334">
        <v>19.254999999999999</v>
      </c>
      <c r="N334">
        <v>5.5</v>
      </c>
    </row>
    <row r="335" spans="1:14" x14ac:dyDescent="0.25">
      <c r="A335" t="s">
        <v>364</v>
      </c>
      <c r="B335" t="s">
        <v>13</v>
      </c>
      <c r="C335" t="s">
        <v>14</v>
      </c>
      <c r="D335" t="s">
        <v>15</v>
      </c>
      <c r="E335" t="s">
        <v>26</v>
      </c>
      <c r="F335" t="s">
        <v>39</v>
      </c>
      <c r="G335" t="s">
        <v>1036</v>
      </c>
      <c r="H335" t="s">
        <v>1043</v>
      </c>
      <c r="I335" s="1">
        <v>43538</v>
      </c>
      <c r="J335" t="s">
        <v>1044</v>
      </c>
      <c r="K335" s="5">
        <v>0.47291666666666665</v>
      </c>
      <c r="L335" t="s">
        <v>28</v>
      </c>
      <c r="M335">
        <v>2.3479999999999999</v>
      </c>
      <c r="N335">
        <v>7.9</v>
      </c>
    </row>
    <row r="336" spans="1:14" x14ac:dyDescent="0.25">
      <c r="A336" t="s">
        <v>365</v>
      </c>
      <c r="B336" t="s">
        <v>20</v>
      </c>
      <c r="C336" t="s">
        <v>21</v>
      </c>
      <c r="D336" t="s">
        <v>15</v>
      </c>
      <c r="E336" t="s">
        <v>26</v>
      </c>
      <c r="F336" t="s">
        <v>31</v>
      </c>
      <c r="G336" t="s">
        <v>1038</v>
      </c>
      <c r="H336" t="s">
        <v>1043</v>
      </c>
      <c r="I336" s="1">
        <v>43548</v>
      </c>
      <c r="J336" t="s">
        <v>1045</v>
      </c>
      <c r="K336" s="5">
        <v>0.57500000000000007</v>
      </c>
      <c r="L336" t="s">
        <v>18</v>
      </c>
      <c r="M336">
        <v>3.6749999999999998</v>
      </c>
      <c r="N336">
        <v>8.5</v>
      </c>
    </row>
    <row r="337" spans="1:14" x14ac:dyDescent="0.25">
      <c r="A337" t="s">
        <v>366</v>
      </c>
      <c r="B337" t="s">
        <v>13</v>
      </c>
      <c r="C337" t="s">
        <v>14</v>
      </c>
      <c r="D337" t="s">
        <v>15</v>
      </c>
      <c r="E337" t="s">
        <v>16</v>
      </c>
      <c r="F337" t="s">
        <v>23</v>
      </c>
      <c r="G337" t="s">
        <v>1037</v>
      </c>
      <c r="H337" t="s">
        <v>1043</v>
      </c>
      <c r="I337" s="1">
        <v>43545</v>
      </c>
      <c r="J337" t="s">
        <v>1044</v>
      </c>
      <c r="K337" s="5">
        <v>0.4284722222222222</v>
      </c>
      <c r="L337" t="s">
        <v>28</v>
      </c>
      <c r="M337">
        <v>7.1124999999999998</v>
      </c>
      <c r="N337">
        <v>9.1</v>
      </c>
    </row>
    <row r="338" spans="1:14" x14ac:dyDescent="0.25">
      <c r="A338" t="s">
        <v>367</v>
      </c>
      <c r="B338" t="s">
        <v>13</v>
      </c>
      <c r="C338" t="s">
        <v>14</v>
      </c>
      <c r="D338" t="s">
        <v>22</v>
      </c>
      <c r="E338" t="s">
        <v>26</v>
      </c>
      <c r="F338" t="s">
        <v>41</v>
      </c>
      <c r="G338" t="s">
        <v>1037</v>
      </c>
      <c r="H338" t="s">
        <v>1043</v>
      </c>
      <c r="I338" s="1">
        <v>43543</v>
      </c>
      <c r="J338" t="s">
        <v>1045</v>
      </c>
      <c r="K338" s="5">
        <v>0.65902777777777777</v>
      </c>
      <c r="L338" t="s">
        <v>18</v>
      </c>
      <c r="M338">
        <v>34.380000000000003</v>
      </c>
      <c r="N338">
        <v>7.5</v>
      </c>
    </row>
    <row r="339" spans="1:14" x14ac:dyDescent="0.25">
      <c r="A339" t="s">
        <v>368</v>
      </c>
      <c r="B339" t="s">
        <v>37</v>
      </c>
      <c r="C339" t="s">
        <v>38</v>
      </c>
      <c r="D339" t="s">
        <v>22</v>
      </c>
      <c r="E339" t="s">
        <v>16</v>
      </c>
      <c r="F339" t="s">
        <v>31</v>
      </c>
      <c r="G339" t="s">
        <v>1034</v>
      </c>
      <c r="H339" t="s">
        <v>1042</v>
      </c>
      <c r="I339" s="1">
        <v>43520</v>
      </c>
      <c r="J339" t="s">
        <v>1045</v>
      </c>
      <c r="K339" s="5">
        <v>0.54305555555555551</v>
      </c>
      <c r="L339" t="s">
        <v>24</v>
      </c>
      <c r="M339">
        <v>17.385000000000002</v>
      </c>
      <c r="N339">
        <v>5.2</v>
      </c>
    </row>
    <row r="340" spans="1:14" x14ac:dyDescent="0.25">
      <c r="A340" t="s">
        <v>369</v>
      </c>
      <c r="B340" t="s">
        <v>20</v>
      </c>
      <c r="C340" t="s">
        <v>21</v>
      </c>
      <c r="D340" t="s">
        <v>22</v>
      </c>
      <c r="E340" t="s">
        <v>16</v>
      </c>
      <c r="F340" t="s">
        <v>23</v>
      </c>
      <c r="G340" t="s">
        <v>1038</v>
      </c>
      <c r="H340" t="s">
        <v>1043</v>
      </c>
      <c r="I340" s="1">
        <v>43552</v>
      </c>
      <c r="J340" t="s">
        <v>1045</v>
      </c>
      <c r="K340" s="5">
        <v>0.54027777777777775</v>
      </c>
      <c r="L340" t="s">
        <v>28</v>
      </c>
      <c r="M340">
        <v>7.1475</v>
      </c>
      <c r="N340">
        <v>9.5</v>
      </c>
    </row>
    <row r="341" spans="1:14" x14ac:dyDescent="0.25">
      <c r="A341" t="s">
        <v>370</v>
      </c>
      <c r="B341" t="s">
        <v>37</v>
      </c>
      <c r="C341" t="s">
        <v>38</v>
      </c>
      <c r="D341" t="s">
        <v>15</v>
      </c>
      <c r="E341" t="s">
        <v>16</v>
      </c>
      <c r="F341" t="s">
        <v>39</v>
      </c>
      <c r="G341" t="s">
        <v>1038</v>
      </c>
      <c r="H341" t="s">
        <v>1042</v>
      </c>
      <c r="I341" s="1">
        <v>43501</v>
      </c>
      <c r="J341" t="s">
        <v>1045</v>
      </c>
      <c r="K341" s="5">
        <v>0.6430555555555556</v>
      </c>
      <c r="L341" t="s">
        <v>28</v>
      </c>
      <c r="M341">
        <v>19.268999999999998</v>
      </c>
      <c r="N341">
        <v>8.9</v>
      </c>
    </row>
    <row r="342" spans="1:14" x14ac:dyDescent="0.25">
      <c r="A342" t="s">
        <v>371</v>
      </c>
      <c r="B342" t="s">
        <v>37</v>
      </c>
      <c r="C342" t="s">
        <v>38</v>
      </c>
      <c r="D342" t="s">
        <v>15</v>
      </c>
      <c r="E342" t="s">
        <v>26</v>
      </c>
      <c r="F342" t="s">
        <v>23</v>
      </c>
      <c r="G342" t="s">
        <v>1039</v>
      </c>
      <c r="H342" t="s">
        <v>1042</v>
      </c>
      <c r="I342" s="1">
        <v>43506</v>
      </c>
      <c r="J342" t="s">
        <v>1046</v>
      </c>
      <c r="K342" s="5">
        <v>0.76597222222222217</v>
      </c>
      <c r="L342" t="s">
        <v>28</v>
      </c>
      <c r="M342">
        <v>7.2134999999999998</v>
      </c>
      <c r="N342">
        <v>7.8</v>
      </c>
    </row>
    <row r="343" spans="1:14" x14ac:dyDescent="0.25">
      <c r="A343" t="s">
        <v>372</v>
      </c>
      <c r="B343" t="s">
        <v>37</v>
      </c>
      <c r="C343" t="s">
        <v>38</v>
      </c>
      <c r="D343" t="s">
        <v>15</v>
      </c>
      <c r="E343" t="s">
        <v>16</v>
      </c>
      <c r="F343" t="s">
        <v>17</v>
      </c>
      <c r="G343" t="s">
        <v>1035</v>
      </c>
      <c r="H343" t="s">
        <v>1043</v>
      </c>
      <c r="I343" s="1">
        <v>43529</v>
      </c>
      <c r="J343" t="s">
        <v>1046</v>
      </c>
      <c r="K343" s="5">
        <v>0.79583333333333339</v>
      </c>
      <c r="L343" t="s">
        <v>18</v>
      </c>
      <c r="M343">
        <v>19.589500000000001</v>
      </c>
      <c r="N343">
        <v>8.9</v>
      </c>
    </row>
    <row r="344" spans="1:14" x14ac:dyDescent="0.25">
      <c r="A344" t="s">
        <v>373</v>
      </c>
      <c r="B344" t="s">
        <v>37</v>
      </c>
      <c r="C344" t="s">
        <v>38</v>
      </c>
      <c r="D344" t="s">
        <v>15</v>
      </c>
      <c r="E344" t="s">
        <v>16</v>
      </c>
      <c r="F344" t="s">
        <v>17</v>
      </c>
      <c r="G344" t="s">
        <v>1039</v>
      </c>
      <c r="H344" t="s">
        <v>1042</v>
      </c>
      <c r="I344" s="1">
        <v>43511</v>
      </c>
      <c r="J344" t="s">
        <v>1046</v>
      </c>
      <c r="K344" s="5">
        <v>0.84791666666666676</v>
      </c>
      <c r="L344" t="s">
        <v>24</v>
      </c>
      <c r="M344">
        <v>26.914999999999999</v>
      </c>
      <c r="N344">
        <v>7.7</v>
      </c>
    </row>
    <row r="345" spans="1:14" x14ac:dyDescent="0.25">
      <c r="A345" t="s">
        <v>374</v>
      </c>
      <c r="B345" t="s">
        <v>20</v>
      </c>
      <c r="C345" t="s">
        <v>21</v>
      </c>
      <c r="D345" t="s">
        <v>22</v>
      </c>
      <c r="E345" t="s">
        <v>16</v>
      </c>
      <c r="F345" t="s">
        <v>39</v>
      </c>
      <c r="G345" t="s">
        <v>1037</v>
      </c>
      <c r="H345" t="s">
        <v>1041</v>
      </c>
      <c r="I345" s="1">
        <v>43495</v>
      </c>
      <c r="J345" t="s">
        <v>1046</v>
      </c>
      <c r="K345" s="5">
        <v>0.68333333333333324</v>
      </c>
      <c r="L345" t="s">
        <v>18</v>
      </c>
      <c r="M345">
        <v>24.2575</v>
      </c>
      <c r="N345">
        <v>9.3000000000000007</v>
      </c>
    </row>
    <row r="346" spans="1:14" x14ac:dyDescent="0.25">
      <c r="A346" t="s">
        <v>375</v>
      </c>
      <c r="B346" t="s">
        <v>13</v>
      </c>
      <c r="C346" t="s">
        <v>14</v>
      </c>
      <c r="D346" t="s">
        <v>22</v>
      </c>
      <c r="E346" t="s">
        <v>26</v>
      </c>
      <c r="F346" t="s">
        <v>31</v>
      </c>
      <c r="G346" t="s">
        <v>1039</v>
      </c>
      <c r="H346" t="s">
        <v>1042</v>
      </c>
      <c r="I346" s="1">
        <v>43510</v>
      </c>
      <c r="J346" t="s">
        <v>1045</v>
      </c>
      <c r="K346" s="5">
        <v>0.62777777777777777</v>
      </c>
      <c r="L346" t="s">
        <v>24</v>
      </c>
      <c r="M346">
        <v>6.6974999999999998</v>
      </c>
      <c r="N346">
        <v>6.2</v>
      </c>
    </row>
    <row r="347" spans="1:14" x14ac:dyDescent="0.25">
      <c r="A347" t="s">
        <v>376</v>
      </c>
      <c r="B347" t="s">
        <v>13</v>
      </c>
      <c r="C347" t="s">
        <v>14</v>
      </c>
      <c r="D347" t="s">
        <v>22</v>
      </c>
      <c r="E347" t="s">
        <v>16</v>
      </c>
      <c r="F347" t="s">
        <v>41</v>
      </c>
      <c r="G347" t="s">
        <v>1034</v>
      </c>
      <c r="H347" t="s">
        <v>1042</v>
      </c>
      <c r="I347" s="1">
        <v>43523</v>
      </c>
      <c r="J347" t="s">
        <v>1046</v>
      </c>
      <c r="K347" s="5">
        <v>0.67361111111111116</v>
      </c>
      <c r="L347" t="s">
        <v>18</v>
      </c>
      <c r="M347">
        <v>35.0685</v>
      </c>
      <c r="N347">
        <v>7.6</v>
      </c>
    </row>
    <row r="348" spans="1:14" x14ac:dyDescent="0.25">
      <c r="A348" t="s">
        <v>377</v>
      </c>
      <c r="B348" t="s">
        <v>13</v>
      </c>
      <c r="C348" t="s">
        <v>14</v>
      </c>
      <c r="D348" t="s">
        <v>15</v>
      </c>
      <c r="E348" t="s">
        <v>26</v>
      </c>
      <c r="F348" t="s">
        <v>23</v>
      </c>
      <c r="G348" t="s">
        <v>1038</v>
      </c>
      <c r="H348" t="s">
        <v>1042</v>
      </c>
      <c r="I348" s="1">
        <v>43500</v>
      </c>
      <c r="J348" t="s">
        <v>1045</v>
      </c>
      <c r="K348" s="5">
        <v>0.50972222222222219</v>
      </c>
      <c r="L348" t="s">
        <v>24</v>
      </c>
      <c r="M348">
        <v>3.5975000000000001</v>
      </c>
      <c r="N348">
        <v>7.3</v>
      </c>
    </row>
    <row r="349" spans="1:14" x14ac:dyDescent="0.25">
      <c r="A349" t="s">
        <v>378</v>
      </c>
      <c r="B349" t="s">
        <v>20</v>
      </c>
      <c r="C349" t="s">
        <v>21</v>
      </c>
      <c r="D349" t="s">
        <v>15</v>
      </c>
      <c r="E349" t="s">
        <v>16</v>
      </c>
      <c r="F349" t="s">
        <v>27</v>
      </c>
      <c r="G349" t="s">
        <v>1036</v>
      </c>
      <c r="H349" t="s">
        <v>1041</v>
      </c>
      <c r="I349" s="1">
        <v>43485</v>
      </c>
      <c r="J349" t="s">
        <v>1044</v>
      </c>
      <c r="K349" s="5">
        <v>0.42569444444444443</v>
      </c>
      <c r="L349" t="s">
        <v>24</v>
      </c>
      <c r="M349">
        <v>35.700000000000003</v>
      </c>
      <c r="N349">
        <v>4.7</v>
      </c>
    </row>
    <row r="350" spans="1:14" x14ac:dyDescent="0.25">
      <c r="A350" t="s">
        <v>379</v>
      </c>
      <c r="B350" t="s">
        <v>13</v>
      </c>
      <c r="C350" t="s">
        <v>14</v>
      </c>
      <c r="D350" t="s">
        <v>22</v>
      </c>
      <c r="E350" t="s">
        <v>26</v>
      </c>
      <c r="F350" t="s">
        <v>23</v>
      </c>
      <c r="G350" t="s">
        <v>1038</v>
      </c>
      <c r="H350" t="s">
        <v>1043</v>
      </c>
      <c r="I350" s="1">
        <v>43552</v>
      </c>
      <c r="J350" t="s">
        <v>1046</v>
      </c>
      <c r="K350" s="5">
        <v>0.73472222222222217</v>
      </c>
      <c r="L350" t="s">
        <v>24</v>
      </c>
      <c r="M350">
        <v>9.1069999999999993</v>
      </c>
      <c r="N350">
        <v>5.0999999999999996</v>
      </c>
    </row>
    <row r="351" spans="1:14" x14ac:dyDescent="0.25">
      <c r="A351" t="s">
        <v>380</v>
      </c>
      <c r="B351" t="s">
        <v>37</v>
      </c>
      <c r="C351" t="s">
        <v>38</v>
      </c>
      <c r="D351" t="s">
        <v>22</v>
      </c>
      <c r="E351" t="s">
        <v>16</v>
      </c>
      <c r="F351" t="s">
        <v>17</v>
      </c>
      <c r="G351" t="s">
        <v>1034</v>
      </c>
      <c r="H351" t="s">
        <v>1042</v>
      </c>
      <c r="I351" s="1">
        <v>43523</v>
      </c>
      <c r="J351" t="s">
        <v>1044</v>
      </c>
      <c r="K351" s="5">
        <v>0.46249999999999997</v>
      </c>
      <c r="L351" t="s">
        <v>28</v>
      </c>
      <c r="M351">
        <v>6.75</v>
      </c>
      <c r="N351">
        <v>4.8</v>
      </c>
    </row>
    <row r="352" spans="1:14" x14ac:dyDescent="0.25">
      <c r="A352" t="s">
        <v>381</v>
      </c>
      <c r="B352" t="s">
        <v>20</v>
      </c>
      <c r="C352" t="s">
        <v>21</v>
      </c>
      <c r="D352" t="s">
        <v>15</v>
      </c>
      <c r="E352" t="s">
        <v>16</v>
      </c>
      <c r="F352" t="s">
        <v>41</v>
      </c>
      <c r="G352" t="s">
        <v>1039</v>
      </c>
      <c r="H352" t="s">
        <v>1042</v>
      </c>
      <c r="I352" s="1">
        <v>43511</v>
      </c>
      <c r="J352" t="s">
        <v>1045</v>
      </c>
      <c r="K352" s="5">
        <v>0.62013888888888891</v>
      </c>
      <c r="L352" t="s">
        <v>28</v>
      </c>
      <c r="M352">
        <v>49.65</v>
      </c>
      <c r="N352">
        <v>6.6</v>
      </c>
    </row>
    <row r="353" spans="1:14" x14ac:dyDescent="0.25">
      <c r="A353" t="s">
        <v>382</v>
      </c>
      <c r="B353" t="s">
        <v>13</v>
      </c>
      <c r="C353" t="s">
        <v>14</v>
      </c>
      <c r="D353" t="s">
        <v>22</v>
      </c>
      <c r="E353" t="s">
        <v>26</v>
      </c>
      <c r="F353" t="s">
        <v>23</v>
      </c>
      <c r="G353" t="s">
        <v>1037</v>
      </c>
      <c r="H353" t="s">
        <v>1041</v>
      </c>
      <c r="I353" s="1">
        <v>43491</v>
      </c>
      <c r="J353" t="s">
        <v>1046</v>
      </c>
      <c r="K353" s="5">
        <v>0.76527777777777783</v>
      </c>
      <c r="L353" t="s">
        <v>24</v>
      </c>
      <c r="M353">
        <v>18.0915</v>
      </c>
      <c r="N353">
        <v>5.5</v>
      </c>
    </row>
    <row r="354" spans="1:14" x14ac:dyDescent="0.25">
      <c r="A354" t="s">
        <v>383</v>
      </c>
      <c r="B354" t="s">
        <v>37</v>
      </c>
      <c r="C354" t="s">
        <v>38</v>
      </c>
      <c r="D354" t="s">
        <v>15</v>
      </c>
      <c r="E354" t="s">
        <v>16</v>
      </c>
      <c r="F354" t="s">
        <v>41</v>
      </c>
      <c r="G354" t="s">
        <v>1036</v>
      </c>
      <c r="H354" t="s">
        <v>1043</v>
      </c>
      <c r="I354" s="1">
        <v>43538</v>
      </c>
      <c r="J354" t="s">
        <v>1046</v>
      </c>
      <c r="K354" s="5">
        <v>0.79305555555555562</v>
      </c>
      <c r="L354" t="s">
        <v>28</v>
      </c>
      <c r="M354">
        <v>19.1555</v>
      </c>
      <c r="N354">
        <v>8.5</v>
      </c>
    </row>
    <row r="355" spans="1:14" x14ac:dyDescent="0.25">
      <c r="A355" t="s">
        <v>384</v>
      </c>
      <c r="B355" t="s">
        <v>37</v>
      </c>
      <c r="C355" t="s">
        <v>38</v>
      </c>
      <c r="D355" t="s">
        <v>15</v>
      </c>
      <c r="E355" t="s">
        <v>26</v>
      </c>
      <c r="F355" t="s">
        <v>27</v>
      </c>
      <c r="G355" t="s">
        <v>1035</v>
      </c>
      <c r="H355" t="s">
        <v>1043</v>
      </c>
      <c r="I355" s="1">
        <v>43526</v>
      </c>
      <c r="J355" t="s">
        <v>1045</v>
      </c>
      <c r="K355" s="5">
        <v>0.59444444444444444</v>
      </c>
      <c r="L355" t="s">
        <v>24</v>
      </c>
      <c r="M355">
        <v>12.15</v>
      </c>
      <c r="N355">
        <v>4.8</v>
      </c>
    </row>
    <row r="356" spans="1:14" x14ac:dyDescent="0.25">
      <c r="A356" t="s">
        <v>385</v>
      </c>
      <c r="B356" t="s">
        <v>20</v>
      </c>
      <c r="C356" t="s">
        <v>21</v>
      </c>
      <c r="D356" t="s">
        <v>22</v>
      </c>
      <c r="E356" t="s">
        <v>16</v>
      </c>
      <c r="F356" t="s">
        <v>23</v>
      </c>
      <c r="G356" t="s">
        <v>1035</v>
      </c>
      <c r="H356" t="s">
        <v>1043</v>
      </c>
      <c r="I356" s="1">
        <v>43528</v>
      </c>
      <c r="J356" t="s">
        <v>1045</v>
      </c>
      <c r="K356" s="5">
        <v>0.65555555555555556</v>
      </c>
      <c r="L356" t="s">
        <v>24</v>
      </c>
      <c r="M356">
        <v>1.512</v>
      </c>
      <c r="N356">
        <v>8.4</v>
      </c>
    </row>
    <row r="357" spans="1:14" x14ac:dyDescent="0.25">
      <c r="A357" t="s">
        <v>386</v>
      </c>
      <c r="B357" t="s">
        <v>37</v>
      </c>
      <c r="C357" t="s">
        <v>38</v>
      </c>
      <c r="D357" t="s">
        <v>15</v>
      </c>
      <c r="E357" t="s">
        <v>16</v>
      </c>
      <c r="F357" t="s">
        <v>39</v>
      </c>
      <c r="G357" t="s">
        <v>1034</v>
      </c>
      <c r="H357" t="s">
        <v>1041</v>
      </c>
      <c r="I357" s="1">
        <v>43472</v>
      </c>
      <c r="J357" t="s">
        <v>1045</v>
      </c>
      <c r="K357" s="5">
        <v>0.51388888888888895</v>
      </c>
      <c r="L357" t="s">
        <v>28</v>
      </c>
      <c r="M357">
        <v>17.827999999999999</v>
      </c>
      <c r="N357">
        <v>7.8</v>
      </c>
    </row>
    <row r="358" spans="1:14" x14ac:dyDescent="0.25">
      <c r="A358" t="s">
        <v>387</v>
      </c>
      <c r="B358" t="s">
        <v>20</v>
      </c>
      <c r="C358" t="s">
        <v>21</v>
      </c>
      <c r="D358" t="s">
        <v>22</v>
      </c>
      <c r="E358" t="s">
        <v>16</v>
      </c>
      <c r="F358" t="s">
        <v>41</v>
      </c>
      <c r="G358" t="s">
        <v>1035</v>
      </c>
      <c r="H358" t="s">
        <v>1043</v>
      </c>
      <c r="I358" s="1">
        <v>43532</v>
      </c>
      <c r="J358" t="s">
        <v>1046</v>
      </c>
      <c r="K358" s="5">
        <v>0.8340277777777777</v>
      </c>
      <c r="L358" t="s">
        <v>28</v>
      </c>
      <c r="M358">
        <v>18.774999999999999</v>
      </c>
      <c r="N358">
        <v>9.3000000000000007</v>
      </c>
    </row>
    <row r="359" spans="1:14" x14ac:dyDescent="0.25">
      <c r="A359" t="s">
        <v>388</v>
      </c>
      <c r="B359" t="s">
        <v>20</v>
      </c>
      <c r="C359" t="s">
        <v>21</v>
      </c>
      <c r="D359" t="s">
        <v>22</v>
      </c>
      <c r="E359" t="s">
        <v>16</v>
      </c>
      <c r="F359" t="s">
        <v>31</v>
      </c>
      <c r="G359" t="s">
        <v>1034</v>
      </c>
      <c r="H359" t="s">
        <v>1041</v>
      </c>
      <c r="I359" s="1">
        <v>43474</v>
      </c>
      <c r="J359" t="s">
        <v>1045</v>
      </c>
      <c r="K359" s="5">
        <v>0.57291666666666663</v>
      </c>
      <c r="L359" t="s">
        <v>24</v>
      </c>
      <c r="M359">
        <v>47.72</v>
      </c>
      <c r="N359">
        <v>5.2</v>
      </c>
    </row>
    <row r="360" spans="1:14" x14ac:dyDescent="0.25">
      <c r="A360" t="s">
        <v>389</v>
      </c>
      <c r="B360" t="s">
        <v>37</v>
      </c>
      <c r="C360" t="s">
        <v>38</v>
      </c>
      <c r="D360" t="s">
        <v>22</v>
      </c>
      <c r="E360" t="s">
        <v>26</v>
      </c>
      <c r="F360" t="s">
        <v>23</v>
      </c>
      <c r="G360" t="s">
        <v>1034</v>
      </c>
      <c r="H360" t="s">
        <v>1043</v>
      </c>
      <c r="I360" s="1">
        <v>43525</v>
      </c>
      <c r="J360" t="s">
        <v>1045</v>
      </c>
      <c r="K360" s="5">
        <v>0.65277777777777779</v>
      </c>
      <c r="L360" t="s">
        <v>18</v>
      </c>
      <c r="M360">
        <v>4.125</v>
      </c>
      <c r="N360">
        <v>6.5</v>
      </c>
    </row>
    <row r="361" spans="1:14" x14ac:dyDescent="0.25">
      <c r="A361" t="s">
        <v>390</v>
      </c>
      <c r="B361" t="s">
        <v>37</v>
      </c>
      <c r="C361" t="s">
        <v>38</v>
      </c>
      <c r="D361" t="s">
        <v>22</v>
      </c>
      <c r="E361" t="s">
        <v>26</v>
      </c>
      <c r="F361" t="s">
        <v>31</v>
      </c>
      <c r="G361" t="s">
        <v>1037</v>
      </c>
      <c r="H361" t="s">
        <v>1043</v>
      </c>
      <c r="I361" s="1">
        <v>43540</v>
      </c>
      <c r="J361" t="s">
        <v>1046</v>
      </c>
      <c r="K361" s="5">
        <v>0.70694444444444438</v>
      </c>
      <c r="L361" t="s">
        <v>24</v>
      </c>
      <c r="M361">
        <v>3.7484999999999999</v>
      </c>
      <c r="N361">
        <v>5.6</v>
      </c>
    </row>
    <row r="362" spans="1:14" x14ac:dyDescent="0.25">
      <c r="A362" t="s">
        <v>391</v>
      </c>
      <c r="B362" t="s">
        <v>13</v>
      </c>
      <c r="C362" t="s">
        <v>14</v>
      </c>
      <c r="D362" t="s">
        <v>15</v>
      </c>
      <c r="E362" t="s">
        <v>26</v>
      </c>
      <c r="F362" t="s">
        <v>39</v>
      </c>
      <c r="G362" t="s">
        <v>1040</v>
      </c>
      <c r="H362" t="s">
        <v>1042</v>
      </c>
      <c r="I362" s="1">
        <v>43513</v>
      </c>
      <c r="J362" t="s">
        <v>1044</v>
      </c>
      <c r="K362" s="5">
        <v>0.46666666666666662</v>
      </c>
      <c r="L362" t="s">
        <v>28</v>
      </c>
      <c r="M362">
        <v>32.384</v>
      </c>
      <c r="N362">
        <v>7.4</v>
      </c>
    </row>
    <row r="363" spans="1:14" x14ac:dyDescent="0.25">
      <c r="A363" t="s">
        <v>392</v>
      </c>
      <c r="B363" t="s">
        <v>20</v>
      </c>
      <c r="C363" t="s">
        <v>21</v>
      </c>
      <c r="D363" t="s">
        <v>22</v>
      </c>
      <c r="E363" t="s">
        <v>16</v>
      </c>
      <c r="F363" t="s">
        <v>39</v>
      </c>
      <c r="G363" t="s">
        <v>1034</v>
      </c>
      <c r="H363" t="s">
        <v>1042</v>
      </c>
      <c r="I363" s="1">
        <v>43523</v>
      </c>
      <c r="J363" t="s">
        <v>1045</v>
      </c>
      <c r="K363" s="5">
        <v>0.6333333333333333</v>
      </c>
      <c r="L363" t="s">
        <v>24</v>
      </c>
      <c r="M363">
        <v>37.787999999999997</v>
      </c>
      <c r="N363">
        <v>9.1</v>
      </c>
    </row>
    <row r="364" spans="1:14" x14ac:dyDescent="0.25">
      <c r="A364" t="s">
        <v>393</v>
      </c>
      <c r="B364" t="s">
        <v>20</v>
      </c>
      <c r="C364" t="s">
        <v>21</v>
      </c>
      <c r="D364" t="s">
        <v>22</v>
      </c>
      <c r="E364" t="s">
        <v>26</v>
      </c>
      <c r="F364" t="s">
        <v>39</v>
      </c>
      <c r="G364" t="s">
        <v>1035</v>
      </c>
      <c r="H364" t="s">
        <v>1043</v>
      </c>
      <c r="I364" s="1">
        <v>43531</v>
      </c>
      <c r="J364" t="s">
        <v>1046</v>
      </c>
      <c r="K364" s="5">
        <v>0.85902777777777783</v>
      </c>
      <c r="L364" t="s">
        <v>18</v>
      </c>
      <c r="M364">
        <v>9.9789999999999992</v>
      </c>
      <c r="N364">
        <v>8</v>
      </c>
    </row>
    <row r="365" spans="1:14" x14ac:dyDescent="0.25">
      <c r="A365" t="s">
        <v>394</v>
      </c>
      <c r="B365" t="s">
        <v>13</v>
      </c>
      <c r="C365" t="s">
        <v>14</v>
      </c>
      <c r="D365" t="s">
        <v>22</v>
      </c>
      <c r="E365" t="s">
        <v>26</v>
      </c>
      <c r="F365" t="s">
        <v>27</v>
      </c>
      <c r="G365" t="s">
        <v>1036</v>
      </c>
      <c r="H365" t="s">
        <v>1041</v>
      </c>
      <c r="I365" s="1">
        <v>43486</v>
      </c>
      <c r="J365" t="s">
        <v>1046</v>
      </c>
      <c r="K365" s="5">
        <v>0.73888888888888893</v>
      </c>
      <c r="L365" t="s">
        <v>24</v>
      </c>
      <c r="M365">
        <v>21.966000000000001</v>
      </c>
      <c r="N365">
        <v>7.2</v>
      </c>
    </row>
    <row r="366" spans="1:14" x14ac:dyDescent="0.25">
      <c r="A366" t="s">
        <v>395</v>
      </c>
      <c r="B366" t="s">
        <v>20</v>
      </c>
      <c r="C366" t="s">
        <v>21</v>
      </c>
      <c r="D366" t="s">
        <v>22</v>
      </c>
      <c r="E366" t="s">
        <v>16</v>
      </c>
      <c r="F366" t="s">
        <v>39</v>
      </c>
      <c r="G366" t="s">
        <v>1040</v>
      </c>
      <c r="H366" t="s">
        <v>1042</v>
      </c>
      <c r="I366" s="1">
        <v>43515</v>
      </c>
      <c r="J366" t="s">
        <v>1046</v>
      </c>
      <c r="K366" s="5">
        <v>0.68263888888888891</v>
      </c>
      <c r="L366" t="s">
        <v>24</v>
      </c>
      <c r="M366">
        <v>8.2479999999999993</v>
      </c>
      <c r="N366">
        <v>7.1</v>
      </c>
    </row>
    <row r="367" spans="1:14" x14ac:dyDescent="0.25">
      <c r="A367" t="s">
        <v>396</v>
      </c>
      <c r="B367" t="s">
        <v>20</v>
      </c>
      <c r="C367" t="s">
        <v>21</v>
      </c>
      <c r="D367" t="s">
        <v>22</v>
      </c>
      <c r="E367" t="s">
        <v>16</v>
      </c>
      <c r="F367" t="s">
        <v>41</v>
      </c>
      <c r="G367" t="s">
        <v>1034</v>
      </c>
      <c r="H367" t="s">
        <v>1041</v>
      </c>
      <c r="I367" s="1">
        <v>43471</v>
      </c>
      <c r="J367" t="s">
        <v>1045</v>
      </c>
      <c r="K367" s="5">
        <v>0.5083333333333333</v>
      </c>
      <c r="L367" t="s">
        <v>24</v>
      </c>
      <c r="M367">
        <v>16.335999999999999</v>
      </c>
      <c r="N367">
        <v>9.1</v>
      </c>
    </row>
    <row r="368" spans="1:14" x14ac:dyDescent="0.25">
      <c r="A368" t="s">
        <v>397</v>
      </c>
      <c r="B368" t="s">
        <v>20</v>
      </c>
      <c r="C368" t="s">
        <v>21</v>
      </c>
      <c r="D368" t="s">
        <v>22</v>
      </c>
      <c r="E368" t="s">
        <v>16</v>
      </c>
      <c r="F368" t="s">
        <v>23</v>
      </c>
      <c r="G368" t="s">
        <v>1036</v>
      </c>
      <c r="H368" t="s">
        <v>1043</v>
      </c>
      <c r="I368" s="1">
        <v>43538</v>
      </c>
      <c r="J368" t="s">
        <v>1046</v>
      </c>
      <c r="K368" s="5">
        <v>0.81458333333333333</v>
      </c>
      <c r="L368" t="s">
        <v>24</v>
      </c>
      <c r="M368">
        <v>23.094000000000001</v>
      </c>
      <c r="N368">
        <v>5.6</v>
      </c>
    </row>
    <row r="369" spans="1:14" x14ac:dyDescent="0.25">
      <c r="A369" t="s">
        <v>398</v>
      </c>
      <c r="B369" t="s">
        <v>13</v>
      </c>
      <c r="C369" t="s">
        <v>14</v>
      </c>
      <c r="D369" t="s">
        <v>15</v>
      </c>
      <c r="E369" t="s">
        <v>26</v>
      </c>
      <c r="F369" t="s">
        <v>27</v>
      </c>
      <c r="G369" t="s">
        <v>1038</v>
      </c>
      <c r="H369" t="s">
        <v>1043</v>
      </c>
      <c r="I369" s="1">
        <v>43548</v>
      </c>
      <c r="J369" t="s">
        <v>1044</v>
      </c>
      <c r="K369" s="5">
        <v>0.4368055555555555</v>
      </c>
      <c r="L369" t="s">
        <v>24</v>
      </c>
      <c r="M369">
        <v>13.188000000000001</v>
      </c>
      <c r="N369">
        <v>6</v>
      </c>
    </row>
    <row r="370" spans="1:14" x14ac:dyDescent="0.25">
      <c r="A370" t="s">
        <v>399</v>
      </c>
      <c r="B370" t="s">
        <v>20</v>
      </c>
      <c r="C370" t="s">
        <v>21</v>
      </c>
      <c r="D370" t="s">
        <v>22</v>
      </c>
      <c r="E370" t="s">
        <v>16</v>
      </c>
      <c r="F370" t="s">
        <v>31</v>
      </c>
      <c r="G370" t="s">
        <v>1037</v>
      </c>
      <c r="H370" t="s">
        <v>1041</v>
      </c>
      <c r="I370" s="1">
        <v>43492</v>
      </c>
      <c r="J370" t="s">
        <v>1045</v>
      </c>
      <c r="K370" s="5">
        <v>0.60277777777777775</v>
      </c>
      <c r="L370" t="s">
        <v>24</v>
      </c>
      <c r="M370">
        <v>7.18</v>
      </c>
      <c r="N370">
        <v>5.4</v>
      </c>
    </row>
    <row r="371" spans="1:14" x14ac:dyDescent="0.25">
      <c r="A371" t="s">
        <v>400</v>
      </c>
      <c r="B371" t="s">
        <v>13</v>
      </c>
      <c r="C371" t="s">
        <v>14</v>
      </c>
      <c r="D371" t="s">
        <v>15</v>
      </c>
      <c r="E371" t="s">
        <v>26</v>
      </c>
      <c r="F371" t="s">
        <v>23</v>
      </c>
      <c r="G371" t="s">
        <v>1035</v>
      </c>
      <c r="H371" t="s">
        <v>1043</v>
      </c>
      <c r="I371" s="1">
        <v>43530</v>
      </c>
      <c r="J371" t="s">
        <v>1045</v>
      </c>
      <c r="K371" s="5">
        <v>0.53194444444444444</v>
      </c>
      <c r="L371" t="s">
        <v>28</v>
      </c>
      <c r="M371">
        <v>9.6750000000000007</v>
      </c>
      <c r="N371">
        <v>7.8</v>
      </c>
    </row>
    <row r="372" spans="1:14" x14ac:dyDescent="0.25">
      <c r="A372" t="s">
        <v>401</v>
      </c>
      <c r="B372" t="s">
        <v>37</v>
      </c>
      <c r="C372" t="s">
        <v>38</v>
      </c>
      <c r="D372" t="s">
        <v>15</v>
      </c>
      <c r="E372" t="s">
        <v>16</v>
      </c>
      <c r="F372" t="s">
        <v>23</v>
      </c>
      <c r="G372" t="s">
        <v>1038</v>
      </c>
      <c r="H372" t="s">
        <v>1042</v>
      </c>
      <c r="I372" s="1">
        <v>43498</v>
      </c>
      <c r="J372" t="s">
        <v>1046</v>
      </c>
      <c r="K372" s="5">
        <v>0.81944444444444453</v>
      </c>
      <c r="L372" t="s">
        <v>24</v>
      </c>
      <c r="M372">
        <v>9.1910000000000007</v>
      </c>
      <c r="N372">
        <v>9.9</v>
      </c>
    </row>
    <row r="373" spans="1:14" x14ac:dyDescent="0.25">
      <c r="A373" t="s">
        <v>402</v>
      </c>
      <c r="B373" t="s">
        <v>37</v>
      </c>
      <c r="C373" t="s">
        <v>38</v>
      </c>
      <c r="D373" t="s">
        <v>22</v>
      </c>
      <c r="E373" t="s">
        <v>16</v>
      </c>
      <c r="F373" t="s">
        <v>41</v>
      </c>
      <c r="G373" t="s">
        <v>1036</v>
      </c>
      <c r="H373" t="s">
        <v>1041</v>
      </c>
      <c r="I373" s="1">
        <v>43490</v>
      </c>
      <c r="J373" t="s">
        <v>1046</v>
      </c>
      <c r="K373" s="5">
        <v>0.81874999999999998</v>
      </c>
      <c r="L373" t="s">
        <v>28</v>
      </c>
      <c r="M373">
        <v>6.0960000000000001</v>
      </c>
      <c r="N373">
        <v>4.9000000000000004</v>
      </c>
    </row>
    <row r="374" spans="1:14" x14ac:dyDescent="0.25">
      <c r="A374" t="s">
        <v>403</v>
      </c>
      <c r="B374" t="s">
        <v>20</v>
      </c>
      <c r="C374" t="s">
        <v>21</v>
      </c>
      <c r="D374" t="s">
        <v>22</v>
      </c>
      <c r="E374" t="s">
        <v>16</v>
      </c>
      <c r="F374" t="s">
        <v>27</v>
      </c>
      <c r="G374" t="s">
        <v>1036</v>
      </c>
      <c r="H374" t="s">
        <v>1043</v>
      </c>
      <c r="I374" s="1">
        <v>43538</v>
      </c>
      <c r="J374" t="s">
        <v>1046</v>
      </c>
      <c r="K374" s="5">
        <v>0.74583333333333324</v>
      </c>
      <c r="L374" t="s">
        <v>18</v>
      </c>
      <c r="M374">
        <v>21.033000000000001</v>
      </c>
      <c r="N374">
        <v>5.2</v>
      </c>
    </row>
    <row r="375" spans="1:14" x14ac:dyDescent="0.25">
      <c r="A375" t="s">
        <v>404</v>
      </c>
      <c r="B375" t="s">
        <v>20</v>
      </c>
      <c r="C375" t="s">
        <v>21</v>
      </c>
      <c r="D375" t="s">
        <v>22</v>
      </c>
      <c r="E375" t="s">
        <v>26</v>
      </c>
      <c r="F375" t="s">
        <v>41</v>
      </c>
      <c r="G375" t="s">
        <v>1037</v>
      </c>
      <c r="H375" t="s">
        <v>1041</v>
      </c>
      <c r="I375" s="1">
        <v>43494</v>
      </c>
      <c r="J375" t="s">
        <v>1045</v>
      </c>
      <c r="K375" s="5">
        <v>0.51736111111111105</v>
      </c>
      <c r="L375" t="s">
        <v>24</v>
      </c>
      <c r="M375">
        <v>12.624000000000001</v>
      </c>
      <c r="N375">
        <v>8.9</v>
      </c>
    </row>
    <row r="376" spans="1:14" x14ac:dyDescent="0.25">
      <c r="A376" t="s">
        <v>405</v>
      </c>
      <c r="B376" t="s">
        <v>13</v>
      </c>
      <c r="C376" t="s">
        <v>14</v>
      </c>
      <c r="D376" t="s">
        <v>22</v>
      </c>
      <c r="E376" t="s">
        <v>16</v>
      </c>
      <c r="F376" t="s">
        <v>27</v>
      </c>
      <c r="G376" t="s">
        <v>1040</v>
      </c>
      <c r="H376" t="s">
        <v>1041</v>
      </c>
      <c r="I376" s="1">
        <v>43468</v>
      </c>
      <c r="J376" t="s">
        <v>1046</v>
      </c>
      <c r="K376" s="5">
        <v>0.69930555555555562</v>
      </c>
      <c r="L376" t="s">
        <v>28</v>
      </c>
      <c r="M376">
        <v>16.772500000000001</v>
      </c>
      <c r="N376">
        <v>9.1</v>
      </c>
    </row>
    <row r="377" spans="1:14" x14ac:dyDescent="0.25">
      <c r="A377" t="s">
        <v>406</v>
      </c>
      <c r="B377" t="s">
        <v>13</v>
      </c>
      <c r="C377" t="s">
        <v>14</v>
      </c>
      <c r="D377" t="s">
        <v>15</v>
      </c>
      <c r="E377" t="s">
        <v>16</v>
      </c>
      <c r="F377" t="s">
        <v>41</v>
      </c>
      <c r="G377" t="s">
        <v>1035</v>
      </c>
      <c r="H377" t="s">
        <v>1041</v>
      </c>
      <c r="I377" s="1">
        <v>43479</v>
      </c>
      <c r="J377" t="s">
        <v>1045</v>
      </c>
      <c r="K377" s="5">
        <v>0.53611111111111109</v>
      </c>
      <c r="L377" t="s">
        <v>18</v>
      </c>
      <c r="M377">
        <v>24.175000000000001</v>
      </c>
      <c r="N377">
        <v>7</v>
      </c>
    </row>
    <row r="378" spans="1:14" x14ac:dyDescent="0.25">
      <c r="A378" t="s">
        <v>407</v>
      </c>
      <c r="B378" t="s">
        <v>37</v>
      </c>
      <c r="C378" t="s">
        <v>38</v>
      </c>
      <c r="D378" t="s">
        <v>15</v>
      </c>
      <c r="E378" t="s">
        <v>16</v>
      </c>
      <c r="F378" t="s">
        <v>27</v>
      </c>
      <c r="G378" t="s">
        <v>1034</v>
      </c>
      <c r="H378" t="s">
        <v>1041</v>
      </c>
      <c r="I378" s="1">
        <v>43470</v>
      </c>
      <c r="J378" t="s">
        <v>1046</v>
      </c>
      <c r="K378" s="5">
        <v>0.82638888888888884</v>
      </c>
      <c r="L378" t="s">
        <v>28</v>
      </c>
      <c r="M378">
        <v>15.920999999999999</v>
      </c>
      <c r="N378">
        <v>9.6</v>
      </c>
    </row>
    <row r="379" spans="1:14" x14ac:dyDescent="0.25">
      <c r="A379" t="s">
        <v>408</v>
      </c>
      <c r="B379" t="s">
        <v>20</v>
      </c>
      <c r="C379" t="s">
        <v>21</v>
      </c>
      <c r="D379" t="s">
        <v>22</v>
      </c>
      <c r="E379" t="s">
        <v>26</v>
      </c>
      <c r="F379" t="s">
        <v>31</v>
      </c>
      <c r="G379" t="s">
        <v>1040</v>
      </c>
      <c r="H379" t="s">
        <v>1042</v>
      </c>
      <c r="I379" s="1">
        <v>43518</v>
      </c>
      <c r="J379" t="s">
        <v>1046</v>
      </c>
      <c r="K379" s="5">
        <v>0.76180555555555562</v>
      </c>
      <c r="L379" t="s">
        <v>18</v>
      </c>
      <c r="M379">
        <v>33.421500000000002</v>
      </c>
      <c r="N379">
        <v>8.6999999999999993</v>
      </c>
    </row>
    <row r="380" spans="1:14" x14ac:dyDescent="0.25">
      <c r="A380" t="s">
        <v>409</v>
      </c>
      <c r="B380" t="s">
        <v>20</v>
      </c>
      <c r="C380" t="s">
        <v>21</v>
      </c>
      <c r="D380" t="s">
        <v>15</v>
      </c>
      <c r="E380" t="s">
        <v>26</v>
      </c>
      <c r="F380" t="s">
        <v>41</v>
      </c>
      <c r="G380" t="s">
        <v>1038</v>
      </c>
      <c r="H380" t="s">
        <v>1042</v>
      </c>
      <c r="I380" s="1">
        <v>43502</v>
      </c>
      <c r="J380" t="s">
        <v>1046</v>
      </c>
      <c r="K380" s="5">
        <v>0.72222222222222221</v>
      </c>
      <c r="L380" t="s">
        <v>18</v>
      </c>
      <c r="M380">
        <v>19.396000000000001</v>
      </c>
      <c r="N380">
        <v>9.4</v>
      </c>
    </row>
    <row r="381" spans="1:14" x14ac:dyDescent="0.25">
      <c r="A381" t="s">
        <v>410</v>
      </c>
      <c r="B381" t="s">
        <v>37</v>
      </c>
      <c r="C381" t="s">
        <v>38</v>
      </c>
      <c r="D381" t="s">
        <v>22</v>
      </c>
      <c r="E381" t="s">
        <v>16</v>
      </c>
      <c r="F381" t="s">
        <v>23</v>
      </c>
      <c r="G381" t="s">
        <v>1037</v>
      </c>
      <c r="H381" t="s">
        <v>1041</v>
      </c>
      <c r="I381" s="1">
        <v>43495</v>
      </c>
      <c r="J381" t="s">
        <v>1045</v>
      </c>
      <c r="K381" s="5">
        <v>0.56388888888888888</v>
      </c>
      <c r="L381" t="s">
        <v>28</v>
      </c>
      <c r="M381">
        <v>4.7300000000000004</v>
      </c>
      <c r="N381">
        <v>4</v>
      </c>
    </row>
    <row r="382" spans="1:14" x14ac:dyDescent="0.25">
      <c r="A382" t="s">
        <v>411</v>
      </c>
      <c r="B382" t="s">
        <v>13</v>
      </c>
      <c r="C382" t="s">
        <v>14</v>
      </c>
      <c r="D382" t="s">
        <v>15</v>
      </c>
      <c r="E382" t="s">
        <v>26</v>
      </c>
      <c r="F382" t="s">
        <v>31</v>
      </c>
      <c r="G382" t="s">
        <v>1034</v>
      </c>
      <c r="H382" t="s">
        <v>1041</v>
      </c>
      <c r="I382" s="1">
        <v>43476</v>
      </c>
      <c r="J382" t="s">
        <v>1044</v>
      </c>
      <c r="K382" s="5">
        <v>0.44236111111111115</v>
      </c>
      <c r="L382" t="s">
        <v>28</v>
      </c>
      <c r="M382">
        <v>16.466000000000001</v>
      </c>
      <c r="N382">
        <v>7.5</v>
      </c>
    </row>
    <row r="383" spans="1:14" x14ac:dyDescent="0.25">
      <c r="A383" t="s">
        <v>412</v>
      </c>
      <c r="B383" t="s">
        <v>20</v>
      </c>
      <c r="C383" t="s">
        <v>21</v>
      </c>
      <c r="D383" t="s">
        <v>22</v>
      </c>
      <c r="E383" t="s">
        <v>16</v>
      </c>
      <c r="F383" t="s">
        <v>23</v>
      </c>
      <c r="G383" t="s">
        <v>1037</v>
      </c>
      <c r="H383" t="s">
        <v>1043</v>
      </c>
      <c r="I383" s="1">
        <v>43543</v>
      </c>
      <c r="J383" t="s">
        <v>1045</v>
      </c>
      <c r="K383" s="5">
        <v>0.60763888888888895</v>
      </c>
      <c r="L383" t="s">
        <v>24</v>
      </c>
      <c r="M383">
        <v>2.661</v>
      </c>
      <c r="N383">
        <v>4.2</v>
      </c>
    </row>
    <row r="384" spans="1:14" x14ac:dyDescent="0.25">
      <c r="A384" t="s">
        <v>413</v>
      </c>
      <c r="B384" t="s">
        <v>37</v>
      </c>
      <c r="C384" t="s">
        <v>38</v>
      </c>
      <c r="D384" t="s">
        <v>22</v>
      </c>
      <c r="E384" t="s">
        <v>16</v>
      </c>
      <c r="F384" t="s">
        <v>39</v>
      </c>
      <c r="G384" t="s">
        <v>1035</v>
      </c>
      <c r="H384" t="s">
        <v>1041</v>
      </c>
      <c r="I384" s="1">
        <v>43479</v>
      </c>
      <c r="J384" t="s">
        <v>1045</v>
      </c>
      <c r="K384" s="5">
        <v>0.50624999999999998</v>
      </c>
      <c r="L384" t="s">
        <v>24</v>
      </c>
      <c r="M384">
        <v>24.922499999999999</v>
      </c>
      <c r="N384">
        <v>9.9</v>
      </c>
    </row>
    <row r="385" spans="1:14" x14ac:dyDescent="0.25">
      <c r="A385" t="s">
        <v>414</v>
      </c>
      <c r="B385" t="s">
        <v>20</v>
      </c>
      <c r="C385" t="s">
        <v>21</v>
      </c>
      <c r="D385" t="s">
        <v>15</v>
      </c>
      <c r="E385" t="s">
        <v>16</v>
      </c>
      <c r="F385" t="s">
        <v>39</v>
      </c>
      <c r="G385" t="s">
        <v>1034</v>
      </c>
      <c r="H385" t="s">
        <v>1043</v>
      </c>
      <c r="I385" s="1">
        <v>43525</v>
      </c>
      <c r="J385" t="s">
        <v>1045</v>
      </c>
      <c r="K385" s="5">
        <v>0.64722222222222225</v>
      </c>
      <c r="L385" t="s">
        <v>18</v>
      </c>
      <c r="M385">
        <v>14.978</v>
      </c>
      <c r="N385">
        <v>4.2</v>
      </c>
    </row>
    <row r="386" spans="1:14" x14ac:dyDescent="0.25">
      <c r="A386" t="s">
        <v>415</v>
      </c>
      <c r="B386" t="s">
        <v>13</v>
      </c>
      <c r="C386" t="s">
        <v>14</v>
      </c>
      <c r="D386" t="s">
        <v>22</v>
      </c>
      <c r="E386" t="s">
        <v>16</v>
      </c>
      <c r="F386" t="s">
        <v>39</v>
      </c>
      <c r="G386" t="s">
        <v>1034</v>
      </c>
      <c r="H386" t="s">
        <v>1041</v>
      </c>
      <c r="I386" s="1">
        <v>43471</v>
      </c>
      <c r="J386" t="s">
        <v>1045</v>
      </c>
      <c r="K386" s="5">
        <v>0.58194444444444449</v>
      </c>
      <c r="L386" t="s">
        <v>18</v>
      </c>
      <c r="M386">
        <v>10.234999999999999</v>
      </c>
      <c r="N386">
        <v>9.9</v>
      </c>
    </row>
    <row r="387" spans="1:14" x14ac:dyDescent="0.25">
      <c r="A387" t="s">
        <v>416</v>
      </c>
      <c r="B387" t="s">
        <v>37</v>
      </c>
      <c r="C387" t="s">
        <v>38</v>
      </c>
      <c r="D387" t="s">
        <v>15</v>
      </c>
      <c r="E387" t="s">
        <v>26</v>
      </c>
      <c r="F387" t="s">
        <v>31</v>
      </c>
      <c r="G387" t="s">
        <v>1037</v>
      </c>
      <c r="H387" t="s">
        <v>1041</v>
      </c>
      <c r="I387" s="1">
        <v>43496</v>
      </c>
      <c r="J387" t="s">
        <v>1045</v>
      </c>
      <c r="K387" s="5">
        <v>0.55486111111111114</v>
      </c>
      <c r="L387" t="s">
        <v>24</v>
      </c>
      <c r="M387">
        <v>3.7909999999999999</v>
      </c>
      <c r="N387">
        <v>5.8</v>
      </c>
    </row>
    <row r="388" spans="1:14" x14ac:dyDescent="0.25">
      <c r="A388" t="s">
        <v>417</v>
      </c>
      <c r="B388" t="s">
        <v>20</v>
      </c>
      <c r="C388" t="s">
        <v>21</v>
      </c>
      <c r="D388" t="s">
        <v>22</v>
      </c>
      <c r="E388" t="s">
        <v>26</v>
      </c>
      <c r="F388" t="s">
        <v>39</v>
      </c>
      <c r="G388" t="s">
        <v>1036</v>
      </c>
      <c r="H388" t="s">
        <v>1043</v>
      </c>
      <c r="I388" s="1">
        <v>43535</v>
      </c>
      <c r="J388" t="s">
        <v>1045</v>
      </c>
      <c r="K388" s="5">
        <v>0.56736111111111109</v>
      </c>
      <c r="L388" t="s">
        <v>24</v>
      </c>
      <c r="M388">
        <v>14.031000000000001</v>
      </c>
      <c r="N388">
        <v>6</v>
      </c>
    </row>
    <row r="389" spans="1:14" x14ac:dyDescent="0.25">
      <c r="A389" t="s">
        <v>418</v>
      </c>
      <c r="B389" t="s">
        <v>13</v>
      </c>
      <c r="C389" t="s">
        <v>14</v>
      </c>
      <c r="D389" t="s">
        <v>22</v>
      </c>
      <c r="E389" t="s">
        <v>16</v>
      </c>
      <c r="F389" t="s">
        <v>17</v>
      </c>
      <c r="G389" t="s">
        <v>1040</v>
      </c>
      <c r="H389" t="s">
        <v>1042</v>
      </c>
      <c r="I389" s="1">
        <v>43516</v>
      </c>
      <c r="J389" t="s">
        <v>1046</v>
      </c>
      <c r="K389" s="5">
        <v>0.7006944444444444</v>
      </c>
      <c r="L389" t="s">
        <v>28</v>
      </c>
      <c r="M389">
        <v>16.16</v>
      </c>
      <c r="N389">
        <v>10</v>
      </c>
    </row>
    <row r="390" spans="1:14" x14ac:dyDescent="0.25">
      <c r="A390" t="s">
        <v>419</v>
      </c>
      <c r="B390" t="s">
        <v>20</v>
      </c>
      <c r="C390" t="s">
        <v>21</v>
      </c>
      <c r="D390" t="s">
        <v>15</v>
      </c>
      <c r="E390" t="s">
        <v>16</v>
      </c>
      <c r="F390" t="s">
        <v>41</v>
      </c>
      <c r="G390" t="s">
        <v>1037</v>
      </c>
      <c r="H390" t="s">
        <v>1041</v>
      </c>
      <c r="I390" s="1">
        <v>43492</v>
      </c>
      <c r="J390" t="s">
        <v>1045</v>
      </c>
      <c r="K390" s="5">
        <v>0.62152777777777779</v>
      </c>
      <c r="L390" t="s">
        <v>18</v>
      </c>
      <c r="M390">
        <v>24.331499999999998</v>
      </c>
      <c r="N390">
        <v>9.5</v>
      </c>
    </row>
    <row r="391" spans="1:14" x14ac:dyDescent="0.25">
      <c r="A391" t="s">
        <v>420</v>
      </c>
      <c r="B391" t="s">
        <v>37</v>
      </c>
      <c r="C391" t="s">
        <v>38</v>
      </c>
      <c r="D391" t="s">
        <v>22</v>
      </c>
      <c r="E391" t="s">
        <v>26</v>
      </c>
      <c r="F391" t="s">
        <v>39</v>
      </c>
      <c r="G391" t="s">
        <v>1036</v>
      </c>
      <c r="H391" t="s">
        <v>1043</v>
      </c>
      <c r="I391" s="1">
        <v>43534</v>
      </c>
      <c r="J391" t="s">
        <v>1045</v>
      </c>
      <c r="K391" s="5">
        <v>0.58611111111111114</v>
      </c>
      <c r="L391" t="s">
        <v>28</v>
      </c>
      <c r="M391">
        <v>6.3769999999999998</v>
      </c>
      <c r="N391">
        <v>6.6</v>
      </c>
    </row>
    <row r="392" spans="1:14" x14ac:dyDescent="0.25">
      <c r="A392" t="s">
        <v>421</v>
      </c>
      <c r="B392" t="s">
        <v>20</v>
      </c>
      <c r="C392" t="s">
        <v>21</v>
      </c>
      <c r="D392" t="s">
        <v>15</v>
      </c>
      <c r="E392" t="s">
        <v>16</v>
      </c>
      <c r="F392" t="s">
        <v>41</v>
      </c>
      <c r="G392" t="s">
        <v>1039</v>
      </c>
      <c r="H392" t="s">
        <v>1042</v>
      </c>
      <c r="I392" s="1">
        <v>43511</v>
      </c>
      <c r="J392" t="s">
        <v>1045</v>
      </c>
      <c r="K392" s="5">
        <v>0.52152777777777781</v>
      </c>
      <c r="L392" t="s">
        <v>24</v>
      </c>
      <c r="M392">
        <v>12.071999999999999</v>
      </c>
      <c r="N392">
        <v>8.1</v>
      </c>
    </row>
    <row r="393" spans="1:14" x14ac:dyDescent="0.25">
      <c r="A393" t="s">
        <v>422</v>
      </c>
      <c r="B393" t="s">
        <v>37</v>
      </c>
      <c r="C393" t="s">
        <v>38</v>
      </c>
      <c r="D393" t="s">
        <v>22</v>
      </c>
      <c r="E393" t="s">
        <v>16</v>
      </c>
      <c r="F393" t="s">
        <v>41</v>
      </c>
      <c r="G393" t="s">
        <v>1037</v>
      </c>
      <c r="H393" t="s">
        <v>1041</v>
      </c>
      <c r="I393" s="1">
        <v>43491</v>
      </c>
      <c r="J393" t="s">
        <v>1045</v>
      </c>
      <c r="K393" s="5">
        <v>0.61875000000000002</v>
      </c>
      <c r="L393" t="s">
        <v>24</v>
      </c>
      <c r="M393">
        <v>18.975000000000001</v>
      </c>
      <c r="N393">
        <v>9.6999999999999993</v>
      </c>
    </row>
    <row r="394" spans="1:14" x14ac:dyDescent="0.25">
      <c r="A394" t="s">
        <v>423</v>
      </c>
      <c r="B394" t="s">
        <v>13</v>
      </c>
      <c r="C394" t="s">
        <v>14</v>
      </c>
      <c r="D394" t="s">
        <v>15</v>
      </c>
      <c r="E394" t="s">
        <v>26</v>
      </c>
      <c r="F394" t="s">
        <v>23</v>
      </c>
      <c r="G394" t="s">
        <v>1039</v>
      </c>
      <c r="H394" t="s">
        <v>1042</v>
      </c>
      <c r="I394" s="1">
        <v>43509</v>
      </c>
      <c r="J394" t="s">
        <v>1046</v>
      </c>
      <c r="K394" s="5">
        <v>0.76874999999999993</v>
      </c>
      <c r="L394" t="s">
        <v>18</v>
      </c>
      <c r="M394">
        <v>3.8410000000000002</v>
      </c>
      <c r="N394">
        <v>7.2</v>
      </c>
    </row>
    <row r="395" spans="1:14" x14ac:dyDescent="0.25">
      <c r="A395" t="s">
        <v>424</v>
      </c>
      <c r="B395" t="s">
        <v>13</v>
      </c>
      <c r="C395" t="s">
        <v>14</v>
      </c>
      <c r="D395" t="s">
        <v>15</v>
      </c>
      <c r="E395" t="s">
        <v>16</v>
      </c>
      <c r="F395" t="s">
        <v>31</v>
      </c>
      <c r="G395" t="s">
        <v>1036</v>
      </c>
      <c r="H395" t="s">
        <v>1043</v>
      </c>
      <c r="I395" s="1">
        <v>43533</v>
      </c>
      <c r="J395" t="s">
        <v>1045</v>
      </c>
      <c r="K395" s="5">
        <v>0.53125</v>
      </c>
      <c r="L395" t="s">
        <v>28</v>
      </c>
      <c r="M395">
        <v>26.13</v>
      </c>
      <c r="N395">
        <v>6.2</v>
      </c>
    </row>
    <row r="396" spans="1:14" x14ac:dyDescent="0.25">
      <c r="A396" t="s">
        <v>425</v>
      </c>
      <c r="B396" t="s">
        <v>13</v>
      </c>
      <c r="C396" t="s">
        <v>14</v>
      </c>
      <c r="D396" t="s">
        <v>22</v>
      </c>
      <c r="E396" t="s">
        <v>16</v>
      </c>
      <c r="F396" t="s">
        <v>17</v>
      </c>
      <c r="G396" t="s">
        <v>1035</v>
      </c>
      <c r="H396" t="s">
        <v>1043</v>
      </c>
      <c r="I396" s="1">
        <v>43530</v>
      </c>
      <c r="J396" t="s">
        <v>1044</v>
      </c>
      <c r="K396" s="5">
        <v>0.44166666666666665</v>
      </c>
      <c r="L396" t="s">
        <v>18</v>
      </c>
      <c r="M396">
        <v>3.9870000000000001</v>
      </c>
      <c r="N396">
        <v>7.3</v>
      </c>
    </row>
    <row r="397" spans="1:14" x14ac:dyDescent="0.25">
      <c r="A397" t="s">
        <v>426</v>
      </c>
      <c r="B397" t="s">
        <v>13</v>
      </c>
      <c r="C397" t="s">
        <v>14</v>
      </c>
      <c r="D397" t="s">
        <v>22</v>
      </c>
      <c r="E397" t="s">
        <v>16</v>
      </c>
      <c r="F397" t="s">
        <v>17</v>
      </c>
      <c r="G397" t="s">
        <v>1036</v>
      </c>
      <c r="H397" t="s">
        <v>1041</v>
      </c>
      <c r="I397" s="1">
        <v>43489</v>
      </c>
      <c r="J397" t="s">
        <v>1046</v>
      </c>
      <c r="K397" s="5">
        <v>0.85833333333333339</v>
      </c>
      <c r="L397" t="s">
        <v>18</v>
      </c>
      <c r="M397">
        <v>19.375</v>
      </c>
      <c r="N397">
        <v>4.3</v>
      </c>
    </row>
    <row r="398" spans="1:14" x14ac:dyDescent="0.25">
      <c r="A398" t="s">
        <v>427</v>
      </c>
      <c r="B398" t="s">
        <v>13</v>
      </c>
      <c r="C398" t="s">
        <v>14</v>
      </c>
      <c r="D398" t="s">
        <v>22</v>
      </c>
      <c r="E398" t="s">
        <v>16</v>
      </c>
      <c r="F398" t="s">
        <v>39</v>
      </c>
      <c r="G398" t="s">
        <v>1036</v>
      </c>
      <c r="H398" t="s">
        <v>1043</v>
      </c>
      <c r="I398" s="1">
        <v>43537</v>
      </c>
      <c r="J398" t="s">
        <v>1045</v>
      </c>
      <c r="K398" s="5">
        <v>0.59444444444444444</v>
      </c>
      <c r="L398" t="s">
        <v>18</v>
      </c>
      <c r="M398">
        <v>13.567500000000001</v>
      </c>
      <c r="N398">
        <v>4.5999999999999996</v>
      </c>
    </row>
    <row r="399" spans="1:14" x14ac:dyDescent="0.25">
      <c r="A399" t="s">
        <v>428</v>
      </c>
      <c r="B399" t="s">
        <v>37</v>
      </c>
      <c r="C399" t="s">
        <v>38</v>
      </c>
      <c r="D399" t="s">
        <v>22</v>
      </c>
      <c r="E399" t="s">
        <v>26</v>
      </c>
      <c r="F399" t="s">
        <v>27</v>
      </c>
      <c r="G399" t="s">
        <v>1036</v>
      </c>
      <c r="H399" t="s">
        <v>1043</v>
      </c>
      <c r="I399" s="1">
        <v>43539</v>
      </c>
      <c r="J399" t="s">
        <v>1044</v>
      </c>
      <c r="K399" s="5">
        <v>0.43472222222222223</v>
      </c>
      <c r="L399" t="s">
        <v>24</v>
      </c>
      <c r="M399">
        <v>6.1154999999999999</v>
      </c>
      <c r="N399">
        <v>5.8</v>
      </c>
    </row>
    <row r="400" spans="1:14" x14ac:dyDescent="0.25">
      <c r="A400" t="s">
        <v>429</v>
      </c>
      <c r="B400" t="s">
        <v>37</v>
      </c>
      <c r="C400" t="s">
        <v>38</v>
      </c>
      <c r="D400" t="s">
        <v>15</v>
      </c>
      <c r="E400" t="s">
        <v>16</v>
      </c>
      <c r="F400" t="s">
        <v>17</v>
      </c>
      <c r="G400" t="s">
        <v>1035</v>
      </c>
      <c r="H400" t="s">
        <v>1043</v>
      </c>
      <c r="I400" s="1">
        <v>43529</v>
      </c>
      <c r="J400" t="s">
        <v>1045</v>
      </c>
      <c r="K400" s="5">
        <v>0.5625</v>
      </c>
      <c r="L400" t="s">
        <v>28</v>
      </c>
      <c r="M400">
        <v>12.318</v>
      </c>
      <c r="N400">
        <v>8.3000000000000007</v>
      </c>
    </row>
    <row r="401" spans="1:14" x14ac:dyDescent="0.25">
      <c r="A401" t="s">
        <v>430</v>
      </c>
      <c r="B401" t="s">
        <v>37</v>
      </c>
      <c r="C401" t="s">
        <v>38</v>
      </c>
      <c r="D401" t="s">
        <v>15</v>
      </c>
      <c r="E401" t="s">
        <v>26</v>
      </c>
      <c r="F401" t="s">
        <v>23</v>
      </c>
      <c r="G401" t="s">
        <v>1035</v>
      </c>
      <c r="H401" t="s">
        <v>1043</v>
      </c>
      <c r="I401" s="1">
        <v>43528</v>
      </c>
      <c r="J401" t="s">
        <v>1046</v>
      </c>
      <c r="K401" s="5">
        <v>0.68611111111111101</v>
      </c>
      <c r="L401" t="s">
        <v>24</v>
      </c>
      <c r="M401">
        <v>8.6579999999999995</v>
      </c>
      <c r="N401">
        <v>8</v>
      </c>
    </row>
    <row r="402" spans="1:14" x14ac:dyDescent="0.25">
      <c r="A402" t="s">
        <v>431</v>
      </c>
      <c r="B402" t="s">
        <v>20</v>
      </c>
      <c r="C402" t="s">
        <v>21</v>
      </c>
      <c r="D402" t="s">
        <v>22</v>
      </c>
      <c r="E402" t="s">
        <v>16</v>
      </c>
      <c r="F402" t="s">
        <v>39</v>
      </c>
      <c r="G402" t="s">
        <v>1038</v>
      </c>
      <c r="H402" t="s">
        <v>1043</v>
      </c>
      <c r="I402" s="1">
        <v>43549</v>
      </c>
      <c r="J402" t="s">
        <v>1046</v>
      </c>
      <c r="K402" s="5">
        <v>0.84583333333333333</v>
      </c>
      <c r="L402" t="s">
        <v>28</v>
      </c>
      <c r="M402">
        <v>11.829000000000001</v>
      </c>
      <c r="N402">
        <v>9.4</v>
      </c>
    </row>
    <row r="403" spans="1:14" x14ac:dyDescent="0.25">
      <c r="A403" t="s">
        <v>432</v>
      </c>
      <c r="B403" t="s">
        <v>20</v>
      </c>
      <c r="C403" t="s">
        <v>21</v>
      </c>
      <c r="D403" t="s">
        <v>22</v>
      </c>
      <c r="E403" t="s">
        <v>26</v>
      </c>
      <c r="F403" t="s">
        <v>27</v>
      </c>
      <c r="G403" t="s">
        <v>1036</v>
      </c>
      <c r="H403" t="s">
        <v>1043</v>
      </c>
      <c r="I403" s="1">
        <v>43536</v>
      </c>
      <c r="J403" t="s">
        <v>1046</v>
      </c>
      <c r="K403" s="5">
        <v>0.83611111111111114</v>
      </c>
      <c r="L403" t="s">
        <v>28</v>
      </c>
      <c r="M403">
        <v>9.2439999999999998</v>
      </c>
      <c r="N403">
        <v>6.2</v>
      </c>
    </row>
    <row r="404" spans="1:14" x14ac:dyDescent="0.25">
      <c r="A404" t="s">
        <v>433</v>
      </c>
      <c r="B404" t="s">
        <v>20</v>
      </c>
      <c r="C404" t="s">
        <v>21</v>
      </c>
      <c r="D404" t="s">
        <v>15</v>
      </c>
      <c r="E404" t="s">
        <v>26</v>
      </c>
      <c r="F404" t="s">
        <v>27</v>
      </c>
      <c r="G404" t="s">
        <v>1038</v>
      </c>
      <c r="H404" t="s">
        <v>1042</v>
      </c>
      <c r="I404" s="1">
        <v>43500</v>
      </c>
      <c r="J404" t="s">
        <v>1045</v>
      </c>
      <c r="K404" s="5">
        <v>0.56805555555555554</v>
      </c>
      <c r="L404" t="s">
        <v>18</v>
      </c>
      <c r="M404">
        <v>0.69899999999999995</v>
      </c>
      <c r="N404">
        <v>9.8000000000000007</v>
      </c>
    </row>
    <row r="405" spans="1:14" x14ac:dyDescent="0.25">
      <c r="A405" t="s">
        <v>434</v>
      </c>
      <c r="B405" t="s">
        <v>37</v>
      </c>
      <c r="C405" t="s">
        <v>38</v>
      </c>
      <c r="D405" t="s">
        <v>22</v>
      </c>
      <c r="E405" t="s">
        <v>16</v>
      </c>
      <c r="F405" t="s">
        <v>41</v>
      </c>
      <c r="G405" t="s">
        <v>1040</v>
      </c>
      <c r="H405" t="s">
        <v>1042</v>
      </c>
      <c r="I405" s="1">
        <v>43518</v>
      </c>
      <c r="J405" t="s">
        <v>1044</v>
      </c>
      <c r="K405" s="5">
        <v>0.4465277777777778</v>
      </c>
      <c r="L405" t="s">
        <v>18</v>
      </c>
      <c r="M405">
        <v>9.9375</v>
      </c>
      <c r="N405">
        <v>9.6</v>
      </c>
    </row>
    <row r="406" spans="1:14" x14ac:dyDescent="0.25">
      <c r="A406" t="s">
        <v>435</v>
      </c>
      <c r="B406" t="s">
        <v>20</v>
      </c>
      <c r="C406" t="s">
        <v>21</v>
      </c>
      <c r="D406" t="s">
        <v>15</v>
      </c>
      <c r="E406" t="s">
        <v>16</v>
      </c>
      <c r="F406" t="s">
        <v>41</v>
      </c>
      <c r="G406" t="s">
        <v>1040</v>
      </c>
      <c r="H406" t="s">
        <v>1042</v>
      </c>
      <c r="I406" s="1">
        <v>43512</v>
      </c>
      <c r="J406" t="s">
        <v>1046</v>
      </c>
      <c r="K406" s="5">
        <v>0.72916666666666663</v>
      </c>
      <c r="L406" t="s">
        <v>18</v>
      </c>
      <c r="M406">
        <v>34.226500000000001</v>
      </c>
      <c r="N406">
        <v>4.9000000000000004</v>
      </c>
    </row>
    <row r="407" spans="1:14" x14ac:dyDescent="0.25">
      <c r="A407" t="s">
        <v>436</v>
      </c>
      <c r="B407" t="s">
        <v>13</v>
      </c>
      <c r="C407" t="s">
        <v>14</v>
      </c>
      <c r="D407" t="s">
        <v>15</v>
      </c>
      <c r="E407" t="s">
        <v>26</v>
      </c>
      <c r="F407" t="s">
        <v>31</v>
      </c>
      <c r="G407" t="s">
        <v>1036</v>
      </c>
      <c r="H407" t="s">
        <v>1041</v>
      </c>
      <c r="I407" s="1">
        <v>43484</v>
      </c>
      <c r="J407" t="s">
        <v>1045</v>
      </c>
      <c r="K407" s="5">
        <v>0.64444444444444449</v>
      </c>
      <c r="L407" t="s">
        <v>28</v>
      </c>
      <c r="M407">
        <v>13.452</v>
      </c>
      <c r="N407">
        <v>8</v>
      </c>
    </row>
    <row r="408" spans="1:14" x14ac:dyDescent="0.25">
      <c r="A408" t="s">
        <v>437</v>
      </c>
      <c r="B408" t="s">
        <v>13</v>
      </c>
      <c r="C408" t="s">
        <v>14</v>
      </c>
      <c r="D408" t="s">
        <v>22</v>
      </c>
      <c r="E408" t="s">
        <v>26</v>
      </c>
      <c r="F408" t="s">
        <v>39</v>
      </c>
      <c r="G408" t="s">
        <v>1034</v>
      </c>
      <c r="H408" t="s">
        <v>1041</v>
      </c>
      <c r="I408" s="1">
        <v>43476</v>
      </c>
      <c r="J408" t="s">
        <v>1046</v>
      </c>
      <c r="K408" s="5">
        <v>0.79652777777777783</v>
      </c>
      <c r="L408" t="s">
        <v>28</v>
      </c>
      <c r="M408">
        <v>3.4474999999999998</v>
      </c>
      <c r="N408">
        <v>7.8</v>
      </c>
    </row>
    <row r="409" spans="1:14" x14ac:dyDescent="0.25">
      <c r="A409" t="s">
        <v>438</v>
      </c>
      <c r="B409" t="s">
        <v>37</v>
      </c>
      <c r="C409" t="s">
        <v>38</v>
      </c>
      <c r="D409" t="s">
        <v>15</v>
      </c>
      <c r="E409" t="s">
        <v>16</v>
      </c>
      <c r="F409" t="s">
        <v>41</v>
      </c>
      <c r="G409" t="s">
        <v>1040</v>
      </c>
      <c r="H409" t="s">
        <v>1041</v>
      </c>
      <c r="I409" s="1">
        <v>43469</v>
      </c>
      <c r="J409" t="s">
        <v>1046</v>
      </c>
      <c r="K409" s="5">
        <v>0.79236111111111107</v>
      </c>
      <c r="L409" t="s">
        <v>24</v>
      </c>
      <c r="M409">
        <v>13.742000000000001</v>
      </c>
      <c r="N409">
        <v>4.0999999999999996</v>
      </c>
    </row>
    <row r="410" spans="1:14" x14ac:dyDescent="0.25">
      <c r="A410" t="s">
        <v>439</v>
      </c>
      <c r="B410" t="s">
        <v>13</v>
      </c>
      <c r="C410" t="s">
        <v>14</v>
      </c>
      <c r="D410" t="s">
        <v>22</v>
      </c>
      <c r="E410" t="s">
        <v>16</v>
      </c>
      <c r="F410" t="s">
        <v>27</v>
      </c>
      <c r="G410" t="s">
        <v>1035</v>
      </c>
      <c r="H410" t="s">
        <v>1043</v>
      </c>
      <c r="I410" s="1">
        <v>43528</v>
      </c>
      <c r="J410" t="s">
        <v>1046</v>
      </c>
      <c r="K410" s="5">
        <v>0.82500000000000007</v>
      </c>
      <c r="L410" t="s">
        <v>18</v>
      </c>
      <c r="M410">
        <v>11.305999999999999</v>
      </c>
      <c r="N410">
        <v>5.5</v>
      </c>
    </row>
    <row r="411" spans="1:14" x14ac:dyDescent="0.25">
      <c r="A411" t="s">
        <v>440</v>
      </c>
      <c r="B411" t="s">
        <v>20</v>
      </c>
      <c r="C411" t="s">
        <v>21</v>
      </c>
      <c r="D411" t="s">
        <v>22</v>
      </c>
      <c r="E411" t="s">
        <v>16</v>
      </c>
      <c r="F411" t="s">
        <v>41</v>
      </c>
      <c r="G411" t="s">
        <v>1037</v>
      </c>
      <c r="H411" t="s">
        <v>1041</v>
      </c>
      <c r="I411" s="1">
        <v>43493</v>
      </c>
      <c r="J411" t="s">
        <v>1046</v>
      </c>
      <c r="K411" s="5">
        <v>0.80833333333333324</v>
      </c>
      <c r="L411" t="s">
        <v>18</v>
      </c>
      <c r="M411">
        <v>5.9550000000000001</v>
      </c>
      <c r="N411">
        <v>5.4</v>
      </c>
    </row>
    <row r="412" spans="1:14" x14ac:dyDescent="0.25">
      <c r="A412" t="s">
        <v>441</v>
      </c>
      <c r="B412" t="s">
        <v>37</v>
      </c>
      <c r="C412" t="s">
        <v>38</v>
      </c>
      <c r="D412" t="s">
        <v>22</v>
      </c>
      <c r="E412" t="s">
        <v>16</v>
      </c>
      <c r="F412" t="s">
        <v>17</v>
      </c>
      <c r="G412" t="s">
        <v>1040</v>
      </c>
      <c r="H412" t="s">
        <v>1041</v>
      </c>
      <c r="I412" s="1">
        <v>43467</v>
      </c>
      <c r="J412" t="s">
        <v>1045</v>
      </c>
      <c r="K412" s="5">
        <v>0.54166666666666663</v>
      </c>
      <c r="L412" t="s">
        <v>24</v>
      </c>
      <c r="M412">
        <v>17.105</v>
      </c>
      <c r="N412">
        <v>5.0999999999999996</v>
      </c>
    </row>
    <row r="413" spans="1:14" x14ac:dyDescent="0.25">
      <c r="A413" t="s">
        <v>442</v>
      </c>
      <c r="B413" t="s">
        <v>37</v>
      </c>
      <c r="C413" t="s">
        <v>38</v>
      </c>
      <c r="D413" t="s">
        <v>22</v>
      </c>
      <c r="E413" t="s">
        <v>26</v>
      </c>
      <c r="F413" t="s">
        <v>31</v>
      </c>
      <c r="G413" t="s">
        <v>1036</v>
      </c>
      <c r="H413" t="s">
        <v>1041</v>
      </c>
      <c r="I413" s="1">
        <v>43490</v>
      </c>
      <c r="J413" t="s">
        <v>1045</v>
      </c>
      <c r="K413" s="5">
        <v>0.60347222222222219</v>
      </c>
      <c r="L413" t="s">
        <v>18</v>
      </c>
      <c r="M413">
        <v>2.1869999999999998</v>
      </c>
      <c r="N413">
        <v>6.9</v>
      </c>
    </row>
    <row r="414" spans="1:14" x14ac:dyDescent="0.25">
      <c r="A414" t="s">
        <v>443</v>
      </c>
      <c r="B414" t="s">
        <v>13</v>
      </c>
      <c r="C414" t="s">
        <v>14</v>
      </c>
      <c r="D414" t="s">
        <v>15</v>
      </c>
      <c r="E414" t="s">
        <v>26</v>
      </c>
      <c r="F414" t="s">
        <v>17</v>
      </c>
      <c r="G414" t="s">
        <v>1040</v>
      </c>
      <c r="H414" t="s">
        <v>1041</v>
      </c>
      <c r="I414" s="1">
        <v>43469</v>
      </c>
      <c r="J414" t="s">
        <v>1045</v>
      </c>
      <c r="K414" s="5">
        <v>0.55625000000000002</v>
      </c>
      <c r="L414" t="s">
        <v>24</v>
      </c>
      <c r="M414">
        <v>5.2424999999999997</v>
      </c>
      <c r="N414">
        <v>7.8</v>
      </c>
    </row>
    <row r="415" spans="1:14" x14ac:dyDescent="0.25">
      <c r="A415" t="s">
        <v>444</v>
      </c>
      <c r="B415" t="s">
        <v>13</v>
      </c>
      <c r="C415" t="s">
        <v>14</v>
      </c>
      <c r="D415" t="s">
        <v>22</v>
      </c>
      <c r="E415" t="s">
        <v>26</v>
      </c>
      <c r="F415" t="s">
        <v>31</v>
      </c>
      <c r="G415" t="s">
        <v>1036</v>
      </c>
      <c r="H415" t="s">
        <v>1043</v>
      </c>
      <c r="I415" s="1">
        <v>43534</v>
      </c>
      <c r="J415" t="s">
        <v>1046</v>
      </c>
      <c r="K415" s="5">
        <v>0.78819444444444453</v>
      </c>
      <c r="L415" t="s">
        <v>18</v>
      </c>
      <c r="M415">
        <v>3.8759999999999999</v>
      </c>
      <c r="N415">
        <v>6.6</v>
      </c>
    </row>
    <row r="416" spans="1:14" x14ac:dyDescent="0.25">
      <c r="A416" t="s">
        <v>445</v>
      </c>
      <c r="B416" t="s">
        <v>13</v>
      </c>
      <c r="C416" t="s">
        <v>14</v>
      </c>
      <c r="D416" t="s">
        <v>22</v>
      </c>
      <c r="E416" t="s">
        <v>26</v>
      </c>
      <c r="F416" t="s">
        <v>27</v>
      </c>
      <c r="G416" t="s">
        <v>1037</v>
      </c>
      <c r="H416" t="s">
        <v>1043</v>
      </c>
      <c r="I416" s="1">
        <v>43546</v>
      </c>
      <c r="J416" t="s">
        <v>1046</v>
      </c>
      <c r="K416" s="5">
        <v>0.81666666666666676</v>
      </c>
      <c r="L416" t="s">
        <v>18</v>
      </c>
      <c r="M416">
        <v>20.372</v>
      </c>
      <c r="N416">
        <v>9.1999999999999993</v>
      </c>
    </row>
    <row r="417" spans="1:14" x14ac:dyDescent="0.25">
      <c r="A417" t="s">
        <v>446</v>
      </c>
      <c r="B417" t="s">
        <v>37</v>
      </c>
      <c r="C417" t="s">
        <v>38</v>
      </c>
      <c r="D417" t="s">
        <v>22</v>
      </c>
      <c r="E417" t="s">
        <v>26</v>
      </c>
      <c r="F417" t="s">
        <v>17</v>
      </c>
      <c r="G417" t="s">
        <v>1036</v>
      </c>
      <c r="H417" t="s">
        <v>1041</v>
      </c>
      <c r="I417" s="1">
        <v>43490</v>
      </c>
      <c r="J417" t="s">
        <v>1046</v>
      </c>
      <c r="K417" s="5">
        <v>0.68611111111111101</v>
      </c>
      <c r="L417" t="s">
        <v>18</v>
      </c>
      <c r="M417">
        <v>4.8055000000000003</v>
      </c>
      <c r="N417">
        <v>7.8</v>
      </c>
    </row>
    <row r="418" spans="1:14" x14ac:dyDescent="0.25">
      <c r="A418" t="s">
        <v>447</v>
      </c>
      <c r="B418" t="s">
        <v>20</v>
      </c>
      <c r="C418" t="s">
        <v>21</v>
      </c>
      <c r="D418" t="s">
        <v>22</v>
      </c>
      <c r="E418" t="s">
        <v>16</v>
      </c>
      <c r="F418" t="s">
        <v>27</v>
      </c>
      <c r="G418" t="s">
        <v>1034</v>
      </c>
      <c r="H418" t="s">
        <v>1041</v>
      </c>
      <c r="I418" s="1">
        <v>43473</v>
      </c>
      <c r="J418" t="s">
        <v>1045</v>
      </c>
      <c r="K418" s="5">
        <v>0.57500000000000007</v>
      </c>
      <c r="L418" t="s">
        <v>28</v>
      </c>
      <c r="M418">
        <v>9.0760000000000005</v>
      </c>
      <c r="N418">
        <v>8.6999999999999993</v>
      </c>
    </row>
    <row r="419" spans="1:14" x14ac:dyDescent="0.25">
      <c r="A419" t="s">
        <v>448</v>
      </c>
      <c r="B419" t="s">
        <v>20</v>
      </c>
      <c r="C419" t="s">
        <v>21</v>
      </c>
      <c r="D419" t="s">
        <v>15</v>
      </c>
      <c r="E419" t="s">
        <v>16</v>
      </c>
      <c r="F419" t="s">
        <v>17</v>
      </c>
      <c r="G419" t="s">
        <v>1036</v>
      </c>
      <c r="H419" t="s">
        <v>1041</v>
      </c>
      <c r="I419" s="1">
        <v>43487</v>
      </c>
      <c r="J419" t="s">
        <v>1044</v>
      </c>
      <c r="K419" s="5">
        <v>0.45624999999999999</v>
      </c>
      <c r="L419" t="s">
        <v>18</v>
      </c>
      <c r="M419">
        <v>4.0754999999999999</v>
      </c>
      <c r="N419">
        <v>9.1999999999999993</v>
      </c>
    </row>
    <row r="420" spans="1:14" x14ac:dyDescent="0.25">
      <c r="A420" t="s">
        <v>449</v>
      </c>
      <c r="B420" t="s">
        <v>37</v>
      </c>
      <c r="C420" t="s">
        <v>38</v>
      </c>
      <c r="D420" t="s">
        <v>22</v>
      </c>
      <c r="E420" t="s">
        <v>16</v>
      </c>
      <c r="F420" t="s">
        <v>17</v>
      </c>
      <c r="G420" t="s">
        <v>1035</v>
      </c>
      <c r="H420" t="s">
        <v>1041</v>
      </c>
      <c r="I420" s="1">
        <v>43477</v>
      </c>
      <c r="J420" t="s">
        <v>1046</v>
      </c>
      <c r="K420" s="5">
        <v>0.71736111111111101</v>
      </c>
      <c r="L420" t="s">
        <v>18</v>
      </c>
      <c r="M420">
        <v>5.7220000000000004</v>
      </c>
      <c r="N420">
        <v>8.3000000000000007</v>
      </c>
    </row>
    <row r="421" spans="1:14" x14ac:dyDescent="0.25">
      <c r="A421" t="s">
        <v>450</v>
      </c>
      <c r="B421" t="s">
        <v>13</v>
      </c>
      <c r="C421" t="s">
        <v>14</v>
      </c>
      <c r="D421" t="s">
        <v>15</v>
      </c>
      <c r="E421" t="s">
        <v>16</v>
      </c>
      <c r="F421" t="s">
        <v>23</v>
      </c>
      <c r="G421" t="s">
        <v>1038</v>
      </c>
      <c r="H421" t="s">
        <v>1042</v>
      </c>
      <c r="I421" s="1">
        <v>43500</v>
      </c>
      <c r="J421" t="s">
        <v>1044</v>
      </c>
      <c r="K421" s="5">
        <v>0.43263888888888885</v>
      </c>
      <c r="L421" t="s">
        <v>24</v>
      </c>
      <c r="M421">
        <v>8.827</v>
      </c>
      <c r="N421">
        <v>8.1999999999999993</v>
      </c>
    </row>
    <row r="422" spans="1:14" x14ac:dyDescent="0.25">
      <c r="A422" t="s">
        <v>451</v>
      </c>
      <c r="B422" t="s">
        <v>20</v>
      </c>
      <c r="C422" t="s">
        <v>21</v>
      </c>
      <c r="D422" t="s">
        <v>15</v>
      </c>
      <c r="E422" t="s">
        <v>16</v>
      </c>
      <c r="F422" t="s">
        <v>39</v>
      </c>
      <c r="G422" t="s">
        <v>1038</v>
      </c>
      <c r="H422" t="s">
        <v>1043</v>
      </c>
      <c r="I422" s="1">
        <v>43552</v>
      </c>
      <c r="J422" t="s">
        <v>1045</v>
      </c>
      <c r="K422" s="5">
        <v>0.58124999999999993</v>
      </c>
      <c r="L422" t="s">
        <v>18</v>
      </c>
      <c r="M422">
        <v>5.79</v>
      </c>
      <c r="N422">
        <v>7.5</v>
      </c>
    </row>
    <row r="423" spans="1:14" x14ac:dyDescent="0.25">
      <c r="A423" t="s">
        <v>452</v>
      </c>
      <c r="B423" t="s">
        <v>20</v>
      </c>
      <c r="C423" t="s">
        <v>21</v>
      </c>
      <c r="D423" t="s">
        <v>22</v>
      </c>
      <c r="E423" t="s">
        <v>16</v>
      </c>
      <c r="F423" t="s">
        <v>23</v>
      </c>
      <c r="G423" t="s">
        <v>1036</v>
      </c>
      <c r="H423" t="s">
        <v>1041</v>
      </c>
      <c r="I423" s="1">
        <v>43488</v>
      </c>
      <c r="J423" t="s">
        <v>1045</v>
      </c>
      <c r="K423" s="5">
        <v>0.56180555555555556</v>
      </c>
      <c r="L423" t="s">
        <v>24</v>
      </c>
      <c r="M423">
        <v>12.6075</v>
      </c>
      <c r="N423">
        <v>9.8000000000000007</v>
      </c>
    </row>
    <row r="424" spans="1:14" x14ac:dyDescent="0.25">
      <c r="A424" t="s">
        <v>453</v>
      </c>
      <c r="B424" t="s">
        <v>20</v>
      </c>
      <c r="C424" t="s">
        <v>21</v>
      </c>
      <c r="D424" t="s">
        <v>15</v>
      </c>
      <c r="E424" t="s">
        <v>16</v>
      </c>
      <c r="F424" t="s">
        <v>41</v>
      </c>
      <c r="G424" t="s">
        <v>1038</v>
      </c>
      <c r="H424" t="s">
        <v>1042</v>
      </c>
      <c r="I424" s="1">
        <v>43504</v>
      </c>
      <c r="J424" t="s">
        <v>1045</v>
      </c>
      <c r="K424" s="5">
        <v>0.54166666666666663</v>
      </c>
      <c r="L424" t="s">
        <v>28</v>
      </c>
      <c r="M424">
        <v>48.604999999999997</v>
      </c>
      <c r="N424">
        <v>8.6999999999999993</v>
      </c>
    </row>
    <row r="425" spans="1:14" x14ac:dyDescent="0.25">
      <c r="A425" t="s">
        <v>454</v>
      </c>
      <c r="B425" t="s">
        <v>37</v>
      </c>
      <c r="C425" t="s">
        <v>38</v>
      </c>
      <c r="D425" t="s">
        <v>15</v>
      </c>
      <c r="E425" t="s">
        <v>26</v>
      </c>
      <c r="F425" t="s">
        <v>41</v>
      </c>
      <c r="G425" t="s">
        <v>1037</v>
      </c>
      <c r="H425" t="s">
        <v>1043</v>
      </c>
      <c r="I425" s="1">
        <v>43543</v>
      </c>
      <c r="J425" t="s">
        <v>1046</v>
      </c>
      <c r="K425" s="5">
        <v>0.8208333333333333</v>
      </c>
      <c r="L425" t="s">
        <v>28</v>
      </c>
      <c r="M425">
        <v>10.167999999999999</v>
      </c>
      <c r="N425">
        <v>6.7</v>
      </c>
    </row>
    <row r="426" spans="1:14" x14ac:dyDescent="0.25">
      <c r="A426" t="s">
        <v>455</v>
      </c>
      <c r="B426" t="s">
        <v>20</v>
      </c>
      <c r="C426" t="s">
        <v>21</v>
      </c>
      <c r="D426" t="s">
        <v>22</v>
      </c>
      <c r="E426" t="s">
        <v>26</v>
      </c>
      <c r="F426" t="s">
        <v>41</v>
      </c>
      <c r="G426" t="s">
        <v>1036</v>
      </c>
      <c r="H426" t="s">
        <v>1043</v>
      </c>
      <c r="I426" s="1">
        <v>43533</v>
      </c>
      <c r="J426" t="s">
        <v>1045</v>
      </c>
      <c r="K426" s="5">
        <v>0.65</v>
      </c>
      <c r="L426" t="s">
        <v>24</v>
      </c>
      <c r="M426">
        <v>0.81399999999999995</v>
      </c>
      <c r="N426">
        <v>5</v>
      </c>
    </row>
    <row r="427" spans="1:14" x14ac:dyDescent="0.25">
      <c r="A427" t="s">
        <v>456</v>
      </c>
      <c r="B427" t="s">
        <v>37</v>
      </c>
      <c r="C427" t="s">
        <v>38</v>
      </c>
      <c r="D427" t="s">
        <v>15</v>
      </c>
      <c r="E427" t="s">
        <v>26</v>
      </c>
      <c r="F427" t="s">
        <v>41</v>
      </c>
      <c r="G427" t="s">
        <v>1040</v>
      </c>
      <c r="H427" t="s">
        <v>1041</v>
      </c>
      <c r="I427" s="1">
        <v>43467</v>
      </c>
      <c r="J427" t="s">
        <v>1045</v>
      </c>
      <c r="K427" s="5">
        <v>0.56944444444444442</v>
      </c>
      <c r="L427" t="s">
        <v>24</v>
      </c>
      <c r="M427">
        <v>18.2745</v>
      </c>
      <c r="N427">
        <v>7</v>
      </c>
    </row>
    <row r="428" spans="1:14" x14ac:dyDescent="0.25">
      <c r="A428" t="s">
        <v>457</v>
      </c>
      <c r="B428" t="s">
        <v>13</v>
      </c>
      <c r="C428" t="s">
        <v>14</v>
      </c>
      <c r="D428" t="s">
        <v>15</v>
      </c>
      <c r="E428" t="s">
        <v>26</v>
      </c>
      <c r="F428" t="s">
        <v>17</v>
      </c>
      <c r="G428" t="s">
        <v>1036</v>
      </c>
      <c r="H428" t="s">
        <v>1041</v>
      </c>
      <c r="I428" s="1">
        <v>43486</v>
      </c>
      <c r="J428" t="s">
        <v>1046</v>
      </c>
      <c r="K428" s="5">
        <v>0.75069444444444444</v>
      </c>
      <c r="L428" t="s">
        <v>24</v>
      </c>
      <c r="M428">
        <v>18.609500000000001</v>
      </c>
      <c r="N428">
        <v>8.9</v>
      </c>
    </row>
    <row r="429" spans="1:14" x14ac:dyDescent="0.25">
      <c r="A429" t="s">
        <v>458</v>
      </c>
      <c r="B429" t="s">
        <v>37</v>
      </c>
      <c r="C429" t="s">
        <v>38</v>
      </c>
      <c r="D429" t="s">
        <v>15</v>
      </c>
      <c r="E429" t="s">
        <v>16</v>
      </c>
      <c r="F429" t="s">
        <v>39</v>
      </c>
      <c r="G429" t="s">
        <v>1037</v>
      </c>
      <c r="H429" t="s">
        <v>1043</v>
      </c>
      <c r="I429" s="1">
        <v>43544</v>
      </c>
      <c r="J429" t="s">
        <v>1045</v>
      </c>
      <c r="K429" s="5">
        <v>0.57847222222222217</v>
      </c>
      <c r="L429" t="s">
        <v>28</v>
      </c>
      <c r="M429">
        <v>3.1305000000000001</v>
      </c>
      <c r="N429">
        <v>8</v>
      </c>
    </row>
    <row r="430" spans="1:14" x14ac:dyDescent="0.25">
      <c r="A430" t="s">
        <v>459</v>
      </c>
      <c r="B430" t="s">
        <v>37</v>
      </c>
      <c r="C430" t="s">
        <v>38</v>
      </c>
      <c r="D430" t="s">
        <v>22</v>
      </c>
      <c r="E430" t="s">
        <v>26</v>
      </c>
      <c r="F430" t="s">
        <v>31</v>
      </c>
      <c r="G430" t="s">
        <v>1034</v>
      </c>
      <c r="H430" t="s">
        <v>1042</v>
      </c>
      <c r="I430" s="1">
        <v>43523</v>
      </c>
      <c r="J430" t="s">
        <v>1046</v>
      </c>
      <c r="K430" s="5">
        <v>0.7270833333333333</v>
      </c>
      <c r="L430" t="s">
        <v>24</v>
      </c>
      <c r="M430">
        <v>16.817499999999999</v>
      </c>
      <c r="N430">
        <v>6.9</v>
      </c>
    </row>
    <row r="431" spans="1:14" x14ac:dyDescent="0.25">
      <c r="A431" t="s">
        <v>460</v>
      </c>
      <c r="B431" t="s">
        <v>13</v>
      </c>
      <c r="C431" t="s">
        <v>14</v>
      </c>
      <c r="D431" t="s">
        <v>15</v>
      </c>
      <c r="E431" t="s">
        <v>16</v>
      </c>
      <c r="F431" t="s">
        <v>27</v>
      </c>
      <c r="G431" t="s">
        <v>1035</v>
      </c>
      <c r="H431" t="s">
        <v>1043</v>
      </c>
      <c r="I431" s="1">
        <v>43532</v>
      </c>
      <c r="J431" t="s">
        <v>1044</v>
      </c>
      <c r="K431" s="5">
        <v>0.45347222222222222</v>
      </c>
      <c r="L431" t="s">
        <v>18</v>
      </c>
      <c r="M431">
        <v>45.325000000000003</v>
      </c>
      <c r="N431">
        <v>7.3</v>
      </c>
    </row>
    <row r="432" spans="1:14" x14ac:dyDescent="0.25">
      <c r="A432" t="s">
        <v>461</v>
      </c>
      <c r="B432" t="s">
        <v>37</v>
      </c>
      <c r="C432" t="s">
        <v>38</v>
      </c>
      <c r="D432" t="s">
        <v>22</v>
      </c>
      <c r="E432" t="s">
        <v>26</v>
      </c>
      <c r="F432" t="s">
        <v>41</v>
      </c>
      <c r="G432" t="s">
        <v>1037</v>
      </c>
      <c r="H432" t="s">
        <v>1041</v>
      </c>
      <c r="I432" s="1">
        <v>43496</v>
      </c>
      <c r="J432" t="s">
        <v>1046</v>
      </c>
      <c r="K432" s="5">
        <v>0.82500000000000007</v>
      </c>
      <c r="L432" t="s">
        <v>28</v>
      </c>
      <c r="M432">
        <v>6.9080000000000004</v>
      </c>
      <c r="N432">
        <v>6.9</v>
      </c>
    </row>
    <row r="433" spans="1:14" x14ac:dyDescent="0.25">
      <c r="A433" t="s">
        <v>462</v>
      </c>
      <c r="B433" t="s">
        <v>20</v>
      </c>
      <c r="C433" t="s">
        <v>21</v>
      </c>
      <c r="D433" t="s">
        <v>22</v>
      </c>
      <c r="E433" t="s">
        <v>26</v>
      </c>
      <c r="F433" t="s">
        <v>39</v>
      </c>
      <c r="G433" t="s">
        <v>1035</v>
      </c>
      <c r="H433" t="s">
        <v>1043</v>
      </c>
      <c r="I433" s="1">
        <v>43532</v>
      </c>
      <c r="J433" t="s">
        <v>1046</v>
      </c>
      <c r="K433" s="5">
        <v>0.70347222222222217</v>
      </c>
      <c r="L433" t="s">
        <v>18</v>
      </c>
      <c r="M433">
        <v>4.327</v>
      </c>
      <c r="N433">
        <v>5.7</v>
      </c>
    </row>
    <row r="434" spans="1:14" x14ac:dyDescent="0.25">
      <c r="A434" t="s">
        <v>463</v>
      </c>
      <c r="B434" t="s">
        <v>13</v>
      </c>
      <c r="C434" t="s">
        <v>14</v>
      </c>
      <c r="D434" t="s">
        <v>22</v>
      </c>
      <c r="E434" t="s">
        <v>16</v>
      </c>
      <c r="F434" t="s">
        <v>23</v>
      </c>
      <c r="G434" t="s">
        <v>1035</v>
      </c>
      <c r="H434" t="s">
        <v>1041</v>
      </c>
      <c r="I434" s="1">
        <v>43478</v>
      </c>
      <c r="J434" t="s">
        <v>1046</v>
      </c>
      <c r="K434" s="5">
        <v>0.80138888888888893</v>
      </c>
      <c r="L434" t="s">
        <v>18</v>
      </c>
      <c r="M434">
        <v>7.0380000000000003</v>
      </c>
      <c r="N434">
        <v>6.4</v>
      </c>
    </row>
    <row r="435" spans="1:14" x14ac:dyDescent="0.25">
      <c r="A435" t="s">
        <v>464</v>
      </c>
      <c r="B435" t="s">
        <v>37</v>
      </c>
      <c r="C435" t="s">
        <v>38</v>
      </c>
      <c r="D435" t="s">
        <v>22</v>
      </c>
      <c r="E435" t="s">
        <v>26</v>
      </c>
      <c r="F435" t="s">
        <v>41</v>
      </c>
      <c r="G435" t="s">
        <v>1036</v>
      </c>
      <c r="H435" t="s">
        <v>1043</v>
      </c>
      <c r="I435" s="1">
        <v>43533</v>
      </c>
      <c r="J435" t="s">
        <v>1045</v>
      </c>
      <c r="K435" s="5">
        <v>0.60833333333333328</v>
      </c>
      <c r="L435" t="s">
        <v>28</v>
      </c>
      <c r="M435">
        <v>33.439</v>
      </c>
      <c r="N435">
        <v>9.6</v>
      </c>
    </row>
    <row r="436" spans="1:14" x14ac:dyDescent="0.25">
      <c r="A436" t="s">
        <v>465</v>
      </c>
      <c r="B436" t="s">
        <v>37</v>
      </c>
      <c r="C436" t="s">
        <v>38</v>
      </c>
      <c r="D436" t="s">
        <v>22</v>
      </c>
      <c r="E436" t="s">
        <v>16</v>
      </c>
      <c r="F436" t="s">
        <v>41</v>
      </c>
      <c r="G436" t="s">
        <v>1040</v>
      </c>
      <c r="H436" t="s">
        <v>1042</v>
      </c>
      <c r="I436" s="1">
        <v>43518</v>
      </c>
      <c r="J436" t="s">
        <v>1046</v>
      </c>
      <c r="K436" s="5">
        <v>0.7631944444444444</v>
      </c>
      <c r="L436" t="s">
        <v>28</v>
      </c>
      <c r="M436">
        <v>2.3719999999999999</v>
      </c>
      <c r="N436">
        <v>6.8</v>
      </c>
    </row>
    <row r="437" spans="1:14" x14ac:dyDescent="0.25">
      <c r="A437" t="s">
        <v>466</v>
      </c>
      <c r="B437" t="s">
        <v>20</v>
      </c>
      <c r="C437" t="s">
        <v>21</v>
      </c>
      <c r="D437" t="s">
        <v>22</v>
      </c>
      <c r="E437" t="s">
        <v>26</v>
      </c>
      <c r="F437" t="s">
        <v>31</v>
      </c>
      <c r="G437" t="s">
        <v>1037</v>
      </c>
      <c r="H437" t="s">
        <v>1043</v>
      </c>
      <c r="I437" s="1">
        <v>43543</v>
      </c>
      <c r="J437" t="s">
        <v>1046</v>
      </c>
      <c r="K437" s="5">
        <v>0.79791666666666661</v>
      </c>
      <c r="L437" t="s">
        <v>18</v>
      </c>
      <c r="M437">
        <v>44.658000000000001</v>
      </c>
      <c r="N437">
        <v>9</v>
      </c>
    </row>
    <row r="438" spans="1:14" x14ac:dyDescent="0.25">
      <c r="A438" t="s">
        <v>467</v>
      </c>
      <c r="B438" t="s">
        <v>20</v>
      </c>
      <c r="C438" t="s">
        <v>21</v>
      </c>
      <c r="D438" t="s">
        <v>15</v>
      </c>
      <c r="E438" t="s">
        <v>26</v>
      </c>
      <c r="F438" t="s">
        <v>31</v>
      </c>
      <c r="G438" t="s">
        <v>1036</v>
      </c>
      <c r="H438" t="s">
        <v>1041</v>
      </c>
      <c r="I438" s="1">
        <v>43485</v>
      </c>
      <c r="J438" t="s">
        <v>1046</v>
      </c>
      <c r="K438" s="5">
        <v>0.70208333333333339</v>
      </c>
      <c r="L438" t="s">
        <v>18</v>
      </c>
      <c r="M438">
        <v>16.585999999999999</v>
      </c>
      <c r="N438">
        <v>9.6</v>
      </c>
    </row>
    <row r="439" spans="1:14" x14ac:dyDescent="0.25">
      <c r="A439" t="s">
        <v>468</v>
      </c>
      <c r="B439" t="s">
        <v>13</v>
      </c>
      <c r="C439" t="s">
        <v>14</v>
      </c>
      <c r="D439" t="s">
        <v>22</v>
      </c>
      <c r="E439" t="s">
        <v>26</v>
      </c>
      <c r="F439" t="s">
        <v>27</v>
      </c>
      <c r="G439" t="s">
        <v>1035</v>
      </c>
      <c r="H439" t="s">
        <v>1043</v>
      </c>
      <c r="I439" s="1">
        <v>43532</v>
      </c>
      <c r="J439" t="s">
        <v>1045</v>
      </c>
      <c r="K439" s="5">
        <v>0.65069444444444446</v>
      </c>
      <c r="L439" t="s">
        <v>28</v>
      </c>
      <c r="M439">
        <v>10.196999999999999</v>
      </c>
      <c r="N439">
        <v>7.7</v>
      </c>
    </row>
    <row r="440" spans="1:14" x14ac:dyDescent="0.25">
      <c r="A440" t="s">
        <v>469</v>
      </c>
      <c r="B440" t="s">
        <v>20</v>
      </c>
      <c r="C440" t="s">
        <v>21</v>
      </c>
      <c r="D440" t="s">
        <v>15</v>
      </c>
      <c r="E440" t="s">
        <v>26</v>
      </c>
      <c r="F440" t="s">
        <v>39</v>
      </c>
      <c r="G440" t="s">
        <v>1035</v>
      </c>
      <c r="H440" t="s">
        <v>1043</v>
      </c>
      <c r="I440" s="1">
        <v>43532</v>
      </c>
      <c r="J440" t="s">
        <v>1046</v>
      </c>
      <c r="K440" s="5">
        <v>0.84375</v>
      </c>
      <c r="L440" t="s">
        <v>18</v>
      </c>
      <c r="M440">
        <v>3.4079999999999999</v>
      </c>
      <c r="N440">
        <v>7</v>
      </c>
    </row>
    <row r="441" spans="1:14" x14ac:dyDescent="0.25">
      <c r="A441" t="s">
        <v>470</v>
      </c>
      <c r="B441" t="s">
        <v>20</v>
      </c>
      <c r="C441" t="s">
        <v>21</v>
      </c>
      <c r="D441" t="s">
        <v>22</v>
      </c>
      <c r="E441" t="s">
        <v>16</v>
      </c>
      <c r="F441" t="s">
        <v>23</v>
      </c>
      <c r="G441" t="s">
        <v>1038</v>
      </c>
      <c r="H441" t="s">
        <v>1042</v>
      </c>
      <c r="I441" s="1">
        <v>43503</v>
      </c>
      <c r="J441" t="s">
        <v>1045</v>
      </c>
      <c r="K441" s="5">
        <v>0.60972222222222217</v>
      </c>
      <c r="L441" t="s">
        <v>28</v>
      </c>
      <c r="M441">
        <v>16.344000000000001</v>
      </c>
      <c r="N441">
        <v>6.5</v>
      </c>
    </row>
    <row r="442" spans="1:14" x14ac:dyDescent="0.25">
      <c r="A442" t="s">
        <v>471</v>
      </c>
      <c r="B442" t="s">
        <v>20</v>
      </c>
      <c r="C442" t="s">
        <v>21</v>
      </c>
      <c r="D442" t="s">
        <v>15</v>
      </c>
      <c r="E442" t="s">
        <v>26</v>
      </c>
      <c r="F442" t="s">
        <v>39</v>
      </c>
      <c r="G442" t="s">
        <v>1035</v>
      </c>
      <c r="H442" t="s">
        <v>1041</v>
      </c>
      <c r="I442" s="1">
        <v>43480</v>
      </c>
      <c r="J442" t="s">
        <v>1046</v>
      </c>
      <c r="K442" s="5">
        <v>0.80902777777777779</v>
      </c>
      <c r="L442" t="s">
        <v>24</v>
      </c>
      <c r="M442">
        <v>4.3600000000000003</v>
      </c>
      <c r="N442">
        <v>8.1</v>
      </c>
    </row>
    <row r="443" spans="1:14" x14ac:dyDescent="0.25">
      <c r="A443" t="s">
        <v>472</v>
      </c>
      <c r="B443" t="s">
        <v>37</v>
      </c>
      <c r="C443" t="s">
        <v>38</v>
      </c>
      <c r="D443" t="s">
        <v>15</v>
      </c>
      <c r="E443" t="s">
        <v>16</v>
      </c>
      <c r="F443" t="s">
        <v>31</v>
      </c>
      <c r="G443" t="s">
        <v>1037</v>
      </c>
      <c r="H443" t="s">
        <v>1043</v>
      </c>
      <c r="I443" s="1">
        <v>43546</v>
      </c>
      <c r="J443" t="s">
        <v>1046</v>
      </c>
      <c r="K443" s="5">
        <v>0.81597222222222221</v>
      </c>
      <c r="L443" t="s">
        <v>28</v>
      </c>
      <c r="M443">
        <v>35.372</v>
      </c>
      <c r="N443">
        <v>4.3</v>
      </c>
    </row>
    <row r="444" spans="1:14" x14ac:dyDescent="0.25">
      <c r="A444" t="s">
        <v>473</v>
      </c>
      <c r="B444" t="s">
        <v>13</v>
      </c>
      <c r="C444" t="s">
        <v>14</v>
      </c>
      <c r="D444" t="s">
        <v>15</v>
      </c>
      <c r="E444" t="s">
        <v>16</v>
      </c>
      <c r="F444" t="s">
        <v>27</v>
      </c>
      <c r="G444" t="s">
        <v>1035</v>
      </c>
      <c r="H444" t="s">
        <v>1041</v>
      </c>
      <c r="I444" s="1">
        <v>43480</v>
      </c>
      <c r="J444" t="s">
        <v>1045</v>
      </c>
      <c r="K444" s="5">
        <v>0.65416666666666667</v>
      </c>
      <c r="L444" t="s">
        <v>28</v>
      </c>
      <c r="M444">
        <v>40.144500000000001</v>
      </c>
      <c r="N444">
        <v>6.5</v>
      </c>
    </row>
    <row r="445" spans="1:14" x14ac:dyDescent="0.25">
      <c r="A445" t="s">
        <v>474</v>
      </c>
      <c r="B445" t="s">
        <v>20</v>
      </c>
      <c r="C445" t="s">
        <v>21</v>
      </c>
      <c r="D445" t="s">
        <v>22</v>
      </c>
      <c r="E445" t="s">
        <v>26</v>
      </c>
      <c r="F445" t="s">
        <v>41</v>
      </c>
      <c r="G445" t="s">
        <v>1034</v>
      </c>
      <c r="H445" t="s">
        <v>1041</v>
      </c>
      <c r="I445" s="1">
        <v>43473</v>
      </c>
      <c r="J445" t="s">
        <v>1045</v>
      </c>
      <c r="K445" s="5">
        <v>0.59097222222222223</v>
      </c>
      <c r="L445" t="s">
        <v>18</v>
      </c>
      <c r="M445">
        <v>0.63900000000000001</v>
      </c>
      <c r="N445">
        <v>9.5</v>
      </c>
    </row>
    <row r="446" spans="1:14" x14ac:dyDescent="0.25">
      <c r="A446" t="s">
        <v>475</v>
      </c>
      <c r="B446" t="s">
        <v>13</v>
      </c>
      <c r="C446" t="s">
        <v>14</v>
      </c>
      <c r="D446" t="s">
        <v>22</v>
      </c>
      <c r="E446" t="s">
        <v>16</v>
      </c>
      <c r="F446" t="s">
        <v>31</v>
      </c>
      <c r="G446" t="s">
        <v>1035</v>
      </c>
      <c r="H446" t="s">
        <v>1041</v>
      </c>
      <c r="I446" s="1">
        <v>43480</v>
      </c>
      <c r="J446" t="s">
        <v>1044</v>
      </c>
      <c r="K446" s="5">
        <v>0.4465277777777778</v>
      </c>
      <c r="L446" t="s">
        <v>24</v>
      </c>
      <c r="M446">
        <v>6.6849999999999996</v>
      </c>
      <c r="N446">
        <v>9.6999999999999993</v>
      </c>
    </row>
    <row r="447" spans="1:14" x14ac:dyDescent="0.25">
      <c r="A447" t="s">
        <v>476</v>
      </c>
      <c r="B447" t="s">
        <v>37</v>
      </c>
      <c r="C447" t="s">
        <v>38</v>
      </c>
      <c r="D447" t="s">
        <v>15</v>
      </c>
      <c r="E447" t="s">
        <v>16</v>
      </c>
      <c r="F447" t="s">
        <v>17</v>
      </c>
      <c r="G447" t="s">
        <v>1037</v>
      </c>
      <c r="H447" t="s">
        <v>1041</v>
      </c>
      <c r="I447" s="1">
        <v>43493</v>
      </c>
      <c r="J447" t="s">
        <v>1046</v>
      </c>
      <c r="K447" s="5">
        <v>0.74861111111111101</v>
      </c>
      <c r="L447" t="s">
        <v>28</v>
      </c>
      <c r="M447">
        <v>0.95750000000000002</v>
      </c>
      <c r="N447">
        <v>9.5</v>
      </c>
    </row>
    <row r="448" spans="1:14" x14ac:dyDescent="0.25">
      <c r="A448" t="s">
        <v>477</v>
      </c>
      <c r="B448" t="s">
        <v>20</v>
      </c>
      <c r="C448" t="s">
        <v>21</v>
      </c>
      <c r="D448" t="s">
        <v>15</v>
      </c>
      <c r="E448" t="s">
        <v>26</v>
      </c>
      <c r="F448" t="s">
        <v>39</v>
      </c>
      <c r="G448" t="s">
        <v>1039</v>
      </c>
      <c r="H448" t="s">
        <v>1042</v>
      </c>
      <c r="I448" s="1">
        <v>43510</v>
      </c>
      <c r="J448" t="s">
        <v>1044</v>
      </c>
      <c r="K448" s="5">
        <v>0.47638888888888892</v>
      </c>
      <c r="L448" t="s">
        <v>28</v>
      </c>
      <c r="M448">
        <v>13.83</v>
      </c>
      <c r="N448">
        <v>8.9</v>
      </c>
    </row>
    <row r="449" spans="1:14" x14ac:dyDescent="0.25">
      <c r="A449" t="s">
        <v>478</v>
      </c>
      <c r="B449" t="s">
        <v>20</v>
      </c>
      <c r="C449" t="s">
        <v>21</v>
      </c>
      <c r="D449" t="s">
        <v>22</v>
      </c>
      <c r="E449" t="s">
        <v>26</v>
      </c>
      <c r="F449" t="s">
        <v>41</v>
      </c>
      <c r="G449" t="s">
        <v>1036</v>
      </c>
      <c r="H449" t="s">
        <v>1043</v>
      </c>
      <c r="I449" s="1">
        <v>43534</v>
      </c>
      <c r="J449" t="s">
        <v>1046</v>
      </c>
      <c r="K449" s="5">
        <v>0.73472222222222217</v>
      </c>
      <c r="L449" t="s">
        <v>28</v>
      </c>
      <c r="M449">
        <v>6.8609999999999998</v>
      </c>
      <c r="N449">
        <v>6.5</v>
      </c>
    </row>
    <row r="450" spans="1:14" x14ac:dyDescent="0.25">
      <c r="A450" t="s">
        <v>479</v>
      </c>
      <c r="B450" t="s">
        <v>37</v>
      </c>
      <c r="C450" t="s">
        <v>38</v>
      </c>
      <c r="D450" t="s">
        <v>15</v>
      </c>
      <c r="E450" t="s">
        <v>16</v>
      </c>
      <c r="F450" t="s">
        <v>17</v>
      </c>
      <c r="G450" t="s">
        <v>1035</v>
      </c>
      <c r="H450" t="s">
        <v>1041</v>
      </c>
      <c r="I450" s="1">
        <v>43477</v>
      </c>
      <c r="J450" t="s">
        <v>1046</v>
      </c>
      <c r="K450" s="5">
        <v>0.83819444444444446</v>
      </c>
      <c r="L450" t="s">
        <v>28</v>
      </c>
      <c r="M450">
        <v>1.3534999999999999</v>
      </c>
      <c r="N450">
        <v>5.3</v>
      </c>
    </row>
    <row r="451" spans="1:14" x14ac:dyDescent="0.25">
      <c r="A451" t="s">
        <v>480</v>
      </c>
      <c r="B451" t="s">
        <v>37</v>
      </c>
      <c r="C451" t="s">
        <v>38</v>
      </c>
      <c r="D451" t="s">
        <v>15</v>
      </c>
      <c r="E451" t="s">
        <v>16</v>
      </c>
      <c r="F451" t="s">
        <v>31</v>
      </c>
      <c r="G451" t="s">
        <v>1038</v>
      </c>
      <c r="H451" t="s">
        <v>1043</v>
      </c>
      <c r="I451" s="1">
        <v>43550</v>
      </c>
      <c r="J451" t="s">
        <v>1044</v>
      </c>
      <c r="K451" s="5">
        <v>0.4597222222222222</v>
      </c>
      <c r="L451" t="s">
        <v>28</v>
      </c>
      <c r="M451">
        <v>1.956</v>
      </c>
      <c r="N451">
        <v>9.6</v>
      </c>
    </row>
    <row r="452" spans="1:14" x14ac:dyDescent="0.25">
      <c r="A452" t="s">
        <v>481</v>
      </c>
      <c r="B452" t="s">
        <v>37</v>
      </c>
      <c r="C452" t="s">
        <v>38</v>
      </c>
      <c r="D452" t="s">
        <v>22</v>
      </c>
      <c r="E452" t="s">
        <v>16</v>
      </c>
      <c r="F452" t="s">
        <v>23</v>
      </c>
      <c r="G452" t="s">
        <v>1040</v>
      </c>
      <c r="H452" t="s">
        <v>1041</v>
      </c>
      <c r="I452" s="1">
        <v>43466</v>
      </c>
      <c r="J452" t="s">
        <v>1046</v>
      </c>
      <c r="K452" s="5">
        <v>0.79652777777777783</v>
      </c>
      <c r="L452" t="s">
        <v>24</v>
      </c>
      <c r="M452">
        <v>22.413</v>
      </c>
      <c r="N452">
        <v>6.7</v>
      </c>
    </row>
    <row r="453" spans="1:14" x14ac:dyDescent="0.25">
      <c r="A453" t="s">
        <v>482</v>
      </c>
      <c r="B453" t="s">
        <v>37</v>
      </c>
      <c r="C453" t="s">
        <v>38</v>
      </c>
      <c r="D453" t="s">
        <v>22</v>
      </c>
      <c r="E453" t="s">
        <v>26</v>
      </c>
      <c r="F453" t="s">
        <v>23</v>
      </c>
      <c r="G453" t="s">
        <v>1040</v>
      </c>
      <c r="H453" t="s">
        <v>1041</v>
      </c>
      <c r="I453" s="1">
        <v>43467</v>
      </c>
      <c r="J453" t="s">
        <v>1046</v>
      </c>
      <c r="K453" s="5">
        <v>0.78472222222222221</v>
      </c>
      <c r="L453" t="s">
        <v>24</v>
      </c>
      <c r="M453">
        <v>6.6029999999999998</v>
      </c>
      <c r="N453">
        <v>7.6</v>
      </c>
    </row>
    <row r="454" spans="1:14" x14ac:dyDescent="0.25">
      <c r="A454" t="s">
        <v>483</v>
      </c>
      <c r="B454" t="s">
        <v>13</v>
      </c>
      <c r="C454" t="s">
        <v>14</v>
      </c>
      <c r="D454" t="s">
        <v>22</v>
      </c>
      <c r="E454" t="s">
        <v>16</v>
      </c>
      <c r="F454" t="s">
        <v>39</v>
      </c>
      <c r="G454" t="s">
        <v>1037</v>
      </c>
      <c r="H454" t="s">
        <v>1043</v>
      </c>
      <c r="I454" s="1">
        <v>43540</v>
      </c>
      <c r="J454" t="s">
        <v>1045</v>
      </c>
      <c r="K454" s="5">
        <v>0.52986111111111112</v>
      </c>
      <c r="L454" t="s">
        <v>18</v>
      </c>
      <c r="M454">
        <v>15.9025</v>
      </c>
      <c r="N454">
        <v>4.8</v>
      </c>
    </row>
    <row r="455" spans="1:14" x14ac:dyDescent="0.25">
      <c r="A455" t="s">
        <v>484</v>
      </c>
      <c r="B455" t="s">
        <v>13</v>
      </c>
      <c r="C455" t="s">
        <v>14</v>
      </c>
      <c r="D455" t="s">
        <v>22</v>
      </c>
      <c r="E455" t="s">
        <v>26</v>
      </c>
      <c r="F455" t="s">
        <v>17</v>
      </c>
      <c r="G455" t="s">
        <v>1035</v>
      </c>
      <c r="H455" t="s">
        <v>1043</v>
      </c>
      <c r="I455" s="1">
        <v>43527</v>
      </c>
      <c r="J455" t="s">
        <v>1045</v>
      </c>
      <c r="K455" s="5">
        <v>0.63124999999999998</v>
      </c>
      <c r="L455" t="s">
        <v>18</v>
      </c>
      <c r="M455">
        <v>1.25</v>
      </c>
      <c r="N455">
        <v>5.5</v>
      </c>
    </row>
    <row r="456" spans="1:14" x14ac:dyDescent="0.25">
      <c r="A456" t="s">
        <v>485</v>
      </c>
      <c r="B456" t="s">
        <v>13</v>
      </c>
      <c r="C456" t="s">
        <v>14</v>
      </c>
      <c r="D456" t="s">
        <v>15</v>
      </c>
      <c r="E456" t="s">
        <v>26</v>
      </c>
      <c r="F456" t="s">
        <v>23</v>
      </c>
      <c r="G456" t="s">
        <v>1037</v>
      </c>
      <c r="H456" t="s">
        <v>1041</v>
      </c>
      <c r="I456" s="1">
        <v>43496</v>
      </c>
      <c r="J456" t="s">
        <v>1045</v>
      </c>
      <c r="K456" s="5">
        <v>0.57430555555555551</v>
      </c>
      <c r="L456" t="s">
        <v>24</v>
      </c>
      <c r="M456">
        <v>4.1539999999999999</v>
      </c>
      <c r="N456">
        <v>4.7</v>
      </c>
    </row>
    <row r="457" spans="1:14" x14ac:dyDescent="0.25">
      <c r="A457" t="s">
        <v>486</v>
      </c>
      <c r="B457" t="s">
        <v>37</v>
      </c>
      <c r="C457" t="s">
        <v>38</v>
      </c>
      <c r="D457" t="s">
        <v>15</v>
      </c>
      <c r="E457" t="s">
        <v>16</v>
      </c>
      <c r="F457" t="s">
        <v>41</v>
      </c>
      <c r="G457" t="s">
        <v>1039</v>
      </c>
      <c r="H457" t="s">
        <v>1042</v>
      </c>
      <c r="I457" s="1">
        <v>43509</v>
      </c>
      <c r="J457" t="s">
        <v>1046</v>
      </c>
      <c r="K457" s="5">
        <v>0.70763888888888893</v>
      </c>
      <c r="L457" t="s">
        <v>24</v>
      </c>
      <c r="M457">
        <v>7.39</v>
      </c>
      <c r="N457">
        <v>6.9</v>
      </c>
    </row>
    <row r="458" spans="1:14" x14ac:dyDescent="0.25">
      <c r="A458" t="s">
        <v>487</v>
      </c>
      <c r="B458" t="s">
        <v>37</v>
      </c>
      <c r="C458" t="s">
        <v>38</v>
      </c>
      <c r="D458" t="s">
        <v>15</v>
      </c>
      <c r="E458" t="s">
        <v>16</v>
      </c>
      <c r="F458" t="s">
        <v>39</v>
      </c>
      <c r="G458" t="s">
        <v>1039</v>
      </c>
      <c r="H458" t="s">
        <v>1042</v>
      </c>
      <c r="I458" s="1">
        <v>43511</v>
      </c>
      <c r="J458" t="s">
        <v>1045</v>
      </c>
      <c r="K458" s="5">
        <v>0.59375</v>
      </c>
      <c r="L458" t="s">
        <v>28</v>
      </c>
      <c r="M458">
        <v>34.83</v>
      </c>
      <c r="N458">
        <v>4.5</v>
      </c>
    </row>
    <row r="459" spans="1:14" x14ac:dyDescent="0.25">
      <c r="A459" t="s">
        <v>488</v>
      </c>
      <c r="B459" t="s">
        <v>37</v>
      </c>
      <c r="C459" t="s">
        <v>38</v>
      </c>
      <c r="D459" t="s">
        <v>22</v>
      </c>
      <c r="E459" t="s">
        <v>26</v>
      </c>
      <c r="F459" t="s">
        <v>23</v>
      </c>
      <c r="G459" t="s">
        <v>1038</v>
      </c>
      <c r="H459" t="s">
        <v>1042</v>
      </c>
      <c r="I459" s="1">
        <v>43503</v>
      </c>
      <c r="J459" t="s">
        <v>1046</v>
      </c>
      <c r="K459" s="5">
        <v>0.85</v>
      </c>
      <c r="L459" t="s">
        <v>24</v>
      </c>
      <c r="M459">
        <v>39.695</v>
      </c>
      <c r="N459">
        <v>6.2</v>
      </c>
    </row>
    <row r="460" spans="1:14" x14ac:dyDescent="0.25">
      <c r="A460" t="s">
        <v>489</v>
      </c>
      <c r="B460" t="s">
        <v>20</v>
      </c>
      <c r="C460" t="s">
        <v>21</v>
      </c>
      <c r="D460" t="s">
        <v>15</v>
      </c>
      <c r="E460" t="s">
        <v>16</v>
      </c>
      <c r="F460" t="s">
        <v>23</v>
      </c>
      <c r="G460" t="s">
        <v>1037</v>
      </c>
      <c r="H460" t="s">
        <v>1041</v>
      </c>
      <c r="I460" s="1">
        <v>43492</v>
      </c>
      <c r="J460" t="s">
        <v>1045</v>
      </c>
      <c r="K460" s="5">
        <v>0.58194444444444449</v>
      </c>
      <c r="L460" t="s">
        <v>24</v>
      </c>
      <c r="M460">
        <v>23.285</v>
      </c>
      <c r="N460">
        <v>7.6</v>
      </c>
    </row>
    <row r="461" spans="1:14" x14ac:dyDescent="0.25">
      <c r="A461" t="s">
        <v>490</v>
      </c>
      <c r="B461" t="s">
        <v>20</v>
      </c>
      <c r="C461" t="s">
        <v>21</v>
      </c>
      <c r="D461" t="s">
        <v>22</v>
      </c>
      <c r="E461" t="s">
        <v>26</v>
      </c>
      <c r="F461" t="s">
        <v>39</v>
      </c>
      <c r="G461" t="s">
        <v>1034</v>
      </c>
      <c r="H461" t="s">
        <v>1042</v>
      </c>
      <c r="I461" s="1">
        <v>43519</v>
      </c>
      <c r="J461" t="s">
        <v>1046</v>
      </c>
      <c r="K461" s="5">
        <v>0.70277777777777783</v>
      </c>
      <c r="L461" t="s">
        <v>28</v>
      </c>
      <c r="M461">
        <v>1.7945</v>
      </c>
      <c r="N461">
        <v>7.9</v>
      </c>
    </row>
    <row r="462" spans="1:14" x14ac:dyDescent="0.25">
      <c r="A462" t="s">
        <v>491</v>
      </c>
      <c r="B462" t="s">
        <v>20</v>
      </c>
      <c r="C462" t="s">
        <v>21</v>
      </c>
      <c r="D462" t="s">
        <v>22</v>
      </c>
      <c r="E462" t="s">
        <v>26</v>
      </c>
      <c r="F462" t="s">
        <v>39</v>
      </c>
      <c r="G462" t="s">
        <v>1038</v>
      </c>
      <c r="H462" t="s">
        <v>1042</v>
      </c>
      <c r="I462" s="1">
        <v>43499</v>
      </c>
      <c r="J462" t="s">
        <v>1045</v>
      </c>
      <c r="K462" s="5">
        <v>0.6381944444444444</v>
      </c>
      <c r="L462" t="s">
        <v>24</v>
      </c>
      <c r="M462">
        <v>10.130000000000001</v>
      </c>
      <c r="N462">
        <v>4.5</v>
      </c>
    </row>
    <row r="463" spans="1:14" x14ac:dyDescent="0.25">
      <c r="A463" t="s">
        <v>492</v>
      </c>
      <c r="B463" t="s">
        <v>37</v>
      </c>
      <c r="C463" t="s">
        <v>38</v>
      </c>
      <c r="D463" t="s">
        <v>15</v>
      </c>
      <c r="E463" t="s">
        <v>16</v>
      </c>
      <c r="F463" t="s">
        <v>39</v>
      </c>
      <c r="G463" t="s">
        <v>1035</v>
      </c>
      <c r="H463" t="s">
        <v>1043</v>
      </c>
      <c r="I463" s="1">
        <v>43527</v>
      </c>
      <c r="J463" t="s">
        <v>1045</v>
      </c>
      <c r="K463" s="5">
        <v>0.51736111111111105</v>
      </c>
      <c r="L463" t="s">
        <v>28</v>
      </c>
      <c r="M463">
        <v>36.524999999999999</v>
      </c>
      <c r="N463">
        <v>8.6999999999999993</v>
      </c>
    </row>
    <row r="464" spans="1:14" x14ac:dyDescent="0.25">
      <c r="A464" t="s">
        <v>493</v>
      </c>
      <c r="B464" t="s">
        <v>20</v>
      </c>
      <c r="C464" t="s">
        <v>21</v>
      </c>
      <c r="D464" t="s">
        <v>22</v>
      </c>
      <c r="E464" t="s">
        <v>16</v>
      </c>
      <c r="F464" t="s">
        <v>31</v>
      </c>
      <c r="G464" t="s">
        <v>1038</v>
      </c>
      <c r="H464" t="s">
        <v>1042</v>
      </c>
      <c r="I464" s="1">
        <v>43499</v>
      </c>
      <c r="J464" t="s">
        <v>1044</v>
      </c>
      <c r="K464" s="5">
        <v>0.41805555555555557</v>
      </c>
      <c r="L464" t="s">
        <v>24</v>
      </c>
      <c r="M464">
        <v>14.79</v>
      </c>
      <c r="N464">
        <v>6.1</v>
      </c>
    </row>
    <row r="465" spans="1:14" x14ac:dyDescent="0.25">
      <c r="A465" t="s">
        <v>494</v>
      </c>
      <c r="B465" t="s">
        <v>20</v>
      </c>
      <c r="C465" t="s">
        <v>21</v>
      </c>
      <c r="D465" t="s">
        <v>15</v>
      </c>
      <c r="E465" t="s">
        <v>16</v>
      </c>
      <c r="F465" t="s">
        <v>39</v>
      </c>
      <c r="G465" t="s">
        <v>1037</v>
      </c>
      <c r="H465" t="s">
        <v>1043</v>
      </c>
      <c r="I465" s="1">
        <v>43541</v>
      </c>
      <c r="J465" t="s">
        <v>1046</v>
      </c>
      <c r="K465" s="5">
        <v>0.79027777777777775</v>
      </c>
      <c r="L465" t="s">
        <v>24</v>
      </c>
      <c r="M465">
        <v>1.131</v>
      </c>
      <c r="N465">
        <v>6.4</v>
      </c>
    </row>
    <row r="466" spans="1:14" x14ac:dyDescent="0.25">
      <c r="A466" t="s">
        <v>495</v>
      </c>
      <c r="B466" t="s">
        <v>13</v>
      </c>
      <c r="C466" t="s">
        <v>14</v>
      </c>
      <c r="D466" t="s">
        <v>15</v>
      </c>
      <c r="E466" t="s">
        <v>26</v>
      </c>
      <c r="F466" t="s">
        <v>39</v>
      </c>
      <c r="G466" t="s">
        <v>1038</v>
      </c>
      <c r="H466" t="s">
        <v>1043</v>
      </c>
      <c r="I466" s="1">
        <v>43552</v>
      </c>
      <c r="J466" t="s">
        <v>1045</v>
      </c>
      <c r="K466" s="5">
        <v>0.64652777777777781</v>
      </c>
      <c r="L466" t="s">
        <v>28</v>
      </c>
      <c r="M466">
        <v>12.835000000000001</v>
      </c>
      <c r="N466">
        <v>9.1</v>
      </c>
    </row>
    <row r="467" spans="1:14" x14ac:dyDescent="0.25">
      <c r="A467" t="s">
        <v>496</v>
      </c>
      <c r="B467" t="s">
        <v>20</v>
      </c>
      <c r="C467" t="s">
        <v>21</v>
      </c>
      <c r="D467" t="s">
        <v>15</v>
      </c>
      <c r="E467" t="s">
        <v>16</v>
      </c>
      <c r="F467" t="s">
        <v>31</v>
      </c>
      <c r="G467" t="s">
        <v>1035</v>
      </c>
      <c r="H467" t="s">
        <v>1043</v>
      </c>
      <c r="I467" s="1">
        <v>43526</v>
      </c>
      <c r="J467" t="s">
        <v>1044</v>
      </c>
      <c r="K467" s="5">
        <v>0.47361111111111115</v>
      </c>
      <c r="L467" t="s">
        <v>28</v>
      </c>
      <c r="M467">
        <v>27.274999999999999</v>
      </c>
      <c r="N467">
        <v>7.1</v>
      </c>
    </row>
    <row r="468" spans="1:14" x14ac:dyDescent="0.25">
      <c r="A468" t="s">
        <v>497</v>
      </c>
      <c r="B468" t="s">
        <v>20</v>
      </c>
      <c r="C468" t="s">
        <v>21</v>
      </c>
      <c r="D468" t="s">
        <v>15</v>
      </c>
      <c r="E468" t="s">
        <v>16</v>
      </c>
      <c r="F468" t="s">
        <v>17</v>
      </c>
      <c r="G468" t="s">
        <v>1038</v>
      </c>
      <c r="H468" t="s">
        <v>1042</v>
      </c>
      <c r="I468" s="1">
        <v>43504</v>
      </c>
      <c r="J468" t="s">
        <v>1045</v>
      </c>
      <c r="K468" s="5">
        <v>0.54999999999999993</v>
      </c>
      <c r="L468" t="s">
        <v>28</v>
      </c>
      <c r="M468">
        <v>13.0025</v>
      </c>
      <c r="N468">
        <v>7.7</v>
      </c>
    </row>
    <row r="469" spans="1:14" x14ac:dyDescent="0.25">
      <c r="A469" t="s">
        <v>498</v>
      </c>
      <c r="B469" t="s">
        <v>37</v>
      </c>
      <c r="C469" t="s">
        <v>38</v>
      </c>
      <c r="D469" t="s">
        <v>22</v>
      </c>
      <c r="E469" t="s">
        <v>26</v>
      </c>
      <c r="F469" t="s">
        <v>31</v>
      </c>
      <c r="G469" t="s">
        <v>1037</v>
      </c>
      <c r="H469" t="s">
        <v>1043</v>
      </c>
      <c r="I469" s="1">
        <v>43546</v>
      </c>
      <c r="J469" t="s">
        <v>1046</v>
      </c>
      <c r="K469" s="5">
        <v>0.7729166666666667</v>
      </c>
      <c r="L469" t="s">
        <v>24</v>
      </c>
      <c r="M469">
        <v>11.106</v>
      </c>
      <c r="N469">
        <v>4.5</v>
      </c>
    </row>
    <row r="470" spans="1:14" x14ac:dyDescent="0.25">
      <c r="A470" t="s">
        <v>499</v>
      </c>
      <c r="B470" t="s">
        <v>20</v>
      </c>
      <c r="C470" t="s">
        <v>21</v>
      </c>
      <c r="D470" t="s">
        <v>22</v>
      </c>
      <c r="E470" t="s">
        <v>26</v>
      </c>
      <c r="F470" t="s">
        <v>39</v>
      </c>
      <c r="G470" t="s">
        <v>1039</v>
      </c>
      <c r="H470" t="s">
        <v>1042</v>
      </c>
      <c r="I470" s="1">
        <v>43505</v>
      </c>
      <c r="J470" t="s">
        <v>1044</v>
      </c>
      <c r="K470" s="5">
        <v>0.41805555555555557</v>
      </c>
      <c r="L470" t="s">
        <v>18</v>
      </c>
      <c r="M470">
        <v>1.079</v>
      </c>
      <c r="N470">
        <v>7.2</v>
      </c>
    </row>
    <row r="471" spans="1:14" x14ac:dyDescent="0.25">
      <c r="A471" t="s">
        <v>500</v>
      </c>
      <c r="B471" t="s">
        <v>20</v>
      </c>
      <c r="C471" t="s">
        <v>21</v>
      </c>
      <c r="D471" t="s">
        <v>15</v>
      </c>
      <c r="E471" t="s">
        <v>16</v>
      </c>
      <c r="F471" t="s">
        <v>23</v>
      </c>
      <c r="G471" t="s">
        <v>1039</v>
      </c>
      <c r="H471" t="s">
        <v>1042</v>
      </c>
      <c r="I471" s="1">
        <v>43511</v>
      </c>
      <c r="J471" t="s">
        <v>1044</v>
      </c>
      <c r="K471" s="5">
        <v>0.47291666666666665</v>
      </c>
      <c r="L471" t="s">
        <v>24</v>
      </c>
      <c r="M471">
        <v>4.9420000000000002</v>
      </c>
      <c r="N471">
        <v>8.4</v>
      </c>
    </row>
    <row r="472" spans="1:14" x14ac:dyDescent="0.25">
      <c r="A472" t="s">
        <v>501</v>
      </c>
      <c r="B472" t="s">
        <v>20</v>
      </c>
      <c r="C472" t="s">
        <v>21</v>
      </c>
      <c r="D472" t="s">
        <v>15</v>
      </c>
      <c r="E472" t="s">
        <v>16</v>
      </c>
      <c r="F472" t="s">
        <v>27</v>
      </c>
      <c r="G472" t="s">
        <v>1036</v>
      </c>
      <c r="H472" t="s">
        <v>1041</v>
      </c>
      <c r="I472" s="1">
        <v>43488</v>
      </c>
      <c r="J472" t="s">
        <v>1045</v>
      </c>
      <c r="K472" s="5">
        <v>0.50694444444444442</v>
      </c>
      <c r="L472" t="s">
        <v>18</v>
      </c>
      <c r="M472">
        <v>25.131</v>
      </c>
      <c r="N472">
        <v>5.4</v>
      </c>
    </row>
    <row r="473" spans="1:14" x14ac:dyDescent="0.25">
      <c r="A473" t="s">
        <v>502</v>
      </c>
      <c r="B473" t="s">
        <v>13</v>
      </c>
      <c r="C473" t="s">
        <v>14</v>
      </c>
      <c r="D473" t="s">
        <v>15</v>
      </c>
      <c r="E473" t="s">
        <v>16</v>
      </c>
      <c r="F473" t="s">
        <v>31</v>
      </c>
      <c r="G473" t="s">
        <v>1036</v>
      </c>
      <c r="H473" t="s">
        <v>1041</v>
      </c>
      <c r="I473" s="1">
        <v>43490</v>
      </c>
      <c r="J473" t="s">
        <v>1044</v>
      </c>
      <c r="K473" s="5">
        <v>0.4861111111111111</v>
      </c>
      <c r="L473" t="s">
        <v>24</v>
      </c>
      <c r="M473">
        <v>8.01</v>
      </c>
      <c r="N473">
        <v>9.6999999999999993</v>
      </c>
    </row>
    <row r="474" spans="1:14" x14ac:dyDescent="0.25">
      <c r="A474" t="s">
        <v>503</v>
      </c>
      <c r="B474" t="s">
        <v>13</v>
      </c>
      <c r="C474" t="s">
        <v>14</v>
      </c>
      <c r="D474" t="s">
        <v>15</v>
      </c>
      <c r="E474" t="s">
        <v>26</v>
      </c>
      <c r="F474" t="s">
        <v>41</v>
      </c>
      <c r="G474" t="s">
        <v>1038</v>
      </c>
      <c r="H474" t="s">
        <v>1042</v>
      </c>
      <c r="I474" s="1">
        <v>43498</v>
      </c>
      <c r="J474" t="s">
        <v>1046</v>
      </c>
      <c r="K474" s="5">
        <v>0.7715277777777777</v>
      </c>
      <c r="L474" t="s">
        <v>28</v>
      </c>
      <c r="M474">
        <v>21.565000000000001</v>
      </c>
      <c r="N474">
        <v>5.5</v>
      </c>
    </row>
    <row r="475" spans="1:14" x14ac:dyDescent="0.25">
      <c r="A475" t="s">
        <v>504</v>
      </c>
      <c r="B475" t="s">
        <v>37</v>
      </c>
      <c r="C475" t="s">
        <v>38</v>
      </c>
      <c r="D475" t="s">
        <v>15</v>
      </c>
      <c r="E475" t="s">
        <v>26</v>
      </c>
      <c r="F475" t="s">
        <v>17</v>
      </c>
      <c r="G475" t="s">
        <v>1039</v>
      </c>
      <c r="H475" t="s">
        <v>1043</v>
      </c>
      <c r="I475" s="1">
        <v>43554</v>
      </c>
      <c r="J475" t="s">
        <v>1046</v>
      </c>
      <c r="K475" s="5">
        <v>0.74861111111111101</v>
      </c>
      <c r="L475" t="s">
        <v>24</v>
      </c>
      <c r="M475">
        <v>29.027999999999999</v>
      </c>
      <c r="N475">
        <v>4.5999999999999996</v>
      </c>
    </row>
    <row r="476" spans="1:14" x14ac:dyDescent="0.25">
      <c r="A476" t="s">
        <v>505</v>
      </c>
      <c r="B476" t="s">
        <v>13</v>
      </c>
      <c r="C476" t="s">
        <v>14</v>
      </c>
      <c r="D476" t="s">
        <v>15</v>
      </c>
      <c r="E476" t="s">
        <v>16</v>
      </c>
      <c r="F476" t="s">
        <v>23</v>
      </c>
      <c r="G476" t="s">
        <v>1039</v>
      </c>
      <c r="H476" t="s">
        <v>1043</v>
      </c>
      <c r="I476" s="1">
        <v>43554</v>
      </c>
      <c r="J476" t="s">
        <v>1046</v>
      </c>
      <c r="K476" s="5">
        <v>0.71111111111111114</v>
      </c>
      <c r="L476" t="s">
        <v>24</v>
      </c>
      <c r="M476">
        <v>16.11</v>
      </c>
      <c r="N476">
        <v>6.6</v>
      </c>
    </row>
    <row r="477" spans="1:14" x14ac:dyDescent="0.25">
      <c r="A477" t="s">
        <v>506</v>
      </c>
      <c r="B477" t="s">
        <v>13</v>
      </c>
      <c r="C477" t="s">
        <v>14</v>
      </c>
      <c r="D477" t="s">
        <v>22</v>
      </c>
      <c r="E477" t="s">
        <v>26</v>
      </c>
      <c r="F477" t="s">
        <v>17</v>
      </c>
      <c r="G477" t="s">
        <v>1034</v>
      </c>
      <c r="H477" t="s">
        <v>1042</v>
      </c>
      <c r="I477" s="1">
        <v>43521</v>
      </c>
      <c r="J477" t="s">
        <v>1046</v>
      </c>
      <c r="K477" s="5">
        <v>0.85763888888888884</v>
      </c>
      <c r="L477" t="s">
        <v>28</v>
      </c>
      <c r="M477">
        <v>9.7769999999999992</v>
      </c>
      <c r="N477">
        <v>6.3</v>
      </c>
    </row>
    <row r="478" spans="1:14" x14ac:dyDescent="0.25">
      <c r="A478" t="s">
        <v>507</v>
      </c>
      <c r="B478" t="s">
        <v>13</v>
      </c>
      <c r="C478" t="s">
        <v>14</v>
      </c>
      <c r="D478" t="s">
        <v>22</v>
      </c>
      <c r="E478" t="s">
        <v>16</v>
      </c>
      <c r="F478" t="s">
        <v>31</v>
      </c>
      <c r="G478" t="s">
        <v>1037</v>
      </c>
      <c r="H478" t="s">
        <v>1043</v>
      </c>
      <c r="I478" s="1">
        <v>43542</v>
      </c>
      <c r="J478" t="s">
        <v>1046</v>
      </c>
      <c r="K478" s="5">
        <v>0.67361111111111116</v>
      </c>
      <c r="L478" t="s">
        <v>28</v>
      </c>
      <c r="M478">
        <v>8.3149999999999995</v>
      </c>
      <c r="N478">
        <v>4.2</v>
      </c>
    </row>
    <row r="479" spans="1:14" x14ac:dyDescent="0.25">
      <c r="A479" t="s">
        <v>508</v>
      </c>
      <c r="B479" t="s">
        <v>20</v>
      </c>
      <c r="C479" t="s">
        <v>21</v>
      </c>
      <c r="D479" t="s">
        <v>22</v>
      </c>
      <c r="E479" t="s">
        <v>26</v>
      </c>
      <c r="F479" t="s">
        <v>23</v>
      </c>
      <c r="G479" t="s">
        <v>1035</v>
      </c>
      <c r="H479" t="s">
        <v>1043</v>
      </c>
      <c r="I479" s="1">
        <v>43531</v>
      </c>
      <c r="J479" t="s">
        <v>1046</v>
      </c>
      <c r="K479" s="5">
        <v>0.70416666666666661</v>
      </c>
      <c r="L479" t="s">
        <v>18</v>
      </c>
      <c r="M479">
        <v>16.814</v>
      </c>
      <c r="N479">
        <v>4.4000000000000004</v>
      </c>
    </row>
    <row r="480" spans="1:14" x14ac:dyDescent="0.25">
      <c r="A480" t="s">
        <v>509</v>
      </c>
      <c r="B480" t="s">
        <v>37</v>
      </c>
      <c r="C480" t="s">
        <v>38</v>
      </c>
      <c r="D480" t="s">
        <v>22</v>
      </c>
      <c r="E480" t="s">
        <v>26</v>
      </c>
      <c r="F480" t="s">
        <v>31</v>
      </c>
      <c r="G480" t="s">
        <v>1037</v>
      </c>
      <c r="H480" t="s">
        <v>1043</v>
      </c>
      <c r="I480" s="1">
        <v>43540</v>
      </c>
      <c r="J480" t="s">
        <v>1044</v>
      </c>
      <c r="K480" s="5">
        <v>0.42430555555555555</v>
      </c>
      <c r="L480" t="s">
        <v>18</v>
      </c>
      <c r="M480">
        <v>17.184999999999999</v>
      </c>
      <c r="N480">
        <v>6.7</v>
      </c>
    </row>
    <row r="481" spans="1:14" x14ac:dyDescent="0.25">
      <c r="A481" t="s">
        <v>510</v>
      </c>
      <c r="B481" t="s">
        <v>13</v>
      </c>
      <c r="C481" t="s">
        <v>14</v>
      </c>
      <c r="D481" t="s">
        <v>22</v>
      </c>
      <c r="E481" t="s">
        <v>26</v>
      </c>
      <c r="F481" t="s">
        <v>23</v>
      </c>
      <c r="G481" t="s">
        <v>1037</v>
      </c>
      <c r="H481" t="s">
        <v>1041</v>
      </c>
      <c r="I481" s="1">
        <v>43494</v>
      </c>
      <c r="J481" t="s">
        <v>1044</v>
      </c>
      <c r="K481" s="5">
        <v>0.47638888888888892</v>
      </c>
      <c r="L481" t="s">
        <v>18</v>
      </c>
      <c r="M481">
        <v>1.93</v>
      </c>
      <c r="N481">
        <v>6.7</v>
      </c>
    </row>
    <row r="482" spans="1:14" x14ac:dyDescent="0.25">
      <c r="A482" t="s">
        <v>511</v>
      </c>
      <c r="B482" t="s">
        <v>20</v>
      </c>
      <c r="C482" t="s">
        <v>21</v>
      </c>
      <c r="D482" t="s">
        <v>22</v>
      </c>
      <c r="E482" t="s">
        <v>26</v>
      </c>
      <c r="F482" t="s">
        <v>39</v>
      </c>
      <c r="G482" t="s">
        <v>1038</v>
      </c>
      <c r="H482" t="s">
        <v>1042</v>
      </c>
      <c r="I482" s="1">
        <v>43498</v>
      </c>
      <c r="J482" t="s">
        <v>1046</v>
      </c>
      <c r="K482" s="5">
        <v>0.8534722222222223</v>
      </c>
      <c r="L482" t="s">
        <v>24</v>
      </c>
      <c r="M482">
        <v>26.388000000000002</v>
      </c>
      <c r="N482">
        <v>8.4</v>
      </c>
    </row>
    <row r="483" spans="1:14" x14ac:dyDescent="0.25">
      <c r="A483" t="s">
        <v>512</v>
      </c>
      <c r="B483" t="s">
        <v>20</v>
      </c>
      <c r="C483" t="s">
        <v>21</v>
      </c>
      <c r="D483" t="s">
        <v>22</v>
      </c>
      <c r="E483" t="s">
        <v>16</v>
      </c>
      <c r="F483" t="s">
        <v>23</v>
      </c>
      <c r="G483" t="s">
        <v>1039</v>
      </c>
      <c r="H483" t="s">
        <v>1042</v>
      </c>
      <c r="I483" s="1">
        <v>43511</v>
      </c>
      <c r="J483" t="s">
        <v>1045</v>
      </c>
      <c r="K483" s="5">
        <v>0.5083333333333333</v>
      </c>
      <c r="L483" t="s">
        <v>24</v>
      </c>
      <c r="M483">
        <v>16.399999999999999</v>
      </c>
      <c r="N483">
        <v>6.2</v>
      </c>
    </row>
    <row r="484" spans="1:14" x14ac:dyDescent="0.25">
      <c r="A484" t="s">
        <v>513</v>
      </c>
      <c r="B484" t="s">
        <v>13</v>
      </c>
      <c r="C484" t="s">
        <v>14</v>
      </c>
      <c r="D484" t="s">
        <v>22</v>
      </c>
      <c r="E484" t="s">
        <v>26</v>
      </c>
      <c r="F484" t="s">
        <v>31</v>
      </c>
      <c r="G484" t="s">
        <v>1034</v>
      </c>
      <c r="H484" t="s">
        <v>1041</v>
      </c>
      <c r="I484" s="1">
        <v>43473</v>
      </c>
      <c r="J484" t="s">
        <v>1045</v>
      </c>
      <c r="K484" s="5">
        <v>0.54513888888888895</v>
      </c>
      <c r="L484" t="s">
        <v>18</v>
      </c>
      <c r="M484">
        <v>9.2850000000000001</v>
      </c>
      <c r="N484">
        <v>5</v>
      </c>
    </row>
    <row r="485" spans="1:14" x14ac:dyDescent="0.25">
      <c r="A485" t="s">
        <v>514</v>
      </c>
      <c r="B485" t="s">
        <v>37</v>
      </c>
      <c r="C485" t="s">
        <v>38</v>
      </c>
      <c r="D485" t="s">
        <v>15</v>
      </c>
      <c r="E485" t="s">
        <v>26</v>
      </c>
      <c r="F485" t="s">
        <v>27</v>
      </c>
      <c r="G485" t="s">
        <v>1039</v>
      </c>
      <c r="H485" t="s">
        <v>1042</v>
      </c>
      <c r="I485" s="1">
        <v>43508</v>
      </c>
      <c r="J485" t="s">
        <v>1046</v>
      </c>
      <c r="K485" s="5">
        <v>0.67986111111111114</v>
      </c>
      <c r="L485" t="s">
        <v>24</v>
      </c>
      <c r="M485">
        <v>30.19</v>
      </c>
      <c r="N485">
        <v>6</v>
      </c>
    </row>
    <row r="486" spans="1:14" x14ac:dyDescent="0.25">
      <c r="A486" t="s">
        <v>515</v>
      </c>
      <c r="B486" t="s">
        <v>20</v>
      </c>
      <c r="C486" t="s">
        <v>21</v>
      </c>
      <c r="D486" t="s">
        <v>15</v>
      </c>
      <c r="E486" t="s">
        <v>16</v>
      </c>
      <c r="F486" t="s">
        <v>31</v>
      </c>
      <c r="G486" t="s">
        <v>1040</v>
      </c>
      <c r="H486" t="s">
        <v>1041</v>
      </c>
      <c r="I486" s="1">
        <v>43466</v>
      </c>
      <c r="J486" t="s">
        <v>1046</v>
      </c>
      <c r="K486" s="5">
        <v>0.82500000000000007</v>
      </c>
      <c r="L486" t="s">
        <v>28</v>
      </c>
      <c r="M486">
        <v>18.489999999999998</v>
      </c>
      <c r="N486">
        <v>7</v>
      </c>
    </row>
    <row r="487" spans="1:14" x14ac:dyDescent="0.25">
      <c r="A487" t="s">
        <v>516</v>
      </c>
      <c r="B487" t="s">
        <v>37</v>
      </c>
      <c r="C487" t="s">
        <v>38</v>
      </c>
      <c r="D487" t="s">
        <v>15</v>
      </c>
      <c r="E487" t="s">
        <v>16</v>
      </c>
      <c r="F487" t="s">
        <v>31</v>
      </c>
      <c r="G487" t="s">
        <v>1037</v>
      </c>
      <c r="H487" t="s">
        <v>1043</v>
      </c>
      <c r="I487" s="1">
        <v>43545</v>
      </c>
      <c r="J487" t="s">
        <v>1045</v>
      </c>
      <c r="K487" s="5">
        <v>0.64236111111111105</v>
      </c>
      <c r="L487" t="s">
        <v>18</v>
      </c>
      <c r="M487">
        <v>9.8979999999999997</v>
      </c>
      <c r="N487">
        <v>6.6</v>
      </c>
    </row>
    <row r="488" spans="1:14" x14ac:dyDescent="0.25">
      <c r="A488" t="s">
        <v>517</v>
      </c>
      <c r="B488" t="s">
        <v>37</v>
      </c>
      <c r="C488" t="s">
        <v>38</v>
      </c>
      <c r="D488" t="s">
        <v>22</v>
      </c>
      <c r="E488" t="s">
        <v>16</v>
      </c>
      <c r="F488" t="s">
        <v>41</v>
      </c>
      <c r="G488" t="s">
        <v>1034</v>
      </c>
      <c r="H488" t="s">
        <v>1042</v>
      </c>
      <c r="I488" s="1">
        <v>43524</v>
      </c>
      <c r="J488" t="s">
        <v>1045</v>
      </c>
      <c r="K488" s="5">
        <v>0.61249999999999993</v>
      </c>
      <c r="L488" t="s">
        <v>24</v>
      </c>
      <c r="M488">
        <v>20.545000000000002</v>
      </c>
      <c r="N488">
        <v>7.3</v>
      </c>
    </row>
    <row r="489" spans="1:14" x14ac:dyDescent="0.25">
      <c r="A489" t="s">
        <v>518</v>
      </c>
      <c r="B489" t="s">
        <v>13</v>
      </c>
      <c r="C489" t="s">
        <v>14</v>
      </c>
      <c r="D489" t="s">
        <v>22</v>
      </c>
      <c r="E489" t="s">
        <v>26</v>
      </c>
      <c r="F489" t="s">
        <v>41</v>
      </c>
      <c r="G489" t="s">
        <v>1038</v>
      </c>
      <c r="H489" t="s">
        <v>1043</v>
      </c>
      <c r="I489" s="1">
        <v>43547</v>
      </c>
      <c r="J489" t="s">
        <v>1046</v>
      </c>
      <c r="K489" s="5">
        <v>0.7909722222222223</v>
      </c>
      <c r="L489" t="s">
        <v>18</v>
      </c>
      <c r="M489">
        <v>7.43</v>
      </c>
      <c r="N489">
        <v>8.3000000000000007</v>
      </c>
    </row>
    <row r="490" spans="1:14" x14ac:dyDescent="0.25">
      <c r="A490" t="s">
        <v>519</v>
      </c>
      <c r="B490" t="s">
        <v>20</v>
      </c>
      <c r="C490" t="s">
        <v>21</v>
      </c>
      <c r="D490" t="s">
        <v>22</v>
      </c>
      <c r="E490" t="s">
        <v>26</v>
      </c>
      <c r="F490" t="s">
        <v>27</v>
      </c>
      <c r="G490" t="s">
        <v>1037</v>
      </c>
      <c r="H490" t="s">
        <v>1041</v>
      </c>
      <c r="I490" s="1">
        <v>43495</v>
      </c>
      <c r="J490" t="s">
        <v>1046</v>
      </c>
      <c r="K490" s="5">
        <v>0.86597222222222225</v>
      </c>
      <c r="L490" t="s">
        <v>24</v>
      </c>
      <c r="M490">
        <v>1.1479999999999999</v>
      </c>
      <c r="N490">
        <v>4.3</v>
      </c>
    </row>
    <row r="491" spans="1:14" x14ac:dyDescent="0.25">
      <c r="A491" t="s">
        <v>520</v>
      </c>
      <c r="B491" t="s">
        <v>37</v>
      </c>
      <c r="C491" t="s">
        <v>38</v>
      </c>
      <c r="D491" t="s">
        <v>15</v>
      </c>
      <c r="E491" t="s">
        <v>16</v>
      </c>
      <c r="F491" t="s">
        <v>27</v>
      </c>
      <c r="G491" t="s">
        <v>1038</v>
      </c>
      <c r="H491" t="s">
        <v>1042</v>
      </c>
      <c r="I491" s="1">
        <v>43500</v>
      </c>
      <c r="J491" t="s">
        <v>1045</v>
      </c>
      <c r="K491" s="5">
        <v>0.55625000000000002</v>
      </c>
      <c r="L491" t="s">
        <v>18</v>
      </c>
      <c r="M491">
        <v>34.956000000000003</v>
      </c>
      <c r="N491">
        <v>9.8000000000000007</v>
      </c>
    </row>
    <row r="492" spans="1:14" x14ac:dyDescent="0.25">
      <c r="A492" t="s">
        <v>521</v>
      </c>
      <c r="B492" t="s">
        <v>37</v>
      </c>
      <c r="C492" t="s">
        <v>38</v>
      </c>
      <c r="D492" t="s">
        <v>22</v>
      </c>
      <c r="E492" t="s">
        <v>16</v>
      </c>
      <c r="F492" t="s">
        <v>41</v>
      </c>
      <c r="G492" t="s">
        <v>1036</v>
      </c>
      <c r="H492" t="s">
        <v>1043</v>
      </c>
      <c r="I492" s="1">
        <v>43537</v>
      </c>
      <c r="J492" t="s">
        <v>1046</v>
      </c>
      <c r="K492" s="5">
        <v>0.82500000000000007</v>
      </c>
      <c r="L492" t="s">
        <v>18</v>
      </c>
      <c r="M492">
        <v>3.47</v>
      </c>
      <c r="N492">
        <v>8.1999999999999993</v>
      </c>
    </row>
    <row r="493" spans="1:14" x14ac:dyDescent="0.25">
      <c r="A493" t="s">
        <v>522</v>
      </c>
      <c r="B493" t="s">
        <v>13</v>
      </c>
      <c r="C493" t="s">
        <v>14</v>
      </c>
      <c r="D493" t="s">
        <v>15</v>
      </c>
      <c r="E493" t="s">
        <v>16</v>
      </c>
      <c r="F493" t="s">
        <v>41</v>
      </c>
      <c r="G493" t="s">
        <v>1036</v>
      </c>
      <c r="H493" t="s">
        <v>1043</v>
      </c>
      <c r="I493" s="1">
        <v>43539</v>
      </c>
      <c r="J493" t="s">
        <v>1046</v>
      </c>
      <c r="K493" s="5">
        <v>0.76388888888888884</v>
      </c>
      <c r="L493" t="s">
        <v>28</v>
      </c>
      <c r="M493">
        <v>9.83</v>
      </c>
      <c r="N493">
        <v>7.2</v>
      </c>
    </row>
    <row r="494" spans="1:14" x14ac:dyDescent="0.25">
      <c r="A494" t="s">
        <v>523</v>
      </c>
      <c r="B494" t="s">
        <v>37</v>
      </c>
      <c r="C494" t="s">
        <v>38</v>
      </c>
      <c r="D494" t="s">
        <v>15</v>
      </c>
      <c r="E494" t="s">
        <v>16</v>
      </c>
      <c r="F494" t="s">
        <v>17</v>
      </c>
      <c r="G494" t="s">
        <v>1035</v>
      </c>
      <c r="H494" t="s">
        <v>1043</v>
      </c>
      <c r="I494" s="1">
        <v>43529</v>
      </c>
      <c r="J494" t="s">
        <v>1046</v>
      </c>
      <c r="K494" s="5">
        <v>0.85</v>
      </c>
      <c r="L494" t="s">
        <v>18</v>
      </c>
      <c r="M494">
        <v>10.128</v>
      </c>
      <c r="N494">
        <v>8.6999999999999993</v>
      </c>
    </row>
    <row r="495" spans="1:14" x14ac:dyDescent="0.25">
      <c r="A495" t="s">
        <v>524</v>
      </c>
      <c r="B495" t="s">
        <v>20</v>
      </c>
      <c r="C495" t="s">
        <v>21</v>
      </c>
      <c r="D495" t="s">
        <v>15</v>
      </c>
      <c r="E495" t="s">
        <v>16</v>
      </c>
      <c r="F495" t="s">
        <v>27</v>
      </c>
      <c r="G495" t="s">
        <v>1035</v>
      </c>
      <c r="H495" t="s">
        <v>1043</v>
      </c>
      <c r="I495" s="1">
        <v>43529</v>
      </c>
      <c r="J495" t="s">
        <v>1045</v>
      </c>
      <c r="K495" s="5">
        <v>0.57222222222222219</v>
      </c>
      <c r="L495" t="s">
        <v>28</v>
      </c>
      <c r="M495">
        <v>6.06</v>
      </c>
      <c r="N495">
        <v>8.4</v>
      </c>
    </row>
    <row r="496" spans="1:14" x14ac:dyDescent="0.25">
      <c r="A496" t="s">
        <v>525</v>
      </c>
      <c r="B496" t="s">
        <v>37</v>
      </c>
      <c r="C496" t="s">
        <v>38</v>
      </c>
      <c r="D496" t="s">
        <v>22</v>
      </c>
      <c r="E496" t="s">
        <v>26</v>
      </c>
      <c r="F496" t="s">
        <v>41</v>
      </c>
      <c r="G496" t="s">
        <v>1034</v>
      </c>
      <c r="H496" t="s">
        <v>1042</v>
      </c>
      <c r="I496" s="1">
        <v>43522</v>
      </c>
      <c r="J496" t="s">
        <v>1044</v>
      </c>
      <c r="K496" s="5">
        <v>0.4916666666666667</v>
      </c>
      <c r="L496" t="s">
        <v>18</v>
      </c>
      <c r="M496">
        <v>9.9890000000000008</v>
      </c>
      <c r="N496">
        <v>7.1</v>
      </c>
    </row>
    <row r="497" spans="1:14" x14ac:dyDescent="0.25">
      <c r="A497" t="s">
        <v>526</v>
      </c>
      <c r="B497" t="s">
        <v>37</v>
      </c>
      <c r="C497" t="s">
        <v>38</v>
      </c>
      <c r="D497" t="s">
        <v>22</v>
      </c>
      <c r="E497" t="s">
        <v>26</v>
      </c>
      <c r="F497" t="s">
        <v>31</v>
      </c>
      <c r="G497" t="s">
        <v>1037</v>
      </c>
      <c r="H497" t="s">
        <v>1043</v>
      </c>
      <c r="I497" s="1">
        <v>43544</v>
      </c>
      <c r="J497" t="s">
        <v>1045</v>
      </c>
      <c r="K497" s="5">
        <v>0.59305555555555556</v>
      </c>
      <c r="L497" t="s">
        <v>24</v>
      </c>
      <c r="M497">
        <v>30.367999999999999</v>
      </c>
      <c r="N497">
        <v>5.5</v>
      </c>
    </row>
    <row r="498" spans="1:14" x14ac:dyDescent="0.25">
      <c r="A498" t="s">
        <v>527</v>
      </c>
      <c r="B498" t="s">
        <v>20</v>
      </c>
      <c r="C498" t="s">
        <v>21</v>
      </c>
      <c r="D498" t="s">
        <v>22</v>
      </c>
      <c r="E498" t="s">
        <v>16</v>
      </c>
      <c r="F498" t="s">
        <v>23</v>
      </c>
      <c r="G498" t="s">
        <v>1040</v>
      </c>
      <c r="H498" t="s">
        <v>1041</v>
      </c>
      <c r="I498" s="1">
        <v>43466</v>
      </c>
      <c r="J498" t="s">
        <v>1045</v>
      </c>
      <c r="K498" s="5">
        <v>0.66041666666666665</v>
      </c>
      <c r="L498" t="s">
        <v>24</v>
      </c>
      <c r="M498">
        <v>6.3220000000000001</v>
      </c>
      <c r="N498">
        <v>8.5</v>
      </c>
    </row>
    <row r="499" spans="1:14" x14ac:dyDescent="0.25">
      <c r="A499" t="s">
        <v>528</v>
      </c>
      <c r="B499" t="s">
        <v>20</v>
      </c>
      <c r="C499" t="s">
        <v>21</v>
      </c>
      <c r="D499" t="s">
        <v>22</v>
      </c>
      <c r="E499" t="s">
        <v>16</v>
      </c>
      <c r="F499" t="s">
        <v>39</v>
      </c>
      <c r="G499" t="s">
        <v>1037</v>
      </c>
      <c r="H499" t="s">
        <v>1041</v>
      </c>
      <c r="I499" s="1">
        <v>43492</v>
      </c>
      <c r="J499" t="s">
        <v>1044</v>
      </c>
      <c r="K499" s="5">
        <v>0.47013888888888888</v>
      </c>
      <c r="L499" t="s">
        <v>24</v>
      </c>
      <c r="M499">
        <v>27.071999999999999</v>
      </c>
      <c r="N499">
        <v>6.2</v>
      </c>
    </row>
    <row r="500" spans="1:14" x14ac:dyDescent="0.25">
      <c r="A500" t="s">
        <v>529</v>
      </c>
      <c r="B500" t="s">
        <v>37</v>
      </c>
      <c r="C500" t="s">
        <v>38</v>
      </c>
      <c r="D500" t="s">
        <v>15</v>
      </c>
      <c r="E500" t="s">
        <v>16</v>
      </c>
      <c r="F500" t="s">
        <v>31</v>
      </c>
      <c r="G500" t="s">
        <v>1036</v>
      </c>
      <c r="H500" t="s">
        <v>1041</v>
      </c>
      <c r="I500" s="1">
        <v>43486</v>
      </c>
      <c r="J500" t="s">
        <v>1046</v>
      </c>
      <c r="K500" s="5">
        <v>0.73333333333333339</v>
      </c>
      <c r="L500" t="s">
        <v>24</v>
      </c>
      <c r="M500">
        <v>4.9065000000000003</v>
      </c>
      <c r="N500">
        <v>8.9</v>
      </c>
    </row>
    <row r="501" spans="1:14" x14ac:dyDescent="0.25">
      <c r="A501" t="s">
        <v>530</v>
      </c>
      <c r="B501" t="s">
        <v>13</v>
      </c>
      <c r="C501" t="s">
        <v>14</v>
      </c>
      <c r="D501" t="s">
        <v>15</v>
      </c>
      <c r="E501" t="s">
        <v>16</v>
      </c>
      <c r="F501" t="s">
        <v>31</v>
      </c>
      <c r="G501" t="s">
        <v>1038</v>
      </c>
      <c r="H501" t="s">
        <v>1042</v>
      </c>
      <c r="I501" s="1">
        <v>43498</v>
      </c>
      <c r="J501" t="s">
        <v>1045</v>
      </c>
      <c r="K501" s="5">
        <v>0.65763888888888888</v>
      </c>
      <c r="L501" t="s">
        <v>24</v>
      </c>
      <c r="M501">
        <v>20.608000000000001</v>
      </c>
      <c r="N501">
        <v>9.6</v>
      </c>
    </row>
    <row r="502" spans="1:14" x14ac:dyDescent="0.25">
      <c r="A502" t="s">
        <v>531</v>
      </c>
      <c r="B502" t="s">
        <v>37</v>
      </c>
      <c r="C502" t="s">
        <v>38</v>
      </c>
      <c r="D502" t="s">
        <v>15</v>
      </c>
      <c r="E502" t="s">
        <v>26</v>
      </c>
      <c r="F502" t="s">
        <v>31</v>
      </c>
      <c r="G502" t="s">
        <v>1038</v>
      </c>
      <c r="H502" t="s">
        <v>1042</v>
      </c>
      <c r="I502" s="1">
        <v>43499</v>
      </c>
      <c r="J502" t="s">
        <v>1045</v>
      </c>
      <c r="K502" s="5">
        <v>0.66180555555555554</v>
      </c>
      <c r="L502" t="s">
        <v>28</v>
      </c>
      <c r="M502">
        <v>3.6985000000000001</v>
      </c>
      <c r="N502">
        <v>5.4</v>
      </c>
    </row>
    <row r="503" spans="1:14" x14ac:dyDescent="0.25">
      <c r="A503" t="s">
        <v>532</v>
      </c>
      <c r="B503" t="s">
        <v>20</v>
      </c>
      <c r="C503" t="s">
        <v>21</v>
      </c>
      <c r="D503" t="s">
        <v>15</v>
      </c>
      <c r="E503" t="s">
        <v>16</v>
      </c>
      <c r="F503" t="s">
        <v>41</v>
      </c>
      <c r="G503" t="s">
        <v>1034</v>
      </c>
      <c r="H503" t="s">
        <v>1041</v>
      </c>
      <c r="I503" s="1">
        <v>43470</v>
      </c>
      <c r="J503" t="s">
        <v>1045</v>
      </c>
      <c r="K503" s="5">
        <v>0.52777777777777779</v>
      </c>
      <c r="L503" t="s">
        <v>18</v>
      </c>
      <c r="M503">
        <v>1.595</v>
      </c>
      <c r="N503">
        <v>9.1</v>
      </c>
    </row>
    <row r="504" spans="1:14" x14ac:dyDescent="0.25">
      <c r="A504" t="s">
        <v>533</v>
      </c>
      <c r="B504" t="s">
        <v>20</v>
      </c>
      <c r="C504" t="s">
        <v>21</v>
      </c>
      <c r="D504" t="s">
        <v>22</v>
      </c>
      <c r="E504" t="s">
        <v>26</v>
      </c>
      <c r="F504" t="s">
        <v>27</v>
      </c>
      <c r="G504" t="s">
        <v>1037</v>
      </c>
      <c r="H504" t="s">
        <v>1041</v>
      </c>
      <c r="I504" s="1">
        <v>43492</v>
      </c>
      <c r="J504" t="s">
        <v>1046</v>
      </c>
      <c r="K504" s="5">
        <v>0.82500000000000007</v>
      </c>
      <c r="L504" t="s">
        <v>18</v>
      </c>
      <c r="M504">
        <v>6.94</v>
      </c>
      <c r="N504">
        <v>9</v>
      </c>
    </row>
    <row r="505" spans="1:14" x14ac:dyDescent="0.25">
      <c r="A505" t="s">
        <v>534</v>
      </c>
      <c r="B505" t="s">
        <v>37</v>
      </c>
      <c r="C505" t="s">
        <v>38</v>
      </c>
      <c r="D505" t="s">
        <v>22</v>
      </c>
      <c r="E505" t="s">
        <v>16</v>
      </c>
      <c r="F505" t="s">
        <v>31</v>
      </c>
      <c r="G505" t="s">
        <v>1038</v>
      </c>
      <c r="H505" t="s">
        <v>1043</v>
      </c>
      <c r="I505" s="1">
        <v>43549</v>
      </c>
      <c r="J505" t="s">
        <v>1046</v>
      </c>
      <c r="K505" s="5">
        <v>0.74513888888888891</v>
      </c>
      <c r="L505" t="s">
        <v>24</v>
      </c>
      <c r="M505">
        <v>9.3309999999999995</v>
      </c>
      <c r="N505">
        <v>6.3</v>
      </c>
    </row>
    <row r="506" spans="1:14" x14ac:dyDescent="0.25">
      <c r="A506" t="s">
        <v>535</v>
      </c>
      <c r="B506" t="s">
        <v>37</v>
      </c>
      <c r="C506" t="s">
        <v>38</v>
      </c>
      <c r="D506" t="s">
        <v>22</v>
      </c>
      <c r="E506" t="s">
        <v>26</v>
      </c>
      <c r="F506" t="s">
        <v>31</v>
      </c>
      <c r="G506" t="s">
        <v>1034</v>
      </c>
      <c r="H506" t="s">
        <v>1042</v>
      </c>
      <c r="I506" s="1">
        <v>43521</v>
      </c>
      <c r="J506" t="s">
        <v>1046</v>
      </c>
      <c r="K506" s="5">
        <v>0.69166666666666676</v>
      </c>
      <c r="L506" t="s">
        <v>28</v>
      </c>
      <c r="M506">
        <v>4.4225000000000003</v>
      </c>
      <c r="N506">
        <v>9.5</v>
      </c>
    </row>
    <row r="507" spans="1:14" x14ac:dyDescent="0.25">
      <c r="A507" t="s">
        <v>536</v>
      </c>
      <c r="B507" t="s">
        <v>13</v>
      </c>
      <c r="C507" t="s">
        <v>14</v>
      </c>
      <c r="D507" t="s">
        <v>15</v>
      </c>
      <c r="E507" t="s">
        <v>26</v>
      </c>
      <c r="F507" t="s">
        <v>23</v>
      </c>
      <c r="G507" t="s">
        <v>1037</v>
      </c>
      <c r="H507" t="s">
        <v>1041</v>
      </c>
      <c r="I507" s="1">
        <v>43493</v>
      </c>
      <c r="J507" t="s">
        <v>1046</v>
      </c>
      <c r="K507" s="5">
        <v>0.87083333333333324</v>
      </c>
      <c r="L507" t="s">
        <v>18</v>
      </c>
      <c r="M507">
        <v>9.6720000000000006</v>
      </c>
      <c r="N507">
        <v>9.8000000000000007</v>
      </c>
    </row>
    <row r="508" spans="1:14" x14ac:dyDescent="0.25">
      <c r="A508" t="s">
        <v>537</v>
      </c>
      <c r="B508" t="s">
        <v>37</v>
      </c>
      <c r="C508" t="s">
        <v>38</v>
      </c>
      <c r="D508" t="s">
        <v>15</v>
      </c>
      <c r="E508" t="s">
        <v>16</v>
      </c>
      <c r="F508" t="s">
        <v>31</v>
      </c>
      <c r="G508" t="s">
        <v>1034</v>
      </c>
      <c r="H508" t="s">
        <v>1041</v>
      </c>
      <c r="I508" s="1">
        <v>43473</v>
      </c>
      <c r="J508" t="s">
        <v>1045</v>
      </c>
      <c r="K508" s="5">
        <v>0.53472222222222221</v>
      </c>
      <c r="L508" t="s">
        <v>24</v>
      </c>
      <c r="M508">
        <v>7.2750000000000004</v>
      </c>
      <c r="N508">
        <v>6.7</v>
      </c>
    </row>
    <row r="509" spans="1:14" x14ac:dyDescent="0.25">
      <c r="A509" t="s">
        <v>538</v>
      </c>
      <c r="B509" t="s">
        <v>37</v>
      </c>
      <c r="C509" t="s">
        <v>38</v>
      </c>
      <c r="D509" t="s">
        <v>22</v>
      </c>
      <c r="E509" t="s">
        <v>16</v>
      </c>
      <c r="F509" t="s">
        <v>39</v>
      </c>
      <c r="G509" t="s">
        <v>1037</v>
      </c>
      <c r="H509" t="s">
        <v>1041</v>
      </c>
      <c r="I509" s="1">
        <v>43494</v>
      </c>
      <c r="J509" t="s">
        <v>1044</v>
      </c>
      <c r="K509" s="5">
        <v>0.45</v>
      </c>
      <c r="L509" t="s">
        <v>28</v>
      </c>
      <c r="M509">
        <v>25.215</v>
      </c>
      <c r="N509">
        <v>7.7</v>
      </c>
    </row>
    <row r="510" spans="1:14" x14ac:dyDescent="0.25">
      <c r="A510" t="s">
        <v>539</v>
      </c>
      <c r="B510" t="s">
        <v>37</v>
      </c>
      <c r="C510" t="s">
        <v>38</v>
      </c>
      <c r="D510" t="s">
        <v>15</v>
      </c>
      <c r="E510" t="s">
        <v>26</v>
      </c>
      <c r="F510" t="s">
        <v>17</v>
      </c>
      <c r="G510" t="s">
        <v>1038</v>
      </c>
      <c r="H510" t="s">
        <v>1043</v>
      </c>
      <c r="I510" s="1">
        <v>43553</v>
      </c>
      <c r="J510" t="s">
        <v>1045</v>
      </c>
      <c r="K510" s="5">
        <v>0.60277777777777775</v>
      </c>
      <c r="L510" t="s">
        <v>24</v>
      </c>
      <c r="M510">
        <v>15.3225</v>
      </c>
      <c r="N510">
        <v>7</v>
      </c>
    </row>
    <row r="511" spans="1:14" x14ac:dyDescent="0.25">
      <c r="A511" t="s">
        <v>540</v>
      </c>
      <c r="B511" t="s">
        <v>20</v>
      </c>
      <c r="C511" t="s">
        <v>21</v>
      </c>
      <c r="D511" t="s">
        <v>15</v>
      </c>
      <c r="E511" t="s">
        <v>16</v>
      </c>
      <c r="F511" t="s">
        <v>27</v>
      </c>
      <c r="G511" t="s">
        <v>1039</v>
      </c>
      <c r="H511" t="s">
        <v>1042</v>
      </c>
      <c r="I511" s="1">
        <v>43505</v>
      </c>
      <c r="J511" t="s">
        <v>1046</v>
      </c>
      <c r="K511" s="5">
        <v>0.71875</v>
      </c>
      <c r="L511" t="s">
        <v>28</v>
      </c>
      <c r="M511">
        <v>4.7850000000000001</v>
      </c>
      <c r="N511">
        <v>5.0999999999999996</v>
      </c>
    </row>
    <row r="512" spans="1:14" x14ac:dyDescent="0.25">
      <c r="A512" t="s">
        <v>541</v>
      </c>
      <c r="B512" t="s">
        <v>37</v>
      </c>
      <c r="C512" t="s">
        <v>38</v>
      </c>
      <c r="D512" t="s">
        <v>15</v>
      </c>
      <c r="E512" t="s">
        <v>16</v>
      </c>
      <c r="F512" t="s">
        <v>31</v>
      </c>
      <c r="G512" t="s">
        <v>1035</v>
      </c>
      <c r="H512" t="s">
        <v>1041</v>
      </c>
      <c r="I512" s="1">
        <v>43481</v>
      </c>
      <c r="J512" t="s">
        <v>1046</v>
      </c>
      <c r="K512" s="5">
        <v>0.75208333333333333</v>
      </c>
      <c r="L512" t="s">
        <v>28</v>
      </c>
      <c r="M512">
        <v>31.759</v>
      </c>
      <c r="N512">
        <v>6.2</v>
      </c>
    </row>
    <row r="513" spans="1:14" x14ac:dyDescent="0.25">
      <c r="A513" t="s">
        <v>542</v>
      </c>
      <c r="B513" t="s">
        <v>13</v>
      </c>
      <c r="C513" t="s">
        <v>14</v>
      </c>
      <c r="D513" t="s">
        <v>22</v>
      </c>
      <c r="E513" t="s">
        <v>16</v>
      </c>
      <c r="F513" t="s">
        <v>27</v>
      </c>
      <c r="G513" t="s">
        <v>1034</v>
      </c>
      <c r="H513" t="s">
        <v>1041</v>
      </c>
      <c r="I513" s="1">
        <v>43470</v>
      </c>
      <c r="J513" t="s">
        <v>1046</v>
      </c>
      <c r="K513" s="5">
        <v>0.7284722222222223</v>
      </c>
      <c r="L513" t="s">
        <v>18</v>
      </c>
      <c r="M513">
        <v>10.727499999999999</v>
      </c>
      <c r="N513">
        <v>6.1</v>
      </c>
    </row>
    <row r="514" spans="1:14" x14ac:dyDescent="0.25">
      <c r="A514" t="s">
        <v>543</v>
      </c>
      <c r="B514" t="s">
        <v>13</v>
      </c>
      <c r="C514" t="s">
        <v>14</v>
      </c>
      <c r="D514" t="s">
        <v>22</v>
      </c>
      <c r="E514" t="s">
        <v>16</v>
      </c>
      <c r="F514" t="s">
        <v>41</v>
      </c>
      <c r="G514" t="s">
        <v>1037</v>
      </c>
      <c r="H514" t="s">
        <v>1041</v>
      </c>
      <c r="I514" s="1">
        <v>43492</v>
      </c>
      <c r="J514" t="s">
        <v>1046</v>
      </c>
      <c r="K514" s="5">
        <v>0.75347222222222221</v>
      </c>
      <c r="L514" t="s">
        <v>18</v>
      </c>
      <c r="M514">
        <v>18.998000000000001</v>
      </c>
      <c r="N514">
        <v>9.3000000000000007</v>
      </c>
    </row>
    <row r="515" spans="1:14" x14ac:dyDescent="0.25">
      <c r="A515" t="s">
        <v>544</v>
      </c>
      <c r="B515" t="s">
        <v>13</v>
      </c>
      <c r="C515" t="s">
        <v>14</v>
      </c>
      <c r="D515" t="s">
        <v>22</v>
      </c>
      <c r="E515" t="s">
        <v>26</v>
      </c>
      <c r="F515" t="s">
        <v>23</v>
      </c>
      <c r="G515" t="s">
        <v>1036</v>
      </c>
      <c r="H515" t="s">
        <v>1043</v>
      </c>
      <c r="I515" s="1">
        <v>43538</v>
      </c>
      <c r="J515" t="s">
        <v>1045</v>
      </c>
      <c r="K515" s="5">
        <v>0.50486111111111109</v>
      </c>
      <c r="L515" t="s">
        <v>24</v>
      </c>
      <c r="M515">
        <v>34.842500000000001</v>
      </c>
      <c r="N515">
        <v>7.6</v>
      </c>
    </row>
    <row r="516" spans="1:14" x14ac:dyDescent="0.25">
      <c r="A516" t="s">
        <v>545</v>
      </c>
      <c r="B516" t="s">
        <v>20</v>
      </c>
      <c r="C516" t="s">
        <v>21</v>
      </c>
      <c r="D516" t="s">
        <v>15</v>
      </c>
      <c r="E516" t="s">
        <v>26</v>
      </c>
      <c r="F516" t="s">
        <v>31</v>
      </c>
      <c r="G516" t="s">
        <v>1034</v>
      </c>
      <c r="H516" t="s">
        <v>1042</v>
      </c>
      <c r="I516" s="1">
        <v>43519</v>
      </c>
      <c r="J516" t="s">
        <v>1046</v>
      </c>
      <c r="K516" s="5">
        <v>0.8256944444444444</v>
      </c>
      <c r="L516" t="s">
        <v>28</v>
      </c>
      <c r="M516">
        <v>20.436499999999999</v>
      </c>
      <c r="N516">
        <v>8.1999999999999993</v>
      </c>
    </row>
    <row r="517" spans="1:14" x14ac:dyDescent="0.25">
      <c r="A517" t="s">
        <v>546</v>
      </c>
      <c r="B517" t="s">
        <v>20</v>
      </c>
      <c r="C517" t="s">
        <v>21</v>
      </c>
      <c r="D517" t="s">
        <v>15</v>
      </c>
      <c r="E517" t="s">
        <v>16</v>
      </c>
      <c r="F517" t="s">
        <v>41</v>
      </c>
      <c r="G517" t="s">
        <v>1037</v>
      </c>
      <c r="H517" t="s">
        <v>1043</v>
      </c>
      <c r="I517" s="1">
        <v>43542</v>
      </c>
      <c r="J517" t="s">
        <v>1045</v>
      </c>
      <c r="K517" s="5">
        <v>0.66111111111111109</v>
      </c>
      <c r="L517" t="s">
        <v>18</v>
      </c>
      <c r="M517">
        <v>2.5735000000000001</v>
      </c>
      <c r="N517">
        <v>8.5</v>
      </c>
    </row>
    <row r="518" spans="1:14" x14ac:dyDescent="0.25">
      <c r="A518" t="s">
        <v>547</v>
      </c>
      <c r="B518" t="s">
        <v>37</v>
      </c>
      <c r="C518" t="s">
        <v>38</v>
      </c>
      <c r="D518" t="s">
        <v>15</v>
      </c>
      <c r="E518" t="s">
        <v>26</v>
      </c>
      <c r="F518" t="s">
        <v>17</v>
      </c>
      <c r="G518" t="s">
        <v>1038</v>
      </c>
      <c r="H518" t="s">
        <v>1043</v>
      </c>
      <c r="I518" s="1">
        <v>43553</v>
      </c>
      <c r="J518" t="s">
        <v>1046</v>
      </c>
      <c r="K518" s="5">
        <v>0.70000000000000007</v>
      </c>
      <c r="L518" t="s">
        <v>18</v>
      </c>
      <c r="M518">
        <v>13.715</v>
      </c>
      <c r="N518">
        <v>9.8000000000000007</v>
      </c>
    </row>
    <row r="519" spans="1:14" x14ac:dyDescent="0.25">
      <c r="A519" t="s">
        <v>548</v>
      </c>
      <c r="B519" t="s">
        <v>20</v>
      </c>
      <c r="C519" t="s">
        <v>21</v>
      </c>
      <c r="D519" t="s">
        <v>15</v>
      </c>
      <c r="E519" t="s">
        <v>26</v>
      </c>
      <c r="F519" t="s">
        <v>27</v>
      </c>
      <c r="G519" t="s">
        <v>1036</v>
      </c>
      <c r="H519" t="s">
        <v>1041</v>
      </c>
      <c r="I519" s="1">
        <v>43487</v>
      </c>
      <c r="J519" t="s">
        <v>1046</v>
      </c>
      <c r="K519" s="5">
        <v>0.8652777777777777</v>
      </c>
      <c r="L519" t="s">
        <v>28</v>
      </c>
      <c r="M519">
        <v>9.8475000000000001</v>
      </c>
      <c r="N519">
        <v>8.6999999999999993</v>
      </c>
    </row>
    <row r="520" spans="1:14" x14ac:dyDescent="0.25">
      <c r="A520" t="s">
        <v>549</v>
      </c>
      <c r="B520" t="s">
        <v>13</v>
      </c>
      <c r="C520" t="s">
        <v>14</v>
      </c>
      <c r="D520" t="s">
        <v>22</v>
      </c>
      <c r="E520" t="s">
        <v>26</v>
      </c>
      <c r="F520" t="s">
        <v>27</v>
      </c>
      <c r="G520" t="s">
        <v>1034</v>
      </c>
      <c r="H520" t="s">
        <v>1043</v>
      </c>
      <c r="I520" s="1">
        <v>43525</v>
      </c>
      <c r="J520" t="s">
        <v>1046</v>
      </c>
      <c r="K520" s="5">
        <v>0.7597222222222223</v>
      </c>
      <c r="L520" t="s">
        <v>18</v>
      </c>
      <c r="M520">
        <v>3.4729999999999999</v>
      </c>
      <c r="N520">
        <v>9.6999999999999993</v>
      </c>
    </row>
    <row r="521" spans="1:14" x14ac:dyDescent="0.25">
      <c r="A521" t="s">
        <v>550</v>
      </c>
      <c r="B521" t="s">
        <v>20</v>
      </c>
      <c r="C521" t="s">
        <v>21</v>
      </c>
      <c r="D521" t="s">
        <v>15</v>
      </c>
      <c r="E521" t="s">
        <v>26</v>
      </c>
      <c r="F521" t="s">
        <v>31</v>
      </c>
      <c r="G521" t="s">
        <v>1035</v>
      </c>
      <c r="H521" t="s">
        <v>1041</v>
      </c>
      <c r="I521" s="1">
        <v>43482</v>
      </c>
      <c r="J521" t="s">
        <v>1045</v>
      </c>
      <c r="K521" s="5">
        <v>0.62847222222222221</v>
      </c>
      <c r="L521" t="s">
        <v>28</v>
      </c>
      <c r="M521">
        <v>17.98</v>
      </c>
      <c r="N521">
        <v>4.3</v>
      </c>
    </row>
    <row r="522" spans="1:14" x14ac:dyDescent="0.25">
      <c r="A522" t="s">
        <v>551</v>
      </c>
      <c r="B522" t="s">
        <v>37</v>
      </c>
      <c r="C522" t="s">
        <v>38</v>
      </c>
      <c r="D522" t="s">
        <v>22</v>
      </c>
      <c r="E522" t="s">
        <v>16</v>
      </c>
      <c r="F522" t="s">
        <v>23</v>
      </c>
      <c r="G522" t="s">
        <v>1038</v>
      </c>
      <c r="H522" t="s">
        <v>1043</v>
      </c>
      <c r="I522" s="1">
        <v>43550</v>
      </c>
      <c r="J522" t="s">
        <v>1044</v>
      </c>
      <c r="K522" s="5">
        <v>0.44027777777777777</v>
      </c>
      <c r="L522" t="s">
        <v>28</v>
      </c>
      <c r="M522">
        <v>6.8564999999999996</v>
      </c>
      <c r="N522">
        <v>7.7</v>
      </c>
    </row>
    <row r="523" spans="1:14" x14ac:dyDescent="0.25">
      <c r="A523" t="s">
        <v>552</v>
      </c>
      <c r="B523" t="s">
        <v>20</v>
      </c>
      <c r="C523" t="s">
        <v>21</v>
      </c>
      <c r="D523" t="s">
        <v>15</v>
      </c>
      <c r="E523" t="s">
        <v>16</v>
      </c>
      <c r="F523" t="s">
        <v>27</v>
      </c>
      <c r="G523" t="s">
        <v>1037</v>
      </c>
      <c r="H523" t="s">
        <v>1043</v>
      </c>
      <c r="I523" s="1">
        <v>43544</v>
      </c>
      <c r="J523" t="s">
        <v>1044</v>
      </c>
      <c r="K523" s="5">
        <v>0.47430555555555554</v>
      </c>
      <c r="L523" t="s">
        <v>24</v>
      </c>
      <c r="M523">
        <v>24.951000000000001</v>
      </c>
      <c r="N523">
        <v>7.3</v>
      </c>
    </row>
    <row r="524" spans="1:14" x14ac:dyDescent="0.25">
      <c r="A524" t="s">
        <v>553</v>
      </c>
      <c r="B524" t="s">
        <v>13</v>
      </c>
      <c r="C524" t="s">
        <v>14</v>
      </c>
      <c r="D524" t="s">
        <v>15</v>
      </c>
      <c r="E524" t="s">
        <v>16</v>
      </c>
      <c r="F524" t="s">
        <v>27</v>
      </c>
      <c r="G524" t="s">
        <v>1038</v>
      </c>
      <c r="H524" t="s">
        <v>1042</v>
      </c>
      <c r="I524" s="1">
        <v>43502</v>
      </c>
      <c r="J524" t="s">
        <v>1045</v>
      </c>
      <c r="K524" s="5">
        <v>0.57986111111111105</v>
      </c>
      <c r="L524" t="s">
        <v>28</v>
      </c>
      <c r="M524">
        <v>11.231999999999999</v>
      </c>
      <c r="N524">
        <v>5.9</v>
      </c>
    </row>
    <row r="525" spans="1:14" x14ac:dyDescent="0.25">
      <c r="A525" t="s">
        <v>554</v>
      </c>
      <c r="B525" t="s">
        <v>20</v>
      </c>
      <c r="C525" t="s">
        <v>21</v>
      </c>
      <c r="D525" t="s">
        <v>22</v>
      </c>
      <c r="E525" t="s">
        <v>26</v>
      </c>
      <c r="F525" t="s">
        <v>17</v>
      </c>
      <c r="G525" t="s">
        <v>1040</v>
      </c>
      <c r="H525" t="s">
        <v>1041</v>
      </c>
      <c r="I525" s="1">
        <v>43466</v>
      </c>
      <c r="J525" t="s">
        <v>1044</v>
      </c>
      <c r="K525" s="5">
        <v>0.48819444444444443</v>
      </c>
      <c r="L525" t="s">
        <v>24</v>
      </c>
      <c r="M525">
        <v>6.2869999999999999</v>
      </c>
      <c r="N525">
        <v>5</v>
      </c>
    </row>
    <row r="526" spans="1:14" x14ac:dyDescent="0.25">
      <c r="A526" t="s">
        <v>555</v>
      </c>
      <c r="B526" t="s">
        <v>13</v>
      </c>
      <c r="C526" t="s">
        <v>14</v>
      </c>
      <c r="D526" t="s">
        <v>22</v>
      </c>
      <c r="E526" t="s">
        <v>26</v>
      </c>
      <c r="F526" t="s">
        <v>39</v>
      </c>
      <c r="G526" t="s">
        <v>1037</v>
      </c>
      <c r="H526" t="s">
        <v>1041</v>
      </c>
      <c r="I526" s="1">
        <v>43492</v>
      </c>
      <c r="J526" t="s">
        <v>1045</v>
      </c>
      <c r="K526" s="5">
        <v>0.60833333333333328</v>
      </c>
      <c r="L526" t="s">
        <v>28</v>
      </c>
      <c r="M526">
        <v>24.513000000000002</v>
      </c>
      <c r="N526">
        <v>8</v>
      </c>
    </row>
    <row r="527" spans="1:14" x14ac:dyDescent="0.25">
      <c r="A527" t="s">
        <v>556</v>
      </c>
      <c r="B527" t="s">
        <v>13</v>
      </c>
      <c r="C527" t="s">
        <v>14</v>
      </c>
      <c r="D527" t="s">
        <v>15</v>
      </c>
      <c r="E527" t="s">
        <v>16</v>
      </c>
      <c r="F527" t="s">
        <v>31</v>
      </c>
      <c r="G527" t="s">
        <v>1034</v>
      </c>
      <c r="H527" t="s">
        <v>1042</v>
      </c>
      <c r="I527" s="1">
        <v>43521</v>
      </c>
      <c r="J527" t="s">
        <v>1046</v>
      </c>
      <c r="K527" s="5">
        <v>0.66875000000000007</v>
      </c>
      <c r="L527" t="s">
        <v>18</v>
      </c>
      <c r="M527">
        <v>22.852499999999999</v>
      </c>
      <c r="N527">
        <v>7.1</v>
      </c>
    </row>
    <row r="528" spans="1:14" x14ac:dyDescent="0.25">
      <c r="A528" t="s">
        <v>557</v>
      </c>
      <c r="B528" t="s">
        <v>37</v>
      </c>
      <c r="C528" t="s">
        <v>38</v>
      </c>
      <c r="D528" t="s">
        <v>22</v>
      </c>
      <c r="E528" t="s">
        <v>26</v>
      </c>
      <c r="F528" t="s">
        <v>41</v>
      </c>
      <c r="G528" t="s">
        <v>1035</v>
      </c>
      <c r="H528" t="s">
        <v>1041</v>
      </c>
      <c r="I528" s="1">
        <v>43481</v>
      </c>
      <c r="J528" t="s">
        <v>1046</v>
      </c>
      <c r="K528" s="5">
        <v>0.8354166666666667</v>
      </c>
      <c r="L528" t="s">
        <v>28</v>
      </c>
      <c r="M528">
        <v>7.8419999999999996</v>
      </c>
      <c r="N528">
        <v>9</v>
      </c>
    </row>
    <row r="529" spans="1:14" x14ac:dyDescent="0.25">
      <c r="A529" t="s">
        <v>558</v>
      </c>
      <c r="B529" t="s">
        <v>37</v>
      </c>
      <c r="C529" t="s">
        <v>38</v>
      </c>
      <c r="D529" t="s">
        <v>15</v>
      </c>
      <c r="E529" t="s">
        <v>26</v>
      </c>
      <c r="F529" t="s">
        <v>41</v>
      </c>
      <c r="G529" t="s">
        <v>1035</v>
      </c>
      <c r="H529" t="s">
        <v>1041</v>
      </c>
      <c r="I529" s="1">
        <v>43478</v>
      </c>
      <c r="J529" t="s">
        <v>1045</v>
      </c>
      <c r="K529" s="5">
        <v>0.62152777777777779</v>
      </c>
      <c r="L529" t="s">
        <v>18</v>
      </c>
      <c r="M529">
        <v>5.9859999999999998</v>
      </c>
      <c r="N529">
        <v>6.7</v>
      </c>
    </row>
    <row r="530" spans="1:14" x14ac:dyDescent="0.25">
      <c r="A530" t="s">
        <v>559</v>
      </c>
      <c r="B530" t="s">
        <v>37</v>
      </c>
      <c r="C530" t="s">
        <v>38</v>
      </c>
      <c r="D530" t="s">
        <v>15</v>
      </c>
      <c r="E530" t="s">
        <v>16</v>
      </c>
      <c r="F530" t="s">
        <v>39</v>
      </c>
      <c r="G530" t="s">
        <v>1038</v>
      </c>
      <c r="H530" t="s">
        <v>1042</v>
      </c>
      <c r="I530" s="1">
        <v>43503</v>
      </c>
      <c r="J530" t="s">
        <v>1044</v>
      </c>
      <c r="K530" s="5">
        <v>0.4777777777777778</v>
      </c>
      <c r="L530" t="s">
        <v>28</v>
      </c>
      <c r="M530">
        <v>27.18</v>
      </c>
      <c r="N530">
        <v>6.1</v>
      </c>
    </row>
    <row r="531" spans="1:14" x14ac:dyDescent="0.25">
      <c r="A531" t="s">
        <v>560</v>
      </c>
      <c r="B531" t="s">
        <v>13</v>
      </c>
      <c r="C531" t="s">
        <v>14</v>
      </c>
      <c r="D531" t="s">
        <v>22</v>
      </c>
      <c r="E531" t="s">
        <v>26</v>
      </c>
      <c r="F531" t="s">
        <v>31</v>
      </c>
      <c r="G531" t="s">
        <v>1040</v>
      </c>
      <c r="H531" t="s">
        <v>1042</v>
      </c>
      <c r="I531" s="1">
        <v>43513</v>
      </c>
      <c r="J531" t="s">
        <v>1046</v>
      </c>
      <c r="K531" s="5">
        <v>0.82013888888888886</v>
      </c>
      <c r="L531" t="s">
        <v>24</v>
      </c>
      <c r="M531">
        <v>44.140500000000003</v>
      </c>
      <c r="N531">
        <v>9.3000000000000007</v>
      </c>
    </row>
    <row r="532" spans="1:14" x14ac:dyDescent="0.25">
      <c r="A532" t="s">
        <v>561</v>
      </c>
      <c r="B532" t="s">
        <v>13</v>
      </c>
      <c r="C532" t="s">
        <v>14</v>
      </c>
      <c r="D532" t="s">
        <v>22</v>
      </c>
      <c r="E532" t="s">
        <v>26</v>
      </c>
      <c r="F532" t="s">
        <v>17</v>
      </c>
      <c r="G532" t="s">
        <v>1039</v>
      </c>
      <c r="H532" t="s">
        <v>1042</v>
      </c>
      <c r="I532" s="1">
        <v>43508</v>
      </c>
      <c r="J532" t="s">
        <v>1046</v>
      </c>
      <c r="K532" s="5">
        <v>0.79236111111111107</v>
      </c>
      <c r="L532" t="s">
        <v>18</v>
      </c>
      <c r="M532">
        <v>7.6289999999999996</v>
      </c>
      <c r="N532">
        <v>7</v>
      </c>
    </row>
    <row r="533" spans="1:14" x14ac:dyDescent="0.25">
      <c r="A533" t="s">
        <v>562</v>
      </c>
      <c r="B533" t="s">
        <v>13</v>
      </c>
      <c r="C533" t="s">
        <v>14</v>
      </c>
      <c r="D533" t="s">
        <v>15</v>
      </c>
      <c r="E533" t="s">
        <v>26</v>
      </c>
      <c r="F533" t="s">
        <v>41</v>
      </c>
      <c r="G533" t="s">
        <v>1036</v>
      </c>
      <c r="H533" t="s">
        <v>1041</v>
      </c>
      <c r="I533" s="1">
        <v>43489</v>
      </c>
      <c r="J533" t="s">
        <v>1046</v>
      </c>
      <c r="K533" s="5">
        <v>0.75277777777777777</v>
      </c>
      <c r="L533" t="s">
        <v>28</v>
      </c>
      <c r="M533">
        <v>34.671999999999997</v>
      </c>
      <c r="N533">
        <v>7.2</v>
      </c>
    </row>
    <row r="534" spans="1:14" x14ac:dyDescent="0.25">
      <c r="A534" t="s">
        <v>563</v>
      </c>
      <c r="B534" t="s">
        <v>37</v>
      </c>
      <c r="C534" t="s">
        <v>38</v>
      </c>
      <c r="D534" t="s">
        <v>22</v>
      </c>
      <c r="E534" t="s">
        <v>26</v>
      </c>
      <c r="F534" t="s">
        <v>23</v>
      </c>
      <c r="G534" t="s">
        <v>1038</v>
      </c>
      <c r="H534" t="s">
        <v>1042</v>
      </c>
      <c r="I534" s="1">
        <v>43502</v>
      </c>
      <c r="J534" t="s">
        <v>1046</v>
      </c>
      <c r="K534" s="5">
        <v>0.80555555555555547</v>
      </c>
      <c r="L534" t="s">
        <v>18</v>
      </c>
      <c r="M534">
        <v>11.475</v>
      </c>
      <c r="N534">
        <v>8.1999999999999993</v>
      </c>
    </row>
    <row r="535" spans="1:14" x14ac:dyDescent="0.25">
      <c r="A535" t="s">
        <v>564</v>
      </c>
      <c r="B535" t="s">
        <v>20</v>
      </c>
      <c r="C535" t="s">
        <v>21</v>
      </c>
      <c r="D535" t="s">
        <v>22</v>
      </c>
      <c r="E535" t="s">
        <v>16</v>
      </c>
      <c r="F535" t="s">
        <v>39</v>
      </c>
      <c r="G535" t="s">
        <v>1038</v>
      </c>
      <c r="H535" t="s">
        <v>1043</v>
      </c>
      <c r="I535" s="1">
        <v>43550</v>
      </c>
      <c r="J535" t="s">
        <v>1044</v>
      </c>
      <c r="K535" s="5">
        <v>0.4381944444444445</v>
      </c>
      <c r="L535" t="s">
        <v>18</v>
      </c>
      <c r="M535">
        <v>7.3395000000000001</v>
      </c>
      <c r="N535">
        <v>8.4</v>
      </c>
    </row>
    <row r="536" spans="1:14" x14ac:dyDescent="0.25">
      <c r="A536" t="s">
        <v>565</v>
      </c>
      <c r="B536" t="s">
        <v>13</v>
      </c>
      <c r="C536" t="s">
        <v>14</v>
      </c>
      <c r="D536" t="s">
        <v>22</v>
      </c>
      <c r="E536" t="s">
        <v>16</v>
      </c>
      <c r="F536" t="s">
        <v>27</v>
      </c>
      <c r="G536" t="s">
        <v>1036</v>
      </c>
      <c r="H536" t="s">
        <v>1043</v>
      </c>
      <c r="I536" s="1">
        <v>43535</v>
      </c>
      <c r="J536" t="s">
        <v>1045</v>
      </c>
      <c r="K536" s="5">
        <v>0.56111111111111112</v>
      </c>
      <c r="L536" t="s">
        <v>18</v>
      </c>
      <c r="M536">
        <v>7.08</v>
      </c>
      <c r="N536">
        <v>6.2</v>
      </c>
    </row>
    <row r="537" spans="1:14" x14ac:dyDescent="0.25">
      <c r="A537" t="s">
        <v>566</v>
      </c>
      <c r="B537" t="s">
        <v>20</v>
      </c>
      <c r="C537" t="s">
        <v>21</v>
      </c>
      <c r="D537" t="s">
        <v>22</v>
      </c>
      <c r="E537" t="s">
        <v>26</v>
      </c>
      <c r="F537" t="s">
        <v>27</v>
      </c>
      <c r="G537" t="s">
        <v>1038</v>
      </c>
      <c r="H537" t="s">
        <v>1042</v>
      </c>
      <c r="I537" s="1">
        <v>43503</v>
      </c>
      <c r="J537" t="s">
        <v>1044</v>
      </c>
      <c r="K537" s="5">
        <v>0.48333333333333334</v>
      </c>
      <c r="L537" t="s">
        <v>18</v>
      </c>
      <c r="M537">
        <v>5.8345000000000002</v>
      </c>
      <c r="N537">
        <v>7.4</v>
      </c>
    </row>
    <row r="538" spans="1:14" x14ac:dyDescent="0.25">
      <c r="A538" t="s">
        <v>567</v>
      </c>
      <c r="B538" t="s">
        <v>37</v>
      </c>
      <c r="C538" t="s">
        <v>38</v>
      </c>
      <c r="D538" t="s">
        <v>15</v>
      </c>
      <c r="E538" t="s">
        <v>16</v>
      </c>
      <c r="F538" t="s">
        <v>41</v>
      </c>
      <c r="G538" t="s">
        <v>1034</v>
      </c>
      <c r="H538" t="s">
        <v>1041</v>
      </c>
      <c r="I538" s="1">
        <v>43470</v>
      </c>
      <c r="J538" t="s">
        <v>1044</v>
      </c>
      <c r="K538" s="5">
        <v>0.48055555555555557</v>
      </c>
      <c r="L538" t="s">
        <v>28</v>
      </c>
      <c r="M538">
        <v>3.698</v>
      </c>
      <c r="N538">
        <v>5</v>
      </c>
    </row>
    <row r="539" spans="1:14" x14ac:dyDescent="0.25">
      <c r="A539" t="s">
        <v>568</v>
      </c>
      <c r="B539" t="s">
        <v>13</v>
      </c>
      <c r="C539" t="s">
        <v>14</v>
      </c>
      <c r="D539" t="s">
        <v>22</v>
      </c>
      <c r="E539" t="s">
        <v>26</v>
      </c>
      <c r="F539" t="s">
        <v>27</v>
      </c>
      <c r="G539" t="s">
        <v>1035</v>
      </c>
      <c r="H539" t="s">
        <v>1043</v>
      </c>
      <c r="I539" s="1">
        <v>43531</v>
      </c>
      <c r="J539" t="s">
        <v>1044</v>
      </c>
      <c r="K539" s="5">
        <v>0.48888888888888887</v>
      </c>
      <c r="L539" t="s">
        <v>18</v>
      </c>
      <c r="M539">
        <v>4.8970000000000002</v>
      </c>
      <c r="N539">
        <v>6.9</v>
      </c>
    </row>
    <row r="540" spans="1:14" x14ac:dyDescent="0.25">
      <c r="A540" t="s">
        <v>569</v>
      </c>
      <c r="B540" t="s">
        <v>13</v>
      </c>
      <c r="C540" t="s">
        <v>14</v>
      </c>
      <c r="D540" t="s">
        <v>22</v>
      </c>
      <c r="E540" t="s">
        <v>16</v>
      </c>
      <c r="F540" t="s">
        <v>41</v>
      </c>
      <c r="G540" t="s">
        <v>1034</v>
      </c>
      <c r="H540" t="s">
        <v>1042</v>
      </c>
      <c r="I540" s="1">
        <v>43521</v>
      </c>
      <c r="J540" t="s">
        <v>1046</v>
      </c>
      <c r="K540" s="5">
        <v>0.71944444444444444</v>
      </c>
      <c r="L540" t="s">
        <v>28</v>
      </c>
      <c r="M540">
        <v>14.61</v>
      </c>
      <c r="N540">
        <v>4.9000000000000004</v>
      </c>
    </row>
    <row r="541" spans="1:14" x14ac:dyDescent="0.25">
      <c r="A541" t="s">
        <v>570</v>
      </c>
      <c r="B541" t="s">
        <v>20</v>
      </c>
      <c r="C541" t="s">
        <v>21</v>
      </c>
      <c r="D541" t="s">
        <v>15</v>
      </c>
      <c r="E541" t="s">
        <v>16</v>
      </c>
      <c r="F541" t="s">
        <v>39</v>
      </c>
      <c r="G541" t="s">
        <v>1037</v>
      </c>
      <c r="H541" t="s">
        <v>1042</v>
      </c>
      <c r="I541" s="1">
        <v>43497</v>
      </c>
      <c r="J541" t="s">
        <v>1046</v>
      </c>
      <c r="K541" s="5">
        <v>0.77986111111111101</v>
      </c>
      <c r="L541" t="s">
        <v>18</v>
      </c>
      <c r="M541">
        <v>26.244</v>
      </c>
      <c r="N541">
        <v>5.0999999999999996</v>
      </c>
    </row>
    <row r="542" spans="1:14" x14ac:dyDescent="0.25">
      <c r="A542" t="s">
        <v>571</v>
      </c>
      <c r="B542" t="s">
        <v>13</v>
      </c>
      <c r="C542" t="s">
        <v>14</v>
      </c>
      <c r="D542" t="s">
        <v>22</v>
      </c>
      <c r="E542" t="s">
        <v>26</v>
      </c>
      <c r="F542" t="s">
        <v>27</v>
      </c>
      <c r="G542" t="s">
        <v>1036</v>
      </c>
      <c r="H542" t="s">
        <v>1041</v>
      </c>
      <c r="I542" s="1">
        <v>43487</v>
      </c>
      <c r="J542" t="s">
        <v>1044</v>
      </c>
      <c r="K542" s="5">
        <v>0.45833333333333331</v>
      </c>
      <c r="L542" t="s">
        <v>18</v>
      </c>
      <c r="M542">
        <v>4.6020000000000003</v>
      </c>
      <c r="N542">
        <v>9.1</v>
      </c>
    </row>
    <row r="543" spans="1:14" x14ac:dyDescent="0.25">
      <c r="A543" t="s">
        <v>572</v>
      </c>
      <c r="B543" t="s">
        <v>20</v>
      </c>
      <c r="C543" t="s">
        <v>21</v>
      </c>
      <c r="D543" t="s">
        <v>15</v>
      </c>
      <c r="E543" t="s">
        <v>26</v>
      </c>
      <c r="F543" t="s">
        <v>17</v>
      </c>
      <c r="G543" t="s">
        <v>1040</v>
      </c>
      <c r="H543" t="s">
        <v>1041</v>
      </c>
      <c r="I543" s="1">
        <v>43468</v>
      </c>
      <c r="J543" t="s">
        <v>1044</v>
      </c>
      <c r="K543" s="5">
        <v>0.4375</v>
      </c>
      <c r="L543" t="s">
        <v>28</v>
      </c>
      <c r="M543">
        <v>3.794</v>
      </c>
      <c r="N543">
        <v>7.1</v>
      </c>
    </row>
    <row r="544" spans="1:14" x14ac:dyDescent="0.25">
      <c r="A544" t="s">
        <v>573</v>
      </c>
      <c r="B544" t="s">
        <v>37</v>
      </c>
      <c r="C544" t="s">
        <v>38</v>
      </c>
      <c r="D544" t="s">
        <v>15</v>
      </c>
      <c r="E544" t="s">
        <v>16</v>
      </c>
      <c r="F544" t="s">
        <v>31</v>
      </c>
      <c r="G544" t="s">
        <v>1039</v>
      </c>
      <c r="H544" t="s">
        <v>1042</v>
      </c>
      <c r="I544" s="1">
        <v>43509</v>
      </c>
      <c r="J544" t="s">
        <v>1045</v>
      </c>
      <c r="K544" s="5">
        <v>0.50972222222222219</v>
      </c>
      <c r="L544" t="s">
        <v>28</v>
      </c>
      <c r="M544">
        <v>4.0359999999999996</v>
      </c>
      <c r="N544">
        <v>5</v>
      </c>
    </row>
    <row r="545" spans="1:14" x14ac:dyDescent="0.25">
      <c r="A545" t="s">
        <v>574</v>
      </c>
      <c r="B545" t="s">
        <v>20</v>
      </c>
      <c r="C545" t="s">
        <v>21</v>
      </c>
      <c r="D545" t="s">
        <v>15</v>
      </c>
      <c r="E545" t="s">
        <v>26</v>
      </c>
      <c r="F545" t="s">
        <v>23</v>
      </c>
      <c r="G545" t="s">
        <v>1037</v>
      </c>
      <c r="H545" t="s">
        <v>1041</v>
      </c>
      <c r="I545" s="1">
        <v>43493</v>
      </c>
      <c r="J545" t="s">
        <v>1046</v>
      </c>
      <c r="K545" s="5">
        <v>0.69652777777777775</v>
      </c>
      <c r="L545" t="s">
        <v>28</v>
      </c>
      <c r="M545">
        <v>5.6310000000000002</v>
      </c>
      <c r="N545">
        <v>5.5</v>
      </c>
    </row>
    <row r="546" spans="1:14" x14ac:dyDescent="0.25">
      <c r="A546" t="s">
        <v>575</v>
      </c>
      <c r="B546" t="s">
        <v>37</v>
      </c>
      <c r="C546" t="s">
        <v>38</v>
      </c>
      <c r="D546" t="s">
        <v>22</v>
      </c>
      <c r="E546" t="s">
        <v>16</v>
      </c>
      <c r="F546" t="s">
        <v>39</v>
      </c>
      <c r="G546" t="s">
        <v>1034</v>
      </c>
      <c r="H546" t="s">
        <v>1041</v>
      </c>
      <c r="I546" s="1">
        <v>43470</v>
      </c>
      <c r="J546" t="s">
        <v>1046</v>
      </c>
      <c r="K546" s="5">
        <v>0.86111111111111116</v>
      </c>
      <c r="L546" t="s">
        <v>28</v>
      </c>
      <c r="M546">
        <v>3.56</v>
      </c>
      <c r="N546">
        <v>9.1999999999999993</v>
      </c>
    </row>
    <row r="547" spans="1:14" x14ac:dyDescent="0.25">
      <c r="A547" t="s">
        <v>576</v>
      </c>
      <c r="B547" t="s">
        <v>37</v>
      </c>
      <c r="C547" t="s">
        <v>38</v>
      </c>
      <c r="D547" t="s">
        <v>15</v>
      </c>
      <c r="E547" t="s">
        <v>26</v>
      </c>
      <c r="F547" t="s">
        <v>27</v>
      </c>
      <c r="G547" t="s">
        <v>1037</v>
      </c>
      <c r="H547" t="s">
        <v>1043</v>
      </c>
      <c r="I547" s="1">
        <v>43543</v>
      </c>
      <c r="J547" t="s">
        <v>1045</v>
      </c>
      <c r="K547" s="5">
        <v>0.56944444444444442</v>
      </c>
      <c r="L547" t="s">
        <v>18</v>
      </c>
      <c r="M547">
        <v>7.7619999999999996</v>
      </c>
      <c r="N547">
        <v>4.9000000000000004</v>
      </c>
    </row>
    <row r="548" spans="1:14" x14ac:dyDescent="0.25">
      <c r="A548" t="s">
        <v>577</v>
      </c>
      <c r="B548" t="s">
        <v>13</v>
      </c>
      <c r="C548" t="s">
        <v>14</v>
      </c>
      <c r="D548" t="s">
        <v>22</v>
      </c>
      <c r="E548" t="s">
        <v>16</v>
      </c>
      <c r="F548" t="s">
        <v>41</v>
      </c>
      <c r="G548" t="s">
        <v>1035</v>
      </c>
      <c r="H548" t="s">
        <v>1041</v>
      </c>
      <c r="I548" s="1">
        <v>43477</v>
      </c>
      <c r="J548" t="s">
        <v>1046</v>
      </c>
      <c r="K548" s="5">
        <v>0.68263888888888891</v>
      </c>
      <c r="L548" t="s">
        <v>18</v>
      </c>
      <c r="M548">
        <v>14.71</v>
      </c>
      <c r="N548">
        <v>8.9</v>
      </c>
    </row>
    <row r="549" spans="1:14" x14ac:dyDescent="0.25">
      <c r="A549" t="s">
        <v>578</v>
      </c>
      <c r="B549" t="s">
        <v>13</v>
      </c>
      <c r="C549" t="s">
        <v>14</v>
      </c>
      <c r="D549" t="s">
        <v>22</v>
      </c>
      <c r="E549" t="s">
        <v>26</v>
      </c>
      <c r="F549" t="s">
        <v>31</v>
      </c>
      <c r="G549" t="s">
        <v>1034</v>
      </c>
      <c r="H549" t="s">
        <v>1041</v>
      </c>
      <c r="I549" s="1">
        <v>43472</v>
      </c>
      <c r="J549" t="s">
        <v>1045</v>
      </c>
      <c r="K549" s="5">
        <v>0.50555555555555554</v>
      </c>
      <c r="L549" t="s">
        <v>28</v>
      </c>
      <c r="M549">
        <v>27.427499999999998</v>
      </c>
      <c r="N549">
        <v>6</v>
      </c>
    </row>
    <row r="550" spans="1:14" x14ac:dyDescent="0.25">
      <c r="A550" t="s">
        <v>579</v>
      </c>
      <c r="B550" t="s">
        <v>37</v>
      </c>
      <c r="C550" t="s">
        <v>38</v>
      </c>
      <c r="D550" t="s">
        <v>22</v>
      </c>
      <c r="E550" t="s">
        <v>16</v>
      </c>
      <c r="F550" t="s">
        <v>31</v>
      </c>
      <c r="G550" t="s">
        <v>1037</v>
      </c>
      <c r="H550" t="s">
        <v>1041</v>
      </c>
      <c r="I550" s="1">
        <v>43491</v>
      </c>
      <c r="J550" t="s">
        <v>1046</v>
      </c>
      <c r="K550" s="5">
        <v>0.73958333333333337</v>
      </c>
      <c r="L550" t="s">
        <v>24</v>
      </c>
      <c r="M550">
        <v>12.885</v>
      </c>
      <c r="N550">
        <v>4.2</v>
      </c>
    </row>
    <row r="551" spans="1:14" x14ac:dyDescent="0.25">
      <c r="A551" t="s">
        <v>580</v>
      </c>
      <c r="B551" t="s">
        <v>13</v>
      </c>
      <c r="C551" t="s">
        <v>14</v>
      </c>
      <c r="D551" t="s">
        <v>22</v>
      </c>
      <c r="E551" t="s">
        <v>16</v>
      </c>
      <c r="F551" t="s">
        <v>23</v>
      </c>
      <c r="G551" t="s">
        <v>1036</v>
      </c>
      <c r="H551" t="s">
        <v>1041</v>
      </c>
      <c r="I551" s="1">
        <v>43488</v>
      </c>
      <c r="J551" t="s">
        <v>1044</v>
      </c>
      <c r="K551" s="5">
        <v>0.43611111111111112</v>
      </c>
      <c r="L551" t="s">
        <v>24</v>
      </c>
      <c r="M551">
        <v>19.818000000000001</v>
      </c>
      <c r="N551">
        <v>7.3</v>
      </c>
    </row>
    <row r="552" spans="1:14" x14ac:dyDescent="0.25">
      <c r="A552" t="s">
        <v>581</v>
      </c>
      <c r="B552" t="s">
        <v>37</v>
      </c>
      <c r="C552" t="s">
        <v>38</v>
      </c>
      <c r="D552" t="s">
        <v>22</v>
      </c>
      <c r="E552" t="s">
        <v>26</v>
      </c>
      <c r="F552" t="s">
        <v>41</v>
      </c>
      <c r="G552" t="s">
        <v>1039</v>
      </c>
      <c r="H552" t="s">
        <v>1042</v>
      </c>
      <c r="I552" s="1">
        <v>43505</v>
      </c>
      <c r="J552" t="s">
        <v>1046</v>
      </c>
      <c r="K552" s="5">
        <v>0.85486111111111107</v>
      </c>
      <c r="L552" t="s">
        <v>18</v>
      </c>
      <c r="M552">
        <v>8.5905000000000005</v>
      </c>
      <c r="N552">
        <v>6.5</v>
      </c>
    </row>
    <row r="553" spans="1:14" x14ac:dyDescent="0.25">
      <c r="A553" t="s">
        <v>582</v>
      </c>
      <c r="B553" t="s">
        <v>37</v>
      </c>
      <c r="C553" t="s">
        <v>38</v>
      </c>
      <c r="D553" t="s">
        <v>22</v>
      </c>
      <c r="E553" t="s">
        <v>16</v>
      </c>
      <c r="F553" t="s">
        <v>41</v>
      </c>
      <c r="G553" t="s">
        <v>1040</v>
      </c>
      <c r="H553" t="s">
        <v>1042</v>
      </c>
      <c r="I553" s="1">
        <v>43518</v>
      </c>
      <c r="J553" t="s">
        <v>1044</v>
      </c>
      <c r="K553" s="5">
        <v>0.45069444444444445</v>
      </c>
      <c r="L553" t="s">
        <v>24</v>
      </c>
      <c r="M553">
        <v>24.439499999999999</v>
      </c>
      <c r="N553">
        <v>8.9</v>
      </c>
    </row>
    <row r="554" spans="1:14" x14ac:dyDescent="0.25">
      <c r="A554" t="s">
        <v>583</v>
      </c>
      <c r="B554" t="s">
        <v>37</v>
      </c>
      <c r="C554" t="s">
        <v>38</v>
      </c>
      <c r="D554" t="s">
        <v>22</v>
      </c>
      <c r="E554" t="s">
        <v>16</v>
      </c>
      <c r="F554" t="s">
        <v>17</v>
      </c>
      <c r="G554" t="s">
        <v>1038</v>
      </c>
      <c r="H554" t="s">
        <v>1042</v>
      </c>
      <c r="I554" s="1">
        <v>43501</v>
      </c>
      <c r="J554" t="s">
        <v>1045</v>
      </c>
      <c r="K554" s="5">
        <v>0.52361111111111114</v>
      </c>
      <c r="L554" t="s">
        <v>24</v>
      </c>
      <c r="M554">
        <v>26.207999999999998</v>
      </c>
      <c r="N554">
        <v>9.6999999999999993</v>
      </c>
    </row>
    <row r="555" spans="1:14" x14ac:dyDescent="0.25">
      <c r="A555" t="s">
        <v>584</v>
      </c>
      <c r="B555" t="s">
        <v>20</v>
      </c>
      <c r="C555" t="s">
        <v>21</v>
      </c>
      <c r="D555" t="s">
        <v>22</v>
      </c>
      <c r="E555" t="s">
        <v>26</v>
      </c>
      <c r="F555" t="s">
        <v>23</v>
      </c>
      <c r="G555" t="s">
        <v>1035</v>
      </c>
      <c r="H555" t="s">
        <v>1043</v>
      </c>
      <c r="I555" s="1">
        <v>43531</v>
      </c>
      <c r="J555" t="s">
        <v>1044</v>
      </c>
      <c r="K555" s="5">
        <v>0.43263888888888885</v>
      </c>
      <c r="L555" t="s">
        <v>28</v>
      </c>
      <c r="M555">
        <v>6.6630000000000003</v>
      </c>
      <c r="N555">
        <v>8.6</v>
      </c>
    </row>
    <row r="556" spans="1:14" x14ac:dyDescent="0.25">
      <c r="A556" t="s">
        <v>585</v>
      </c>
      <c r="B556" t="s">
        <v>13</v>
      </c>
      <c r="C556" t="s">
        <v>14</v>
      </c>
      <c r="D556" t="s">
        <v>15</v>
      </c>
      <c r="E556" t="s">
        <v>26</v>
      </c>
      <c r="F556" t="s">
        <v>23</v>
      </c>
      <c r="G556" t="s">
        <v>1038</v>
      </c>
      <c r="H556" t="s">
        <v>1043</v>
      </c>
      <c r="I556" s="1">
        <v>43549</v>
      </c>
      <c r="J556" t="s">
        <v>1046</v>
      </c>
      <c r="K556" s="5">
        <v>0.78541666666666676</v>
      </c>
      <c r="L556" t="s">
        <v>24</v>
      </c>
      <c r="M556">
        <v>6.7619999999999996</v>
      </c>
      <c r="N556">
        <v>6.9</v>
      </c>
    </row>
    <row r="557" spans="1:14" x14ac:dyDescent="0.25">
      <c r="A557" t="s">
        <v>586</v>
      </c>
      <c r="B557" t="s">
        <v>37</v>
      </c>
      <c r="C557" t="s">
        <v>38</v>
      </c>
      <c r="D557" t="s">
        <v>22</v>
      </c>
      <c r="E557" t="s">
        <v>26</v>
      </c>
      <c r="F557" t="s">
        <v>27</v>
      </c>
      <c r="G557" t="s">
        <v>1036</v>
      </c>
      <c r="H557" t="s">
        <v>1041</v>
      </c>
      <c r="I557" s="1">
        <v>43485</v>
      </c>
      <c r="J557" t="s">
        <v>1045</v>
      </c>
      <c r="K557" s="5">
        <v>0.57291666666666663</v>
      </c>
      <c r="L557" t="s">
        <v>28</v>
      </c>
      <c r="M557">
        <v>5.6219999999999999</v>
      </c>
      <c r="N557">
        <v>7.7</v>
      </c>
    </row>
    <row r="558" spans="1:14" x14ac:dyDescent="0.25">
      <c r="A558" t="s">
        <v>587</v>
      </c>
      <c r="B558" t="s">
        <v>37</v>
      </c>
      <c r="C558" t="s">
        <v>38</v>
      </c>
      <c r="D558" t="s">
        <v>15</v>
      </c>
      <c r="E558" t="s">
        <v>16</v>
      </c>
      <c r="F558" t="s">
        <v>41</v>
      </c>
      <c r="G558" t="s">
        <v>1038</v>
      </c>
      <c r="H558" t="s">
        <v>1042</v>
      </c>
      <c r="I558" s="1">
        <v>43500</v>
      </c>
      <c r="J558" t="s">
        <v>1046</v>
      </c>
      <c r="K558" s="5">
        <v>0.81805555555555554</v>
      </c>
      <c r="L558" t="s">
        <v>24</v>
      </c>
      <c r="M558">
        <v>7.2039999999999997</v>
      </c>
      <c r="N558">
        <v>9.5</v>
      </c>
    </row>
    <row r="559" spans="1:14" x14ac:dyDescent="0.25">
      <c r="A559" t="s">
        <v>588</v>
      </c>
      <c r="B559" t="s">
        <v>20</v>
      </c>
      <c r="C559" t="s">
        <v>21</v>
      </c>
      <c r="D559" t="s">
        <v>15</v>
      </c>
      <c r="E559" t="s">
        <v>16</v>
      </c>
      <c r="F559" t="s">
        <v>39</v>
      </c>
      <c r="G559" t="s">
        <v>1037</v>
      </c>
      <c r="H559" t="s">
        <v>1041</v>
      </c>
      <c r="I559" s="1">
        <v>43495</v>
      </c>
      <c r="J559" t="s">
        <v>1046</v>
      </c>
      <c r="K559" s="5">
        <v>0.84930555555555554</v>
      </c>
      <c r="L559" t="s">
        <v>18</v>
      </c>
      <c r="M559">
        <v>49.26</v>
      </c>
      <c r="N559">
        <v>4.5</v>
      </c>
    </row>
    <row r="560" spans="1:14" x14ac:dyDescent="0.25">
      <c r="A560" t="s">
        <v>589</v>
      </c>
      <c r="B560" t="s">
        <v>13</v>
      </c>
      <c r="C560" t="s">
        <v>14</v>
      </c>
      <c r="D560" t="s">
        <v>15</v>
      </c>
      <c r="E560" t="s">
        <v>26</v>
      </c>
      <c r="F560" t="s">
        <v>39</v>
      </c>
      <c r="G560" t="s">
        <v>1040</v>
      </c>
      <c r="H560" t="s">
        <v>1041</v>
      </c>
      <c r="I560" s="1">
        <v>43467</v>
      </c>
      <c r="J560" t="s">
        <v>1045</v>
      </c>
      <c r="K560" s="5">
        <v>0.64166666666666672</v>
      </c>
      <c r="L560" t="s">
        <v>18</v>
      </c>
      <c r="M560">
        <v>12.497999999999999</v>
      </c>
      <c r="N560">
        <v>5.6</v>
      </c>
    </row>
    <row r="561" spans="1:14" x14ac:dyDescent="0.25">
      <c r="A561" t="s">
        <v>590</v>
      </c>
      <c r="B561" t="s">
        <v>13</v>
      </c>
      <c r="C561" t="s">
        <v>14</v>
      </c>
      <c r="D561" t="s">
        <v>15</v>
      </c>
      <c r="E561" t="s">
        <v>16</v>
      </c>
      <c r="F561" t="s">
        <v>27</v>
      </c>
      <c r="G561" t="s">
        <v>1038</v>
      </c>
      <c r="H561" t="s">
        <v>1043</v>
      </c>
      <c r="I561" s="1">
        <v>43553</v>
      </c>
      <c r="J561" t="s">
        <v>1046</v>
      </c>
      <c r="K561" s="5">
        <v>0.70416666666666661</v>
      </c>
      <c r="L561" t="s">
        <v>18</v>
      </c>
      <c r="M561">
        <v>10.863</v>
      </c>
      <c r="N561">
        <v>8.1999999999999993</v>
      </c>
    </row>
    <row r="562" spans="1:14" x14ac:dyDescent="0.25">
      <c r="A562" t="s">
        <v>591</v>
      </c>
      <c r="B562" t="s">
        <v>37</v>
      </c>
      <c r="C562" t="s">
        <v>38</v>
      </c>
      <c r="D562" t="s">
        <v>22</v>
      </c>
      <c r="E562" t="s">
        <v>26</v>
      </c>
      <c r="F562" t="s">
        <v>23</v>
      </c>
      <c r="G562" t="s">
        <v>1036</v>
      </c>
      <c r="H562" t="s">
        <v>1043</v>
      </c>
      <c r="I562" s="1">
        <v>43538</v>
      </c>
      <c r="J562" t="s">
        <v>1045</v>
      </c>
      <c r="K562" s="5">
        <v>0.52222222222222225</v>
      </c>
      <c r="L562" t="s">
        <v>24</v>
      </c>
      <c r="M562">
        <v>9.7110000000000003</v>
      </c>
      <c r="N562">
        <v>7.3</v>
      </c>
    </row>
    <row r="563" spans="1:14" x14ac:dyDescent="0.25">
      <c r="A563" t="s">
        <v>592</v>
      </c>
      <c r="B563" t="s">
        <v>20</v>
      </c>
      <c r="C563" t="s">
        <v>21</v>
      </c>
      <c r="D563" t="s">
        <v>22</v>
      </c>
      <c r="E563" t="s">
        <v>26</v>
      </c>
      <c r="F563" t="s">
        <v>39</v>
      </c>
      <c r="G563" t="s">
        <v>1039</v>
      </c>
      <c r="H563" t="s">
        <v>1042</v>
      </c>
      <c r="I563" s="1">
        <v>43507</v>
      </c>
      <c r="J563" t="s">
        <v>1045</v>
      </c>
      <c r="K563" s="5">
        <v>0.65416666666666667</v>
      </c>
      <c r="L563" t="s">
        <v>28</v>
      </c>
      <c r="M563">
        <v>44.6</v>
      </c>
      <c r="N563">
        <v>4.4000000000000004</v>
      </c>
    </row>
    <row r="564" spans="1:14" x14ac:dyDescent="0.25">
      <c r="A564" t="s">
        <v>593</v>
      </c>
      <c r="B564" t="s">
        <v>37</v>
      </c>
      <c r="C564" t="s">
        <v>38</v>
      </c>
      <c r="D564" t="s">
        <v>22</v>
      </c>
      <c r="E564" t="s">
        <v>16</v>
      </c>
      <c r="F564" t="s">
        <v>23</v>
      </c>
      <c r="G564" t="s">
        <v>1037</v>
      </c>
      <c r="H564" t="s">
        <v>1041</v>
      </c>
      <c r="I564" s="1">
        <v>43495</v>
      </c>
      <c r="J564" t="s">
        <v>1045</v>
      </c>
      <c r="K564" s="5">
        <v>0.58194444444444449</v>
      </c>
      <c r="L564" t="s">
        <v>18</v>
      </c>
      <c r="M564">
        <v>16.968</v>
      </c>
      <c r="N564">
        <v>5.7</v>
      </c>
    </row>
    <row r="565" spans="1:14" x14ac:dyDescent="0.25">
      <c r="A565" t="s">
        <v>594</v>
      </c>
      <c r="B565" t="s">
        <v>13</v>
      </c>
      <c r="C565" t="s">
        <v>14</v>
      </c>
      <c r="D565" t="s">
        <v>15</v>
      </c>
      <c r="E565" t="s">
        <v>26</v>
      </c>
      <c r="F565" t="s">
        <v>23</v>
      </c>
      <c r="G565" t="s">
        <v>1037</v>
      </c>
      <c r="H565" t="s">
        <v>1043</v>
      </c>
      <c r="I565" s="1">
        <v>43544</v>
      </c>
      <c r="J565" t="s">
        <v>1045</v>
      </c>
      <c r="K565" s="5">
        <v>0.63055555555555554</v>
      </c>
      <c r="L565" t="s">
        <v>18</v>
      </c>
      <c r="M565">
        <v>22.353000000000002</v>
      </c>
      <c r="N565">
        <v>5</v>
      </c>
    </row>
    <row r="566" spans="1:14" x14ac:dyDescent="0.25">
      <c r="A566" t="s">
        <v>595</v>
      </c>
      <c r="B566" t="s">
        <v>37</v>
      </c>
      <c r="C566" t="s">
        <v>38</v>
      </c>
      <c r="D566" t="s">
        <v>22</v>
      </c>
      <c r="E566" t="s">
        <v>26</v>
      </c>
      <c r="F566" t="s">
        <v>41</v>
      </c>
      <c r="G566" t="s">
        <v>1037</v>
      </c>
      <c r="H566" t="s">
        <v>1043</v>
      </c>
      <c r="I566" s="1">
        <v>43544</v>
      </c>
      <c r="J566" t="s">
        <v>1045</v>
      </c>
      <c r="K566" s="5">
        <v>0.54305555555555551</v>
      </c>
      <c r="L566" t="s">
        <v>24</v>
      </c>
      <c r="M566">
        <v>9.9250000000000007</v>
      </c>
      <c r="N566">
        <v>9</v>
      </c>
    </row>
    <row r="567" spans="1:14" x14ac:dyDescent="0.25">
      <c r="A567" t="s">
        <v>596</v>
      </c>
      <c r="B567" t="s">
        <v>13</v>
      </c>
      <c r="C567" t="s">
        <v>14</v>
      </c>
      <c r="D567" t="s">
        <v>22</v>
      </c>
      <c r="E567" t="s">
        <v>16</v>
      </c>
      <c r="F567" t="s">
        <v>39</v>
      </c>
      <c r="G567" t="s">
        <v>1035</v>
      </c>
      <c r="H567" t="s">
        <v>1041</v>
      </c>
      <c r="I567" s="1">
        <v>43482</v>
      </c>
      <c r="J567" t="s">
        <v>1045</v>
      </c>
      <c r="K567" s="5">
        <v>0.54236111111111118</v>
      </c>
      <c r="L567" t="s">
        <v>28</v>
      </c>
      <c r="M567">
        <v>40.604999999999997</v>
      </c>
      <c r="N567">
        <v>6.3</v>
      </c>
    </row>
    <row r="568" spans="1:14" x14ac:dyDescent="0.25">
      <c r="A568" t="s">
        <v>597</v>
      </c>
      <c r="B568" t="s">
        <v>20</v>
      </c>
      <c r="C568" t="s">
        <v>21</v>
      </c>
      <c r="D568" t="s">
        <v>22</v>
      </c>
      <c r="E568" t="s">
        <v>16</v>
      </c>
      <c r="F568" t="s">
        <v>31</v>
      </c>
      <c r="G568" t="s">
        <v>1038</v>
      </c>
      <c r="H568" t="s">
        <v>1042</v>
      </c>
      <c r="I568" s="1">
        <v>43499</v>
      </c>
      <c r="J568" t="s">
        <v>1046</v>
      </c>
      <c r="K568" s="5">
        <v>0.69444444444444453</v>
      </c>
      <c r="L568" t="s">
        <v>28</v>
      </c>
      <c r="M568">
        <v>24.664999999999999</v>
      </c>
      <c r="N568">
        <v>9.4</v>
      </c>
    </row>
    <row r="569" spans="1:14" x14ac:dyDescent="0.25">
      <c r="A569" t="s">
        <v>598</v>
      </c>
      <c r="B569" t="s">
        <v>13</v>
      </c>
      <c r="C569" t="s">
        <v>14</v>
      </c>
      <c r="D569" t="s">
        <v>22</v>
      </c>
      <c r="E569" t="s">
        <v>16</v>
      </c>
      <c r="F569" t="s">
        <v>41</v>
      </c>
      <c r="G569" t="s">
        <v>1040</v>
      </c>
      <c r="H569" t="s">
        <v>1041</v>
      </c>
      <c r="I569" s="1">
        <v>43466</v>
      </c>
      <c r="J569" t="s">
        <v>1045</v>
      </c>
      <c r="K569" s="5">
        <v>0.57986111111111105</v>
      </c>
      <c r="L569" t="s">
        <v>24</v>
      </c>
      <c r="M569">
        <v>29.582999999999998</v>
      </c>
      <c r="N569">
        <v>7.7</v>
      </c>
    </row>
    <row r="570" spans="1:14" x14ac:dyDescent="0.25">
      <c r="A570" t="s">
        <v>599</v>
      </c>
      <c r="B570" t="s">
        <v>37</v>
      </c>
      <c r="C570" t="s">
        <v>38</v>
      </c>
      <c r="D570" t="s">
        <v>22</v>
      </c>
      <c r="E570" t="s">
        <v>16</v>
      </c>
      <c r="F570" t="s">
        <v>41</v>
      </c>
      <c r="G570" t="s">
        <v>1034</v>
      </c>
      <c r="H570" t="s">
        <v>1041</v>
      </c>
      <c r="I570" s="1">
        <v>43475</v>
      </c>
      <c r="J570" t="s">
        <v>1044</v>
      </c>
      <c r="K570" s="5">
        <v>0.43958333333333338</v>
      </c>
      <c r="L570" t="s">
        <v>28</v>
      </c>
      <c r="M570">
        <v>27.951000000000001</v>
      </c>
      <c r="N570">
        <v>5.5</v>
      </c>
    </row>
    <row r="571" spans="1:14" x14ac:dyDescent="0.25">
      <c r="A571" t="s">
        <v>600</v>
      </c>
      <c r="B571" t="s">
        <v>20</v>
      </c>
      <c r="C571" t="s">
        <v>21</v>
      </c>
      <c r="D571" t="s">
        <v>22</v>
      </c>
      <c r="E571" t="s">
        <v>16</v>
      </c>
      <c r="F571" t="s">
        <v>31</v>
      </c>
      <c r="G571" t="s">
        <v>1035</v>
      </c>
      <c r="H571" t="s">
        <v>1043</v>
      </c>
      <c r="I571" s="1">
        <v>43526</v>
      </c>
      <c r="J571" t="s">
        <v>1046</v>
      </c>
      <c r="K571" s="5">
        <v>0.6958333333333333</v>
      </c>
      <c r="L571" t="s">
        <v>18</v>
      </c>
      <c r="M571">
        <v>25.893000000000001</v>
      </c>
      <c r="N571">
        <v>4.0999999999999996</v>
      </c>
    </row>
    <row r="572" spans="1:14" x14ac:dyDescent="0.25">
      <c r="A572" t="s">
        <v>601</v>
      </c>
      <c r="B572" t="s">
        <v>37</v>
      </c>
      <c r="C572" t="s">
        <v>38</v>
      </c>
      <c r="D572" t="s">
        <v>15</v>
      </c>
      <c r="E572" t="s">
        <v>16</v>
      </c>
      <c r="F572" t="s">
        <v>27</v>
      </c>
      <c r="G572" t="s">
        <v>1034</v>
      </c>
      <c r="H572" t="s">
        <v>1042</v>
      </c>
      <c r="I572" s="1">
        <v>43521</v>
      </c>
      <c r="J572" t="s">
        <v>1046</v>
      </c>
      <c r="K572" s="5">
        <v>0.71944444444444444</v>
      </c>
      <c r="L572" t="s">
        <v>28</v>
      </c>
      <c r="M572">
        <v>20.51</v>
      </c>
      <c r="N572">
        <v>7.6</v>
      </c>
    </row>
    <row r="573" spans="1:14" x14ac:dyDescent="0.25">
      <c r="A573" t="s">
        <v>602</v>
      </c>
      <c r="B573" t="s">
        <v>37</v>
      </c>
      <c r="C573" t="s">
        <v>38</v>
      </c>
      <c r="D573" t="s">
        <v>15</v>
      </c>
      <c r="E573" t="s">
        <v>26</v>
      </c>
      <c r="F573" t="s">
        <v>31</v>
      </c>
      <c r="G573" t="s">
        <v>1037</v>
      </c>
      <c r="H573" t="s">
        <v>1041</v>
      </c>
      <c r="I573" s="1">
        <v>43494</v>
      </c>
      <c r="J573" t="s">
        <v>1044</v>
      </c>
      <c r="K573" s="5">
        <v>0.4916666666666667</v>
      </c>
      <c r="L573" t="s">
        <v>24</v>
      </c>
      <c r="M573">
        <v>13.335000000000001</v>
      </c>
      <c r="N573">
        <v>8.6</v>
      </c>
    </row>
    <row r="574" spans="1:14" x14ac:dyDescent="0.25">
      <c r="A574" t="s">
        <v>603</v>
      </c>
      <c r="B574" t="s">
        <v>13</v>
      </c>
      <c r="C574" t="s">
        <v>14</v>
      </c>
      <c r="D574" t="s">
        <v>15</v>
      </c>
      <c r="E574" t="s">
        <v>26</v>
      </c>
      <c r="F574" t="s">
        <v>39</v>
      </c>
      <c r="G574" t="s">
        <v>1036</v>
      </c>
      <c r="H574" t="s">
        <v>1043</v>
      </c>
      <c r="I574" s="1">
        <v>43534</v>
      </c>
      <c r="J574" t="s">
        <v>1046</v>
      </c>
      <c r="K574" s="5">
        <v>0.81597222222222221</v>
      </c>
      <c r="L574" t="s">
        <v>18</v>
      </c>
      <c r="M574">
        <v>3.5455000000000001</v>
      </c>
      <c r="N574">
        <v>8.3000000000000007</v>
      </c>
    </row>
    <row r="575" spans="1:14" x14ac:dyDescent="0.25">
      <c r="A575" t="s">
        <v>604</v>
      </c>
      <c r="B575" t="s">
        <v>37</v>
      </c>
      <c r="C575" t="s">
        <v>38</v>
      </c>
      <c r="D575" t="s">
        <v>22</v>
      </c>
      <c r="E575" t="s">
        <v>26</v>
      </c>
      <c r="F575" t="s">
        <v>39</v>
      </c>
      <c r="G575" t="s">
        <v>1035</v>
      </c>
      <c r="H575" t="s">
        <v>1041</v>
      </c>
      <c r="I575" s="1">
        <v>43478</v>
      </c>
      <c r="J575" t="s">
        <v>1046</v>
      </c>
      <c r="K575" s="5">
        <v>0.82986111111111116</v>
      </c>
      <c r="L575" t="s">
        <v>28</v>
      </c>
      <c r="M575">
        <v>7.2389999999999999</v>
      </c>
      <c r="N575">
        <v>8.1</v>
      </c>
    </row>
    <row r="576" spans="1:14" x14ac:dyDescent="0.25">
      <c r="A576" t="s">
        <v>605</v>
      </c>
      <c r="B576" t="s">
        <v>13</v>
      </c>
      <c r="C576" t="s">
        <v>14</v>
      </c>
      <c r="D576" t="s">
        <v>22</v>
      </c>
      <c r="E576" t="s">
        <v>26</v>
      </c>
      <c r="F576" t="s">
        <v>31</v>
      </c>
      <c r="G576" t="s">
        <v>1037</v>
      </c>
      <c r="H576" t="s">
        <v>1043</v>
      </c>
      <c r="I576" s="1">
        <v>43546</v>
      </c>
      <c r="J576" t="s">
        <v>1045</v>
      </c>
      <c r="K576" s="5">
        <v>0.60625000000000007</v>
      </c>
      <c r="L576" t="s">
        <v>28</v>
      </c>
      <c r="M576">
        <v>21.477499999999999</v>
      </c>
      <c r="N576">
        <v>8.6</v>
      </c>
    </row>
    <row r="577" spans="1:14" x14ac:dyDescent="0.25">
      <c r="A577" t="s">
        <v>606</v>
      </c>
      <c r="B577" t="s">
        <v>37</v>
      </c>
      <c r="C577" t="s">
        <v>38</v>
      </c>
      <c r="D577" t="s">
        <v>15</v>
      </c>
      <c r="E577" t="s">
        <v>26</v>
      </c>
      <c r="F577" t="s">
        <v>41</v>
      </c>
      <c r="G577" t="s">
        <v>1034</v>
      </c>
      <c r="H577" t="s">
        <v>1043</v>
      </c>
      <c r="I577" s="1">
        <v>43525</v>
      </c>
      <c r="J577" t="s">
        <v>1046</v>
      </c>
      <c r="K577" s="5">
        <v>0.8256944444444444</v>
      </c>
      <c r="L577" t="s">
        <v>18</v>
      </c>
      <c r="M577">
        <v>28.458500000000001</v>
      </c>
      <c r="N577">
        <v>6.3</v>
      </c>
    </row>
    <row r="578" spans="1:14" x14ac:dyDescent="0.25">
      <c r="A578" t="s">
        <v>607</v>
      </c>
      <c r="B578" t="s">
        <v>37</v>
      </c>
      <c r="C578" t="s">
        <v>38</v>
      </c>
      <c r="D578" t="s">
        <v>22</v>
      </c>
      <c r="E578" t="s">
        <v>26</v>
      </c>
      <c r="F578" t="s">
        <v>39</v>
      </c>
      <c r="G578" t="s">
        <v>1040</v>
      </c>
      <c r="H578" t="s">
        <v>1042</v>
      </c>
      <c r="I578" s="1">
        <v>43516</v>
      </c>
      <c r="J578" t="s">
        <v>1046</v>
      </c>
      <c r="K578" s="5">
        <v>0.77986111111111101</v>
      </c>
      <c r="L578" t="s">
        <v>24</v>
      </c>
      <c r="M578">
        <v>12.06</v>
      </c>
      <c r="N578">
        <v>5.8</v>
      </c>
    </row>
    <row r="579" spans="1:14" x14ac:dyDescent="0.25">
      <c r="A579" t="s">
        <v>608</v>
      </c>
      <c r="B579" t="s">
        <v>20</v>
      </c>
      <c r="C579" t="s">
        <v>21</v>
      </c>
      <c r="D579" t="s">
        <v>22</v>
      </c>
      <c r="E579" t="s">
        <v>26</v>
      </c>
      <c r="F579" t="s">
        <v>39</v>
      </c>
      <c r="G579" t="s">
        <v>1035</v>
      </c>
      <c r="H579" t="s">
        <v>1041</v>
      </c>
      <c r="I579" s="1">
        <v>43479</v>
      </c>
      <c r="J579" t="s">
        <v>1045</v>
      </c>
      <c r="K579" s="5">
        <v>0.61319444444444449</v>
      </c>
      <c r="L579" t="s">
        <v>18</v>
      </c>
      <c r="M579">
        <v>6.3540000000000001</v>
      </c>
      <c r="N579">
        <v>6.2</v>
      </c>
    </row>
    <row r="580" spans="1:14" x14ac:dyDescent="0.25">
      <c r="A580" t="s">
        <v>609</v>
      </c>
      <c r="B580" t="s">
        <v>13</v>
      </c>
      <c r="C580" t="s">
        <v>14</v>
      </c>
      <c r="D580" t="s">
        <v>22</v>
      </c>
      <c r="E580" t="s">
        <v>16</v>
      </c>
      <c r="F580" t="s">
        <v>17</v>
      </c>
      <c r="G580" t="s">
        <v>1038</v>
      </c>
      <c r="H580" t="s">
        <v>1043</v>
      </c>
      <c r="I580" s="1">
        <v>43550</v>
      </c>
      <c r="J580" t="s">
        <v>1045</v>
      </c>
      <c r="K580" s="5">
        <v>0.57916666666666672</v>
      </c>
      <c r="L580" t="s">
        <v>24</v>
      </c>
      <c r="M580">
        <v>12.853999999999999</v>
      </c>
      <c r="N580">
        <v>7.7</v>
      </c>
    </row>
    <row r="581" spans="1:14" x14ac:dyDescent="0.25">
      <c r="A581" t="s">
        <v>610</v>
      </c>
      <c r="B581" t="s">
        <v>37</v>
      </c>
      <c r="C581" t="s">
        <v>38</v>
      </c>
      <c r="D581" t="s">
        <v>22</v>
      </c>
      <c r="E581" t="s">
        <v>26</v>
      </c>
      <c r="F581" t="s">
        <v>17</v>
      </c>
      <c r="G581" t="s">
        <v>1034</v>
      </c>
      <c r="H581" t="s">
        <v>1043</v>
      </c>
      <c r="I581" s="1">
        <v>43525</v>
      </c>
      <c r="J581" t="s">
        <v>1045</v>
      </c>
      <c r="K581" s="5">
        <v>0.51041666666666663</v>
      </c>
      <c r="L581" t="s">
        <v>18</v>
      </c>
      <c r="M581">
        <v>6.9509999999999996</v>
      </c>
      <c r="N581">
        <v>8.1</v>
      </c>
    </row>
    <row r="582" spans="1:14" x14ac:dyDescent="0.25">
      <c r="A582" t="s">
        <v>611</v>
      </c>
      <c r="B582" t="s">
        <v>20</v>
      </c>
      <c r="C582" t="s">
        <v>21</v>
      </c>
      <c r="D582" t="s">
        <v>22</v>
      </c>
      <c r="E582" t="s">
        <v>26</v>
      </c>
      <c r="F582" t="s">
        <v>39</v>
      </c>
      <c r="G582" t="s">
        <v>1034</v>
      </c>
      <c r="H582" t="s">
        <v>1041</v>
      </c>
      <c r="I582" s="1">
        <v>43472</v>
      </c>
      <c r="J582" t="s">
        <v>1045</v>
      </c>
      <c r="K582" s="5">
        <v>0.52569444444444446</v>
      </c>
      <c r="L582" t="s">
        <v>24</v>
      </c>
      <c r="M582">
        <v>4.0830000000000002</v>
      </c>
      <c r="N582">
        <v>7.3</v>
      </c>
    </row>
    <row r="583" spans="1:14" x14ac:dyDescent="0.25">
      <c r="A583" t="s">
        <v>612</v>
      </c>
      <c r="B583" t="s">
        <v>13</v>
      </c>
      <c r="C583" t="s">
        <v>14</v>
      </c>
      <c r="D583" t="s">
        <v>15</v>
      </c>
      <c r="E583" t="s">
        <v>16</v>
      </c>
      <c r="F583" t="s">
        <v>17</v>
      </c>
      <c r="G583" t="s">
        <v>1037</v>
      </c>
      <c r="H583" t="s">
        <v>1042</v>
      </c>
      <c r="I583" s="1">
        <v>43497</v>
      </c>
      <c r="J583" t="s">
        <v>1046</v>
      </c>
      <c r="K583" s="5">
        <v>0.82916666666666661</v>
      </c>
      <c r="L583" t="s">
        <v>24</v>
      </c>
      <c r="M583">
        <v>15.536</v>
      </c>
      <c r="N583">
        <v>8.4</v>
      </c>
    </row>
    <row r="584" spans="1:14" x14ac:dyDescent="0.25">
      <c r="A584" t="s">
        <v>613</v>
      </c>
      <c r="B584" t="s">
        <v>20</v>
      </c>
      <c r="C584" t="s">
        <v>21</v>
      </c>
      <c r="D584" t="s">
        <v>15</v>
      </c>
      <c r="E584" t="s">
        <v>16</v>
      </c>
      <c r="F584" t="s">
        <v>41</v>
      </c>
      <c r="G584" t="s">
        <v>1039</v>
      </c>
      <c r="H584" t="s">
        <v>1042</v>
      </c>
      <c r="I584" s="1">
        <v>43509</v>
      </c>
      <c r="J584" t="s">
        <v>1045</v>
      </c>
      <c r="K584" s="5">
        <v>0.62916666666666665</v>
      </c>
      <c r="L584" t="s">
        <v>28</v>
      </c>
      <c r="M584">
        <v>9.298</v>
      </c>
      <c r="N584">
        <v>8</v>
      </c>
    </row>
    <row r="585" spans="1:14" x14ac:dyDescent="0.25">
      <c r="A585" t="s">
        <v>614</v>
      </c>
      <c r="B585" t="s">
        <v>37</v>
      </c>
      <c r="C585" t="s">
        <v>38</v>
      </c>
      <c r="D585" t="s">
        <v>15</v>
      </c>
      <c r="E585" t="s">
        <v>16</v>
      </c>
      <c r="F585" t="s">
        <v>41</v>
      </c>
      <c r="G585" t="s">
        <v>1035</v>
      </c>
      <c r="H585" t="s">
        <v>1041</v>
      </c>
      <c r="I585" s="1">
        <v>43479</v>
      </c>
      <c r="J585" t="s">
        <v>1046</v>
      </c>
      <c r="K585" s="5">
        <v>0.75208333333333333</v>
      </c>
      <c r="L585" t="s">
        <v>28</v>
      </c>
      <c r="M585">
        <v>3.6160000000000001</v>
      </c>
      <c r="N585">
        <v>9.5</v>
      </c>
    </row>
    <row r="586" spans="1:14" x14ac:dyDescent="0.25">
      <c r="A586" t="s">
        <v>615</v>
      </c>
      <c r="B586" t="s">
        <v>37</v>
      </c>
      <c r="C586" t="s">
        <v>38</v>
      </c>
      <c r="D586" t="s">
        <v>22</v>
      </c>
      <c r="E586" t="s">
        <v>26</v>
      </c>
      <c r="F586" t="s">
        <v>31</v>
      </c>
      <c r="G586" t="s">
        <v>1036</v>
      </c>
      <c r="H586" t="s">
        <v>1041</v>
      </c>
      <c r="I586" s="1">
        <v>43484</v>
      </c>
      <c r="J586" t="s">
        <v>1045</v>
      </c>
      <c r="K586" s="5">
        <v>0.66527777777777775</v>
      </c>
      <c r="L586" t="s">
        <v>18</v>
      </c>
      <c r="M586">
        <v>9.4589999999999996</v>
      </c>
      <c r="N586">
        <v>7</v>
      </c>
    </row>
    <row r="587" spans="1:14" x14ac:dyDescent="0.25">
      <c r="A587" t="s">
        <v>616</v>
      </c>
      <c r="B587" t="s">
        <v>13</v>
      </c>
      <c r="C587" t="s">
        <v>14</v>
      </c>
      <c r="D587" t="s">
        <v>22</v>
      </c>
      <c r="E587" t="s">
        <v>26</v>
      </c>
      <c r="F587" t="s">
        <v>17</v>
      </c>
      <c r="G587" t="s">
        <v>1036</v>
      </c>
      <c r="H587" t="s">
        <v>1043</v>
      </c>
      <c r="I587" s="1">
        <v>43533</v>
      </c>
      <c r="J587" t="s">
        <v>1045</v>
      </c>
      <c r="K587" s="5">
        <v>0.57847222222222217</v>
      </c>
      <c r="L587" t="s">
        <v>28</v>
      </c>
      <c r="M587">
        <v>10.342000000000001</v>
      </c>
      <c r="N587">
        <v>9.8000000000000007</v>
      </c>
    </row>
    <row r="588" spans="1:14" x14ac:dyDescent="0.25">
      <c r="A588" t="s">
        <v>617</v>
      </c>
      <c r="B588" t="s">
        <v>13</v>
      </c>
      <c r="C588" t="s">
        <v>14</v>
      </c>
      <c r="D588" t="s">
        <v>22</v>
      </c>
      <c r="E588" t="s">
        <v>16</v>
      </c>
      <c r="F588" t="s">
        <v>39</v>
      </c>
      <c r="G588" t="s">
        <v>1038</v>
      </c>
      <c r="H588" t="s">
        <v>1043</v>
      </c>
      <c r="I588" s="1">
        <v>43551</v>
      </c>
      <c r="J588" t="s">
        <v>1045</v>
      </c>
      <c r="K588" s="5">
        <v>0.5854166666666667</v>
      </c>
      <c r="L588" t="s">
        <v>24</v>
      </c>
      <c r="M588">
        <v>7.851</v>
      </c>
      <c r="N588">
        <v>9.1999999999999993</v>
      </c>
    </row>
    <row r="589" spans="1:14" x14ac:dyDescent="0.25">
      <c r="A589" t="s">
        <v>618</v>
      </c>
      <c r="B589" t="s">
        <v>13</v>
      </c>
      <c r="C589" t="s">
        <v>14</v>
      </c>
      <c r="D589" t="s">
        <v>22</v>
      </c>
      <c r="E589" t="s">
        <v>16</v>
      </c>
      <c r="F589" t="s">
        <v>31</v>
      </c>
      <c r="G589" t="s">
        <v>1038</v>
      </c>
      <c r="H589" t="s">
        <v>1042</v>
      </c>
      <c r="I589" s="1">
        <v>43500</v>
      </c>
      <c r="J589" t="s">
        <v>1046</v>
      </c>
      <c r="K589" s="5">
        <v>0.69305555555555554</v>
      </c>
      <c r="L589" t="s">
        <v>18</v>
      </c>
      <c r="M589">
        <v>10.765000000000001</v>
      </c>
      <c r="N589">
        <v>7.7</v>
      </c>
    </row>
    <row r="590" spans="1:14" x14ac:dyDescent="0.25">
      <c r="A590" t="s">
        <v>619</v>
      </c>
      <c r="B590" t="s">
        <v>20</v>
      </c>
      <c r="C590" t="s">
        <v>21</v>
      </c>
      <c r="D590" t="s">
        <v>22</v>
      </c>
      <c r="E590" t="s">
        <v>26</v>
      </c>
      <c r="F590" t="s">
        <v>41</v>
      </c>
      <c r="G590" t="s">
        <v>1036</v>
      </c>
      <c r="H590" t="s">
        <v>1043</v>
      </c>
      <c r="I590" s="1">
        <v>43538</v>
      </c>
      <c r="J590" t="s">
        <v>1044</v>
      </c>
      <c r="K590" s="5">
        <v>0.46319444444444446</v>
      </c>
      <c r="L590" t="s">
        <v>24</v>
      </c>
      <c r="M590">
        <v>29.805</v>
      </c>
      <c r="N590">
        <v>5.3</v>
      </c>
    </row>
    <row r="591" spans="1:14" x14ac:dyDescent="0.25">
      <c r="A591" t="s">
        <v>620</v>
      </c>
      <c r="B591" t="s">
        <v>13</v>
      </c>
      <c r="C591" t="s">
        <v>14</v>
      </c>
      <c r="D591" t="s">
        <v>22</v>
      </c>
      <c r="E591" t="s">
        <v>26</v>
      </c>
      <c r="F591" t="s">
        <v>17</v>
      </c>
      <c r="G591" t="s">
        <v>1035</v>
      </c>
      <c r="H591" t="s">
        <v>1043</v>
      </c>
      <c r="I591" s="1">
        <v>43528</v>
      </c>
      <c r="J591" t="s">
        <v>1045</v>
      </c>
      <c r="K591" s="5">
        <v>0.51597222222222217</v>
      </c>
      <c r="L591" t="s">
        <v>24</v>
      </c>
      <c r="M591">
        <v>3.6549999999999998</v>
      </c>
      <c r="N591">
        <v>4.4000000000000004</v>
      </c>
    </row>
    <row r="592" spans="1:14" x14ac:dyDescent="0.25">
      <c r="A592" t="s">
        <v>621</v>
      </c>
      <c r="B592" t="s">
        <v>20</v>
      </c>
      <c r="C592" t="s">
        <v>21</v>
      </c>
      <c r="D592" t="s">
        <v>15</v>
      </c>
      <c r="E592" t="s">
        <v>26</v>
      </c>
      <c r="F592" t="s">
        <v>17</v>
      </c>
      <c r="G592" t="s">
        <v>1035</v>
      </c>
      <c r="H592" t="s">
        <v>1043</v>
      </c>
      <c r="I592" s="1">
        <v>43527</v>
      </c>
      <c r="J592" t="s">
        <v>1044</v>
      </c>
      <c r="K592" s="5">
        <v>0.45416666666666666</v>
      </c>
      <c r="L592" t="s">
        <v>28</v>
      </c>
      <c r="M592">
        <v>13.959</v>
      </c>
      <c r="N592">
        <v>4.3</v>
      </c>
    </row>
    <row r="593" spans="1:14" x14ac:dyDescent="0.25">
      <c r="A593" t="s">
        <v>622</v>
      </c>
      <c r="B593" t="s">
        <v>20</v>
      </c>
      <c r="C593" t="s">
        <v>21</v>
      </c>
      <c r="D593" t="s">
        <v>15</v>
      </c>
      <c r="E593" t="s">
        <v>16</v>
      </c>
      <c r="F593" t="s">
        <v>27</v>
      </c>
      <c r="G593" t="s">
        <v>1037</v>
      </c>
      <c r="H593" t="s">
        <v>1041</v>
      </c>
      <c r="I593" s="1">
        <v>43492</v>
      </c>
      <c r="J593" t="s">
        <v>1046</v>
      </c>
      <c r="K593" s="5">
        <v>0.73472222222222217</v>
      </c>
      <c r="L593" t="s">
        <v>18</v>
      </c>
      <c r="M593">
        <v>8.484</v>
      </c>
      <c r="N593">
        <v>9.4</v>
      </c>
    </row>
    <row r="594" spans="1:14" x14ac:dyDescent="0.25">
      <c r="A594" t="s">
        <v>623</v>
      </c>
      <c r="B594" t="s">
        <v>13</v>
      </c>
      <c r="C594" t="s">
        <v>14</v>
      </c>
      <c r="D594" t="s">
        <v>15</v>
      </c>
      <c r="E594" t="s">
        <v>16</v>
      </c>
      <c r="F594" t="s">
        <v>31</v>
      </c>
      <c r="G594" t="s">
        <v>1038</v>
      </c>
      <c r="H594" t="s">
        <v>1042</v>
      </c>
      <c r="I594" s="1">
        <v>43503</v>
      </c>
      <c r="J594" t="s">
        <v>1045</v>
      </c>
      <c r="K594" s="5">
        <v>0.59236111111111112</v>
      </c>
      <c r="L594" t="s">
        <v>24</v>
      </c>
      <c r="M594">
        <v>2.2789999999999999</v>
      </c>
      <c r="N594">
        <v>9.8000000000000007</v>
      </c>
    </row>
    <row r="595" spans="1:14" x14ac:dyDescent="0.25">
      <c r="A595" t="s">
        <v>624</v>
      </c>
      <c r="B595" t="s">
        <v>13</v>
      </c>
      <c r="C595" t="s">
        <v>14</v>
      </c>
      <c r="D595" t="s">
        <v>15</v>
      </c>
      <c r="E595" t="s">
        <v>16</v>
      </c>
      <c r="F595" t="s">
        <v>31</v>
      </c>
      <c r="G595" t="s">
        <v>1038</v>
      </c>
      <c r="H595" t="s">
        <v>1042</v>
      </c>
      <c r="I595" s="1">
        <v>43501</v>
      </c>
      <c r="J595" t="s">
        <v>1044</v>
      </c>
      <c r="K595" s="5">
        <v>0.49374999999999997</v>
      </c>
      <c r="L595" t="s">
        <v>18</v>
      </c>
      <c r="M595">
        <v>11.28</v>
      </c>
      <c r="N595">
        <v>4.8</v>
      </c>
    </row>
    <row r="596" spans="1:14" x14ac:dyDescent="0.25">
      <c r="A596" t="s">
        <v>625</v>
      </c>
      <c r="B596" t="s">
        <v>37</v>
      </c>
      <c r="C596" t="s">
        <v>38</v>
      </c>
      <c r="D596" t="s">
        <v>15</v>
      </c>
      <c r="E596" t="s">
        <v>26</v>
      </c>
      <c r="F596" t="s">
        <v>31</v>
      </c>
      <c r="G596" t="s">
        <v>1036</v>
      </c>
      <c r="H596" t="s">
        <v>1043</v>
      </c>
      <c r="I596" s="1">
        <v>43539</v>
      </c>
      <c r="J596" t="s">
        <v>1045</v>
      </c>
      <c r="K596" s="5">
        <v>0.54513888888888895</v>
      </c>
      <c r="L596" t="s">
        <v>24</v>
      </c>
      <c r="M596">
        <v>14.52</v>
      </c>
      <c r="N596">
        <v>5.3</v>
      </c>
    </row>
    <row r="597" spans="1:14" x14ac:dyDescent="0.25">
      <c r="A597" t="s">
        <v>626</v>
      </c>
      <c r="B597" t="s">
        <v>37</v>
      </c>
      <c r="C597" t="s">
        <v>38</v>
      </c>
      <c r="D597" t="s">
        <v>22</v>
      </c>
      <c r="E597" t="s">
        <v>26</v>
      </c>
      <c r="F597" t="s">
        <v>17</v>
      </c>
      <c r="G597" t="s">
        <v>1034</v>
      </c>
      <c r="H597" t="s">
        <v>1043</v>
      </c>
      <c r="I597" s="1">
        <v>43525</v>
      </c>
      <c r="J597" t="s">
        <v>1044</v>
      </c>
      <c r="K597" s="5">
        <v>0.47916666666666669</v>
      </c>
      <c r="L597" t="s">
        <v>28</v>
      </c>
      <c r="M597">
        <v>2.2229999999999999</v>
      </c>
      <c r="N597">
        <v>8.6999999999999993</v>
      </c>
    </row>
    <row r="598" spans="1:14" x14ac:dyDescent="0.25">
      <c r="A598" t="s">
        <v>627</v>
      </c>
      <c r="B598" t="s">
        <v>13</v>
      </c>
      <c r="C598" t="s">
        <v>14</v>
      </c>
      <c r="D598" t="s">
        <v>22</v>
      </c>
      <c r="E598" t="s">
        <v>26</v>
      </c>
      <c r="F598" t="s">
        <v>39</v>
      </c>
      <c r="G598" t="s">
        <v>1039</v>
      </c>
      <c r="H598" t="s">
        <v>1042</v>
      </c>
      <c r="I598" s="1">
        <v>43511</v>
      </c>
      <c r="J598" t="s">
        <v>1045</v>
      </c>
      <c r="K598" s="5">
        <v>0.5625</v>
      </c>
      <c r="L598" t="s">
        <v>28</v>
      </c>
      <c r="M598">
        <v>7.83</v>
      </c>
      <c r="N598">
        <v>9.5</v>
      </c>
    </row>
    <row r="599" spans="1:14" x14ac:dyDescent="0.25">
      <c r="A599" t="s">
        <v>628</v>
      </c>
      <c r="B599" t="s">
        <v>20</v>
      </c>
      <c r="C599" t="s">
        <v>21</v>
      </c>
      <c r="D599" t="s">
        <v>22</v>
      </c>
      <c r="E599" t="s">
        <v>16</v>
      </c>
      <c r="F599" t="s">
        <v>31</v>
      </c>
      <c r="G599" t="s">
        <v>1040</v>
      </c>
      <c r="H599" t="s">
        <v>1042</v>
      </c>
      <c r="I599" s="1">
        <v>43513</v>
      </c>
      <c r="J599" t="s">
        <v>1046</v>
      </c>
      <c r="K599" s="5">
        <v>0.7993055555555556</v>
      </c>
      <c r="L599" t="s">
        <v>18</v>
      </c>
      <c r="M599">
        <v>20.997</v>
      </c>
      <c r="N599">
        <v>5.3</v>
      </c>
    </row>
    <row r="600" spans="1:14" x14ac:dyDescent="0.25">
      <c r="A600" t="s">
        <v>629</v>
      </c>
      <c r="B600" t="s">
        <v>20</v>
      </c>
      <c r="C600" t="s">
        <v>21</v>
      </c>
      <c r="D600" t="s">
        <v>22</v>
      </c>
      <c r="E600" t="s">
        <v>16</v>
      </c>
      <c r="F600" t="s">
        <v>41</v>
      </c>
      <c r="G600" t="s">
        <v>1037</v>
      </c>
      <c r="H600" t="s">
        <v>1041</v>
      </c>
      <c r="I600" s="1">
        <v>43491</v>
      </c>
      <c r="J600" t="s">
        <v>1046</v>
      </c>
      <c r="K600" s="5">
        <v>0.78680555555555554</v>
      </c>
      <c r="L600" t="s">
        <v>24</v>
      </c>
      <c r="M600">
        <v>9.2125000000000004</v>
      </c>
      <c r="N600">
        <v>9.1999999999999993</v>
      </c>
    </row>
    <row r="601" spans="1:14" x14ac:dyDescent="0.25">
      <c r="A601" t="s">
        <v>630</v>
      </c>
      <c r="B601" t="s">
        <v>13</v>
      </c>
      <c r="C601" t="s">
        <v>14</v>
      </c>
      <c r="D601" t="s">
        <v>15</v>
      </c>
      <c r="E601" t="s">
        <v>16</v>
      </c>
      <c r="F601" t="s">
        <v>27</v>
      </c>
      <c r="G601" t="s">
        <v>1038</v>
      </c>
      <c r="H601" t="s">
        <v>1043</v>
      </c>
      <c r="I601" s="1">
        <v>43548</v>
      </c>
      <c r="J601" t="s">
        <v>1045</v>
      </c>
      <c r="K601" s="5">
        <v>0.59861111111111109</v>
      </c>
      <c r="L601" t="s">
        <v>18</v>
      </c>
      <c r="M601">
        <v>7.032</v>
      </c>
      <c r="N601">
        <v>9.6</v>
      </c>
    </row>
    <row r="602" spans="1:14" x14ac:dyDescent="0.25">
      <c r="A602" t="s">
        <v>631</v>
      </c>
      <c r="B602" t="s">
        <v>20</v>
      </c>
      <c r="C602" t="s">
        <v>21</v>
      </c>
      <c r="D602" t="s">
        <v>22</v>
      </c>
      <c r="E602" t="s">
        <v>26</v>
      </c>
      <c r="F602" t="s">
        <v>23</v>
      </c>
      <c r="G602" t="s">
        <v>1036</v>
      </c>
      <c r="H602" t="s">
        <v>1041</v>
      </c>
      <c r="I602" s="1">
        <v>43488</v>
      </c>
      <c r="J602" t="s">
        <v>1046</v>
      </c>
      <c r="K602" s="5">
        <v>0.71944444444444444</v>
      </c>
      <c r="L602" t="s">
        <v>18</v>
      </c>
      <c r="M602">
        <v>4.1539999999999999</v>
      </c>
      <c r="N602">
        <v>6.4</v>
      </c>
    </row>
    <row r="603" spans="1:14" x14ac:dyDescent="0.25">
      <c r="A603" t="s">
        <v>632</v>
      </c>
      <c r="B603" t="s">
        <v>20</v>
      </c>
      <c r="C603" t="s">
        <v>21</v>
      </c>
      <c r="D603" t="s">
        <v>22</v>
      </c>
      <c r="E603" t="s">
        <v>16</v>
      </c>
      <c r="F603" t="s">
        <v>41</v>
      </c>
      <c r="G603" t="s">
        <v>1037</v>
      </c>
      <c r="H603" t="s">
        <v>1041</v>
      </c>
      <c r="I603" s="1">
        <v>43491</v>
      </c>
      <c r="J603" t="s">
        <v>1044</v>
      </c>
      <c r="K603" s="5">
        <v>0.42083333333333334</v>
      </c>
      <c r="L603" t="s">
        <v>28</v>
      </c>
      <c r="M603">
        <v>3.2494999999999998</v>
      </c>
      <c r="N603">
        <v>4.5</v>
      </c>
    </row>
    <row r="604" spans="1:14" x14ac:dyDescent="0.25">
      <c r="A604" t="s">
        <v>633</v>
      </c>
      <c r="B604" t="s">
        <v>20</v>
      </c>
      <c r="C604" t="s">
        <v>21</v>
      </c>
      <c r="D604" t="s">
        <v>22</v>
      </c>
      <c r="E604" t="s">
        <v>26</v>
      </c>
      <c r="F604" t="s">
        <v>39</v>
      </c>
      <c r="G604" t="s">
        <v>1036</v>
      </c>
      <c r="H604" t="s">
        <v>1043</v>
      </c>
      <c r="I604" s="1">
        <v>43538</v>
      </c>
      <c r="J604" t="s">
        <v>1046</v>
      </c>
      <c r="K604" s="5">
        <v>0.85763888888888884</v>
      </c>
      <c r="L604" t="s">
        <v>18</v>
      </c>
      <c r="M604">
        <v>38.78</v>
      </c>
      <c r="N604">
        <v>6.9</v>
      </c>
    </row>
    <row r="605" spans="1:14" x14ac:dyDescent="0.25">
      <c r="A605" t="s">
        <v>634</v>
      </c>
      <c r="B605" t="s">
        <v>37</v>
      </c>
      <c r="C605" t="s">
        <v>38</v>
      </c>
      <c r="D605" t="s">
        <v>22</v>
      </c>
      <c r="E605" t="s">
        <v>16</v>
      </c>
      <c r="F605" t="s">
        <v>31</v>
      </c>
      <c r="G605" t="s">
        <v>1037</v>
      </c>
      <c r="H605" t="s">
        <v>1043</v>
      </c>
      <c r="I605" s="1">
        <v>43541</v>
      </c>
      <c r="J605" t="s">
        <v>1045</v>
      </c>
      <c r="K605" s="5">
        <v>0.57916666666666672</v>
      </c>
      <c r="L605" t="s">
        <v>18</v>
      </c>
      <c r="M605">
        <v>16.353000000000002</v>
      </c>
      <c r="N605">
        <v>7.8</v>
      </c>
    </row>
    <row r="606" spans="1:14" x14ac:dyDescent="0.25">
      <c r="A606" t="s">
        <v>635</v>
      </c>
      <c r="B606" t="s">
        <v>20</v>
      </c>
      <c r="C606" t="s">
        <v>21</v>
      </c>
      <c r="D606" t="s">
        <v>15</v>
      </c>
      <c r="E606" t="s">
        <v>16</v>
      </c>
      <c r="F606" t="s">
        <v>41</v>
      </c>
      <c r="G606" t="s">
        <v>1034</v>
      </c>
      <c r="H606" t="s">
        <v>1041</v>
      </c>
      <c r="I606" s="1">
        <v>43473</v>
      </c>
      <c r="J606" t="s">
        <v>1046</v>
      </c>
      <c r="K606" s="5">
        <v>0.83888888888888891</v>
      </c>
      <c r="L606" t="s">
        <v>24</v>
      </c>
      <c r="M606">
        <v>18.1615</v>
      </c>
      <c r="N606">
        <v>4.5</v>
      </c>
    </row>
    <row r="607" spans="1:14" x14ac:dyDescent="0.25">
      <c r="A607" t="s">
        <v>636</v>
      </c>
      <c r="B607" t="s">
        <v>37</v>
      </c>
      <c r="C607" t="s">
        <v>38</v>
      </c>
      <c r="D607" t="s">
        <v>22</v>
      </c>
      <c r="E607" t="s">
        <v>26</v>
      </c>
      <c r="F607" t="s">
        <v>27</v>
      </c>
      <c r="G607" t="s">
        <v>1038</v>
      </c>
      <c r="H607" t="s">
        <v>1042</v>
      </c>
      <c r="I607" s="1">
        <v>43504</v>
      </c>
      <c r="J607" t="s">
        <v>1045</v>
      </c>
      <c r="K607" s="5">
        <v>0.6430555555555556</v>
      </c>
      <c r="L607" t="s">
        <v>24</v>
      </c>
      <c r="M607">
        <v>6.35</v>
      </c>
      <c r="N607">
        <v>8.6</v>
      </c>
    </row>
    <row r="608" spans="1:14" x14ac:dyDescent="0.25">
      <c r="A608" t="s">
        <v>637</v>
      </c>
      <c r="B608" t="s">
        <v>13</v>
      </c>
      <c r="C608" t="s">
        <v>14</v>
      </c>
      <c r="D608" t="s">
        <v>15</v>
      </c>
      <c r="E608" t="s">
        <v>16</v>
      </c>
      <c r="F608" t="s">
        <v>41</v>
      </c>
      <c r="G608" t="s">
        <v>1039</v>
      </c>
      <c r="H608" t="s">
        <v>1042</v>
      </c>
      <c r="I608" s="1">
        <v>43506</v>
      </c>
      <c r="J608" t="s">
        <v>1045</v>
      </c>
      <c r="K608" s="5">
        <v>0.53888888888888886</v>
      </c>
      <c r="L608" t="s">
        <v>18</v>
      </c>
      <c r="M608">
        <v>18.7775</v>
      </c>
      <c r="N608">
        <v>5.2</v>
      </c>
    </row>
    <row r="609" spans="1:14" x14ac:dyDescent="0.25">
      <c r="A609" t="s">
        <v>638</v>
      </c>
      <c r="B609" t="s">
        <v>20</v>
      </c>
      <c r="C609" t="s">
        <v>21</v>
      </c>
      <c r="D609" t="s">
        <v>15</v>
      </c>
      <c r="E609" t="s">
        <v>16</v>
      </c>
      <c r="F609" t="s">
        <v>39</v>
      </c>
      <c r="G609" t="s">
        <v>1038</v>
      </c>
      <c r="H609" t="s">
        <v>1043</v>
      </c>
      <c r="I609" s="1">
        <v>43552</v>
      </c>
      <c r="J609" t="s">
        <v>1046</v>
      </c>
      <c r="K609" s="5">
        <v>0.8027777777777777</v>
      </c>
      <c r="L609" t="s">
        <v>28</v>
      </c>
      <c r="M609">
        <v>9.9580000000000002</v>
      </c>
      <c r="N609">
        <v>6.4</v>
      </c>
    </row>
    <row r="610" spans="1:14" x14ac:dyDescent="0.25">
      <c r="A610" t="s">
        <v>639</v>
      </c>
      <c r="B610" t="s">
        <v>13</v>
      </c>
      <c r="C610" t="s">
        <v>14</v>
      </c>
      <c r="D610" t="s">
        <v>22</v>
      </c>
      <c r="E610" t="s">
        <v>26</v>
      </c>
      <c r="F610" t="s">
        <v>41</v>
      </c>
      <c r="G610" t="s">
        <v>1036</v>
      </c>
      <c r="H610" t="s">
        <v>1041</v>
      </c>
      <c r="I610" s="1">
        <v>43488</v>
      </c>
      <c r="J610" t="s">
        <v>1045</v>
      </c>
      <c r="K610" s="5">
        <v>0.51388888888888895</v>
      </c>
      <c r="L610" t="s">
        <v>18</v>
      </c>
      <c r="M610">
        <v>1.5305</v>
      </c>
      <c r="N610">
        <v>5.2</v>
      </c>
    </row>
    <row r="611" spans="1:14" x14ac:dyDescent="0.25">
      <c r="A611" t="s">
        <v>640</v>
      </c>
      <c r="B611" t="s">
        <v>37</v>
      </c>
      <c r="C611" t="s">
        <v>38</v>
      </c>
      <c r="D611" t="s">
        <v>15</v>
      </c>
      <c r="E611" t="s">
        <v>26</v>
      </c>
      <c r="F611" t="s">
        <v>39</v>
      </c>
      <c r="G611" t="s">
        <v>1035</v>
      </c>
      <c r="H611" t="s">
        <v>1041</v>
      </c>
      <c r="I611" s="1">
        <v>43482</v>
      </c>
      <c r="J611" t="s">
        <v>1044</v>
      </c>
      <c r="K611" s="5">
        <v>0.44236111111111115</v>
      </c>
      <c r="L611" t="s">
        <v>18</v>
      </c>
      <c r="M611">
        <v>5.7889999999999997</v>
      </c>
      <c r="N611">
        <v>8.9</v>
      </c>
    </row>
    <row r="612" spans="1:14" x14ac:dyDescent="0.25">
      <c r="A612" t="s">
        <v>641</v>
      </c>
      <c r="B612" t="s">
        <v>13</v>
      </c>
      <c r="C612" t="s">
        <v>14</v>
      </c>
      <c r="D612" t="s">
        <v>22</v>
      </c>
      <c r="E612" t="s">
        <v>16</v>
      </c>
      <c r="F612" t="s">
        <v>23</v>
      </c>
      <c r="G612" t="s">
        <v>1038</v>
      </c>
      <c r="H612" t="s">
        <v>1042</v>
      </c>
      <c r="I612" s="1">
        <v>43503</v>
      </c>
      <c r="J612" t="s">
        <v>1044</v>
      </c>
      <c r="K612" s="5">
        <v>0.4291666666666667</v>
      </c>
      <c r="L612" t="s">
        <v>28</v>
      </c>
      <c r="M612">
        <v>1.448</v>
      </c>
      <c r="N612">
        <v>6.2</v>
      </c>
    </row>
    <row r="613" spans="1:14" x14ac:dyDescent="0.25">
      <c r="A613" t="s">
        <v>642</v>
      </c>
      <c r="B613" t="s">
        <v>20</v>
      </c>
      <c r="C613" t="s">
        <v>21</v>
      </c>
      <c r="D613" t="s">
        <v>15</v>
      </c>
      <c r="E613" t="s">
        <v>16</v>
      </c>
      <c r="F613" t="s">
        <v>39</v>
      </c>
      <c r="G613" t="s">
        <v>1036</v>
      </c>
      <c r="H613" t="s">
        <v>1043</v>
      </c>
      <c r="I613" s="1">
        <v>43533</v>
      </c>
      <c r="J613" t="s">
        <v>1044</v>
      </c>
      <c r="K613" s="5">
        <v>0.47430555555555554</v>
      </c>
      <c r="L613" t="s">
        <v>24</v>
      </c>
      <c r="M613">
        <v>44.536499999999997</v>
      </c>
      <c r="N613">
        <v>6.7</v>
      </c>
    </row>
    <row r="614" spans="1:14" x14ac:dyDescent="0.25">
      <c r="A614" t="s">
        <v>643</v>
      </c>
      <c r="B614" t="s">
        <v>37</v>
      </c>
      <c r="C614" t="s">
        <v>38</v>
      </c>
      <c r="D614" t="s">
        <v>15</v>
      </c>
      <c r="E614" t="s">
        <v>26</v>
      </c>
      <c r="F614" t="s">
        <v>41</v>
      </c>
      <c r="G614" t="s">
        <v>1036</v>
      </c>
      <c r="H614" t="s">
        <v>1041</v>
      </c>
      <c r="I614" s="1">
        <v>43489</v>
      </c>
      <c r="J614" t="s">
        <v>1044</v>
      </c>
      <c r="K614" s="5">
        <v>0.48958333333333331</v>
      </c>
      <c r="L614" t="s">
        <v>24</v>
      </c>
      <c r="M614">
        <v>13.983000000000001</v>
      </c>
      <c r="N614">
        <v>7.2</v>
      </c>
    </row>
    <row r="615" spans="1:14" x14ac:dyDescent="0.25">
      <c r="A615" t="s">
        <v>644</v>
      </c>
      <c r="B615" t="s">
        <v>20</v>
      </c>
      <c r="C615" t="s">
        <v>21</v>
      </c>
      <c r="D615" t="s">
        <v>15</v>
      </c>
      <c r="E615" t="s">
        <v>26</v>
      </c>
      <c r="F615" t="s">
        <v>31</v>
      </c>
      <c r="G615" t="s">
        <v>1036</v>
      </c>
      <c r="H615" t="s">
        <v>1041</v>
      </c>
      <c r="I615" s="1">
        <v>43484</v>
      </c>
      <c r="J615" t="s">
        <v>1046</v>
      </c>
      <c r="K615" s="5">
        <v>0.67222222222222217</v>
      </c>
      <c r="L615" t="s">
        <v>28</v>
      </c>
      <c r="M615">
        <v>4.0465</v>
      </c>
      <c r="N615">
        <v>9</v>
      </c>
    </row>
    <row r="616" spans="1:14" x14ac:dyDescent="0.25">
      <c r="A616" t="s">
        <v>645</v>
      </c>
      <c r="B616" t="s">
        <v>13</v>
      </c>
      <c r="C616" t="s">
        <v>14</v>
      </c>
      <c r="D616" t="s">
        <v>15</v>
      </c>
      <c r="E616" t="s">
        <v>26</v>
      </c>
      <c r="F616" t="s">
        <v>39</v>
      </c>
      <c r="G616" t="s">
        <v>1038</v>
      </c>
      <c r="H616" t="s">
        <v>1042</v>
      </c>
      <c r="I616" s="1">
        <v>43499</v>
      </c>
      <c r="J616" t="s">
        <v>1044</v>
      </c>
      <c r="K616" s="5">
        <v>0.47569444444444442</v>
      </c>
      <c r="L616" t="s">
        <v>18</v>
      </c>
      <c r="M616">
        <v>33.725000000000001</v>
      </c>
      <c r="N616">
        <v>4.2</v>
      </c>
    </row>
    <row r="617" spans="1:14" x14ac:dyDescent="0.25">
      <c r="A617" t="s">
        <v>646</v>
      </c>
      <c r="B617" t="s">
        <v>13</v>
      </c>
      <c r="C617" t="s">
        <v>14</v>
      </c>
      <c r="D617" t="s">
        <v>15</v>
      </c>
      <c r="E617" t="s">
        <v>16</v>
      </c>
      <c r="F617" t="s">
        <v>31</v>
      </c>
      <c r="G617" t="s">
        <v>1037</v>
      </c>
      <c r="H617" t="s">
        <v>1043</v>
      </c>
      <c r="I617" s="1">
        <v>43544</v>
      </c>
      <c r="J617" t="s">
        <v>1045</v>
      </c>
      <c r="K617" s="5">
        <v>0.51666666666666672</v>
      </c>
      <c r="L617" t="s">
        <v>18</v>
      </c>
      <c r="M617">
        <v>17.423999999999999</v>
      </c>
      <c r="N617">
        <v>4.2</v>
      </c>
    </row>
    <row r="618" spans="1:14" x14ac:dyDescent="0.25">
      <c r="A618" t="s">
        <v>647</v>
      </c>
      <c r="B618" t="s">
        <v>37</v>
      </c>
      <c r="C618" t="s">
        <v>38</v>
      </c>
      <c r="D618" t="s">
        <v>15</v>
      </c>
      <c r="E618" t="s">
        <v>26</v>
      </c>
      <c r="F618" t="s">
        <v>31</v>
      </c>
      <c r="G618" t="s">
        <v>1035</v>
      </c>
      <c r="H618" t="s">
        <v>1041</v>
      </c>
      <c r="I618" s="1">
        <v>43478</v>
      </c>
      <c r="J618" t="s">
        <v>1046</v>
      </c>
      <c r="K618" s="5">
        <v>0.82708333333333339</v>
      </c>
      <c r="L618" t="s">
        <v>24</v>
      </c>
      <c r="M618">
        <v>21.78</v>
      </c>
      <c r="N618">
        <v>6.9</v>
      </c>
    </row>
    <row r="619" spans="1:14" x14ac:dyDescent="0.25">
      <c r="A619" t="s">
        <v>648</v>
      </c>
      <c r="B619" t="s">
        <v>20</v>
      </c>
      <c r="C619" t="s">
        <v>21</v>
      </c>
      <c r="D619" t="s">
        <v>15</v>
      </c>
      <c r="E619" t="s">
        <v>26</v>
      </c>
      <c r="F619" t="s">
        <v>23</v>
      </c>
      <c r="G619" t="s">
        <v>1036</v>
      </c>
      <c r="H619" t="s">
        <v>1043</v>
      </c>
      <c r="I619" s="1">
        <v>43538</v>
      </c>
      <c r="J619" t="s">
        <v>1046</v>
      </c>
      <c r="K619" s="5">
        <v>0.75694444444444453</v>
      </c>
      <c r="L619" t="s">
        <v>18</v>
      </c>
      <c r="M619">
        <v>21.977499999999999</v>
      </c>
      <c r="N619">
        <v>4.4000000000000004</v>
      </c>
    </row>
    <row r="620" spans="1:14" x14ac:dyDescent="0.25">
      <c r="A620" t="s">
        <v>649</v>
      </c>
      <c r="B620" t="s">
        <v>13</v>
      </c>
      <c r="C620" t="s">
        <v>14</v>
      </c>
      <c r="D620" t="s">
        <v>15</v>
      </c>
      <c r="E620" t="s">
        <v>26</v>
      </c>
      <c r="F620" t="s">
        <v>39</v>
      </c>
      <c r="G620" t="s">
        <v>1036</v>
      </c>
      <c r="H620" t="s">
        <v>1041</v>
      </c>
      <c r="I620" s="1">
        <v>43488</v>
      </c>
      <c r="J620" t="s">
        <v>1044</v>
      </c>
      <c r="K620" s="5">
        <v>0.47361111111111115</v>
      </c>
      <c r="L620" t="s">
        <v>28</v>
      </c>
      <c r="M620">
        <v>29.559000000000001</v>
      </c>
      <c r="N620">
        <v>4</v>
      </c>
    </row>
    <row r="621" spans="1:14" x14ac:dyDescent="0.25">
      <c r="A621" t="s">
        <v>650</v>
      </c>
      <c r="B621" t="s">
        <v>20</v>
      </c>
      <c r="C621" t="s">
        <v>21</v>
      </c>
      <c r="D621" t="s">
        <v>15</v>
      </c>
      <c r="E621" t="s">
        <v>16</v>
      </c>
      <c r="F621" t="s">
        <v>41</v>
      </c>
      <c r="G621" t="s">
        <v>1038</v>
      </c>
      <c r="H621" t="s">
        <v>1042</v>
      </c>
      <c r="I621" s="1">
        <v>43503</v>
      </c>
      <c r="J621" t="s">
        <v>1046</v>
      </c>
      <c r="K621" s="5">
        <v>0.74652777777777779</v>
      </c>
      <c r="L621" t="s">
        <v>18</v>
      </c>
      <c r="M621">
        <v>13.038</v>
      </c>
      <c r="N621">
        <v>8.5</v>
      </c>
    </row>
    <row r="622" spans="1:14" x14ac:dyDescent="0.25">
      <c r="A622" t="s">
        <v>651</v>
      </c>
      <c r="B622" t="s">
        <v>13</v>
      </c>
      <c r="C622" t="s">
        <v>14</v>
      </c>
      <c r="D622" t="s">
        <v>22</v>
      </c>
      <c r="E622" t="s">
        <v>16</v>
      </c>
      <c r="F622" t="s">
        <v>39</v>
      </c>
      <c r="G622" t="s">
        <v>1038</v>
      </c>
      <c r="H622" t="s">
        <v>1043</v>
      </c>
      <c r="I622" s="1">
        <v>43552</v>
      </c>
      <c r="J622" t="s">
        <v>1045</v>
      </c>
      <c r="K622" s="5">
        <v>0.64583333333333337</v>
      </c>
      <c r="L622" t="s">
        <v>28</v>
      </c>
      <c r="M622">
        <v>10.752000000000001</v>
      </c>
      <c r="N622">
        <v>9.1999999999999993</v>
      </c>
    </row>
    <row r="623" spans="1:14" x14ac:dyDescent="0.25">
      <c r="A623" t="s">
        <v>652</v>
      </c>
      <c r="B623" t="s">
        <v>13</v>
      </c>
      <c r="C623" t="s">
        <v>14</v>
      </c>
      <c r="D623" t="s">
        <v>15</v>
      </c>
      <c r="E623" t="s">
        <v>16</v>
      </c>
      <c r="F623" t="s">
        <v>39</v>
      </c>
      <c r="G623" t="s">
        <v>1037</v>
      </c>
      <c r="H623" t="s">
        <v>1043</v>
      </c>
      <c r="I623" s="1">
        <v>43544</v>
      </c>
      <c r="J623" t="s">
        <v>1046</v>
      </c>
      <c r="K623" s="5">
        <v>0.8222222222222223</v>
      </c>
      <c r="L623" t="s">
        <v>24</v>
      </c>
      <c r="M623">
        <v>4.5804999999999998</v>
      </c>
      <c r="N623">
        <v>9.8000000000000007</v>
      </c>
    </row>
    <row r="624" spans="1:14" x14ac:dyDescent="0.25">
      <c r="A624" t="s">
        <v>653</v>
      </c>
      <c r="B624" t="s">
        <v>37</v>
      </c>
      <c r="C624" t="s">
        <v>38</v>
      </c>
      <c r="D624" t="s">
        <v>15</v>
      </c>
      <c r="E624" t="s">
        <v>16</v>
      </c>
      <c r="F624" t="s">
        <v>27</v>
      </c>
      <c r="G624" t="s">
        <v>1035</v>
      </c>
      <c r="H624" t="s">
        <v>1041</v>
      </c>
      <c r="I624" s="1">
        <v>43482</v>
      </c>
      <c r="J624" t="s">
        <v>1045</v>
      </c>
      <c r="K624" s="5">
        <v>0.64374999999999993</v>
      </c>
      <c r="L624" t="s">
        <v>28</v>
      </c>
      <c r="M624">
        <v>33.106499999999997</v>
      </c>
      <c r="N624">
        <v>4.9000000000000004</v>
      </c>
    </row>
    <row r="625" spans="1:14" x14ac:dyDescent="0.25">
      <c r="A625" t="s">
        <v>654</v>
      </c>
      <c r="B625" t="s">
        <v>37</v>
      </c>
      <c r="C625" t="s">
        <v>38</v>
      </c>
      <c r="D625" t="s">
        <v>22</v>
      </c>
      <c r="E625" t="s">
        <v>16</v>
      </c>
      <c r="F625" t="s">
        <v>41</v>
      </c>
      <c r="G625" t="s">
        <v>1035</v>
      </c>
      <c r="H625" t="s">
        <v>1041</v>
      </c>
      <c r="I625" s="1">
        <v>43477</v>
      </c>
      <c r="J625" t="s">
        <v>1044</v>
      </c>
      <c r="K625" s="5">
        <v>0.47569444444444442</v>
      </c>
      <c r="L625" t="s">
        <v>28</v>
      </c>
      <c r="M625">
        <v>41.625</v>
      </c>
      <c r="N625">
        <v>4.4000000000000004</v>
      </c>
    </row>
    <row r="626" spans="1:14" x14ac:dyDescent="0.25">
      <c r="A626" t="s">
        <v>655</v>
      </c>
      <c r="B626" t="s">
        <v>37</v>
      </c>
      <c r="C626" t="s">
        <v>38</v>
      </c>
      <c r="D626" t="s">
        <v>15</v>
      </c>
      <c r="E626" t="s">
        <v>26</v>
      </c>
      <c r="F626" t="s">
        <v>41</v>
      </c>
      <c r="G626" t="s">
        <v>1040</v>
      </c>
      <c r="H626" t="s">
        <v>1042</v>
      </c>
      <c r="I626" s="1">
        <v>43512</v>
      </c>
      <c r="J626" t="s">
        <v>1045</v>
      </c>
      <c r="K626" s="5">
        <v>0.65416666666666667</v>
      </c>
      <c r="L626" t="s">
        <v>24</v>
      </c>
      <c r="M626">
        <v>4.5674999999999999</v>
      </c>
      <c r="N626">
        <v>6.8</v>
      </c>
    </row>
    <row r="627" spans="1:14" x14ac:dyDescent="0.25">
      <c r="A627" t="s">
        <v>656</v>
      </c>
      <c r="B627" t="s">
        <v>37</v>
      </c>
      <c r="C627" t="s">
        <v>38</v>
      </c>
      <c r="D627" t="s">
        <v>15</v>
      </c>
      <c r="E627" t="s">
        <v>16</v>
      </c>
      <c r="F627" t="s">
        <v>39</v>
      </c>
      <c r="G627" t="s">
        <v>1037</v>
      </c>
      <c r="H627" t="s">
        <v>1041</v>
      </c>
      <c r="I627" s="1">
        <v>43491</v>
      </c>
      <c r="J627" t="s">
        <v>1046</v>
      </c>
      <c r="K627" s="5">
        <v>0.6694444444444444</v>
      </c>
      <c r="L627" t="s">
        <v>24</v>
      </c>
      <c r="M627">
        <v>7.8879999999999999</v>
      </c>
      <c r="N627">
        <v>9.1</v>
      </c>
    </row>
    <row r="628" spans="1:14" x14ac:dyDescent="0.25">
      <c r="A628" t="s">
        <v>657</v>
      </c>
      <c r="B628" t="s">
        <v>13</v>
      </c>
      <c r="C628" t="s">
        <v>14</v>
      </c>
      <c r="D628" t="s">
        <v>22</v>
      </c>
      <c r="E628" t="s">
        <v>26</v>
      </c>
      <c r="F628" t="s">
        <v>31</v>
      </c>
      <c r="G628" t="s">
        <v>1036</v>
      </c>
      <c r="H628" t="s">
        <v>1043</v>
      </c>
      <c r="I628" s="1">
        <v>43533</v>
      </c>
      <c r="J628" t="s">
        <v>1045</v>
      </c>
      <c r="K628" s="5">
        <v>0.52569444444444446</v>
      </c>
      <c r="L628" t="s">
        <v>18</v>
      </c>
      <c r="M628">
        <v>6.0869999999999997</v>
      </c>
      <c r="N628">
        <v>8.6999999999999993</v>
      </c>
    </row>
    <row r="629" spans="1:14" x14ac:dyDescent="0.25">
      <c r="A629" t="s">
        <v>658</v>
      </c>
      <c r="B629" t="s">
        <v>37</v>
      </c>
      <c r="C629" t="s">
        <v>38</v>
      </c>
      <c r="D629" t="s">
        <v>15</v>
      </c>
      <c r="E629" t="s">
        <v>26</v>
      </c>
      <c r="F629" t="s">
        <v>17</v>
      </c>
      <c r="G629" t="s">
        <v>1036</v>
      </c>
      <c r="H629" t="s">
        <v>1043</v>
      </c>
      <c r="I629" s="1">
        <v>43538</v>
      </c>
      <c r="J629" t="s">
        <v>1045</v>
      </c>
      <c r="K629" s="5">
        <v>0.6118055555555556</v>
      </c>
      <c r="L629" t="s">
        <v>24</v>
      </c>
      <c r="M629">
        <v>41.29</v>
      </c>
      <c r="N629">
        <v>5</v>
      </c>
    </row>
    <row r="630" spans="1:14" x14ac:dyDescent="0.25">
      <c r="A630" t="s">
        <v>659</v>
      </c>
      <c r="B630" t="s">
        <v>13</v>
      </c>
      <c r="C630" t="s">
        <v>14</v>
      </c>
      <c r="D630" t="s">
        <v>15</v>
      </c>
      <c r="E630" t="s">
        <v>26</v>
      </c>
      <c r="F630" t="s">
        <v>27</v>
      </c>
      <c r="G630" t="s">
        <v>1036</v>
      </c>
      <c r="H630" t="s">
        <v>1041</v>
      </c>
      <c r="I630" s="1">
        <v>43490</v>
      </c>
      <c r="J630" t="s">
        <v>1045</v>
      </c>
      <c r="K630" s="5">
        <v>0.59652777777777777</v>
      </c>
      <c r="L630" t="s">
        <v>18</v>
      </c>
      <c r="M630">
        <v>7.9950000000000001</v>
      </c>
      <c r="N630">
        <v>7.5</v>
      </c>
    </row>
    <row r="631" spans="1:14" x14ac:dyDescent="0.25">
      <c r="A631" t="s">
        <v>660</v>
      </c>
      <c r="B631" t="s">
        <v>13</v>
      </c>
      <c r="C631" t="s">
        <v>14</v>
      </c>
      <c r="D631" t="s">
        <v>22</v>
      </c>
      <c r="E631" t="s">
        <v>16</v>
      </c>
      <c r="F631" t="s">
        <v>41</v>
      </c>
      <c r="G631" t="s">
        <v>1037</v>
      </c>
      <c r="H631" t="s">
        <v>1041</v>
      </c>
      <c r="I631" s="1">
        <v>43491</v>
      </c>
      <c r="J631" t="s">
        <v>1046</v>
      </c>
      <c r="K631" s="5">
        <v>0.7631944444444444</v>
      </c>
      <c r="L631" t="s">
        <v>28</v>
      </c>
      <c r="M631">
        <v>0.60450000000000004</v>
      </c>
      <c r="N631">
        <v>8.1999999999999993</v>
      </c>
    </row>
    <row r="632" spans="1:14" x14ac:dyDescent="0.25">
      <c r="A632" t="s">
        <v>661</v>
      </c>
      <c r="B632" t="s">
        <v>13</v>
      </c>
      <c r="C632" t="s">
        <v>14</v>
      </c>
      <c r="D632" t="s">
        <v>22</v>
      </c>
      <c r="E632" t="s">
        <v>26</v>
      </c>
      <c r="F632" t="s">
        <v>31</v>
      </c>
      <c r="G632" t="s">
        <v>1036</v>
      </c>
      <c r="H632" t="s">
        <v>1041</v>
      </c>
      <c r="I632" s="1">
        <v>43484</v>
      </c>
      <c r="J632" t="s">
        <v>1045</v>
      </c>
      <c r="K632" s="5">
        <v>0.58888888888888891</v>
      </c>
      <c r="L632" t="s">
        <v>28</v>
      </c>
      <c r="M632">
        <v>32.094999999999999</v>
      </c>
      <c r="N632">
        <v>6.7</v>
      </c>
    </row>
    <row r="633" spans="1:14" x14ac:dyDescent="0.25">
      <c r="A633" t="s">
        <v>662</v>
      </c>
      <c r="B633" t="s">
        <v>13</v>
      </c>
      <c r="C633" t="s">
        <v>14</v>
      </c>
      <c r="D633" t="s">
        <v>22</v>
      </c>
      <c r="E633" t="s">
        <v>26</v>
      </c>
      <c r="F633" t="s">
        <v>23</v>
      </c>
      <c r="G633" t="s">
        <v>1035</v>
      </c>
      <c r="H633" t="s">
        <v>1043</v>
      </c>
      <c r="I633" s="1">
        <v>43529</v>
      </c>
      <c r="J633" t="s">
        <v>1046</v>
      </c>
      <c r="K633" s="5">
        <v>0.69305555555555554</v>
      </c>
      <c r="L633" t="s">
        <v>18</v>
      </c>
      <c r="M633">
        <v>11.746499999999999</v>
      </c>
      <c r="N633">
        <v>5.4</v>
      </c>
    </row>
    <row r="634" spans="1:14" x14ac:dyDescent="0.25">
      <c r="A634" t="s">
        <v>663</v>
      </c>
      <c r="B634" t="s">
        <v>13</v>
      </c>
      <c r="C634" t="s">
        <v>14</v>
      </c>
      <c r="D634" t="s">
        <v>15</v>
      </c>
      <c r="E634" t="s">
        <v>26</v>
      </c>
      <c r="F634" t="s">
        <v>39</v>
      </c>
      <c r="G634" t="s">
        <v>1035</v>
      </c>
      <c r="H634" t="s">
        <v>1041</v>
      </c>
      <c r="I634" s="1">
        <v>43480</v>
      </c>
      <c r="J634" t="s">
        <v>1044</v>
      </c>
      <c r="K634" s="5">
        <v>0.45416666666666666</v>
      </c>
      <c r="L634" t="s">
        <v>28</v>
      </c>
      <c r="M634">
        <v>8.3770000000000007</v>
      </c>
      <c r="N634">
        <v>7</v>
      </c>
    </row>
    <row r="635" spans="1:14" x14ac:dyDescent="0.25">
      <c r="A635" t="s">
        <v>664</v>
      </c>
      <c r="B635" t="s">
        <v>37</v>
      </c>
      <c r="C635" t="s">
        <v>38</v>
      </c>
      <c r="D635" t="s">
        <v>22</v>
      </c>
      <c r="E635" t="s">
        <v>26</v>
      </c>
      <c r="F635" t="s">
        <v>27</v>
      </c>
      <c r="G635" t="s">
        <v>1037</v>
      </c>
      <c r="H635" t="s">
        <v>1043</v>
      </c>
      <c r="I635" s="1">
        <v>43542</v>
      </c>
      <c r="J635" t="s">
        <v>1044</v>
      </c>
      <c r="K635" s="5">
        <v>0.47847222222222219</v>
      </c>
      <c r="L635" t="s">
        <v>18</v>
      </c>
      <c r="M635">
        <v>14.955</v>
      </c>
      <c r="N635">
        <v>4.7</v>
      </c>
    </row>
    <row r="636" spans="1:14" x14ac:dyDescent="0.25">
      <c r="A636" t="s">
        <v>665</v>
      </c>
      <c r="B636" t="s">
        <v>37</v>
      </c>
      <c r="C636" t="s">
        <v>38</v>
      </c>
      <c r="D636" t="s">
        <v>15</v>
      </c>
      <c r="E636" t="s">
        <v>26</v>
      </c>
      <c r="F636" t="s">
        <v>39</v>
      </c>
      <c r="G636" t="s">
        <v>1037</v>
      </c>
      <c r="H636" t="s">
        <v>1043</v>
      </c>
      <c r="I636" s="1">
        <v>43544</v>
      </c>
      <c r="J636" t="s">
        <v>1046</v>
      </c>
      <c r="K636" s="5">
        <v>0.81111111111111101</v>
      </c>
      <c r="L636" t="s">
        <v>28</v>
      </c>
      <c r="M636">
        <v>11.986499999999999</v>
      </c>
      <c r="N636">
        <v>5</v>
      </c>
    </row>
    <row r="637" spans="1:14" x14ac:dyDescent="0.25">
      <c r="A637" t="s">
        <v>666</v>
      </c>
      <c r="B637" t="s">
        <v>37</v>
      </c>
      <c r="C637" t="s">
        <v>38</v>
      </c>
      <c r="D637" t="s">
        <v>15</v>
      </c>
      <c r="E637" t="s">
        <v>26</v>
      </c>
      <c r="F637" t="s">
        <v>17</v>
      </c>
      <c r="G637" t="s">
        <v>1035</v>
      </c>
      <c r="H637" t="s">
        <v>1041</v>
      </c>
      <c r="I637" s="1">
        <v>43480</v>
      </c>
      <c r="J637" t="s">
        <v>1045</v>
      </c>
      <c r="K637" s="5">
        <v>0.62569444444444444</v>
      </c>
      <c r="L637" t="s">
        <v>28</v>
      </c>
      <c r="M637">
        <v>33.234999999999999</v>
      </c>
      <c r="N637">
        <v>5</v>
      </c>
    </row>
    <row r="638" spans="1:14" x14ac:dyDescent="0.25">
      <c r="A638" t="s">
        <v>667</v>
      </c>
      <c r="B638" t="s">
        <v>13</v>
      </c>
      <c r="C638" t="s">
        <v>14</v>
      </c>
      <c r="D638" t="s">
        <v>22</v>
      </c>
      <c r="E638" t="s">
        <v>26</v>
      </c>
      <c r="F638" t="s">
        <v>17</v>
      </c>
      <c r="G638" t="s">
        <v>1035</v>
      </c>
      <c r="H638" t="s">
        <v>1043</v>
      </c>
      <c r="I638" s="1">
        <v>43527</v>
      </c>
      <c r="J638" t="s">
        <v>1046</v>
      </c>
      <c r="K638" s="5">
        <v>0.85486111111111107</v>
      </c>
      <c r="L638" t="s">
        <v>28</v>
      </c>
      <c r="M638">
        <v>10.1325</v>
      </c>
      <c r="N638">
        <v>6</v>
      </c>
    </row>
    <row r="639" spans="1:14" x14ac:dyDescent="0.25">
      <c r="A639" t="s">
        <v>668</v>
      </c>
      <c r="B639" t="s">
        <v>20</v>
      </c>
      <c r="C639" t="s">
        <v>21</v>
      </c>
      <c r="D639" t="s">
        <v>22</v>
      </c>
      <c r="E639" t="s">
        <v>16</v>
      </c>
      <c r="F639" t="s">
        <v>23</v>
      </c>
      <c r="G639" t="s">
        <v>1037</v>
      </c>
      <c r="H639" t="s">
        <v>1043</v>
      </c>
      <c r="I639" s="1">
        <v>43543</v>
      </c>
      <c r="J639" t="s">
        <v>1045</v>
      </c>
      <c r="K639" s="5">
        <v>0.51111111111111118</v>
      </c>
      <c r="L639" t="s">
        <v>24</v>
      </c>
      <c r="M639">
        <v>2.31</v>
      </c>
      <c r="N639">
        <v>6.3</v>
      </c>
    </row>
    <row r="640" spans="1:14" x14ac:dyDescent="0.25">
      <c r="A640" t="s">
        <v>669</v>
      </c>
      <c r="B640" t="s">
        <v>37</v>
      </c>
      <c r="C640" t="s">
        <v>38</v>
      </c>
      <c r="D640" t="s">
        <v>15</v>
      </c>
      <c r="E640" t="s">
        <v>16</v>
      </c>
      <c r="F640" t="s">
        <v>39</v>
      </c>
      <c r="G640" t="s">
        <v>1035</v>
      </c>
      <c r="H640" t="s">
        <v>1043</v>
      </c>
      <c r="I640" s="1">
        <v>43532</v>
      </c>
      <c r="J640" t="s">
        <v>1045</v>
      </c>
      <c r="K640" s="5">
        <v>0.64374999999999993</v>
      </c>
      <c r="L640" t="s">
        <v>24</v>
      </c>
      <c r="M640">
        <v>4.4074999999999998</v>
      </c>
      <c r="N640">
        <v>8.5</v>
      </c>
    </row>
    <row r="641" spans="1:14" x14ac:dyDescent="0.25">
      <c r="A641" t="s">
        <v>670</v>
      </c>
      <c r="B641" t="s">
        <v>37</v>
      </c>
      <c r="C641" t="s">
        <v>38</v>
      </c>
      <c r="D641" t="s">
        <v>22</v>
      </c>
      <c r="E641" t="s">
        <v>26</v>
      </c>
      <c r="F641" t="s">
        <v>41</v>
      </c>
      <c r="G641" t="s">
        <v>1034</v>
      </c>
      <c r="H641" t="s">
        <v>1042</v>
      </c>
      <c r="I641" s="1">
        <v>43523</v>
      </c>
      <c r="J641" t="s">
        <v>1046</v>
      </c>
      <c r="K641" s="5">
        <v>0.73333333333333339</v>
      </c>
      <c r="L641" t="s">
        <v>18</v>
      </c>
      <c r="M641">
        <v>7.8630000000000004</v>
      </c>
      <c r="N641">
        <v>7.5</v>
      </c>
    </row>
    <row r="642" spans="1:14" x14ac:dyDescent="0.25">
      <c r="A642" t="s">
        <v>671</v>
      </c>
      <c r="B642" t="s">
        <v>37</v>
      </c>
      <c r="C642" t="s">
        <v>38</v>
      </c>
      <c r="D642" t="s">
        <v>15</v>
      </c>
      <c r="E642" t="s">
        <v>16</v>
      </c>
      <c r="F642" t="s">
        <v>39</v>
      </c>
      <c r="G642" t="s">
        <v>1034</v>
      </c>
      <c r="H642" t="s">
        <v>1042</v>
      </c>
      <c r="I642" s="1">
        <v>43519</v>
      </c>
      <c r="J642" t="s">
        <v>1046</v>
      </c>
      <c r="K642" s="5">
        <v>0.83333333333333337</v>
      </c>
      <c r="L642" t="s">
        <v>18</v>
      </c>
      <c r="M642">
        <v>14.8185</v>
      </c>
      <c r="N642">
        <v>6.4</v>
      </c>
    </row>
    <row r="643" spans="1:14" x14ac:dyDescent="0.25">
      <c r="A643" t="s">
        <v>672</v>
      </c>
      <c r="B643" t="s">
        <v>20</v>
      </c>
      <c r="C643" t="s">
        <v>21</v>
      </c>
      <c r="D643" t="s">
        <v>15</v>
      </c>
      <c r="E643" t="s">
        <v>16</v>
      </c>
      <c r="F643" t="s">
        <v>23</v>
      </c>
      <c r="G643" t="s">
        <v>1037</v>
      </c>
      <c r="H643" t="s">
        <v>1043</v>
      </c>
      <c r="I643" s="1">
        <v>43543</v>
      </c>
      <c r="J643" t="s">
        <v>1045</v>
      </c>
      <c r="K643" s="5">
        <v>0.64513888888888882</v>
      </c>
      <c r="L643" t="s">
        <v>18</v>
      </c>
      <c r="M643">
        <v>35.42</v>
      </c>
      <c r="N643">
        <v>4.7</v>
      </c>
    </row>
    <row r="644" spans="1:14" x14ac:dyDescent="0.25">
      <c r="A644" t="s">
        <v>673</v>
      </c>
      <c r="B644" t="s">
        <v>37</v>
      </c>
      <c r="C644" t="s">
        <v>38</v>
      </c>
      <c r="D644" t="s">
        <v>15</v>
      </c>
      <c r="E644" t="s">
        <v>26</v>
      </c>
      <c r="F644" t="s">
        <v>23</v>
      </c>
      <c r="G644" t="s">
        <v>1038</v>
      </c>
      <c r="H644" t="s">
        <v>1043</v>
      </c>
      <c r="I644" s="1">
        <v>43551</v>
      </c>
      <c r="J644" t="s">
        <v>1045</v>
      </c>
      <c r="K644" s="5">
        <v>0.63055555555555554</v>
      </c>
      <c r="L644" t="s">
        <v>18</v>
      </c>
      <c r="M644">
        <v>5.5670000000000002</v>
      </c>
      <c r="N644">
        <v>6</v>
      </c>
    </row>
    <row r="645" spans="1:14" x14ac:dyDescent="0.25">
      <c r="A645" t="s">
        <v>674</v>
      </c>
      <c r="B645" t="s">
        <v>20</v>
      </c>
      <c r="C645" t="s">
        <v>21</v>
      </c>
      <c r="D645" t="s">
        <v>15</v>
      </c>
      <c r="E645" t="s">
        <v>16</v>
      </c>
      <c r="F645" t="s">
        <v>39</v>
      </c>
      <c r="G645" t="s">
        <v>1039</v>
      </c>
      <c r="H645" t="s">
        <v>1043</v>
      </c>
      <c r="I645" s="1">
        <v>43554</v>
      </c>
      <c r="J645" t="s">
        <v>1046</v>
      </c>
      <c r="K645" s="5">
        <v>0.80972222222222223</v>
      </c>
      <c r="L645" t="s">
        <v>28</v>
      </c>
      <c r="M645">
        <v>29.007999999999999</v>
      </c>
      <c r="N645">
        <v>4</v>
      </c>
    </row>
    <row r="646" spans="1:14" x14ac:dyDescent="0.25">
      <c r="A646" t="s">
        <v>675</v>
      </c>
      <c r="B646" t="s">
        <v>20</v>
      </c>
      <c r="C646" t="s">
        <v>21</v>
      </c>
      <c r="D646" t="s">
        <v>15</v>
      </c>
      <c r="E646" t="s">
        <v>26</v>
      </c>
      <c r="F646" t="s">
        <v>23</v>
      </c>
      <c r="G646" t="s">
        <v>1040</v>
      </c>
      <c r="H646" t="s">
        <v>1042</v>
      </c>
      <c r="I646" s="1">
        <v>43512</v>
      </c>
      <c r="J646" t="s">
        <v>1045</v>
      </c>
      <c r="K646" s="5">
        <v>0.66180555555555554</v>
      </c>
      <c r="L646" t="s">
        <v>18</v>
      </c>
      <c r="M646">
        <v>3.0125000000000002</v>
      </c>
      <c r="N646">
        <v>5.5</v>
      </c>
    </row>
    <row r="647" spans="1:14" x14ac:dyDescent="0.25">
      <c r="A647" t="s">
        <v>676</v>
      </c>
      <c r="B647" t="s">
        <v>13</v>
      </c>
      <c r="C647" t="s">
        <v>14</v>
      </c>
      <c r="D647" t="s">
        <v>15</v>
      </c>
      <c r="E647" t="s">
        <v>26</v>
      </c>
      <c r="F647" t="s">
        <v>27</v>
      </c>
      <c r="G647" t="s">
        <v>1035</v>
      </c>
      <c r="H647" t="s">
        <v>1041</v>
      </c>
      <c r="I647" s="1">
        <v>43483</v>
      </c>
      <c r="J647" t="s">
        <v>1046</v>
      </c>
      <c r="K647" s="5">
        <v>0.77986111111111101</v>
      </c>
      <c r="L647" t="s">
        <v>18</v>
      </c>
      <c r="M647">
        <v>8.7119999999999997</v>
      </c>
      <c r="N647">
        <v>8.6999999999999993</v>
      </c>
    </row>
    <row r="648" spans="1:14" x14ac:dyDescent="0.25">
      <c r="A648" t="s">
        <v>677</v>
      </c>
      <c r="B648" t="s">
        <v>20</v>
      </c>
      <c r="C648" t="s">
        <v>21</v>
      </c>
      <c r="D648" t="s">
        <v>22</v>
      </c>
      <c r="E648" t="s">
        <v>26</v>
      </c>
      <c r="F648" t="s">
        <v>17</v>
      </c>
      <c r="G648" t="s">
        <v>1039</v>
      </c>
      <c r="H648" t="s">
        <v>1043</v>
      </c>
      <c r="I648" s="1">
        <v>43554</v>
      </c>
      <c r="J648" t="s">
        <v>1045</v>
      </c>
      <c r="K648" s="5">
        <v>0.62361111111111112</v>
      </c>
      <c r="L648" t="s">
        <v>24</v>
      </c>
      <c r="M648">
        <v>21.062999999999999</v>
      </c>
      <c r="N648">
        <v>7.4</v>
      </c>
    </row>
    <row r="649" spans="1:14" x14ac:dyDescent="0.25">
      <c r="A649" t="s">
        <v>678</v>
      </c>
      <c r="B649" t="s">
        <v>37</v>
      </c>
      <c r="C649" t="s">
        <v>38</v>
      </c>
      <c r="D649" t="s">
        <v>15</v>
      </c>
      <c r="E649" t="s">
        <v>26</v>
      </c>
      <c r="F649" t="s">
        <v>41</v>
      </c>
      <c r="G649" t="s">
        <v>1037</v>
      </c>
      <c r="H649" t="s">
        <v>1043</v>
      </c>
      <c r="I649" s="1">
        <v>43544</v>
      </c>
      <c r="J649" t="s">
        <v>1046</v>
      </c>
      <c r="K649" s="5">
        <v>0.82986111111111116</v>
      </c>
      <c r="L649" t="s">
        <v>24</v>
      </c>
      <c r="M649">
        <v>1.6815</v>
      </c>
      <c r="N649">
        <v>5.6</v>
      </c>
    </row>
    <row r="650" spans="1:14" x14ac:dyDescent="0.25">
      <c r="A650" t="s">
        <v>679</v>
      </c>
      <c r="B650" t="s">
        <v>20</v>
      </c>
      <c r="C650" t="s">
        <v>21</v>
      </c>
      <c r="D650" t="s">
        <v>15</v>
      </c>
      <c r="E650" t="s">
        <v>16</v>
      </c>
      <c r="F650" t="s">
        <v>31</v>
      </c>
      <c r="G650" t="s">
        <v>1035</v>
      </c>
      <c r="H650" t="s">
        <v>1041</v>
      </c>
      <c r="I650" s="1">
        <v>43481</v>
      </c>
      <c r="J650" t="s">
        <v>1045</v>
      </c>
      <c r="K650" s="5">
        <v>0.63194444444444442</v>
      </c>
      <c r="L650" t="s">
        <v>24</v>
      </c>
      <c r="M650">
        <v>1.5489999999999999</v>
      </c>
      <c r="N650">
        <v>6.3</v>
      </c>
    </row>
    <row r="651" spans="1:14" x14ac:dyDescent="0.25">
      <c r="A651" t="s">
        <v>680</v>
      </c>
      <c r="B651" t="s">
        <v>20</v>
      </c>
      <c r="C651" t="s">
        <v>21</v>
      </c>
      <c r="D651" t="s">
        <v>22</v>
      </c>
      <c r="E651" t="s">
        <v>26</v>
      </c>
      <c r="F651" t="s">
        <v>23</v>
      </c>
      <c r="G651" t="s">
        <v>1034</v>
      </c>
      <c r="H651" t="s">
        <v>1042</v>
      </c>
      <c r="I651" s="1">
        <v>43520</v>
      </c>
      <c r="J651" t="s">
        <v>1046</v>
      </c>
      <c r="K651" s="5">
        <v>0.6972222222222223</v>
      </c>
      <c r="L651" t="s">
        <v>24</v>
      </c>
      <c r="M651">
        <v>12.37</v>
      </c>
      <c r="N651">
        <v>7.1</v>
      </c>
    </row>
    <row r="652" spans="1:14" x14ac:dyDescent="0.25">
      <c r="A652" t="s">
        <v>681</v>
      </c>
      <c r="B652" t="s">
        <v>37</v>
      </c>
      <c r="C652" t="s">
        <v>38</v>
      </c>
      <c r="D652" t="s">
        <v>22</v>
      </c>
      <c r="E652" t="s">
        <v>26</v>
      </c>
      <c r="F652" t="s">
        <v>23</v>
      </c>
      <c r="G652" t="s">
        <v>1035</v>
      </c>
      <c r="H652" t="s">
        <v>1041</v>
      </c>
      <c r="I652" s="1">
        <v>43480</v>
      </c>
      <c r="J652" t="s">
        <v>1046</v>
      </c>
      <c r="K652" s="5">
        <v>0.76527777777777783</v>
      </c>
      <c r="L652" t="s">
        <v>18</v>
      </c>
      <c r="M652">
        <v>18.914999999999999</v>
      </c>
      <c r="N652">
        <v>7.8</v>
      </c>
    </row>
    <row r="653" spans="1:14" x14ac:dyDescent="0.25">
      <c r="A653" t="s">
        <v>682</v>
      </c>
      <c r="B653" t="s">
        <v>37</v>
      </c>
      <c r="C653" t="s">
        <v>38</v>
      </c>
      <c r="D653" t="s">
        <v>22</v>
      </c>
      <c r="E653" t="s">
        <v>16</v>
      </c>
      <c r="F653" t="s">
        <v>17</v>
      </c>
      <c r="G653" t="s">
        <v>1036</v>
      </c>
      <c r="H653" t="s">
        <v>1041</v>
      </c>
      <c r="I653" s="1">
        <v>43487</v>
      </c>
      <c r="J653" t="s">
        <v>1044</v>
      </c>
      <c r="K653" s="5">
        <v>0.49444444444444446</v>
      </c>
      <c r="L653" t="s">
        <v>24</v>
      </c>
      <c r="M653">
        <v>16.742999999999999</v>
      </c>
      <c r="N653">
        <v>9.9</v>
      </c>
    </row>
    <row r="654" spans="1:14" x14ac:dyDescent="0.25">
      <c r="A654" t="s">
        <v>683</v>
      </c>
      <c r="B654" t="s">
        <v>13</v>
      </c>
      <c r="C654" t="s">
        <v>14</v>
      </c>
      <c r="D654" t="s">
        <v>15</v>
      </c>
      <c r="E654" t="s">
        <v>26</v>
      </c>
      <c r="F654" t="s">
        <v>27</v>
      </c>
      <c r="G654" t="s">
        <v>1038</v>
      </c>
      <c r="H654" t="s">
        <v>1042</v>
      </c>
      <c r="I654" s="1">
        <v>43499</v>
      </c>
      <c r="J654" t="s">
        <v>1046</v>
      </c>
      <c r="K654" s="5">
        <v>0.72499999999999998</v>
      </c>
      <c r="L654" t="s">
        <v>24</v>
      </c>
      <c r="M654">
        <v>36.39</v>
      </c>
      <c r="N654">
        <v>7.3</v>
      </c>
    </row>
    <row r="655" spans="1:14" x14ac:dyDescent="0.25">
      <c r="A655" t="s">
        <v>684</v>
      </c>
      <c r="B655" t="s">
        <v>37</v>
      </c>
      <c r="C655" t="s">
        <v>38</v>
      </c>
      <c r="D655" t="s">
        <v>15</v>
      </c>
      <c r="E655" t="s">
        <v>26</v>
      </c>
      <c r="F655" t="s">
        <v>31</v>
      </c>
      <c r="G655" t="s">
        <v>1035</v>
      </c>
      <c r="H655" t="s">
        <v>1043</v>
      </c>
      <c r="I655" s="1">
        <v>43530</v>
      </c>
      <c r="J655" t="s">
        <v>1045</v>
      </c>
      <c r="K655" s="5">
        <v>0.64652777777777781</v>
      </c>
      <c r="L655" t="s">
        <v>18</v>
      </c>
      <c r="M655">
        <v>16.794</v>
      </c>
      <c r="N655">
        <v>5.0999999999999996</v>
      </c>
    </row>
    <row r="656" spans="1:14" x14ac:dyDescent="0.25">
      <c r="A656" t="s">
        <v>685</v>
      </c>
      <c r="B656" t="s">
        <v>37</v>
      </c>
      <c r="C656" t="s">
        <v>38</v>
      </c>
      <c r="D656" t="s">
        <v>15</v>
      </c>
      <c r="E656" t="s">
        <v>26</v>
      </c>
      <c r="F656" t="s">
        <v>41</v>
      </c>
      <c r="G656" t="s">
        <v>1040</v>
      </c>
      <c r="H656" t="s">
        <v>1042</v>
      </c>
      <c r="I656" s="1">
        <v>43512</v>
      </c>
      <c r="J656" t="s">
        <v>1046</v>
      </c>
      <c r="K656" s="5">
        <v>0.75277777777777777</v>
      </c>
      <c r="L656" t="s">
        <v>28</v>
      </c>
      <c r="M656">
        <v>12.036</v>
      </c>
      <c r="N656">
        <v>9.4</v>
      </c>
    </row>
    <row r="657" spans="1:14" x14ac:dyDescent="0.25">
      <c r="A657" t="s">
        <v>686</v>
      </c>
      <c r="B657" t="s">
        <v>13</v>
      </c>
      <c r="C657" t="s">
        <v>14</v>
      </c>
      <c r="D657" t="s">
        <v>22</v>
      </c>
      <c r="E657" t="s">
        <v>16</v>
      </c>
      <c r="F657" t="s">
        <v>23</v>
      </c>
      <c r="G657" t="s">
        <v>1036</v>
      </c>
      <c r="H657" t="s">
        <v>1043</v>
      </c>
      <c r="I657" s="1">
        <v>43538</v>
      </c>
      <c r="J657" t="s">
        <v>1045</v>
      </c>
      <c r="K657" s="5">
        <v>0.59236111111111112</v>
      </c>
      <c r="L657" t="s">
        <v>28</v>
      </c>
      <c r="M657">
        <v>2.3534999999999999</v>
      </c>
      <c r="N657">
        <v>5.8</v>
      </c>
    </row>
    <row r="658" spans="1:14" x14ac:dyDescent="0.25">
      <c r="A658" t="s">
        <v>687</v>
      </c>
      <c r="B658" t="s">
        <v>20</v>
      </c>
      <c r="C658" t="s">
        <v>21</v>
      </c>
      <c r="D658" t="s">
        <v>22</v>
      </c>
      <c r="E658" t="s">
        <v>16</v>
      </c>
      <c r="F658" t="s">
        <v>23</v>
      </c>
      <c r="G658" t="s">
        <v>1034</v>
      </c>
      <c r="H658" t="s">
        <v>1042</v>
      </c>
      <c r="I658" s="1">
        <v>43523</v>
      </c>
      <c r="J658" t="s">
        <v>1044</v>
      </c>
      <c r="K658" s="5">
        <v>0.43263888888888885</v>
      </c>
      <c r="L658" t="s">
        <v>28</v>
      </c>
      <c r="M658">
        <v>4.9844999999999997</v>
      </c>
      <c r="N658">
        <v>8</v>
      </c>
    </row>
    <row r="659" spans="1:14" x14ac:dyDescent="0.25">
      <c r="A659" t="s">
        <v>688</v>
      </c>
      <c r="B659" t="s">
        <v>13</v>
      </c>
      <c r="C659" t="s">
        <v>14</v>
      </c>
      <c r="D659" t="s">
        <v>15</v>
      </c>
      <c r="E659" t="s">
        <v>16</v>
      </c>
      <c r="F659" t="s">
        <v>41</v>
      </c>
      <c r="G659" t="s">
        <v>1035</v>
      </c>
      <c r="H659" t="s">
        <v>1041</v>
      </c>
      <c r="I659" s="1">
        <v>43483</v>
      </c>
      <c r="J659" t="s">
        <v>1044</v>
      </c>
      <c r="K659" s="5">
        <v>0.42430555555555555</v>
      </c>
      <c r="L659" t="s">
        <v>18</v>
      </c>
      <c r="M659">
        <v>13.2225</v>
      </c>
      <c r="N659">
        <v>7.9</v>
      </c>
    </row>
    <row r="660" spans="1:14" x14ac:dyDescent="0.25">
      <c r="A660" t="s">
        <v>689</v>
      </c>
      <c r="B660" t="s">
        <v>13</v>
      </c>
      <c r="C660" t="s">
        <v>14</v>
      </c>
      <c r="D660" t="s">
        <v>15</v>
      </c>
      <c r="E660" t="s">
        <v>16</v>
      </c>
      <c r="F660" t="s">
        <v>31</v>
      </c>
      <c r="G660" t="s">
        <v>1037</v>
      </c>
      <c r="H660" t="s">
        <v>1041</v>
      </c>
      <c r="I660" s="1">
        <v>43494</v>
      </c>
      <c r="J660" t="s">
        <v>1045</v>
      </c>
      <c r="K660" s="5">
        <v>0.65833333333333333</v>
      </c>
      <c r="L660" t="s">
        <v>24</v>
      </c>
      <c r="M660">
        <v>6.9824999999999999</v>
      </c>
      <c r="N660">
        <v>5.9</v>
      </c>
    </row>
    <row r="661" spans="1:14" x14ac:dyDescent="0.25">
      <c r="A661" t="s">
        <v>690</v>
      </c>
      <c r="B661" t="s">
        <v>13</v>
      </c>
      <c r="C661" t="s">
        <v>14</v>
      </c>
      <c r="D661" t="s">
        <v>15</v>
      </c>
      <c r="E661" t="s">
        <v>26</v>
      </c>
      <c r="F661" t="s">
        <v>41</v>
      </c>
      <c r="G661" t="s">
        <v>1034</v>
      </c>
      <c r="H661" t="s">
        <v>1042</v>
      </c>
      <c r="I661" s="1">
        <v>43522</v>
      </c>
      <c r="J661" t="s">
        <v>1046</v>
      </c>
      <c r="K661" s="5">
        <v>0.7402777777777777</v>
      </c>
      <c r="L661" t="s">
        <v>28</v>
      </c>
      <c r="M661">
        <v>2.7725</v>
      </c>
      <c r="N661">
        <v>4.9000000000000004</v>
      </c>
    </row>
    <row r="662" spans="1:14" x14ac:dyDescent="0.25">
      <c r="A662" t="s">
        <v>691</v>
      </c>
      <c r="B662" t="s">
        <v>37</v>
      </c>
      <c r="C662" t="s">
        <v>38</v>
      </c>
      <c r="D662" t="s">
        <v>22</v>
      </c>
      <c r="E662" t="s">
        <v>16</v>
      </c>
      <c r="F662" t="s">
        <v>31</v>
      </c>
      <c r="G662" t="s">
        <v>1038</v>
      </c>
      <c r="H662" t="s">
        <v>1042</v>
      </c>
      <c r="I662" s="1">
        <v>43499</v>
      </c>
      <c r="J662" t="s">
        <v>1044</v>
      </c>
      <c r="K662" s="5">
        <v>0.49027777777777781</v>
      </c>
      <c r="L662" t="s">
        <v>24</v>
      </c>
      <c r="M662">
        <v>6.4455</v>
      </c>
      <c r="N662">
        <v>9.3000000000000007</v>
      </c>
    </row>
    <row r="663" spans="1:14" x14ac:dyDescent="0.25">
      <c r="A663" t="s">
        <v>692</v>
      </c>
      <c r="B663" t="s">
        <v>20</v>
      </c>
      <c r="C663" t="s">
        <v>21</v>
      </c>
      <c r="D663" t="s">
        <v>15</v>
      </c>
      <c r="E663" t="s">
        <v>26</v>
      </c>
      <c r="F663" t="s">
        <v>31</v>
      </c>
      <c r="G663" t="s">
        <v>1035</v>
      </c>
      <c r="H663" t="s">
        <v>1041</v>
      </c>
      <c r="I663" s="1">
        <v>43481</v>
      </c>
      <c r="J663" t="s">
        <v>1045</v>
      </c>
      <c r="K663" s="5">
        <v>0.50486111111111109</v>
      </c>
      <c r="L663" t="s">
        <v>28</v>
      </c>
      <c r="M663">
        <v>5.9989999999999997</v>
      </c>
      <c r="N663">
        <v>7.9</v>
      </c>
    </row>
    <row r="664" spans="1:14" x14ac:dyDescent="0.25">
      <c r="A664" t="s">
        <v>693</v>
      </c>
      <c r="B664" t="s">
        <v>37</v>
      </c>
      <c r="C664" t="s">
        <v>38</v>
      </c>
      <c r="D664" t="s">
        <v>15</v>
      </c>
      <c r="E664" t="s">
        <v>16</v>
      </c>
      <c r="F664" t="s">
        <v>41</v>
      </c>
      <c r="G664" t="s">
        <v>1038</v>
      </c>
      <c r="H664" t="s">
        <v>1043</v>
      </c>
      <c r="I664" s="1">
        <v>43548</v>
      </c>
      <c r="J664" t="s">
        <v>1046</v>
      </c>
      <c r="K664" s="5">
        <v>0.7597222222222223</v>
      </c>
      <c r="L664" t="s">
        <v>28</v>
      </c>
      <c r="M664">
        <v>17.625</v>
      </c>
      <c r="N664">
        <v>5.9</v>
      </c>
    </row>
    <row r="665" spans="1:14" x14ac:dyDescent="0.25">
      <c r="A665" t="s">
        <v>694</v>
      </c>
      <c r="B665" t="s">
        <v>20</v>
      </c>
      <c r="C665" t="s">
        <v>21</v>
      </c>
      <c r="D665" t="s">
        <v>15</v>
      </c>
      <c r="E665" t="s">
        <v>16</v>
      </c>
      <c r="F665" t="s">
        <v>39</v>
      </c>
      <c r="G665" t="s">
        <v>1039</v>
      </c>
      <c r="H665" t="s">
        <v>1042</v>
      </c>
      <c r="I665" s="1">
        <v>43508</v>
      </c>
      <c r="J665" t="s">
        <v>1045</v>
      </c>
      <c r="K665" s="5">
        <v>0.61458333333333337</v>
      </c>
      <c r="L665" t="s">
        <v>28</v>
      </c>
      <c r="M665">
        <v>43.55</v>
      </c>
      <c r="N665">
        <v>9.9</v>
      </c>
    </row>
    <row r="666" spans="1:14" x14ac:dyDescent="0.25">
      <c r="A666" t="s">
        <v>695</v>
      </c>
      <c r="B666" t="s">
        <v>20</v>
      </c>
      <c r="C666" t="s">
        <v>21</v>
      </c>
      <c r="D666" t="s">
        <v>22</v>
      </c>
      <c r="E666" t="s">
        <v>16</v>
      </c>
      <c r="F666" t="s">
        <v>31</v>
      </c>
      <c r="G666" t="s">
        <v>1040</v>
      </c>
      <c r="H666" t="s">
        <v>1042</v>
      </c>
      <c r="I666" s="1">
        <v>43517</v>
      </c>
      <c r="J666" t="s">
        <v>1044</v>
      </c>
      <c r="K666" s="5">
        <v>0.48541666666666666</v>
      </c>
      <c r="L666" t="s">
        <v>24</v>
      </c>
      <c r="M666">
        <v>9.8800000000000008</v>
      </c>
      <c r="N666">
        <v>7.7</v>
      </c>
    </row>
    <row r="667" spans="1:14" x14ac:dyDescent="0.25">
      <c r="A667" t="s">
        <v>696</v>
      </c>
      <c r="B667" t="s">
        <v>13</v>
      </c>
      <c r="C667" t="s">
        <v>14</v>
      </c>
      <c r="D667" t="s">
        <v>22</v>
      </c>
      <c r="E667" t="s">
        <v>16</v>
      </c>
      <c r="F667" t="s">
        <v>41</v>
      </c>
      <c r="G667" t="s">
        <v>1038</v>
      </c>
      <c r="H667" t="s">
        <v>1042</v>
      </c>
      <c r="I667" s="1">
        <v>43500</v>
      </c>
      <c r="J667" t="s">
        <v>1045</v>
      </c>
      <c r="K667" s="5">
        <v>0.65555555555555556</v>
      </c>
      <c r="L667" t="s">
        <v>18</v>
      </c>
      <c r="M667">
        <v>9.7260000000000009</v>
      </c>
      <c r="N667">
        <v>7.6</v>
      </c>
    </row>
    <row r="668" spans="1:14" x14ac:dyDescent="0.25">
      <c r="A668" t="s">
        <v>697</v>
      </c>
      <c r="B668" t="s">
        <v>37</v>
      </c>
      <c r="C668" t="s">
        <v>38</v>
      </c>
      <c r="D668" t="s">
        <v>15</v>
      </c>
      <c r="E668" t="s">
        <v>26</v>
      </c>
      <c r="F668" t="s">
        <v>39</v>
      </c>
      <c r="G668" t="s">
        <v>1040</v>
      </c>
      <c r="H668" t="s">
        <v>1042</v>
      </c>
      <c r="I668" s="1">
        <v>43516</v>
      </c>
      <c r="J668" t="s">
        <v>1045</v>
      </c>
      <c r="K668" s="5">
        <v>0.54583333333333328</v>
      </c>
      <c r="L668" t="s">
        <v>18</v>
      </c>
      <c r="M668">
        <v>8.6609999999999996</v>
      </c>
      <c r="N668">
        <v>7.7</v>
      </c>
    </row>
    <row r="669" spans="1:14" x14ac:dyDescent="0.25">
      <c r="A669" t="s">
        <v>698</v>
      </c>
      <c r="B669" t="s">
        <v>37</v>
      </c>
      <c r="C669" t="s">
        <v>38</v>
      </c>
      <c r="D669" t="s">
        <v>22</v>
      </c>
      <c r="E669" t="s">
        <v>16</v>
      </c>
      <c r="F669" t="s">
        <v>17</v>
      </c>
      <c r="G669" t="s">
        <v>1034</v>
      </c>
      <c r="H669" t="s">
        <v>1042</v>
      </c>
      <c r="I669" s="1">
        <v>43519</v>
      </c>
      <c r="J669" t="s">
        <v>1046</v>
      </c>
      <c r="K669" s="5">
        <v>0.86319444444444438</v>
      </c>
      <c r="L669" t="s">
        <v>18</v>
      </c>
      <c r="M669">
        <v>3.5939999999999999</v>
      </c>
      <c r="N669">
        <v>6.4</v>
      </c>
    </row>
    <row r="670" spans="1:14" x14ac:dyDescent="0.25">
      <c r="A670" t="s">
        <v>699</v>
      </c>
      <c r="B670" t="s">
        <v>20</v>
      </c>
      <c r="C670" t="s">
        <v>21</v>
      </c>
      <c r="D670" t="s">
        <v>15</v>
      </c>
      <c r="E670" t="s">
        <v>16</v>
      </c>
      <c r="F670" t="s">
        <v>17</v>
      </c>
      <c r="G670" t="s">
        <v>1040</v>
      </c>
      <c r="H670" t="s">
        <v>1042</v>
      </c>
      <c r="I670" s="1">
        <v>43512</v>
      </c>
      <c r="J670" t="s">
        <v>1045</v>
      </c>
      <c r="K670" s="5">
        <v>0.59652777777777777</v>
      </c>
      <c r="L670" t="s">
        <v>18</v>
      </c>
      <c r="M670">
        <v>14.313000000000001</v>
      </c>
      <c r="N670">
        <v>4.4000000000000004</v>
      </c>
    </row>
    <row r="671" spans="1:14" x14ac:dyDescent="0.25">
      <c r="A671" t="s">
        <v>700</v>
      </c>
      <c r="B671" t="s">
        <v>37</v>
      </c>
      <c r="C671" t="s">
        <v>38</v>
      </c>
      <c r="D671" t="s">
        <v>22</v>
      </c>
      <c r="E671" t="s">
        <v>16</v>
      </c>
      <c r="F671" t="s">
        <v>31</v>
      </c>
      <c r="G671" t="s">
        <v>1035</v>
      </c>
      <c r="H671" t="s">
        <v>1041</v>
      </c>
      <c r="I671" s="1">
        <v>43482</v>
      </c>
      <c r="J671" t="s">
        <v>1044</v>
      </c>
      <c r="K671" s="5">
        <v>0.41736111111111113</v>
      </c>
      <c r="L671" t="s">
        <v>28</v>
      </c>
      <c r="M671">
        <v>4.0620000000000003</v>
      </c>
      <c r="N671">
        <v>4.0999999999999996</v>
      </c>
    </row>
    <row r="672" spans="1:14" x14ac:dyDescent="0.25">
      <c r="A672" t="s">
        <v>701</v>
      </c>
      <c r="B672" t="s">
        <v>13</v>
      </c>
      <c r="C672" t="s">
        <v>14</v>
      </c>
      <c r="D672" t="s">
        <v>15</v>
      </c>
      <c r="E672" t="s">
        <v>26</v>
      </c>
      <c r="F672" t="s">
        <v>41</v>
      </c>
      <c r="G672" t="s">
        <v>1035</v>
      </c>
      <c r="H672" t="s">
        <v>1041</v>
      </c>
      <c r="I672" s="1">
        <v>43479</v>
      </c>
      <c r="J672" t="s">
        <v>1046</v>
      </c>
      <c r="K672" s="5">
        <v>0.8125</v>
      </c>
      <c r="L672" t="s">
        <v>18</v>
      </c>
      <c r="M672">
        <v>28.02</v>
      </c>
      <c r="N672">
        <v>4.4000000000000004</v>
      </c>
    </row>
    <row r="673" spans="1:14" x14ac:dyDescent="0.25">
      <c r="A673" t="s">
        <v>702</v>
      </c>
      <c r="B673" t="s">
        <v>37</v>
      </c>
      <c r="C673" t="s">
        <v>38</v>
      </c>
      <c r="D673" t="s">
        <v>15</v>
      </c>
      <c r="E673" t="s">
        <v>26</v>
      </c>
      <c r="F673" t="s">
        <v>39</v>
      </c>
      <c r="G673" t="s">
        <v>1039</v>
      </c>
      <c r="H673" t="s">
        <v>1043</v>
      </c>
      <c r="I673" s="1">
        <v>43554</v>
      </c>
      <c r="J673" t="s">
        <v>1046</v>
      </c>
      <c r="K673" s="5">
        <v>0.69027777777777777</v>
      </c>
      <c r="L673" t="s">
        <v>24</v>
      </c>
      <c r="M673">
        <v>9.34</v>
      </c>
      <c r="N673">
        <v>5.5</v>
      </c>
    </row>
    <row r="674" spans="1:14" x14ac:dyDescent="0.25">
      <c r="A674" t="s">
        <v>703</v>
      </c>
      <c r="B674" t="s">
        <v>37</v>
      </c>
      <c r="C674" t="s">
        <v>38</v>
      </c>
      <c r="D674" t="s">
        <v>22</v>
      </c>
      <c r="E674" t="s">
        <v>16</v>
      </c>
      <c r="F674" t="s">
        <v>17</v>
      </c>
      <c r="G674" t="s">
        <v>1035</v>
      </c>
      <c r="H674" t="s">
        <v>1043</v>
      </c>
      <c r="I674" s="1">
        <v>43526</v>
      </c>
      <c r="J674" t="s">
        <v>1045</v>
      </c>
      <c r="K674" s="5">
        <v>0.54861111111111105</v>
      </c>
      <c r="L674" t="s">
        <v>18</v>
      </c>
      <c r="M674">
        <v>11.0115</v>
      </c>
      <c r="N674">
        <v>4</v>
      </c>
    </row>
    <row r="675" spans="1:14" x14ac:dyDescent="0.25">
      <c r="A675" t="s">
        <v>704</v>
      </c>
      <c r="B675" t="s">
        <v>20</v>
      </c>
      <c r="C675" t="s">
        <v>21</v>
      </c>
      <c r="D675" t="s">
        <v>22</v>
      </c>
      <c r="E675" t="s">
        <v>26</v>
      </c>
      <c r="F675" t="s">
        <v>17</v>
      </c>
      <c r="G675" t="s">
        <v>1039</v>
      </c>
      <c r="H675" t="s">
        <v>1042</v>
      </c>
      <c r="I675" s="1">
        <v>43511</v>
      </c>
      <c r="J675" t="s">
        <v>1046</v>
      </c>
      <c r="K675" s="5">
        <v>0.71527777777777779</v>
      </c>
      <c r="L675" t="s">
        <v>28</v>
      </c>
      <c r="M675">
        <v>13.456</v>
      </c>
      <c r="N675">
        <v>9.3000000000000007</v>
      </c>
    </row>
    <row r="676" spans="1:14" x14ac:dyDescent="0.25">
      <c r="A676" t="s">
        <v>705</v>
      </c>
      <c r="B676" t="s">
        <v>13</v>
      </c>
      <c r="C676" t="s">
        <v>14</v>
      </c>
      <c r="D676" t="s">
        <v>22</v>
      </c>
      <c r="E676" t="s">
        <v>16</v>
      </c>
      <c r="F676" t="s">
        <v>23</v>
      </c>
      <c r="G676" t="s">
        <v>1034</v>
      </c>
      <c r="H676" t="s">
        <v>1043</v>
      </c>
      <c r="I676" s="1">
        <v>43525</v>
      </c>
      <c r="J676" t="s">
        <v>1044</v>
      </c>
      <c r="K676" s="5">
        <v>0.43194444444444446</v>
      </c>
      <c r="L676" t="s">
        <v>28</v>
      </c>
      <c r="M676">
        <v>22.74</v>
      </c>
      <c r="N676">
        <v>4.8</v>
      </c>
    </row>
    <row r="677" spans="1:14" x14ac:dyDescent="0.25">
      <c r="A677" t="s">
        <v>706</v>
      </c>
      <c r="B677" t="s">
        <v>37</v>
      </c>
      <c r="C677" t="s">
        <v>38</v>
      </c>
      <c r="D677" t="s">
        <v>15</v>
      </c>
      <c r="E677" t="s">
        <v>26</v>
      </c>
      <c r="F677" t="s">
        <v>41</v>
      </c>
      <c r="G677" t="s">
        <v>1034</v>
      </c>
      <c r="H677" t="s">
        <v>1042</v>
      </c>
      <c r="I677" s="1">
        <v>43520</v>
      </c>
      <c r="J677" t="s">
        <v>1046</v>
      </c>
      <c r="K677" s="5">
        <v>0.83124999999999993</v>
      </c>
      <c r="L677" t="s">
        <v>24</v>
      </c>
      <c r="M677">
        <v>8.3770000000000007</v>
      </c>
      <c r="N677">
        <v>4.5999999999999996</v>
      </c>
    </row>
    <row r="678" spans="1:14" x14ac:dyDescent="0.25">
      <c r="A678" t="s">
        <v>707</v>
      </c>
      <c r="B678" t="s">
        <v>37</v>
      </c>
      <c r="C678" t="s">
        <v>38</v>
      </c>
      <c r="D678" t="s">
        <v>15</v>
      </c>
      <c r="E678" t="s">
        <v>16</v>
      </c>
      <c r="F678" t="s">
        <v>31</v>
      </c>
      <c r="G678" t="s">
        <v>1040</v>
      </c>
      <c r="H678" t="s">
        <v>1042</v>
      </c>
      <c r="I678" s="1">
        <v>43515</v>
      </c>
      <c r="J678" t="s">
        <v>1046</v>
      </c>
      <c r="K678" s="5">
        <v>0.81180555555555556</v>
      </c>
      <c r="L678" t="s">
        <v>28</v>
      </c>
      <c r="M678">
        <v>22.428000000000001</v>
      </c>
      <c r="N678">
        <v>7.3</v>
      </c>
    </row>
    <row r="679" spans="1:14" x14ac:dyDescent="0.25">
      <c r="A679" t="s">
        <v>708</v>
      </c>
      <c r="B679" t="s">
        <v>13</v>
      </c>
      <c r="C679" t="s">
        <v>14</v>
      </c>
      <c r="D679" t="s">
        <v>15</v>
      </c>
      <c r="E679" t="s">
        <v>16</v>
      </c>
      <c r="F679" t="s">
        <v>39</v>
      </c>
      <c r="G679" t="s">
        <v>1034</v>
      </c>
      <c r="H679" t="s">
        <v>1042</v>
      </c>
      <c r="I679" s="1">
        <v>43519</v>
      </c>
      <c r="J679" t="s">
        <v>1046</v>
      </c>
      <c r="K679" s="5">
        <v>0.77083333333333337</v>
      </c>
      <c r="L679" t="s">
        <v>24</v>
      </c>
      <c r="M679">
        <v>14.694000000000001</v>
      </c>
      <c r="N679">
        <v>6</v>
      </c>
    </row>
    <row r="680" spans="1:14" x14ac:dyDescent="0.25">
      <c r="A680" t="s">
        <v>709</v>
      </c>
      <c r="B680" t="s">
        <v>20</v>
      </c>
      <c r="C680" t="s">
        <v>21</v>
      </c>
      <c r="D680" t="s">
        <v>22</v>
      </c>
      <c r="E680" t="s">
        <v>26</v>
      </c>
      <c r="F680" t="s">
        <v>17</v>
      </c>
      <c r="G680" t="s">
        <v>1038</v>
      </c>
      <c r="H680" t="s">
        <v>1042</v>
      </c>
      <c r="I680" s="1">
        <v>43503</v>
      </c>
      <c r="J680" t="s">
        <v>1045</v>
      </c>
      <c r="K680" s="5">
        <v>0.6020833333333333</v>
      </c>
      <c r="L680" t="s">
        <v>18</v>
      </c>
      <c r="M680">
        <v>29.475000000000001</v>
      </c>
      <c r="N680">
        <v>8.1</v>
      </c>
    </row>
    <row r="681" spans="1:14" x14ac:dyDescent="0.25">
      <c r="A681" t="s">
        <v>710</v>
      </c>
      <c r="B681" t="s">
        <v>13</v>
      </c>
      <c r="C681" t="s">
        <v>14</v>
      </c>
      <c r="D681" t="s">
        <v>15</v>
      </c>
      <c r="E681" t="s">
        <v>26</v>
      </c>
      <c r="F681" t="s">
        <v>39</v>
      </c>
      <c r="G681" t="s">
        <v>1034</v>
      </c>
      <c r="H681" t="s">
        <v>1041</v>
      </c>
      <c r="I681" s="1">
        <v>43476</v>
      </c>
      <c r="J681" t="s">
        <v>1045</v>
      </c>
      <c r="K681" s="5">
        <v>0.58124999999999993</v>
      </c>
      <c r="L681" t="s">
        <v>18</v>
      </c>
      <c r="M681">
        <v>14.55</v>
      </c>
      <c r="N681">
        <v>9.4</v>
      </c>
    </row>
    <row r="682" spans="1:14" x14ac:dyDescent="0.25">
      <c r="A682" t="s">
        <v>711</v>
      </c>
      <c r="B682" t="s">
        <v>37</v>
      </c>
      <c r="C682" t="s">
        <v>38</v>
      </c>
      <c r="D682" t="s">
        <v>15</v>
      </c>
      <c r="E682" t="s">
        <v>16</v>
      </c>
      <c r="F682" t="s">
        <v>23</v>
      </c>
      <c r="G682" t="s">
        <v>1039</v>
      </c>
      <c r="H682" t="s">
        <v>1042</v>
      </c>
      <c r="I682" s="1">
        <v>43508</v>
      </c>
      <c r="J682" t="s">
        <v>1046</v>
      </c>
      <c r="K682" s="5">
        <v>0.82152777777777775</v>
      </c>
      <c r="L682" t="s">
        <v>24</v>
      </c>
      <c r="M682">
        <v>1.974</v>
      </c>
      <c r="N682">
        <v>6.5</v>
      </c>
    </row>
    <row r="683" spans="1:14" x14ac:dyDescent="0.25">
      <c r="A683" t="s">
        <v>712</v>
      </c>
      <c r="B683" t="s">
        <v>37</v>
      </c>
      <c r="C683" t="s">
        <v>38</v>
      </c>
      <c r="D683" t="s">
        <v>22</v>
      </c>
      <c r="E683" t="s">
        <v>16</v>
      </c>
      <c r="F683" t="s">
        <v>31</v>
      </c>
      <c r="G683" t="s">
        <v>1035</v>
      </c>
      <c r="H683" t="s">
        <v>1041</v>
      </c>
      <c r="I683" s="1">
        <v>43479</v>
      </c>
      <c r="J683" t="s">
        <v>1044</v>
      </c>
      <c r="K683" s="5">
        <v>0.42430555555555555</v>
      </c>
      <c r="L683" t="s">
        <v>28</v>
      </c>
      <c r="M683">
        <v>1.7404999999999999</v>
      </c>
      <c r="N683">
        <v>7</v>
      </c>
    </row>
    <row r="684" spans="1:14" x14ac:dyDescent="0.25">
      <c r="A684" t="s">
        <v>713</v>
      </c>
      <c r="B684" t="s">
        <v>20</v>
      </c>
      <c r="C684" t="s">
        <v>21</v>
      </c>
      <c r="D684" t="s">
        <v>22</v>
      </c>
      <c r="E684" t="s">
        <v>16</v>
      </c>
      <c r="F684" t="s">
        <v>41</v>
      </c>
      <c r="G684" t="s">
        <v>1034</v>
      </c>
      <c r="H684" t="s">
        <v>1041</v>
      </c>
      <c r="I684" s="1">
        <v>43474</v>
      </c>
      <c r="J684" t="s">
        <v>1045</v>
      </c>
      <c r="K684" s="5">
        <v>0.57361111111111118</v>
      </c>
      <c r="L684" t="s">
        <v>18</v>
      </c>
      <c r="M684">
        <v>14.795999999999999</v>
      </c>
      <c r="N684">
        <v>7.1</v>
      </c>
    </row>
    <row r="685" spans="1:14" x14ac:dyDescent="0.25">
      <c r="A685" t="s">
        <v>714</v>
      </c>
      <c r="B685" t="s">
        <v>13</v>
      </c>
      <c r="C685" t="s">
        <v>14</v>
      </c>
      <c r="D685" t="s">
        <v>15</v>
      </c>
      <c r="E685" t="s">
        <v>26</v>
      </c>
      <c r="F685" t="s">
        <v>41</v>
      </c>
      <c r="G685" t="s">
        <v>1034</v>
      </c>
      <c r="H685" t="s">
        <v>1042</v>
      </c>
      <c r="I685" s="1">
        <v>43523</v>
      </c>
      <c r="J685" t="s">
        <v>1045</v>
      </c>
      <c r="K685" s="5">
        <v>0.51527777777777783</v>
      </c>
      <c r="L685" t="s">
        <v>18</v>
      </c>
      <c r="M685">
        <v>2.1480000000000001</v>
      </c>
      <c r="N685">
        <v>6.6</v>
      </c>
    </row>
    <row r="686" spans="1:14" x14ac:dyDescent="0.25">
      <c r="A686" t="s">
        <v>715</v>
      </c>
      <c r="B686" t="s">
        <v>37</v>
      </c>
      <c r="C686" t="s">
        <v>38</v>
      </c>
      <c r="D686" t="s">
        <v>15</v>
      </c>
      <c r="E686" t="s">
        <v>16</v>
      </c>
      <c r="F686" t="s">
        <v>31</v>
      </c>
      <c r="G686" t="s">
        <v>1036</v>
      </c>
      <c r="H686" t="s">
        <v>1041</v>
      </c>
      <c r="I686" s="1">
        <v>43489</v>
      </c>
      <c r="J686" t="s">
        <v>1046</v>
      </c>
      <c r="K686" s="5">
        <v>0.80555555555555547</v>
      </c>
      <c r="L686" t="s">
        <v>18</v>
      </c>
      <c r="M686">
        <v>6.9240000000000004</v>
      </c>
      <c r="N686">
        <v>4.9000000000000004</v>
      </c>
    </row>
    <row r="687" spans="1:14" x14ac:dyDescent="0.25">
      <c r="A687" t="s">
        <v>716</v>
      </c>
      <c r="B687" t="s">
        <v>37</v>
      </c>
      <c r="C687" t="s">
        <v>38</v>
      </c>
      <c r="D687" t="s">
        <v>15</v>
      </c>
      <c r="E687" t="s">
        <v>16</v>
      </c>
      <c r="F687" t="s">
        <v>27</v>
      </c>
      <c r="G687" t="s">
        <v>1034</v>
      </c>
      <c r="H687" t="s">
        <v>1041</v>
      </c>
      <c r="I687" s="1">
        <v>43473</v>
      </c>
      <c r="J687" t="s">
        <v>1045</v>
      </c>
      <c r="K687" s="5">
        <v>0.54027777777777775</v>
      </c>
      <c r="L687" t="s">
        <v>28</v>
      </c>
      <c r="M687">
        <v>4.91</v>
      </c>
      <c r="N687">
        <v>6.4</v>
      </c>
    </row>
    <row r="688" spans="1:14" x14ac:dyDescent="0.25">
      <c r="A688" t="s">
        <v>717</v>
      </c>
      <c r="B688" t="s">
        <v>37</v>
      </c>
      <c r="C688" t="s">
        <v>38</v>
      </c>
      <c r="D688" t="s">
        <v>15</v>
      </c>
      <c r="E688" t="s">
        <v>16</v>
      </c>
      <c r="F688" t="s">
        <v>31</v>
      </c>
      <c r="G688" t="s">
        <v>1034</v>
      </c>
      <c r="H688" t="s">
        <v>1041</v>
      </c>
      <c r="I688" s="1">
        <v>43473</v>
      </c>
      <c r="J688" t="s">
        <v>1044</v>
      </c>
      <c r="K688" s="5">
        <v>0.4993055555555555</v>
      </c>
      <c r="L688" t="s">
        <v>28</v>
      </c>
      <c r="M688">
        <v>6.4829999999999997</v>
      </c>
      <c r="N688">
        <v>8</v>
      </c>
    </row>
    <row r="689" spans="1:14" x14ac:dyDescent="0.25">
      <c r="A689" t="s">
        <v>718</v>
      </c>
      <c r="B689" t="s">
        <v>13</v>
      </c>
      <c r="C689" t="s">
        <v>14</v>
      </c>
      <c r="D689" t="s">
        <v>15</v>
      </c>
      <c r="E689" t="s">
        <v>26</v>
      </c>
      <c r="F689" t="s">
        <v>27</v>
      </c>
      <c r="G689" t="s">
        <v>1035</v>
      </c>
      <c r="H689" t="s">
        <v>1041</v>
      </c>
      <c r="I689" s="1">
        <v>43481</v>
      </c>
      <c r="J689" t="s">
        <v>1046</v>
      </c>
      <c r="K689" s="5">
        <v>0.74930555555555556</v>
      </c>
      <c r="L689" t="s">
        <v>24</v>
      </c>
      <c r="M689">
        <v>31.78</v>
      </c>
      <c r="N689">
        <v>4.3</v>
      </c>
    </row>
    <row r="690" spans="1:14" x14ac:dyDescent="0.25">
      <c r="A690" t="s">
        <v>719</v>
      </c>
      <c r="B690" t="s">
        <v>20</v>
      </c>
      <c r="C690" t="s">
        <v>21</v>
      </c>
      <c r="D690" t="s">
        <v>15</v>
      </c>
      <c r="E690" t="s">
        <v>26</v>
      </c>
      <c r="F690" t="s">
        <v>31</v>
      </c>
      <c r="G690" t="s">
        <v>1036</v>
      </c>
      <c r="H690" t="s">
        <v>1043</v>
      </c>
      <c r="I690" s="1">
        <v>43537</v>
      </c>
      <c r="J690" t="s">
        <v>1045</v>
      </c>
      <c r="K690" s="5">
        <v>0.53541666666666665</v>
      </c>
      <c r="L690" t="s">
        <v>24</v>
      </c>
      <c r="M690">
        <v>7.2880000000000003</v>
      </c>
      <c r="N690">
        <v>6.1</v>
      </c>
    </row>
    <row r="691" spans="1:14" x14ac:dyDescent="0.25">
      <c r="A691" t="s">
        <v>720</v>
      </c>
      <c r="B691" t="s">
        <v>13</v>
      </c>
      <c r="C691" t="s">
        <v>14</v>
      </c>
      <c r="D691" t="s">
        <v>22</v>
      </c>
      <c r="E691" t="s">
        <v>16</v>
      </c>
      <c r="F691" t="s">
        <v>39</v>
      </c>
      <c r="G691" t="s">
        <v>1039</v>
      </c>
      <c r="H691" t="s">
        <v>1042</v>
      </c>
      <c r="I691" s="1">
        <v>43511</v>
      </c>
      <c r="J691" t="s">
        <v>1044</v>
      </c>
      <c r="K691" s="5">
        <v>0.44166666666666665</v>
      </c>
      <c r="L691" t="s">
        <v>24</v>
      </c>
      <c r="M691">
        <v>10.065</v>
      </c>
      <c r="N691">
        <v>7.5</v>
      </c>
    </row>
    <row r="692" spans="1:14" x14ac:dyDescent="0.25">
      <c r="A692" t="s">
        <v>721</v>
      </c>
      <c r="B692" t="s">
        <v>20</v>
      </c>
      <c r="C692" t="s">
        <v>21</v>
      </c>
      <c r="D692" t="s">
        <v>15</v>
      </c>
      <c r="E692" t="s">
        <v>16</v>
      </c>
      <c r="F692" t="s">
        <v>31</v>
      </c>
      <c r="G692" t="s">
        <v>1036</v>
      </c>
      <c r="H692" t="s">
        <v>1041</v>
      </c>
      <c r="I692" s="1">
        <v>43490</v>
      </c>
      <c r="J692" t="s">
        <v>1045</v>
      </c>
      <c r="K692" s="5">
        <v>0.56805555555555554</v>
      </c>
      <c r="L692" t="s">
        <v>24</v>
      </c>
      <c r="M692">
        <v>31.5855</v>
      </c>
      <c r="N692">
        <v>6.7</v>
      </c>
    </row>
    <row r="693" spans="1:14" x14ac:dyDescent="0.25">
      <c r="A693" t="s">
        <v>722</v>
      </c>
      <c r="B693" t="s">
        <v>20</v>
      </c>
      <c r="C693" t="s">
        <v>21</v>
      </c>
      <c r="D693" t="s">
        <v>15</v>
      </c>
      <c r="E693" t="s">
        <v>26</v>
      </c>
      <c r="F693" t="s">
        <v>39</v>
      </c>
      <c r="G693" t="s">
        <v>1036</v>
      </c>
      <c r="H693" t="s">
        <v>1043</v>
      </c>
      <c r="I693" s="1">
        <v>43536</v>
      </c>
      <c r="J693" t="s">
        <v>1046</v>
      </c>
      <c r="K693" s="5">
        <v>0.81874999999999998</v>
      </c>
      <c r="L693" t="s">
        <v>18</v>
      </c>
      <c r="M693">
        <v>19.263999999999999</v>
      </c>
      <c r="N693">
        <v>5.2</v>
      </c>
    </row>
    <row r="694" spans="1:14" x14ac:dyDescent="0.25">
      <c r="A694" t="s">
        <v>723</v>
      </c>
      <c r="B694" t="s">
        <v>13</v>
      </c>
      <c r="C694" t="s">
        <v>14</v>
      </c>
      <c r="D694" t="s">
        <v>15</v>
      </c>
      <c r="E694" t="s">
        <v>26</v>
      </c>
      <c r="F694" t="s">
        <v>17</v>
      </c>
      <c r="G694" t="s">
        <v>1035</v>
      </c>
      <c r="H694" t="s">
        <v>1043</v>
      </c>
      <c r="I694" s="1">
        <v>43528</v>
      </c>
      <c r="J694" t="s">
        <v>1045</v>
      </c>
      <c r="K694" s="5">
        <v>0.53055555555555556</v>
      </c>
      <c r="L694" t="s">
        <v>24</v>
      </c>
      <c r="M694">
        <v>24.315000000000001</v>
      </c>
      <c r="N694">
        <v>8.8000000000000007</v>
      </c>
    </row>
    <row r="695" spans="1:14" x14ac:dyDescent="0.25">
      <c r="A695" t="s">
        <v>724</v>
      </c>
      <c r="B695" t="s">
        <v>20</v>
      </c>
      <c r="C695" t="s">
        <v>21</v>
      </c>
      <c r="D695" t="s">
        <v>15</v>
      </c>
      <c r="E695" t="s">
        <v>16</v>
      </c>
      <c r="F695" t="s">
        <v>41</v>
      </c>
      <c r="G695" t="s">
        <v>1039</v>
      </c>
      <c r="H695" t="s">
        <v>1042</v>
      </c>
      <c r="I695" s="1">
        <v>43506</v>
      </c>
      <c r="J695" t="s">
        <v>1045</v>
      </c>
      <c r="K695" s="5">
        <v>0.5805555555555556</v>
      </c>
      <c r="L695" t="s">
        <v>24</v>
      </c>
      <c r="M695">
        <v>25.683</v>
      </c>
      <c r="N695">
        <v>9.5</v>
      </c>
    </row>
    <row r="696" spans="1:14" x14ac:dyDescent="0.25">
      <c r="A696" t="s">
        <v>725</v>
      </c>
      <c r="B696" t="s">
        <v>20</v>
      </c>
      <c r="C696" t="s">
        <v>21</v>
      </c>
      <c r="D696" t="s">
        <v>22</v>
      </c>
      <c r="E696" t="s">
        <v>16</v>
      </c>
      <c r="F696" t="s">
        <v>39</v>
      </c>
      <c r="G696" t="s">
        <v>1035</v>
      </c>
      <c r="H696" t="s">
        <v>1041</v>
      </c>
      <c r="I696" s="1">
        <v>43481</v>
      </c>
      <c r="J696" t="s">
        <v>1045</v>
      </c>
      <c r="K696" s="5">
        <v>0.61249999999999993</v>
      </c>
      <c r="L696" t="s">
        <v>24</v>
      </c>
      <c r="M696">
        <v>23.67</v>
      </c>
      <c r="N696">
        <v>7.6</v>
      </c>
    </row>
    <row r="697" spans="1:14" x14ac:dyDescent="0.25">
      <c r="A697" t="s">
        <v>726</v>
      </c>
      <c r="B697" t="s">
        <v>13</v>
      </c>
      <c r="C697" t="s">
        <v>14</v>
      </c>
      <c r="D697" t="s">
        <v>15</v>
      </c>
      <c r="E697" t="s">
        <v>16</v>
      </c>
      <c r="F697" t="s">
        <v>27</v>
      </c>
      <c r="G697" t="s">
        <v>1037</v>
      </c>
      <c r="H697" t="s">
        <v>1041</v>
      </c>
      <c r="I697" s="1">
        <v>43494</v>
      </c>
      <c r="J697" t="s">
        <v>1046</v>
      </c>
      <c r="K697" s="5">
        <v>0.82291666666666663</v>
      </c>
      <c r="L697" t="s">
        <v>24</v>
      </c>
      <c r="M697">
        <v>21.842500000000001</v>
      </c>
      <c r="N697">
        <v>6.6</v>
      </c>
    </row>
    <row r="698" spans="1:14" x14ac:dyDescent="0.25">
      <c r="A698" t="s">
        <v>727</v>
      </c>
      <c r="B698" t="s">
        <v>13</v>
      </c>
      <c r="C698" t="s">
        <v>14</v>
      </c>
      <c r="D698" t="s">
        <v>15</v>
      </c>
      <c r="E698" t="s">
        <v>16</v>
      </c>
      <c r="F698" t="s">
        <v>31</v>
      </c>
      <c r="G698" t="s">
        <v>1040</v>
      </c>
      <c r="H698" t="s">
        <v>1041</v>
      </c>
      <c r="I698" s="1">
        <v>43466</v>
      </c>
      <c r="J698" t="s">
        <v>1046</v>
      </c>
      <c r="K698" s="5">
        <v>0.85138888888888886</v>
      </c>
      <c r="L698" t="s">
        <v>18</v>
      </c>
      <c r="M698">
        <v>5.4080000000000004</v>
      </c>
      <c r="N698">
        <v>6.9</v>
      </c>
    </row>
    <row r="699" spans="1:14" x14ac:dyDescent="0.25">
      <c r="A699" t="s">
        <v>728</v>
      </c>
      <c r="B699" t="s">
        <v>37</v>
      </c>
      <c r="C699" t="s">
        <v>38</v>
      </c>
      <c r="D699" t="s">
        <v>22</v>
      </c>
      <c r="E699" t="s">
        <v>26</v>
      </c>
      <c r="F699" t="s">
        <v>27</v>
      </c>
      <c r="G699" t="s">
        <v>1034</v>
      </c>
      <c r="H699" t="s">
        <v>1041</v>
      </c>
      <c r="I699" s="1">
        <v>43471</v>
      </c>
      <c r="J699" t="s">
        <v>1046</v>
      </c>
      <c r="K699" s="5">
        <v>0.82361111111111107</v>
      </c>
      <c r="L699" t="s">
        <v>18</v>
      </c>
      <c r="M699">
        <v>12.438000000000001</v>
      </c>
      <c r="N699">
        <v>4.3</v>
      </c>
    </row>
    <row r="700" spans="1:14" x14ac:dyDescent="0.25">
      <c r="A700" t="s">
        <v>729</v>
      </c>
      <c r="B700" t="s">
        <v>13</v>
      </c>
      <c r="C700" t="s">
        <v>14</v>
      </c>
      <c r="D700" t="s">
        <v>15</v>
      </c>
      <c r="E700" t="s">
        <v>26</v>
      </c>
      <c r="F700" t="s">
        <v>23</v>
      </c>
      <c r="G700" t="s">
        <v>1040</v>
      </c>
      <c r="H700" t="s">
        <v>1042</v>
      </c>
      <c r="I700" s="1">
        <v>43515</v>
      </c>
      <c r="J700" t="s">
        <v>1046</v>
      </c>
      <c r="K700" s="5">
        <v>0.81805555555555554</v>
      </c>
      <c r="L700" t="s">
        <v>28</v>
      </c>
      <c r="M700">
        <v>31.311</v>
      </c>
      <c r="N700">
        <v>7.8</v>
      </c>
    </row>
    <row r="701" spans="1:14" x14ac:dyDescent="0.25">
      <c r="A701" t="s">
        <v>730</v>
      </c>
      <c r="B701" t="s">
        <v>20</v>
      </c>
      <c r="C701" t="s">
        <v>21</v>
      </c>
      <c r="D701" t="s">
        <v>22</v>
      </c>
      <c r="E701" t="s">
        <v>26</v>
      </c>
      <c r="F701" t="s">
        <v>27</v>
      </c>
      <c r="G701" t="s">
        <v>1035</v>
      </c>
      <c r="H701" t="s">
        <v>1041</v>
      </c>
      <c r="I701" s="1">
        <v>43477</v>
      </c>
      <c r="J701" t="s">
        <v>1046</v>
      </c>
      <c r="K701" s="5">
        <v>0.6791666666666667</v>
      </c>
      <c r="L701" t="s">
        <v>18</v>
      </c>
      <c r="M701">
        <v>48.75</v>
      </c>
      <c r="N701">
        <v>8</v>
      </c>
    </row>
    <row r="702" spans="1:14" x14ac:dyDescent="0.25">
      <c r="A702" t="s">
        <v>731</v>
      </c>
      <c r="B702" t="s">
        <v>20</v>
      </c>
      <c r="C702" t="s">
        <v>21</v>
      </c>
      <c r="D702" t="s">
        <v>22</v>
      </c>
      <c r="E702" t="s">
        <v>16</v>
      </c>
      <c r="F702" t="s">
        <v>41</v>
      </c>
      <c r="G702" t="s">
        <v>1038</v>
      </c>
      <c r="H702" t="s">
        <v>1042</v>
      </c>
      <c r="I702" s="1">
        <v>43503</v>
      </c>
      <c r="J702" t="s">
        <v>1045</v>
      </c>
      <c r="K702" s="5">
        <v>0.51597222222222217</v>
      </c>
      <c r="L702" t="s">
        <v>18</v>
      </c>
      <c r="M702">
        <v>24.164000000000001</v>
      </c>
      <c r="N702">
        <v>9.6</v>
      </c>
    </row>
    <row r="703" spans="1:14" x14ac:dyDescent="0.25">
      <c r="A703" t="s">
        <v>732</v>
      </c>
      <c r="B703" t="s">
        <v>37</v>
      </c>
      <c r="C703" t="s">
        <v>38</v>
      </c>
      <c r="D703" t="s">
        <v>22</v>
      </c>
      <c r="E703" t="s">
        <v>26</v>
      </c>
      <c r="F703" t="s">
        <v>39</v>
      </c>
      <c r="G703" t="s">
        <v>1038</v>
      </c>
      <c r="H703" t="s">
        <v>1043</v>
      </c>
      <c r="I703" s="1">
        <v>43551</v>
      </c>
      <c r="J703" t="s">
        <v>1046</v>
      </c>
      <c r="K703" s="5">
        <v>0.7993055555555556</v>
      </c>
      <c r="L703" t="s">
        <v>28</v>
      </c>
      <c r="M703">
        <v>4.8479999999999999</v>
      </c>
      <c r="N703">
        <v>4.3</v>
      </c>
    </row>
    <row r="704" spans="1:14" x14ac:dyDescent="0.25">
      <c r="A704" t="s">
        <v>733</v>
      </c>
      <c r="B704" t="s">
        <v>37</v>
      </c>
      <c r="C704" t="s">
        <v>38</v>
      </c>
      <c r="D704" t="s">
        <v>15</v>
      </c>
      <c r="E704" t="s">
        <v>16</v>
      </c>
      <c r="F704" t="s">
        <v>41</v>
      </c>
      <c r="G704" t="s">
        <v>1034</v>
      </c>
      <c r="H704" t="s">
        <v>1042</v>
      </c>
      <c r="I704" s="1">
        <v>43523</v>
      </c>
      <c r="J704" t="s">
        <v>1046</v>
      </c>
      <c r="K704" s="5">
        <v>0.7895833333333333</v>
      </c>
      <c r="L704" t="s">
        <v>28</v>
      </c>
      <c r="M704">
        <v>9.8849999999999998</v>
      </c>
      <c r="N704">
        <v>5</v>
      </c>
    </row>
    <row r="705" spans="1:14" x14ac:dyDescent="0.25">
      <c r="A705" t="s">
        <v>734</v>
      </c>
      <c r="B705" t="s">
        <v>37</v>
      </c>
      <c r="C705" t="s">
        <v>38</v>
      </c>
      <c r="D705" t="s">
        <v>15</v>
      </c>
      <c r="E705" t="s">
        <v>26</v>
      </c>
      <c r="F705" t="s">
        <v>17</v>
      </c>
      <c r="G705" t="s">
        <v>1034</v>
      </c>
      <c r="H705" t="s">
        <v>1041</v>
      </c>
      <c r="I705" s="1">
        <v>43471</v>
      </c>
      <c r="J705" t="s">
        <v>1044</v>
      </c>
      <c r="K705" s="5">
        <v>0.47083333333333338</v>
      </c>
      <c r="L705" t="s">
        <v>24</v>
      </c>
      <c r="M705">
        <v>36.211500000000001</v>
      </c>
      <c r="N705">
        <v>9.1999999999999993</v>
      </c>
    </row>
    <row r="706" spans="1:14" x14ac:dyDescent="0.25">
      <c r="A706" t="s">
        <v>735</v>
      </c>
      <c r="B706" t="s">
        <v>37</v>
      </c>
      <c r="C706" t="s">
        <v>38</v>
      </c>
      <c r="D706" t="s">
        <v>15</v>
      </c>
      <c r="E706" t="s">
        <v>16</v>
      </c>
      <c r="F706" t="s">
        <v>27</v>
      </c>
      <c r="G706" t="s">
        <v>1035</v>
      </c>
      <c r="H706" t="s">
        <v>1043</v>
      </c>
      <c r="I706" s="1">
        <v>43526</v>
      </c>
      <c r="J706" t="s">
        <v>1045</v>
      </c>
      <c r="K706" s="5">
        <v>0.52777777777777779</v>
      </c>
      <c r="L706" t="s">
        <v>24</v>
      </c>
      <c r="M706">
        <v>39.775500000000001</v>
      </c>
      <c r="N706">
        <v>6.3</v>
      </c>
    </row>
    <row r="707" spans="1:14" x14ac:dyDescent="0.25">
      <c r="A707" t="s">
        <v>736</v>
      </c>
      <c r="B707" t="s">
        <v>37</v>
      </c>
      <c r="C707" t="s">
        <v>38</v>
      </c>
      <c r="D707" t="s">
        <v>22</v>
      </c>
      <c r="E707" t="s">
        <v>26</v>
      </c>
      <c r="F707" t="s">
        <v>17</v>
      </c>
      <c r="G707" t="s">
        <v>1038</v>
      </c>
      <c r="H707" t="s">
        <v>1043</v>
      </c>
      <c r="I707" s="1">
        <v>43553</v>
      </c>
      <c r="J707" t="s">
        <v>1045</v>
      </c>
      <c r="K707" s="5">
        <v>0.58750000000000002</v>
      </c>
      <c r="L707" t="s">
        <v>24</v>
      </c>
      <c r="M707">
        <v>25.119499999999999</v>
      </c>
      <c r="N707">
        <v>8.9</v>
      </c>
    </row>
    <row r="708" spans="1:14" x14ac:dyDescent="0.25">
      <c r="A708" t="s">
        <v>737</v>
      </c>
      <c r="B708" t="s">
        <v>37</v>
      </c>
      <c r="C708" t="s">
        <v>38</v>
      </c>
      <c r="D708" t="s">
        <v>22</v>
      </c>
      <c r="E708" t="s">
        <v>16</v>
      </c>
      <c r="F708" t="s">
        <v>23</v>
      </c>
      <c r="G708" t="s">
        <v>1037</v>
      </c>
      <c r="H708" t="s">
        <v>1041</v>
      </c>
      <c r="I708" s="1">
        <v>43496</v>
      </c>
      <c r="J708" t="s">
        <v>1046</v>
      </c>
      <c r="K708" s="5">
        <v>0.8666666666666667</v>
      </c>
      <c r="L708" t="s">
        <v>18</v>
      </c>
      <c r="M708">
        <v>8.6</v>
      </c>
      <c r="N708">
        <v>7.6</v>
      </c>
    </row>
    <row r="709" spans="1:14" x14ac:dyDescent="0.25">
      <c r="A709" t="s">
        <v>738</v>
      </c>
      <c r="B709" t="s">
        <v>20</v>
      </c>
      <c r="C709" t="s">
        <v>21</v>
      </c>
      <c r="D709" t="s">
        <v>15</v>
      </c>
      <c r="E709" t="s">
        <v>26</v>
      </c>
      <c r="F709" t="s">
        <v>39</v>
      </c>
      <c r="G709" t="s">
        <v>1036</v>
      </c>
      <c r="H709" t="s">
        <v>1041</v>
      </c>
      <c r="I709" s="1">
        <v>43486</v>
      </c>
      <c r="J709" t="s">
        <v>1046</v>
      </c>
      <c r="K709" s="5">
        <v>0.84236111111111101</v>
      </c>
      <c r="L709" t="s">
        <v>24</v>
      </c>
      <c r="M709">
        <v>3.4489999999999998</v>
      </c>
      <c r="N709">
        <v>4.8</v>
      </c>
    </row>
    <row r="710" spans="1:14" x14ac:dyDescent="0.25">
      <c r="A710" t="s">
        <v>739</v>
      </c>
      <c r="B710" t="s">
        <v>20</v>
      </c>
      <c r="C710" t="s">
        <v>21</v>
      </c>
      <c r="D710" t="s">
        <v>22</v>
      </c>
      <c r="E710" t="s">
        <v>26</v>
      </c>
      <c r="F710" t="s">
        <v>41</v>
      </c>
      <c r="G710" t="s">
        <v>1036</v>
      </c>
      <c r="H710" t="s">
        <v>1041</v>
      </c>
      <c r="I710" s="1">
        <v>43485</v>
      </c>
      <c r="J710" t="s">
        <v>1046</v>
      </c>
      <c r="K710" s="5">
        <v>0.85902777777777783</v>
      </c>
      <c r="L710" t="s">
        <v>18</v>
      </c>
      <c r="M710">
        <v>6.2480000000000002</v>
      </c>
      <c r="N710">
        <v>9.1</v>
      </c>
    </row>
    <row r="711" spans="1:14" x14ac:dyDescent="0.25">
      <c r="A711" t="s">
        <v>740</v>
      </c>
      <c r="B711" t="s">
        <v>13</v>
      </c>
      <c r="C711" t="s">
        <v>14</v>
      </c>
      <c r="D711" t="s">
        <v>22</v>
      </c>
      <c r="E711" t="s">
        <v>26</v>
      </c>
      <c r="F711" t="s">
        <v>31</v>
      </c>
      <c r="G711" t="s">
        <v>1035</v>
      </c>
      <c r="H711" t="s">
        <v>1041</v>
      </c>
      <c r="I711" s="1">
        <v>43482</v>
      </c>
      <c r="J711" t="s">
        <v>1046</v>
      </c>
      <c r="K711" s="5">
        <v>0.74930555555555556</v>
      </c>
      <c r="L711" t="s">
        <v>18</v>
      </c>
      <c r="M711">
        <v>3.855</v>
      </c>
      <c r="N711">
        <v>6.1</v>
      </c>
    </row>
    <row r="712" spans="1:14" x14ac:dyDescent="0.25">
      <c r="A712" t="s">
        <v>741</v>
      </c>
      <c r="B712" t="s">
        <v>13</v>
      </c>
      <c r="C712" t="s">
        <v>14</v>
      </c>
      <c r="D712" t="s">
        <v>15</v>
      </c>
      <c r="E712" t="s">
        <v>26</v>
      </c>
      <c r="F712" t="s">
        <v>39</v>
      </c>
      <c r="G712" t="s">
        <v>1034</v>
      </c>
      <c r="H712" t="s">
        <v>1042</v>
      </c>
      <c r="I712" s="1">
        <v>43524</v>
      </c>
      <c r="J712" t="s">
        <v>1046</v>
      </c>
      <c r="K712" s="5">
        <v>0.84583333333333333</v>
      </c>
      <c r="L712" t="s">
        <v>24</v>
      </c>
      <c r="M712">
        <v>24.186</v>
      </c>
      <c r="N712">
        <v>9.1</v>
      </c>
    </row>
    <row r="713" spans="1:14" x14ac:dyDescent="0.25">
      <c r="A713" t="s">
        <v>742</v>
      </c>
      <c r="B713" t="s">
        <v>20</v>
      </c>
      <c r="C713" t="s">
        <v>21</v>
      </c>
      <c r="D713" t="s">
        <v>15</v>
      </c>
      <c r="E713" t="s">
        <v>16</v>
      </c>
      <c r="F713" t="s">
        <v>27</v>
      </c>
      <c r="G713" t="s">
        <v>1037</v>
      </c>
      <c r="H713" t="s">
        <v>1043</v>
      </c>
      <c r="I713" s="1">
        <v>43543</v>
      </c>
      <c r="J713" t="s">
        <v>1045</v>
      </c>
      <c r="K713" s="5">
        <v>0.66111111111111109</v>
      </c>
      <c r="L713" t="s">
        <v>18</v>
      </c>
      <c r="M713">
        <v>15.106</v>
      </c>
      <c r="N713">
        <v>8.3000000000000007</v>
      </c>
    </row>
    <row r="714" spans="1:14" x14ac:dyDescent="0.25">
      <c r="A714" t="s">
        <v>743</v>
      </c>
      <c r="B714" t="s">
        <v>20</v>
      </c>
      <c r="C714" t="s">
        <v>21</v>
      </c>
      <c r="D714" t="s">
        <v>22</v>
      </c>
      <c r="E714" t="s">
        <v>16</v>
      </c>
      <c r="F714" t="s">
        <v>23</v>
      </c>
      <c r="G714" t="s">
        <v>1040</v>
      </c>
      <c r="H714" t="s">
        <v>1042</v>
      </c>
      <c r="I714" s="1">
        <v>43515</v>
      </c>
      <c r="J714" t="s">
        <v>1045</v>
      </c>
      <c r="K714" s="5">
        <v>0.63472222222222219</v>
      </c>
      <c r="L714" t="s">
        <v>18</v>
      </c>
      <c r="M714">
        <v>34.933500000000002</v>
      </c>
      <c r="N714">
        <v>7.2</v>
      </c>
    </row>
    <row r="715" spans="1:14" x14ac:dyDescent="0.25">
      <c r="A715" t="s">
        <v>744</v>
      </c>
      <c r="B715" t="s">
        <v>20</v>
      </c>
      <c r="C715" t="s">
        <v>21</v>
      </c>
      <c r="D715" t="s">
        <v>22</v>
      </c>
      <c r="E715" t="s">
        <v>16</v>
      </c>
      <c r="F715" t="s">
        <v>17</v>
      </c>
      <c r="G715" t="s">
        <v>1038</v>
      </c>
      <c r="H715" t="s">
        <v>1042</v>
      </c>
      <c r="I715" s="1">
        <v>43500</v>
      </c>
      <c r="J715" t="s">
        <v>1045</v>
      </c>
      <c r="K715" s="5">
        <v>0.53472222222222221</v>
      </c>
      <c r="L715" t="s">
        <v>18</v>
      </c>
      <c r="M715">
        <v>6.2324999999999999</v>
      </c>
      <c r="N715">
        <v>6</v>
      </c>
    </row>
    <row r="716" spans="1:14" x14ac:dyDescent="0.25">
      <c r="A716" t="s">
        <v>745</v>
      </c>
      <c r="B716" t="s">
        <v>20</v>
      </c>
      <c r="C716" t="s">
        <v>21</v>
      </c>
      <c r="D716" t="s">
        <v>15</v>
      </c>
      <c r="E716" t="s">
        <v>26</v>
      </c>
      <c r="F716" t="s">
        <v>41</v>
      </c>
      <c r="G716" t="s">
        <v>1037</v>
      </c>
      <c r="H716" t="s">
        <v>1041</v>
      </c>
      <c r="I716" s="1">
        <v>43496</v>
      </c>
      <c r="J716" t="s">
        <v>1044</v>
      </c>
      <c r="K716" s="5">
        <v>0.44166666666666665</v>
      </c>
      <c r="L716" t="s">
        <v>18</v>
      </c>
      <c r="M716">
        <v>39.479999999999997</v>
      </c>
      <c r="N716">
        <v>8.5</v>
      </c>
    </row>
    <row r="717" spans="1:14" x14ac:dyDescent="0.25">
      <c r="A717" t="s">
        <v>746</v>
      </c>
      <c r="B717" t="s">
        <v>13</v>
      </c>
      <c r="C717" t="s">
        <v>14</v>
      </c>
      <c r="D717" t="s">
        <v>22</v>
      </c>
      <c r="E717" t="s">
        <v>16</v>
      </c>
      <c r="F717" t="s">
        <v>17</v>
      </c>
      <c r="G717" t="s">
        <v>1038</v>
      </c>
      <c r="H717" t="s">
        <v>1042</v>
      </c>
      <c r="I717" s="1">
        <v>43502</v>
      </c>
      <c r="J717" t="s">
        <v>1046</v>
      </c>
      <c r="K717" s="5">
        <v>0.7729166666666667</v>
      </c>
      <c r="L717" t="s">
        <v>28</v>
      </c>
      <c r="M717">
        <v>8.92</v>
      </c>
      <c r="N717">
        <v>6.6</v>
      </c>
    </row>
    <row r="718" spans="1:14" x14ac:dyDescent="0.25">
      <c r="A718" t="s">
        <v>747</v>
      </c>
      <c r="B718" t="s">
        <v>13</v>
      </c>
      <c r="C718" t="s">
        <v>14</v>
      </c>
      <c r="D718" t="s">
        <v>15</v>
      </c>
      <c r="E718" t="s">
        <v>16</v>
      </c>
      <c r="F718" t="s">
        <v>41</v>
      </c>
      <c r="G718" t="s">
        <v>1038</v>
      </c>
      <c r="H718" t="s">
        <v>1043</v>
      </c>
      <c r="I718" s="1">
        <v>43552</v>
      </c>
      <c r="J718" t="s">
        <v>1046</v>
      </c>
      <c r="K718" s="5">
        <v>0.67083333333333339</v>
      </c>
      <c r="L718" t="s">
        <v>18</v>
      </c>
      <c r="M718">
        <v>25.010999999999999</v>
      </c>
      <c r="N718">
        <v>4.5</v>
      </c>
    </row>
    <row r="719" spans="1:14" x14ac:dyDescent="0.25">
      <c r="A719" t="s">
        <v>748</v>
      </c>
      <c r="B719" t="s">
        <v>13</v>
      </c>
      <c r="C719" t="s">
        <v>14</v>
      </c>
      <c r="D719" t="s">
        <v>15</v>
      </c>
      <c r="E719" t="s">
        <v>26</v>
      </c>
      <c r="F719" t="s">
        <v>23</v>
      </c>
      <c r="G719" t="s">
        <v>1036</v>
      </c>
      <c r="H719" t="s">
        <v>1041</v>
      </c>
      <c r="I719" s="1">
        <v>43484</v>
      </c>
      <c r="J719" t="s">
        <v>1045</v>
      </c>
      <c r="K719" s="5">
        <v>0.53263888888888888</v>
      </c>
      <c r="L719" t="s">
        <v>28</v>
      </c>
      <c r="M719">
        <v>1.7909999999999999</v>
      </c>
      <c r="N719">
        <v>8.1</v>
      </c>
    </row>
    <row r="720" spans="1:14" x14ac:dyDescent="0.25">
      <c r="A720" t="s">
        <v>749</v>
      </c>
      <c r="B720" t="s">
        <v>13</v>
      </c>
      <c r="C720" t="s">
        <v>14</v>
      </c>
      <c r="D720" t="s">
        <v>22</v>
      </c>
      <c r="E720" t="s">
        <v>26</v>
      </c>
      <c r="F720" t="s">
        <v>41</v>
      </c>
      <c r="G720" t="s">
        <v>1040</v>
      </c>
      <c r="H720" t="s">
        <v>1042</v>
      </c>
      <c r="I720" s="1">
        <v>43513</v>
      </c>
      <c r="J720" t="s">
        <v>1045</v>
      </c>
      <c r="K720" s="5">
        <v>0.56527777777777777</v>
      </c>
      <c r="L720" t="s">
        <v>28</v>
      </c>
      <c r="M720">
        <v>6.8070000000000004</v>
      </c>
      <c r="N720">
        <v>7.2</v>
      </c>
    </row>
    <row r="721" spans="1:14" x14ac:dyDescent="0.25">
      <c r="A721" t="s">
        <v>750</v>
      </c>
      <c r="B721" t="s">
        <v>37</v>
      </c>
      <c r="C721" t="s">
        <v>38</v>
      </c>
      <c r="D721" t="s">
        <v>15</v>
      </c>
      <c r="E721" t="s">
        <v>16</v>
      </c>
      <c r="F721" t="s">
        <v>41</v>
      </c>
      <c r="G721" t="s">
        <v>1035</v>
      </c>
      <c r="H721" t="s">
        <v>1041</v>
      </c>
      <c r="I721" s="1">
        <v>43483</v>
      </c>
      <c r="J721" t="s">
        <v>1045</v>
      </c>
      <c r="K721" s="5">
        <v>0.62777777777777777</v>
      </c>
      <c r="L721" t="s">
        <v>28</v>
      </c>
      <c r="M721">
        <v>5.2439999999999998</v>
      </c>
      <c r="N721">
        <v>6.1</v>
      </c>
    </row>
    <row r="722" spans="1:14" x14ac:dyDescent="0.25">
      <c r="A722" t="s">
        <v>751</v>
      </c>
      <c r="B722" t="s">
        <v>37</v>
      </c>
      <c r="C722" t="s">
        <v>38</v>
      </c>
      <c r="D722" t="s">
        <v>22</v>
      </c>
      <c r="E722" t="s">
        <v>16</v>
      </c>
      <c r="F722" t="s">
        <v>41</v>
      </c>
      <c r="G722" t="s">
        <v>1038</v>
      </c>
      <c r="H722" t="s">
        <v>1042</v>
      </c>
      <c r="I722" s="1">
        <v>43498</v>
      </c>
      <c r="J722" t="s">
        <v>1046</v>
      </c>
      <c r="K722" s="5">
        <v>0.86249999999999993</v>
      </c>
      <c r="L722" t="s">
        <v>24</v>
      </c>
      <c r="M722">
        <v>8.9459999999999997</v>
      </c>
      <c r="N722">
        <v>7.1</v>
      </c>
    </row>
    <row r="723" spans="1:14" x14ac:dyDescent="0.25">
      <c r="A723" t="s">
        <v>752</v>
      </c>
      <c r="B723" t="s">
        <v>20</v>
      </c>
      <c r="C723" t="s">
        <v>21</v>
      </c>
      <c r="D723" t="s">
        <v>15</v>
      </c>
      <c r="E723" t="s">
        <v>16</v>
      </c>
      <c r="F723" t="s">
        <v>31</v>
      </c>
      <c r="G723" t="s">
        <v>1035</v>
      </c>
      <c r="H723" t="s">
        <v>1041</v>
      </c>
      <c r="I723" s="1">
        <v>43483</v>
      </c>
      <c r="J723" t="s">
        <v>1045</v>
      </c>
      <c r="K723" s="5">
        <v>0.64444444444444449</v>
      </c>
      <c r="L723" t="s">
        <v>24</v>
      </c>
      <c r="M723">
        <v>40.783499999999997</v>
      </c>
      <c r="N723">
        <v>5.0999999999999996</v>
      </c>
    </row>
    <row r="724" spans="1:14" x14ac:dyDescent="0.25">
      <c r="A724" t="s">
        <v>753</v>
      </c>
      <c r="B724" t="s">
        <v>37</v>
      </c>
      <c r="C724" t="s">
        <v>38</v>
      </c>
      <c r="D724" t="s">
        <v>22</v>
      </c>
      <c r="E724" t="s">
        <v>26</v>
      </c>
      <c r="F724" t="s">
        <v>27</v>
      </c>
      <c r="G724" t="s">
        <v>1037</v>
      </c>
      <c r="H724" t="s">
        <v>1043</v>
      </c>
      <c r="I724" s="1">
        <v>43542</v>
      </c>
      <c r="J724" t="s">
        <v>1045</v>
      </c>
      <c r="K724" s="5">
        <v>0.57291666666666663</v>
      </c>
      <c r="L724" t="s">
        <v>28</v>
      </c>
      <c r="M724">
        <v>6.6180000000000003</v>
      </c>
      <c r="N724">
        <v>7.9</v>
      </c>
    </row>
    <row r="725" spans="1:14" x14ac:dyDescent="0.25">
      <c r="A725" t="s">
        <v>754</v>
      </c>
      <c r="B725" t="s">
        <v>20</v>
      </c>
      <c r="C725" t="s">
        <v>21</v>
      </c>
      <c r="D725" t="s">
        <v>15</v>
      </c>
      <c r="E725" t="s">
        <v>16</v>
      </c>
      <c r="F725" t="s">
        <v>39</v>
      </c>
      <c r="G725" t="s">
        <v>1034</v>
      </c>
      <c r="H725" t="s">
        <v>1041</v>
      </c>
      <c r="I725" s="1">
        <v>43476</v>
      </c>
      <c r="J725" t="s">
        <v>1046</v>
      </c>
      <c r="K725" s="5">
        <v>0.84027777777777779</v>
      </c>
      <c r="L725" t="s">
        <v>24</v>
      </c>
      <c r="M725">
        <v>12.8695</v>
      </c>
      <c r="N725">
        <v>7.4</v>
      </c>
    </row>
    <row r="726" spans="1:14" x14ac:dyDescent="0.25">
      <c r="A726" t="s">
        <v>755</v>
      </c>
      <c r="B726" t="s">
        <v>37</v>
      </c>
      <c r="C726" t="s">
        <v>38</v>
      </c>
      <c r="D726" t="s">
        <v>15</v>
      </c>
      <c r="E726" t="s">
        <v>26</v>
      </c>
      <c r="F726" t="s">
        <v>39</v>
      </c>
      <c r="G726" t="s">
        <v>1038</v>
      </c>
      <c r="H726" t="s">
        <v>1042</v>
      </c>
      <c r="I726" s="1">
        <v>43500</v>
      </c>
      <c r="J726" t="s">
        <v>1046</v>
      </c>
      <c r="K726" s="5">
        <v>0.78680555555555554</v>
      </c>
      <c r="L726" t="s">
        <v>18</v>
      </c>
      <c r="M726">
        <v>4.6680000000000001</v>
      </c>
      <c r="N726">
        <v>7.4</v>
      </c>
    </row>
    <row r="727" spans="1:14" x14ac:dyDescent="0.25">
      <c r="A727" t="s">
        <v>756</v>
      </c>
      <c r="B727" t="s">
        <v>20</v>
      </c>
      <c r="C727" t="s">
        <v>21</v>
      </c>
      <c r="D727" t="s">
        <v>15</v>
      </c>
      <c r="E727" t="s">
        <v>16</v>
      </c>
      <c r="F727" t="s">
        <v>17</v>
      </c>
      <c r="G727" t="s">
        <v>1038</v>
      </c>
      <c r="H727" t="s">
        <v>1042</v>
      </c>
      <c r="I727" s="1">
        <v>43502</v>
      </c>
      <c r="J727" t="s">
        <v>1045</v>
      </c>
      <c r="K727" s="5">
        <v>0.6</v>
      </c>
      <c r="L727" t="s">
        <v>24</v>
      </c>
      <c r="M727">
        <v>11.4</v>
      </c>
      <c r="N727">
        <v>6.6</v>
      </c>
    </row>
    <row r="728" spans="1:14" x14ac:dyDescent="0.25">
      <c r="A728" t="s">
        <v>757</v>
      </c>
      <c r="B728" t="s">
        <v>20</v>
      </c>
      <c r="C728" t="s">
        <v>21</v>
      </c>
      <c r="D728" t="s">
        <v>15</v>
      </c>
      <c r="E728" t="s">
        <v>26</v>
      </c>
      <c r="F728" t="s">
        <v>27</v>
      </c>
      <c r="G728" t="s">
        <v>1034</v>
      </c>
      <c r="H728" t="s">
        <v>1041</v>
      </c>
      <c r="I728" s="1">
        <v>43473</v>
      </c>
      <c r="J728" t="s">
        <v>1044</v>
      </c>
      <c r="K728" s="5">
        <v>0.48749999999999999</v>
      </c>
      <c r="L728" t="s">
        <v>28</v>
      </c>
      <c r="M728">
        <v>8.3354999999999997</v>
      </c>
      <c r="N728">
        <v>5.9</v>
      </c>
    </row>
    <row r="729" spans="1:14" x14ac:dyDescent="0.25">
      <c r="A729" t="s">
        <v>758</v>
      </c>
      <c r="B729" t="s">
        <v>37</v>
      </c>
      <c r="C729" t="s">
        <v>38</v>
      </c>
      <c r="D729" t="s">
        <v>22</v>
      </c>
      <c r="E729" t="s">
        <v>26</v>
      </c>
      <c r="F729" t="s">
        <v>31</v>
      </c>
      <c r="G729" t="s">
        <v>1035</v>
      </c>
      <c r="H729" t="s">
        <v>1043</v>
      </c>
      <c r="I729" s="1">
        <v>43529</v>
      </c>
      <c r="J729" t="s">
        <v>1046</v>
      </c>
      <c r="K729" s="5">
        <v>0.74236111111111114</v>
      </c>
      <c r="L729" t="s">
        <v>28</v>
      </c>
      <c r="M729">
        <v>34.869999999999997</v>
      </c>
      <c r="N729">
        <v>8.9</v>
      </c>
    </row>
    <row r="730" spans="1:14" x14ac:dyDescent="0.25">
      <c r="A730" t="s">
        <v>759</v>
      </c>
      <c r="B730" t="s">
        <v>20</v>
      </c>
      <c r="C730" t="s">
        <v>21</v>
      </c>
      <c r="D730" t="s">
        <v>22</v>
      </c>
      <c r="E730" t="s">
        <v>26</v>
      </c>
      <c r="F730" t="s">
        <v>41</v>
      </c>
      <c r="G730" t="s">
        <v>1037</v>
      </c>
      <c r="H730" t="s">
        <v>1043</v>
      </c>
      <c r="I730" s="1">
        <v>43540</v>
      </c>
      <c r="J730" t="s">
        <v>1045</v>
      </c>
      <c r="K730" s="5">
        <v>0.6479166666666667</v>
      </c>
      <c r="L730" t="s">
        <v>18</v>
      </c>
      <c r="M730">
        <v>19.452000000000002</v>
      </c>
      <c r="N730">
        <v>6.8</v>
      </c>
    </row>
    <row r="731" spans="1:14" x14ac:dyDescent="0.25">
      <c r="A731" t="s">
        <v>760</v>
      </c>
      <c r="B731" t="s">
        <v>37</v>
      </c>
      <c r="C731" t="s">
        <v>38</v>
      </c>
      <c r="D731" t="s">
        <v>15</v>
      </c>
      <c r="E731" t="s">
        <v>16</v>
      </c>
      <c r="F731" t="s">
        <v>27</v>
      </c>
      <c r="G731" t="s">
        <v>1036</v>
      </c>
      <c r="H731" t="s">
        <v>1043</v>
      </c>
      <c r="I731" s="1">
        <v>43533</v>
      </c>
      <c r="J731" t="s">
        <v>1044</v>
      </c>
      <c r="K731" s="5">
        <v>0.45416666666666666</v>
      </c>
      <c r="L731" t="s">
        <v>24</v>
      </c>
      <c r="M731">
        <v>18.263000000000002</v>
      </c>
      <c r="N731">
        <v>9.3000000000000007</v>
      </c>
    </row>
    <row r="732" spans="1:14" x14ac:dyDescent="0.25">
      <c r="A732" t="s">
        <v>761</v>
      </c>
      <c r="B732" t="s">
        <v>13</v>
      </c>
      <c r="C732" t="s">
        <v>14</v>
      </c>
      <c r="D732" t="s">
        <v>15</v>
      </c>
      <c r="E732" t="s">
        <v>16</v>
      </c>
      <c r="F732" t="s">
        <v>41</v>
      </c>
      <c r="G732" t="s">
        <v>1034</v>
      </c>
      <c r="H732" t="s">
        <v>1043</v>
      </c>
      <c r="I732" s="1">
        <v>43525</v>
      </c>
      <c r="J732" t="s">
        <v>1046</v>
      </c>
      <c r="K732" s="5">
        <v>0.68263888888888891</v>
      </c>
      <c r="L732" t="s">
        <v>28</v>
      </c>
      <c r="M732">
        <v>4.4640000000000004</v>
      </c>
      <c r="N732">
        <v>4.4000000000000004</v>
      </c>
    </row>
    <row r="733" spans="1:14" x14ac:dyDescent="0.25">
      <c r="A733" t="s">
        <v>762</v>
      </c>
      <c r="B733" t="s">
        <v>13</v>
      </c>
      <c r="C733" t="s">
        <v>14</v>
      </c>
      <c r="D733" t="s">
        <v>22</v>
      </c>
      <c r="E733" t="s">
        <v>26</v>
      </c>
      <c r="F733" t="s">
        <v>17</v>
      </c>
      <c r="G733" t="s">
        <v>1034</v>
      </c>
      <c r="H733" t="s">
        <v>1042</v>
      </c>
      <c r="I733" s="1">
        <v>43524</v>
      </c>
      <c r="J733" t="s">
        <v>1046</v>
      </c>
      <c r="K733" s="5">
        <v>0.81458333333333333</v>
      </c>
      <c r="L733" t="s">
        <v>18</v>
      </c>
      <c r="M733">
        <v>8.4</v>
      </c>
      <c r="N733">
        <v>4.8</v>
      </c>
    </row>
    <row r="734" spans="1:14" x14ac:dyDescent="0.25">
      <c r="A734" t="s">
        <v>763</v>
      </c>
      <c r="B734" t="s">
        <v>13</v>
      </c>
      <c r="C734" t="s">
        <v>14</v>
      </c>
      <c r="D734" t="s">
        <v>15</v>
      </c>
      <c r="E734" t="s">
        <v>26</v>
      </c>
      <c r="F734" t="s">
        <v>41</v>
      </c>
      <c r="G734" t="s">
        <v>1038</v>
      </c>
      <c r="H734" t="s">
        <v>1042</v>
      </c>
      <c r="I734" s="1">
        <v>43504</v>
      </c>
      <c r="J734" t="s">
        <v>1044</v>
      </c>
      <c r="K734" s="5">
        <v>0.48541666666666666</v>
      </c>
      <c r="L734" t="s">
        <v>18</v>
      </c>
      <c r="M734">
        <v>0.98499999999999999</v>
      </c>
      <c r="N734">
        <v>9.5</v>
      </c>
    </row>
    <row r="735" spans="1:14" x14ac:dyDescent="0.25">
      <c r="A735" t="s">
        <v>764</v>
      </c>
      <c r="B735" t="s">
        <v>37</v>
      </c>
      <c r="C735" t="s">
        <v>38</v>
      </c>
      <c r="D735" t="s">
        <v>22</v>
      </c>
      <c r="E735" t="s">
        <v>26</v>
      </c>
      <c r="F735" t="s">
        <v>23</v>
      </c>
      <c r="G735" t="s">
        <v>1036</v>
      </c>
      <c r="H735" t="s">
        <v>1041</v>
      </c>
      <c r="I735" s="1">
        <v>43489</v>
      </c>
      <c r="J735" t="s">
        <v>1044</v>
      </c>
      <c r="K735" s="5">
        <v>0.44305555555555554</v>
      </c>
      <c r="L735" t="s">
        <v>18</v>
      </c>
      <c r="M735">
        <v>26.558</v>
      </c>
      <c r="N735">
        <v>8.9</v>
      </c>
    </row>
    <row r="736" spans="1:14" x14ac:dyDescent="0.25">
      <c r="A736" t="s">
        <v>765</v>
      </c>
      <c r="B736" t="s">
        <v>37</v>
      </c>
      <c r="C736" t="s">
        <v>38</v>
      </c>
      <c r="D736" t="s">
        <v>15</v>
      </c>
      <c r="E736" t="s">
        <v>26</v>
      </c>
      <c r="F736" t="s">
        <v>39</v>
      </c>
      <c r="G736" t="s">
        <v>1034</v>
      </c>
      <c r="H736" t="s">
        <v>1043</v>
      </c>
      <c r="I736" s="1">
        <v>43525</v>
      </c>
      <c r="J736" t="s">
        <v>1046</v>
      </c>
      <c r="K736" s="5">
        <v>0.8354166666666667</v>
      </c>
      <c r="L736" t="s">
        <v>18</v>
      </c>
      <c r="M736">
        <v>2.6859999999999999</v>
      </c>
      <c r="N736">
        <v>6.4</v>
      </c>
    </row>
    <row r="737" spans="1:14" x14ac:dyDescent="0.25">
      <c r="A737" t="s">
        <v>766</v>
      </c>
      <c r="B737" t="s">
        <v>20</v>
      </c>
      <c r="C737" t="s">
        <v>21</v>
      </c>
      <c r="D737" t="s">
        <v>15</v>
      </c>
      <c r="E737" t="s">
        <v>26</v>
      </c>
      <c r="F737" t="s">
        <v>17</v>
      </c>
      <c r="G737" t="s">
        <v>1036</v>
      </c>
      <c r="H737" t="s">
        <v>1043</v>
      </c>
      <c r="I737" s="1">
        <v>43534</v>
      </c>
      <c r="J737" t="s">
        <v>1045</v>
      </c>
      <c r="K737" s="5">
        <v>0.52708333333333335</v>
      </c>
      <c r="L737" t="s">
        <v>28</v>
      </c>
      <c r="M737">
        <v>40.975000000000001</v>
      </c>
      <c r="N737">
        <v>6</v>
      </c>
    </row>
    <row r="738" spans="1:14" x14ac:dyDescent="0.25">
      <c r="A738" t="s">
        <v>767</v>
      </c>
      <c r="B738" t="s">
        <v>20</v>
      </c>
      <c r="C738" t="s">
        <v>21</v>
      </c>
      <c r="D738" t="s">
        <v>15</v>
      </c>
      <c r="E738" t="s">
        <v>16</v>
      </c>
      <c r="F738" t="s">
        <v>27</v>
      </c>
      <c r="G738" t="s">
        <v>1038</v>
      </c>
      <c r="H738" t="s">
        <v>1043</v>
      </c>
      <c r="I738" s="1">
        <v>43547</v>
      </c>
      <c r="J738" t="s">
        <v>1045</v>
      </c>
      <c r="K738" s="5">
        <v>0.66597222222222219</v>
      </c>
      <c r="L738" t="s">
        <v>28</v>
      </c>
      <c r="M738">
        <v>28.42</v>
      </c>
      <c r="N738">
        <v>8.1</v>
      </c>
    </row>
    <row r="739" spans="1:14" x14ac:dyDescent="0.25">
      <c r="A739" t="s">
        <v>768</v>
      </c>
      <c r="B739" t="s">
        <v>20</v>
      </c>
      <c r="C739" t="s">
        <v>21</v>
      </c>
      <c r="D739" t="s">
        <v>22</v>
      </c>
      <c r="E739" t="s">
        <v>26</v>
      </c>
      <c r="F739" t="s">
        <v>23</v>
      </c>
      <c r="G739" t="s">
        <v>1037</v>
      </c>
      <c r="H739" t="s">
        <v>1041</v>
      </c>
      <c r="I739" s="1">
        <v>43494</v>
      </c>
      <c r="J739" t="s">
        <v>1045</v>
      </c>
      <c r="K739" s="5">
        <v>0.60138888888888886</v>
      </c>
      <c r="L739" t="s">
        <v>18</v>
      </c>
      <c r="M739">
        <v>29.38</v>
      </c>
      <c r="N739">
        <v>9</v>
      </c>
    </row>
    <row r="740" spans="1:14" x14ac:dyDescent="0.25">
      <c r="A740" t="s">
        <v>769</v>
      </c>
      <c r="B740" t="s">
        <v>37</v>
      </c>
      <c r="C740" t="s">
        <v>38</v>
      </c>
      <c r="D740" t="s">
        <v>15</v>
      </c>
      <c r="E740" t="s">
        <v>26</v>
      </c>
      <c r="F740" t="s">
        <v>23</v>
      </c>
      <c r="G740" t="s">
        <v>1035</v>
      </c>
      <c r="H740" t="s">
        <v>1041</v>
      </c>
      <c r="I740" s="1">
        <v>43477</v>
      </c>
      <c r="J740" t="s">
        <v>1046</v>
      </c>
      <c r="K740" s="5">
        <v>0.76527777777777783</v>
      </c>
      <c r="L740" t="s">
        <v>18</v>
      </c>
      <c r="M740">
        <v>36.624000000000002</v>
      </c>
      <c r="N740">
        <v>6</v>
      </c>
    </row>
    <row r="741" spans="1:14" x14ac:dyDescent="0.25">
      <c r="A741" t="s">
        <v>770</v>
      </c>
      <c r="B741" t="s">
        <v>13</v>
      </c>
      <c r="C741" t="s">
        <v>14</v>
      </c>
      <c r="D741" t="s">
        <v>22</v>
      </c>
      <c r="E741" t="s">
        <v>26</v>
      </c>
      <c r="F741" t="s">
        <v>27</v>
      </c>
      <c r="G741" t="s">
        <v>1037</v>
      </c>
      <c r="H741" t="s">
        <v>1043</v>
      </c>
      <c r="I741" s="1">
        <v>43544</v>
      </c>
      <c r="J741" t="s">
        <v>1044</v>
      </c>
      <c r="K741" s="5">
        <v>0.48055555555555557</v>
      </c>
      <c r="L741" t="s">
        <v>24</v>
      </c>
      <c r="M741">
        <v>42.281999999999996</v>
      </c>
      <c r="N741">
        <v>9.8000000000000007</v>
      </c>
    </row>
    <row r="742" spans="1:14" x14ac:dyDescent="0.25">
      <c r="A742" t="s">
        <v>771</v>
      </c>
      <c r="B742" t="s">
        <v>20</v>
      </c>
      <c r="C742" t="s">
        <v>21</v>
      </c>
      <c r="D742" t="s">
        <v>22</v>
      </c>
      <c r="E742" t="s">
        <v>26</v>
      </c>
      <c r="F742" t="s">
        <v>27</v>
      </c>
      <c r="G742" t="s">
        <v>1038</v>
      </c>
      <c r="H742" t="s">
        <v>1043</v>
      </c>
      <c r="I742" s="1">
        <v>43547</v>
      </c>
      <c r="J742" t="s">
        <v>1045</v>
      </c>
      <c r="K742" s="5">
        <v>0.52847222222222223</v>
      </c>
      <c r="L742" t="s">
        <v>24</v>
      </c>
      <c r="M742">
        <v>19.4635</v>
      </c>
      <c r="N742">
        <v>8.5</v>
      </c>
    </row>
    <row r="743" spans="1:14" x14ac:dyDescent="0.25">
      <c r="A743" t="s">
        <v>772</v>
      </c>
      <c r="B743" t="s">
        <v>20</v>
      </c>
      <c r="C743" t="s">
        <v>21</v>
      </c>
      <c r="D743" t="s">
        <v>22</v>
      </c>
      <c r="E743" t="s">
        <v>26</v>
      </c>
      <c r="F743" t="s">
        <v>39</v>
      </c>
      <c r="G743" t="s">
        <v>1035</v>
      </c>
      <c r="H743" t="s">
        <v>1041</v>
      </c>
      <c r="I743" s="1">
        <v>43479</v>
      </c>
      <c r="J743" t="s">
        <v>1045</v>
      </c>
      <c r="K743" s="5">
        <v>0.63888888888888895</v>
      </c>
      <c r="L743" t="s">
        <v>18</v>
      </c>
      <c r="M743">
        <v>4.2415000000000003</v>
      </c>
      <c r="N743">
        <v>8.8000000000000007</v>
      </c>
    </row>
    <row r="744" spans="1:14" x14ac:dyDescent="0.25">
      <c r="A744" t="s">
        <v>773</v>
      </c>
      <c r="B744" t="s">
        <v>13</v>
      </c>
      <c r="C744" t="s">
        <v>14</v>
      </c>
      <c r="D744" t="s">
        <v>15</v>
      </c>
      <c r="E744" t="s">
        <v>16</v>
      </c>
      <c r="F744" t="s">
        <v>31</v>
      </c>
      <c r="G744" t="s">
        <v>1039</v>
      </c>
      <c r="H744" t="s">
        <v>1042</v>
      </c>
      <c r="I744" s="1">
        <v>43508</v>
      </c>
      <c r="J744" t="s">
        <v>1045</v>
      </c>
      <c r="K744" s="5">
        <v>0.60625000000000007</v>
      </c>
      <c r="L744" t="s">
        <v>18</v>
      </c>
      <c r="M744">
        <v>7.1630000000000003</v>
      </c>
      <c r="N744">
        <v>8.8000000000000007</v>
      </c>
    </row>
    <row r="745" spans="1:14" x14ac:dyDescent="0.25">
      <c r="A745" t="s">
        <v>774</v>
      </c>
      <c r="B745" t="s">
        <v>13</v>
      </c>
      <c r="C745" t="s">
        <v>14</v>
      </c>
      <c r="D745" t="s">
        <v>15</v>
      </c>
      <c r="E745" t="s">
        <v>26</v>
      </c>
      <c r="F745" t="s">
        <v>27</v>
      </c>
      <c r="G745" t="s">
        <v>1040</v>
      </c>
      <c r="H745" t="s">
        <v>1042</v>
      </c>
      <c r="I745" s="1">
        <v>43516</v>
      </c>
      <c r="J745" t="s">
        <v>1045</v>
      </c>
      <c r="K745" s="5">
        <v>0.64513888888888882</v>
      </c>
      <c r="L745" t="s">
        <v>18</v>
      </c>
      <c r="M745">
        <v>3.7690000000000001</v>
      </c>
      <c r="N745">
        <v>9.5</v>
      </c>
    </row>
    <row r="746" spans="1:14" x14ac:dyDescent="0.25">
      <c r="A746" t="s">
        <v>775</v>
      </c>
      <c r="B746" t="s">
        <v>20</v>
      </c>
      <c r="C746" t="s">
        <v>21</v>
      </c>
      <c r="D746" t="s">
        <v>15</v>
      </c>
      <c r="E746" t="s">
        <v>16</v>
      </c>
      <c r="F746" t="s">
        <v>31</v>
      </c>
      <c r="G746" t="s">
        <v>1040</v>
      </c>
      <c r="H746" t="s">
        <v>1041</v>
      </c>
      <c r="I746" s="1">
        <v>43467</v>
      </c>
      <c r="J746" t="s">
        <v>1046</v>
      </c>
      <c r="K746" s="5">
        <v>0.67986111111111114</v>
      </c>
      <c r="L746" t="s">
        <v>28</v>
      </c>
      <c r="M746">
        <v>12.667999999999999</v>
      </c>
      <c r="N746">
        <v>5.6</v>
      </c>
    </row>
    <row r="747" spans="1:14" x14ac:dyDescent="0.25">
      <c r="A747" t="s">
        <v>776</v>
      </c>
      <c r="B747" t="s">
        <v>20</v>
      </c>
      <c r="C747" t="s">
        <v>21</v>
      </c>
      <c r="D747" t="s">
        <v>15</v>
      </c>
      <c r="E747" t="s">
        <v>16</v>
      </c>
      <c r="F747" t="s">
        <v>39</v>
      </c>
      <c r="G747" t="s">
        <v>1038</v>
      </c>
      <c r="H747" t="s">
        <v>1042</v>
      </c>
      <c r="I747" s="1">
        <v>43498</v>
      </c>
      <c r="J747" t="s">
        <v>1046</v>
      </c>
      <c r="K747" s="5">
        <v>0.68958333333333333</v>
      </c>
      <c r="L747" t="s">
        <v>24</v>
      </c>
      <c r="M747">
        <v>1.921</v>
      </c>
      <c r="N747">
        <v>8.6</v>
      </c>
    </row>
    <row r="748" spans="1:14" x14ac:dyDescent="0.25">
      <c r="A748" t="s">
        <v>777</v>
      </c>
      <c r="B748" t="s">
        <v>37</v>
      </c>
      <c r="C748" t="s">
        <v>38</v>
      </c>
      <c r="D748" t="s">
        <v>15</v>
      </c>
      <c r="E748" t="s">
        <v>26</v>
      </c>
      <c r="F748" t="s">
        <v>41</v>
      </c>
      <c r="G748" t="s">
        <v>1034</v>
      </c>
      <c r="H748" t="s">
        <v>1041</v>
      </c>
      <c r="I748" s="1">
        <v>43473</v>
      </c>
      <c r="J748" t="s">
        <v>1046</v>
      </c>
      <c r="K748" s="5">
        <v>0.79652777777777783</v>
      </c>
      <c r="L748" t="s">
        <v>28</v>
      </c>
      <c r="M748">
        <v>32.615000000000002</v>
      </c>
      <c r="N748">
        <v>5.2</v>
      </c>
    </row>
    <row r="749" spans="1:14" x14ac:dyDescent="0.25">
      <c r="A749" t="s">
        <v>778</v>
      </c>
      <c r="B749" t="s">
        <v>20</v>
      </c>
      <c r="C749" t="s">
        <v>21</v>
      </c>
      <c r="D749" t="s">
        <v>15</v>
      </c>
      <c r="E749" t="s">
        <v>16</v>
      </c>
      <c r="F749" t="s">
        <v>27</v>
      </c>
      <c r="G749" t="s">
        <v>1037</v>
      </c>
      <c r="H749" t="s">
        <v>1041</v>
      </c>
      <c r="I749" s="1">
        <v>43495</v>
      </c>
      <c r="J749" t="s">
        <v>1045</v>
      </c>
      <c r="K749" s="5">
        <v>0.61319444444444449</v>
      </c>
      <c r="L749" t="s">
        <v>28</v>
      </c>
      <c r="M749">
        <v>2.6324999999999998</v>
      </c>
      <c r="N749">
        <v>5.8</v>
      </c>
    </row>
    <row r="750" spans="1:14" x14ac:dyDescent="0.25">
      <c r="A750" t="s">
        <v>779</v>
      </c>
      <c r="B750" t="s">
        <v>37</v>
      </c>
      <c r="C750" t="s">
        <v>38</v>
      </c>
      <c r="D750" t="s">
        <v>15</v>
      </c>
      <c r="E750" t="s">
        <v>16</v>
      </c>
      <c r="F750" t="s">
        <v>27</v>
      </c>
      <c r="G750" t="s">
        <v>1038</v>
      </c>
      <c r="H750" t="s">
        <v>1043</v>
      </c>
      <c r="I750" s="1">
        <v>43550</v>
      </c>
      <c r="J750" t="s">
        <v>1046</v>
      </c>
      <c r="K750" s="5">
        <v>0.81111111111111101</v>
      </c>
      <c r="L750" t="s">
        <v>28</v>
      </c>
      <c r="M750">
        <v>5.5305</v>
      </c>
      <c r="N750">
        <v>8</v>
      </c>
    </row>
    <row r="751" spans="1:14" x14ac:dyDescent="0.25">
      <c r="A751" t="s">
        <v>780</v>
      </c>
      <c r="B751" t="s">
        <v>20</v>
      </c>
      <c r="C751" t="s">
        <v>21</v>
      </c>
      <c r="D751" t="s">
        <v>15</v>
      </c>
      <c r="E751" t="s">
        <v>26</v>
      </c>
      <c r="F751" t="s">
        <v>17</v>
      </c>
      <c r="G751" t="s">
        <v>1035</v>
      </c>
      <c r="H751" t="s">
        <v>1041</v>
      </c>
      <c r="I751" s="1">
        <v>43480</v>
      </c>
      <c r="J751" t="s">
        <v>1046</v>
      </c>
      <c r="K751" s="5">
        <v>0.86388888888888893</v>
      </c>
      <c r="L751" t="s">
        <v>24</v>
      </c>
      <c r="M751">
        <v>28.430499999999999</v>
      </c>
      <c r="N751">
        <v>9</v>
      </c>
    </row>
    <row r="752" spans="1:14" x14ac:dyDescent="0.25">
      <c r="A752" t="s">
        <v>781</v>
      </c>
      <c r="B752" t="s">
        <v>37</v>
      </c>
      <c r="C752" t="s">
        <v>38</v>
      </c>
      <c r="D752" t="s">
        <v>15</v>
      </c>
      <c r="E752" t="s">
        <v>16</v>
      </c>
      <c r="F752" t="s">
        <v>41</v>
      </c>
      <c r="G752" t="s">
        <v>1036</v>
      </c>
      <c r="H752" t="s">
        <v>1043</v>
      </c>
      <c r="I752" s="1">
        <v>43538</v>
      </c>
      <c r="J752" t="s">
        <v>1044</v>
      </c>
      <c r="K752" s="5">
        <v>0.4694444444444445</v>
      </c>
      <c r="L752" t="s">
        <v>18</v>
      </c>
      <c r="M752">
        <v>4.4640000000000004</v>
      </c>
      <c r="N752">
        <v>4.0999999999999996</v>
      </c>
    </row>
    <row r="753" spans="1:14" x14ac:dyDescent="0.25">
      <c r="A753" t="s">
        <v>782</v>
      </c>
      <c r="B753" t="s">
        <v>13</v>
      </c>
      <c r="C753" t="s">
        <v>14</v>
      </c>
      <c r="D753" t="s">
        <v>22</v>
      </c>
      <c r="E753" t="s">
        <v>16</v>
      </c>
      <c r="F753" t="s">
        <v>39</v>
      </c>
      <c r="G753" t="s">
        <v>1038</v>
      </c>
      <c r="H753" t="s">
        <v>1042</v>
      </c>
      <c r="I753" s="1">
        <v>43499</v>
      </c>
      <c r="J753" t="s">
        <v>1044</v>
      </c>
      <c r="K753" s="5">
        <v>0.4381944444444445</v>
      </c>
      <c r="L753" t="s">
        <v>28</v>
      </c>
      <c r="M753">
        <v>6.82</v>
      </c>
      <c r="N753">
        <v>8.6</v>
      </c>
    </row>
    <row r="754" spans="1:14" x14ac:dyDescent="0.25">
      <c r="A754" t="s">
        <v>783</v>
      </c>
      <c r="B754" t="s">
        <v>13</v>
      </c>
      <c r="C754" t="s">
        <v>14</v>
      </c>
      <c r="D754" t="s">
        <v>15</v>
      </c>
      <c r="E754" t="s">
        <v>16</v>
      </c>
      <c r="F754" t="s">
        <v>23</v>
      </c>
      <c r="G754" t="s">
        <v>1040</v>
      </c>
      <c r="H754" t="s">
        <v>1042</v>
      </c>
      <c r="I754" s="1">
        <v>43518</v>
      </c>
      <c r="J754" t="s">
        <v>1045</v>
      </c>
      <c r="K754" s="5">
        <v>0.52083333333333337</v>
      </c>
      <c r="L754" t="s">
        <v>18</v>
      </c>
      <c r="M754">
        <v>8.7100000000000009</v>
      </c>
      <c r="N754">
        <v>7</v>
      </c>
    </row>
    <row r="755" spans="1:14" x14ac:dyDescent="0.25">
      <c r="A755" t="s">
        <v>784</v>
      </c>
      <c r="B755" t="s">
        <v>37</v>
      </c>
      <c r="C755" t="s">
        <v>38</v>
      </c>
      <c r="D755" t="s">
        <v>22</v>
      </c>
      <c r="E755" t="s">
        <v>26</v>
      </c>
      <c r="F755" t="s">
        <v>27</v>
      </c>
      <c r="G755" t="s">
        <v>1036</v>
      </c>
      <c r="H755" t="s">
        <v>1041</v>
      </c>
      <c r="I755" s="1">
        <v>43489</v>
      </c>
      <c r="J755" t="s">
        <v>1045</v>
      </c>
      <c r="K755" s="5">
        <v>0.62847222222222221</v>
      </c>
      <c r="L755" t="s">
        <v>18</v>
      </c>
      <c r="M755">
        <v>18.32</v>
      </c>
      <c r="N755">
        <v>8.4</v>
      </c>
    </row>
    <row r="756" spans="1:14" x14ac:dyDescent="0.25">
      <c r="A756" t="s">
        <v>785</v>
      </c>
      <c r="B756" t="s">
        <v>20</v>
      </c>
      <c r="C756" t="s">
        <v>21</v>
      </c>
      <c r="D756" t="s">
        <v>15</v>
      </c>
      <c r="E756" t="s">
        <v>16</v>
      </c>
      <c r="F756" t="s">
        <v>41</v>
      </c>
      <c r="G756" t="s">
        <v>1036</v>
      </c>
      <c r="H756" t="s">
        <v>1041</v>
      </c>
      <c r="I756" s="1">
        <v>43490</v>
      </c>
      <c r="J756" t="s">
        <v>1046</v>
      </c>
      <c r="K756" s="5">
        <v>0.77083333333333337</v>
      </c>
      <c r="L756" t="s">
        <v>18</v>
      </c>
      <c r="M756">
        <v>12.730499999999999</v>
      </c>
      <c r="N756">
        <v>7.4</v>
      </c>
    </row>
    <row r="757" spans="1:14" x14ac:dyDescent="0.25">
      <c r="A757" t="s">
        <v>786</v>
      </c>
      <c r="B757" t="s">
        <v>13</v>
      </c>
      <c r="C757" t="s">
        <v>14</v>
      </c>
      <c r="D757" t="s">
        <v>22</v>
      </c>
      <c r="E757" t="s">
        <v>16</v>
      </c>
      <c r="F757" t="s">
        <v>41</v>
      </c>
      <c r="G757" t="s">
        <v>1036</v>
      </c>
      <c r="H757" t="s">
        <v>1043</v>
      </c>
      <c r="I757" s="1">
        <v>43533</v>
      </c>
      <c r="J757" t="s">
        <v>1045</v>
      </c>
      <c r="K757" s="5">
        <v>0.5541666666666667</v>
      </c>
      <c r="L757" t="s">
        <v>28</v>
      </c>
      <c r="M757">
        <v>38.915999999999997</v>
      </c>
      <c r="N757">
        <v>6.2</v>
      </c>
    </row>
    <row r="758" spans="1:14" x14ac:dyDescent="0.25">
      <c r="A758" t="s">
        <v>787</v>
      </c>
      <c r="B758" t="s">
        <v>37</v>
      </c>
      <c r="C758" t="s">
        <v>38</v>
      </c>
      <c r="D758" t="s">
        <v>15</v>
      </c>
      <c r="E758" t="s">
        <v>16</v>
      </c>
      <c r="F758" t="s">
        <v>23</v>
      </c>
      <c r="G758" t="s">
        <v>1040</v>
      </c>
      <c r="H758" t="s">
        <v>1042</v>
      </c>
      <c r="I758" s="1">
        <v>43513</v>
      </c>
      <c r="J758" t="s">
        <v>1045</v>
      </c>
      <c r="K758" s="5">
        <v>0.64444444444444449</v>
      </c>
      <c r="L758" t="s">
        <v>18</v>
      </c>
      <c r="M758">
        <v>14.295999999999999</v>
      </c>
      <c r="N758">
        <v>4.9000000000000004</v>
      </c>
    </row>
    <row r="759" spans="1:14" x14ac:dyDescent="0.25">
      <c r="A759" t="s">
        <v>788</v>
      </c>
      <c r="B759" t="s">
        <v>13</v>
      </c>
      <c r="C759" t="s">
        <v>14</v>
      </c>
      <c r="D759" t="s">
        <v>22</v>
      </c>
      <c r="E759" t="s">
        <v>16</v>
      </c>
      <c r="F759" t="s">
        <v>27</v>
      </c>
      <c r="G759" t="s">
        <v>1034</v>
      </c>
      <c r="H759" t="s">
        <v>1041</v>
      </c>
      <c r="I759" s="1">
        <v>43476</v>
      </c>
      <c r="J759" t="s">
        <v>1044</v>
      </c>
      <c r="K759" s="5">
        <v>0.49444444444444446</v>
      </c>
      <c r="L759" t="s">
        <v>24</v>
      </c>
      <c r="M759">
        <v>28.956</v>
      </c>
      <c r="N759">
        <v>4.5</v>
      </c>
    </row>
    <row r="760" spans="1:14" x14ac:dyDescent="0.25">
      <c r="A760" t="s">
        <v>789</v>
      </c>
      <c r="B760" t="s">
        <v>13</v>
      </c>
      <c r="C760" t="s">
        <v>14</v>
      </c>
      <c r="D760" t="s">
        <v>15</v>
      </c>
      <c r="E760" t="s">
        <v>26</v>
      </c>
      <c r="F760" t="s">
        <v>39</v>
      </c>
      <c r="G760" t="s">
        <v>1034</v>
      </c>
      <c r="H760" t="s">
        <v>1042</v>
      </c>
      <c r="I760" s="1">
        <v>43523</v>
      </c>
      <c r="J760" t="s">
        <v>1046</v>
      </c>
      <c r="K760" s="5">
        <v>0.76666666666666661</v>
      </c>
      <c r="L760" t="s">
        <v>18</v>
      </c>
      <c r="M760">
        <v>9.4250000000000007</v>
      </c>
      <c r="N760">
        <v>5.6</v>
      </c>
    </row>
    <row r="761" spans="1:14" x14ac:dyDescent="0.25">
      <c r="A761" t="s">
        <v>790</v>
      </c>
      <c r="B761" t="s">
        <v>13</v>
      </c>
      <c r="C761" t="s">
        <v>14</v>
      </c>
      <c r="D761" t="s">
        <v>22</v>
      </c>
      <c r="E761" t="s">
        <v>16</v>
      </c>
      <c r="F761" t="s">
        <v>39</v>
      </c>
      <c r="G761" t="s">
        <v>1038</v>
      </c>
      <c r="H761" t="s">
        <v>1043</v>
      </c>
      <c r="I761" s="1">
        <v>43549</v>
      </c>
      <c r="J761" t="s">
        <v>1045</v>
      </c>
      <c r="K761" s="5">
        <v>0.6381944444444444</v>
      </c>
      <c r="L761" t="s">
        <v>18</v>
      </c>
      <c r="M761">
        <v>11.077999999999999</v>
      </c>
      <c r="N761">
        <v>8</v>
      </c>
    </row>
    <row r="762" spans="1:14" x14ac:dyDescent="0.25">
      <c r="A762" t="s">
        <v>791</v>
      </c>
      <c r="B762" t="s">
        <v>37</v>
      </c>
      <c r="C762" t="s">
        <v>38</v>
      </c>
      <c r="D762" t="s">
        <v>15</v>
      </c>
      <c r="E762" t="s">
        <v>16</v>
      </c>
      <c r="F762" t="s">
        <v>39</v>
      </c>
      <c r="G762" t="s">
        <v>1039</v>
      </c>
      <c r="H762" t="s">
        <v>1042</v>
      </c>
      <c r="I762" s="1">
        <v>43507</v>
      </c>
      <c r="J762" t="s">
        <v>1044</v>
      </c>
      <c r="K762" s="5">
        <v>0.44305555555555554</v>
      </c>
      <c r="L762" t="s">
        <v>28</v>
      </c>
      <c r="M762">
        <v>38.6</v>
      </c>
      <c r="N762">
        <v>5.6</v>
      </c>
    </row>
    <row r="763" spans="1:14" x14ac:dyDescent="0.25">
      <c r="A763" t="s">
        <v>792</v>
      </c>
      <c r="B763" t="s">
        <v>37</v>
      </c>
      <c r="C763" t="s">
        <v>38</v>
      </c>
      <c r="D763" t="s">
        <v>22</v>
      </c>
      <c r="E763" t="s">
        <v>26</v>
      </c>
      <c r="F763" t="s">
        <v>23</v>
      </c>
      <c r="G763" t="s">
        <v>1037</v>
      </c>
      <c r="H763" t="s">
        <v>1041</v>
      </c>
      <c r="I763" s="1">
        <v>43496</v>
      </c>
      <c r="J763" t="s">
        <v>1045</v>
      </c>
      <c r="K763" s="5">
        <v>0.6333333333333333</v>
      </c>
      <c r="L763" t="s">
        <v>28</v>
      </c>
      <c r="M763">
        <v>36.064999999999998</v>
      </c>
      <c r="N763">
        <v>4.2</v>
      </c>
    </row>
    <row r="764" spans="1:14" x14ac:dyDescent="0.25">
      <c r="A764" t="s">
        <v>793</v>
      </c>
      <c r="B764" t="s">
        <v>13</v>
      </c>
      <c r="C764" t="s">
        <v>14</v>
      </c>
      <c r="D764" t="s">
        <v>15</v>
      </c>
      <c r="E764" t="s">
        <v>16</v>
      </c>
      <c r="F764" t="s">
        <v>41</v>
      </c>
      <c r="G764" t="s">
        <v>1036</v>
      </c>
      <c r="H764" t="s">
        <v>1041</v>
      </c>
      <c r="I764" s="1">
        <v>43485</v>
      </c>
      <c r="J764" t="s">
        <v>1046</v>
      </c>
      <c r="K764" s="5">
        <v>0.7416666666666667</v>
      </c>
      <c r="L764" t="s">
        <v>18</v>
      </c>
      <c r="M764">
        <v>25.552</v>
      </c>
      <c r="N764">
        <v>9.9</v>
      </c>
    </row>
    <row r="765" spans="1:14" x14ac:dyDescent="0.25">
      <c r="A765" t="s">
        <v>794</v>
      </c>
      <c r="B765" t="s">
        <v>13</v>
      </c>
      <c r="C765" t="s">
        <v>14</v>
      </c>
      <c r="D765" t="s">
        <v>15</v>
      </c>
      <c r="E765" t="s">
        <v>16</v>
      </c>
      <c r="F765" t="s">
        <v>17</v>
      </c>
      <c r="G765" t="s">
        <v>1038</v>
      </c>
      <c r="H765" t="s">
        <v>1043</v>
      </c>
      <c r="I765" s="1">
        <v>43550</v>
      </c>
      <c r="J765" t="s">
        <v>1044</v>
      </c>
      <c r="K765" s="5">
        <v>0.46319444444444446</v>
      </c>
      <c r="L765" t="s">
        <v>18</v>
      </c>
      <c r="M765">
        <v>2.6724999999999999</v>
      </c>
      <c r="N765">
        <v>7.6</v>
      </c>
    </row>
    <row r="766" spans="1:14" x14ac:dyDescent="0.25">
      <c r="A766" t="s">
        <v>795</v>
      </c>
      <c r="B766" t="s">
        <v>13</v>
      </c>
      <c r="C766" t="s">
        <v>14</v>
      </c>
      <c r="D766" t="s">
        <v>15</v>
      </c>
      <c r="E766" t="s">
        <v>26</v>
      </c>
      <c r="F766" t="s">
        <v>17</v>
      </c>
      <c r="G766" t="s">
        <v>1036</v>
      </c>
      <c r="H766" t="s">
        <v>1041</v>
      </c>
      <c r="I766" s="1">
        <v>43485</v>
      </c>
      <c r="J766" t="s">
        <v>1045</v>
      </c>
      <c r="K766" s="5">
        <v>0.65833333333333333</v>
      </c>
      <c r="L766" t="s">
        <v>28</v>
      </c>
      <c r="M766">
        <v>11.1</v>
      </c>
      <c r="N766">
        <v>6.6</v>
      </c>
    </row>
    <row r="767" spans="1:14" x14ac:dyDescent="0.25">
      <c r="A767" t="s">
        <v>796</v>
      </c>
      <c r="B767" t="s">
        <v>37</v>
      </c>
      <c r="C767" t="s">
        <v>38</v>
      </c>
      <c r="D767" t="s">
        <v>22</v>
      </c>
      <c r="E767" t="s">
        <v>16</v>
      </c>
      <c r="F767" t="s">
        <v>27</v>
      </c>
      <c r="G767" t="s">
        <v>1035</v>
      </c>
      <c r="H767" t="s">
        <v>1043</v>
      </c>
      <c r="I767" s="1">
        <v>43529</v>
      </c>
      <c r="J767" t="s">
        <v>1046</v>
      </c>
      <c r="K767" s="5">
        <v>0.81944444444444453</v>
      </c>
      <c r="L767" t="s">
        <v>18</v>
      </c>
      <c r="M767">
        <v>38.183999999999997</v>
      </c>
      <c r="N767">
        <v>4.7</v>
      </c>
    </row>
    <row r="768" spans="1:14" x14ac:dyDescent="0.25">
      <c r="A768" t="s">
        <v>797</v>
      </c>
      <c r="B768" t="s">
        <v>20</v>
      </c>
      <c r="C768" t="s">
        <v>21</v>
      </c>
      <c r="D768" t="s">
        <v>22</v>
      </c>
      <c r="E768" t="s">
        <v>16</v>
      </c>
      <c r="F768" t="s">
        <v>41</v>
      </c>
      <c r="G768" t="s">
        <v>1034</v>
      </c>
      <c r="H768" t="s">
        <v>1041</v>
      </c>
      <c r="I768" s="1">
        <v>43470</v>
      </c>
      <c r="J768" t="s">
        <v>1046</v>
      </c>
      <c r="K768" s="5">
        <v>0.85416666666666663</v>
      </c>
      <c r="L768" t="s">
        <v>28</v>
      </c>
      <c r="M768">
        <v>11.409000000000001</v>
      </c>
      <c r="N768">
        <v>9.8000000000000007</v>
      </c>
    </row>
    <row r="769" spans="1:14" x14ac:dyDescent="0.25">
      <c r="A769" t="s">
        <v>798</v>
      </c>
      <c r="B769" t="s">
        <v>37</v>
      </c>
      <c r="C769" t="s">
        <v>38</v>
      </c>
      <c r="D769" t="s">
        <v>22</v>
      </c>
      <c r="E769" t="s">
        <v>26</v>
      </c>
      <c r="F769" t="s">
        <v>31</v>
      </c>
      <c r="G769" t="s">
        <v>1039</v>
      </c>
      <c r="H769" t="s">
        <v>1042</v>
      </c>
      <c r="I769" s="1">
        <v>43509</v>
      </c>
      <c r="J769" t="s">
        <v>1045</v>
      </c>
      <c r="K769" s="5">
        <v>0.58263888888888882</v>
      </c>
      <c r="L769" t="s">
        <v>24</v>
      </c>
      <c r="M769">
        <v>4.1070000000000002</v>
      </c>
      <c r="N769">
        <v>6.3</v>
      </c>
    </row>
    <row r="770" spans="1:14" x14ac:dyDescent="0.25">
      <c r="A770" t="s">
        <v>799</v>
      </c>
      <c r="B770" t="s">
        <v>37</v>
      </c>
      <c r="C770" t="s">
        <v>38</v>
      </c>
      <c r="D770" t="s">
        <v>22</v>
      </c>
      <c r="E770" t="s">
        <v>16</v>
      </c>
      <c r="F770" t="s">
        <v>23</v>
      </c>
      <c r="G770" t="s">
        <v>1037</v>
      </c>
      <c r="H770" t="s">
        <v>1043</v>
      </c>
      <c r="I770" s="1">
        <v>43540</v>
      </c>
      <c r="J770" t="s">
        <v>1046</v>
      </c>
      <c r="K770" s="5">
        <v>0.78541666666666676</v>
      </c>
      <c r="L770" t="s">
        <v>24</v>
      </c>
      <c r="M770">
        <v>19.128</v>
      </c>
      <c r="N770">
        <v>7.9</v>
      </c>
    </row>
    <row r="771" spans="1:14" x14ac:dyDescent="0.25">
      <c r="A771" t="s">
        <v>800</v>
      </c>
      <c r="B771" t="s">
        <v>13</v>
      </c>
      <c r="C771" t="s">
        <v>14</v>
      </c>
      <c r="D771" t="s">
        <v>22</v>
      </c>
      <c r="E771" t="s">
        <v>16</v>
      </c>
      <c r="F771" t="s">
        <v>27</v>
      </c>
      <c r="G771" t="s">
        <v>1035</v>
      </c>
      <c r="H771" t="s">
        <v>1041</v>
      </c>
      <c r="I771" s="1">
        <v>43480</v>
      </c>
      <c r="J771" t="s">
        <v>1046</v>
      </c>
      <c r="K771" s="5">
        <v>0.72499999999999998</v>
      </c>
      <c r="L771" t="s">
        <v>24</v>
      </c>
      <c r="M771">
        <v>3.4289999999999998</v>
      </c>
      <c r="N771">
        <v>7.7</v>
      </c>
    </row>
    <row r="772" spans="1:14" x14ac:dyDescent="0.25">
      <c r="A772" t="s">
        <v>801</v>
      </c>
      <c r="B772" t="s">
        <v>37</v>
      </c>
      <c r="C772" t="s">
        <v>38</v>
      </c>
      <c r="D772" t="s">
        <v>15</v>
      </c>
      <c r="E772" t="s">
        <v>16</v>
      </c>
      <c r="F772" t="s">
        <v>31</v>
      </c>
      <c r="G772" t="s">
        <v>1034</v>
      </c>
      <c r="H772" t="s">
        <v>1042</v>
      </c>
      <c r="I772" s="1">
        <v>43522</v>
      </c>
      <c r="J772" t="s">
        <v>1044</v>
      </c>
      <c r="K772" s="5">
        <v>0.49861111111111112</v>
      </c>
      <c r="L772" t="s">
        <v>18</v>
      </c>
      <c r="M772">
        <v>19.108000000000001</v>
      </c>
      <c r="N772">
        <v>4.5</v>
      </c>
    </row>
    <row r="773" spans="1:14" x14ac:dyDescent="0.25">
      <c r="A773" t="s">
        <v>802</v>
      </c>
      <c r="B773" t="s">
        <v>20</v>
      </c>
      <c r="C773" t="s">
        <v>21</v>
      </c>
      <c r="D773" t="s">
        <v>15</v>
      </c>
      <c r="E773" t="s">
        <v>16</v>
      </c>
      <c r="F773" t="s">
        <v>17</v>
      </c>
      <c r="G773" t="s">
        <v>1034</v>
      </c>
      <c r="H773" t="s">
        <v>1042</v>
      </c>
      <c r="I773" s="1">
        <v>43523</v>
      </c>
      <c r="J773" t="s">
        <v>1046</v>
      </c>
      <c r="K773" s="5">
        <v>0.79236111111111107</v>
      </c>
      <c r="L773" t="s">
        <v>28</v>
      </c>
      <c r="M773">
        <v>30.054500000000001</v>
      </c>
      <c r="N773">
        <v>8</v>
      </c>
    </row>
    <row r="774" spans="1:14" x14ac:dyDescent="0.25">
      <c r="A774" t="s">
        <v>803</v>
      </c>
      <c r="B774" t="s">
        <v>20</v>
      </c>
      <c r="C774" t="s">
        <v>21</v>
      </c>
      <c r="D774" t="s">
        <v>15</v>
      </c>
      <c r="E774" t="s">
        <v>16</v>
      </c>
      <c r="F774" t="s">
        <v>31</v>
      </c>
      <c r="G774" t="s">
        <v>1040</v>
      </c>
      <c r="H774" t="s">
        <v>1042</v>
      </c>
      <c r="I774" s="1">
        <v>43513</v>
      </c>
      <c r="J774" t="s">
        <v>1046</v>
      </c>
      <c r="K774" s="5">
        <v>0.70138888888888884</v>
      </c>
      <c r="L774" t="s">
        <v>18</v>
      </c>
      <c r="M774">
        <v>23.796500000000002</v>
      </c>
      <c r="N774">
        <v>5.7</v>
      </c>
    </row>
    <row r="775" spans="1:14" x14ac:dyDescent="0.25">
      <c r="A775" t="s">
        <v>804</v>
      </c>
      <c r="B775" t="s">
        <v>20</v>
      </c>
      <c r="C775" t="s">
        <v>21</v>
      </c>
      <c r="D775" t="s">
        <v>22</v>
      </c>
      <c r="E775" t="s">
        <v>16</v>
      </c>
      <c r="F775" t="s">
        <v>39</v>
      </c>
      <c r="G775" t="s">
        <v>1038</v>
      </c>
      <c r="H775" t="s">
        <v>1042</v>
      </c>
      <c r="I775" s="1">
        <v>43502</v>
      </c>
      <c r="J775" t="s">
        <v>1044</v>
      </c>
      <c r="K775" s="5">
        <v>0.43194444444444446</v>
      </c>
      <c r="L775" t="s">
        <v>28</v>
      </c>
      <c r="M775">
        <v>2.621</v>
      </c>
      <c r="N775">
        <v>6.3</v>
      </c>
    </row>
    <row r="776" spans="1:14" x14ac:dyDescent="0.25">
      <c r="A776" t="s">
        <v>805</v>
      </c>
      <c r="B776" t="s">
        <v>20</v>
      </c>
      <c r="C776" t="s">
        <v>21</v>
      </c>
      <c r="D776" t="s">
        <v>15</v>
      </c>
      <c r="E776" t="s">
        <v>26</v>
      </c>
      <c r="F776" t="s">
        <v>39</v>
      </c>
      <c r="G776" t="s">
        <v>1035</v>
      </c>
      <c r="H776" t="s">
        <v>1041</v>
      </c>
      <c r="I776" s="1">
        <v>43482</v>
      </c>
      <c r="J776" t="s">
        <v>1046</v>
      </c>
      <c r="K776" s="5">
        <v>0.69861111111111107</v>
      </c>
      <c r="L776" t="s">
        <v>24</v>
      </c>
      <c r="M776">
        <v>6.5650000000000004</v>
      </c>
      <c r="N776">
        <v>6</v>
      </c>
    </row>
    <row r="777" spans="1:14" x14ac:dyDescent="0.25">
      <c r="A777" t="s">
        <v>806</v>
      </c>
      <c r="B777" t="s">
        <v>37</v>
      </c>
      <c r="C777" t="s">
        <v>38</v>
      </c>
      <c r="D777" t="s">
        <v>22</v>
      </c>
      <c r="E777" t="s">
        <v>16</v>
      </c>
      <c r="F777" t="s">
        <v>39</v>
      </c>
      <c r="G777" t="s">
        <v>1036</v>
      </c>
      <c r="H777" t="s">
        <v>1041</v>
      </c>
      <c r="I777" s="1">
        <v>43487</v>
      </c>
      <c r="J777" t="s">
        <v>1046</v>
      </c>
      <c r="K777" s="5">
        <v>0.75555555555555554</v>
      </c>
      <c r="L777" t="s">
        <v>28</v>
      </c>
      <c r="M777">
        <v>7.2149999999999999</v>
      </c>
      <c r="N777">
        <v>8</v>
      </c>
    </row>
    <row r="778" spans="1:14" x14ac:dyDescent="0.25">
      <c r="A778" t="s">
        <v>807</v>
      </c>
      <c r="B778" t="s">
        <v>20</v>
      </c>
      <c r="C778" t="s">
        <v>21</v>
      </c>
      <c r="D778" t="s">
        <v>15</v>
      </c>
      <c r="E778" t="s">
        <v>26</v>
      </c>
      <c r="F778" t="s">
        <v>17</v>
      </c>
      <c r="G778" t="s">
        <v>1035</v>
      </c>
      <c r="H778" t="s">
        <v>1043</v>
      </c>
      <c r="I778" s="1">
        <v>43529</v>
      </c>
      <c r="J778" t="s">
        <v>1046</v>
      </c>
      <c r="K778" s="5">
        <v>0.75138888888888899</v>
      </c>
      <c r="L778" t="s">
        <v>28</v>
      </c>
      <c r="M778">
        <v>22.858499999999999</v>
      </c>
      <c r="N778">
        <v>4.2</v>
      </c>
    </row>
    <row r="779" spans="1:14" x14ac:dyDescent="0.25">
      <c r="A779" t="s">
        <v>808</v>
      </c>
      <c r="B779" t="s">
        <v>37</v>
      </c>
      <c r="C779" t="s">
        <v>38</v>
      </c>
      <c r="D779" t="s">
        <v>22</v>
      </c>
      <c r="E779" t="s">
        <v>26</v>
      </c>
      <c r="F779" t="s">
        <v>31</v>
      </c>
      <c r="G779" t="s">
        <v>1040</v>
      </c>
      <c r="H779" t="s">
        <v>1041</v>
      </c>
      <c r="I779" s="1">
        <v>43468</v>
      </c>
      <c r="J779" t="s">
        <v>1045</v>
      </c>
      <c r="K779" s="5">
        <v>0.54652777777777783</v>
      </c>
      <c r="L779" t="s">
        <v>24</v>
      </c>
      <c r="M779">
        <v>4.6689999999999996</v>
      </c>
      <c r="N779">
        <v>9.6</v>
      </c>
    </row>
    <row r="780" spans="1:14" x14ac:dyDescent="0.25">
      <c r="A780" t="s">
        <v>809</v>
      </c>
      <c r="B780" t="s">
        <v>20</v>
      </c>
      <c r="C780" t="s">
        <v>21</v>
      </c>
      <c r="D780" t="s">
        <v>15</v>
      </c>
      <c r="E780" t="s">
        <v>26</v>
      </c>
      <c r="F780" t="s">
        <v>31</v>
      </c>
      <c r="G780" t="s">
        <v>1037</v>
      </c>
      <c r="H780" t="s">
        <v>1043</v>
      </c>
      <c r="I780" s="1">
        <v>43544</v>
      </c>
      <c r="J780" t="s">
        <v>1046</v>
      </c>
      <c r="K780" s="5">
        <v>0.74444444444444446</v>
      </c>
      <c r="L780" t="s">
        <v>24</v>
      </c>
      <c r="M780">
        <v>6.3125</v>
      </c>
      <c r="N780">
        <v>6.1</v>
      </c>
    </row>
    <row r="781" spans="1:14" x14ac:dyDescent="0.25">
      <c r="A781" t="s">
        <v>810</v>
      </c>
      <c r="B781" t="s">
        <v>37</v>
      </c>
      <c r="C781" t="s">
        <v>38</v>
      </c>
      <c r="D781" t="s">
        <v>15</v>
      </c>
      <c r="E781" t="s">
        <v>26</v>
      </c>
      <c r="F781" t="s">
        <v>23</v>
      </c>
      <c r="G781" t="s">
        <v>1037</v>
      </c>
      <c r="H781" t="s">
        <v>1041</v>
      </c>
      <c r="I781" s="1">
        <v>43496</v>
      </c>
      <c r="J781" t="s">
        <v>1046</v>
      </c>
      <c r="K781" s="5">
        <v>0.85555555555555562</v>
      </c>
      <c r="L781" t="s">
        <v>18</v>
      </c>
      <c r="M781">
        <v>39.541499999999999</v>
      </c>
      <c r="N781">
        <v>5.6</v>
      </c>
    </row>
    <row r="782" spans="1:14" x14ac:dyDescent="0.25">
      <c r="A782" t="s">
        <v>811</v>
      </c>
      <c r="B782" t="s">
        <v>20</v>
      </c>
      <c r="C782" t="s">
        <v>21</v>
      </c>
      <c r="D782" t="s">
        <v>22</v>
      </c>
      <c r="E782" t="s">
        <v>26</v>
      </c>
      <c r="F782" t="s">
        <v>17</v>
      </c>
      <c r="G782" t="s">
        <v>1040</v>
      </c>
      <c r="H782" t="s">
        <v>1042</v>
      </c>
      <c r="I782" s="1">
        <v>43515</v>
      </c>
      <c r="J782" t="s">
        <v>1046</v>
      </c>
      <c r="K782" s="5">
        <v>0.80833333333333324</v>
      </c>
      <c r="L782" t="s">
        <v>24</v>
      </c>
      <c r="M782">
        <v>8.7200000000000006</v>
      </c>
      <c r="N782">
        <v>8.3000000000000007</v>
      </c>
    </row>
    <row r="783" spans="1:14" x14ac:dyDescent="0.25">
      <c r="A783" t="s">
        <v>812</v>
      </c>
      <c r="B783" t="s">
        <v>13</v>
      </c>
      <c r="C783" t="s">
        <v>14</v>
      </c>
      <c r="D783" t="s">
        <v>22</v>
      </c>
      <c r="E783" t="s">
        <v>16</v>
      </c>
      <c r="F783" t="s">
        <v>31</v>
      </c>
      <c r="G783" t="s">
        <v>1039</v>
      </c>
      <c r="H783" t="s">
        <v>1042</v>
      </c>
      <c r="I783" s="1">
        <v>43507</v>
      </c>
      <c r="J783" t="s">
        <v>1046</v>
      </c>
      <c r="K783" s="5">
        <v>0.67083333333333339</v>
      </c>
      <c r="L783" t="s">
        <v>18</v>
      </c>
      <c r="M783">
        <v>18.952000000000002</v>
      </c>
      <c r="N783">
        <v>7.8</v>
      </c>
    </row>
    <row r="784" spans="1:14" x14ac:dyDescent="0.25">
      <c r="A784" t="s">
        <v>813</v>
      </c>
      <c r="B784" t="s">
        <v>13</v>
      </c>
      <c r="C784" t="s">
        <v>14</v>
      </c>
      <c r="D784" t="s">
        <v>15</v>
      </c>
      <c r="E784" t="s">
        <v>16</v>
      </c>
      <c r="F784" t="s">
        <v>41</v>
      </c>
      <c r="G784" t="s">
        <v>1038</v>
      </c>
      <c r="H784" t="s">
        <v>1042</v>
      </c>
      <c r="I784" s="1">
        <v>43501</v>
      </c>
      <c r="J784" t="s">
        <v>1045</v>
      </c>
      <c r="K784" s="5">
        <v>0.59305555555555556</v>
      </c>
      <c r="L784" t="s">
        <v>28</v>
      </c>
      <c r="M784">
        <v>1.5309999999999999</v>
      </c>
      <c r="N784">
        <v>4.0999999999999996</v>
      </c>
    </row>
    <row r="785" spans="1:14" x14ac:dyDescent="0.25">
      <c r="A785" t="s">
        <v>814</v>
      </c>
      <c r="B785" t="s">
        <v>20</v>
      </c>
      <c r="C785" t="s">
        <v>21</v>
      </c>
      <c r="D785" t="s">
        <v>22</v>
      </c>
      <c r="E785" t="s">
        <v>16</v>
      </c>
      <c r="F785" t="s">
        <v>27</v>
      </c>
      <c r="G785" t="s">
        <v>1035</v>
      </c>
      <c r="H785" t="s">
        <v>1043</v>
      </c>
      <c r="I785" s="1">
        <v>43527</v>
      </c>
      <c r="J785" t="s">
        <v>1046</v>
      </c>
      <c r="K785" s="5">
        <v>0.73333333333333339</v>
      </c>
      <c r="L785" t="s">
        <v>24</v>
      </c>
      <c r="M785">
        <v>17.603999999999999</v>
      </c>
      <c r="N785">
        <v>8.8000000000000007</v>
      </c>
    </row>
    <row r="786" spans="1:14" x14ac:dyDescent="0.25">
      <c r="A786" t="s">
        <v>815</v>
      </c>
      <c r="B786" t="s">
        <v>20</v>
      </c>
      <c r="C786" t="s">
        <v>21</v>
      </c>
      <c r="D786" t="s">
        <v>15</v>
      </c>
      <c r="E786" t="s">
        <v>16</v>
      </c>
      <c r="F786" t="s">
        <v>17</v>
      </c>
      <c r="G786" t="s">
        <v>1034</v>
      </c>
      <c r="H786" t="s">
        <v>1042</v>
      </c>
      <c r="I786" s="1">
        <v>43520</v>
      </c>
      <c r="J786" t="s">
        <v>1045</v>
      </c>
      <c r="K786" s="5">
        <v>0.54722222222222217</v>
      </c>
      <c r="L786" t="s">
        <v>18</v>
      </c>
      <c r="M786">
        <v>2.54</v>
      </c>
      <c r="N786">
        <v>4.0999999999999996</v>
      </c>
    </row>
    <row r="787" spans="1:14" x14ac:dyDescent="0.25">
      <c r="A787" t="s">
        <v>816</v>
      </c>
      <c r="B787" t="s">
        <v>13</v>
      </c>
      <c r="C787" t="s">
        <v>14</v>
      </c>
      <c r="D787" t="s">
        <v>22</v>
      </c>
      <c r="E787" t="s">
        <v>26</v>
      </c>
      <c r="F787" t="s">
        <v>23</v>
      </c>
      <c r="G787" t="s">
        <v>1038</v>
      </c>
      <c r="H787" t="s">
        <v>1042</v>
      </c>
      <c r="I787" s="1">
        <v>43500</v>
      </c>
      <c r="J787" t="s">
        <v>1046</v>
      </c>
      <c r="K787" s="5">
        <v>0.67291666666666661</v>
      </c>
      <c r="L787" t="s">
        <v>28</v>
      </c>
      <c r="M787">
        <v>26.103000000000002</v>
      </c>
      <c r="N787">
        <v>9</v>
      </c>
    </row>
    <row r="788" spans="1:14" x14ac:dyDescent="0.25">
      <c r="A788" t="s">
        <v>817</v>
      </c>
      <c r="B788" t="s">
        <v>20</v>
      </c>
      <c r="C788" t="s">
        <v>21</v>
      </c>
      <c r="D788" t="s">
        <v>22</v>
      </c>
      <c r="E788" t="s">
        <v>26</v>
      </c>
      <c r="F788" t="s">
        <v>23</v>
      </c>
      <c r="G788" t="s">
        <v>1040</v>
      </c>
      <c r="H788" t="s">
        <v>1042</v>
      </c>
      <c r="I788" s="1">
        <v>43515</v>
      </c>
      <c r="J788" t="s">
        <v>1044</v>
      </c>
      <c r="K788" s="5">
        <v>0.48125000000000001</v>
      </c>
      <c r="L788" t="s">
        <v>18</v>
      </c>
      <c r="M788">
        <v>28.756</v>
      </c>
      <c r="N788">
        <v>5.5</v>
      </c>
    </row>
    <row r="789" spans="1:14" x14ac:dyDescent="0.25">
      <c r="A789" t="s">
        <v>818</v>
      </c>
      <c r="B789" t="s">
        <v>20</v>
      </c>
      <c r="C789" t="s">
        <v>21</v>
      </c>
      <c r="D789" t="s">
        <v>22</v>
      </c>
      <c r="E789" t="s">
        <v>16</v>
      </c>
      <c r="F789" t="s">
        <v>17</v>
      </c>
      <c r="G789" t="s">
        <v>1036</v>
      </c>
      <c r="H789" t="s">
        <v>1041</v>
      </c>
      <c r="I789" s="1">
        <v>43488</v>
      </c>
      <c r="J789" t="s">
        <v>1044</v>
      </c>
      <c r="K789" s="5">
        <v>0.4291666666666667</v>
      </c>
      <c r="L789" t="s">
        <v>28</v>
      </c>
      <c r="M789">
        <v>2.7475000000000001</v>
      </c>
      <c r="N789">
        <v>9.3000000000000007</v>
      </c>
    </row>
    <row r="790" spans="1:14" x14ac:dyDescent="0.25">
      <c r="A790" t="s">
        <v>819</v>
      </c>
      <c r="B790" t="s">
        <v>20</v>
      </c>
      <c r="C790" t="s">
        <v>21</v>
      </c>
      <c r="D790" t="s">
        <v>15</v>
      </c>
      <c r="E790" t="s">
        <v>26</v>
      </c>
      <c r="F790" t="s">
        <v>17</v>
      </c>
      <c r="G790" t="s">
        <v>1035</v>
      </c>
      <c r="H790" t="s">
        <v>1041</v>
      </c>
      <c r="I790" s="1">
        <v>43479</v>
      </c>
      <c r="J790" t="s">
        <v>1044</v>
      </c>
      <c r="K790" s="5">
        <v>0.4548611111111111</v>
      </c>
      <c r="L790" t="s">
        <v>28</v>
      </c>
      <c r="M790">
        <v>9.0704999999999991</v>
      </c>
      <c r="N790">
        <v>5.6</v>
      </c>
    </row>
    <row r="791" spans="1:14" x14ac:dyDescent="0.25">
      <c r="A791" t="s">
        <v>820</v>
      </c>
      <c r="B791" t="s">
        <v>13</v>
      </c>
      <c r="C791" t="s">
        <v>14</v>
      </c>
      <c r="D791" t="s">
        <v>22</v>
      </c>
      <c r="E791" t="s">
        <v>26</v>
      </c>
      <c r="F791" t="s">
        <v>31</v>
      </c>
      <c r="G791" t="s">
        <v>1035</v>
      </c>
      <c r="H791" t="s">
        <v>1041</v>
      </c>
      <c r="I791" s="1">
        <v>43482</v>
      </c>
      <c r="J791" t="s">
        <v>1045</v>
      </c>
      <c r="K791" s="5">
        <v>0.63541666666666663</v>
      </c>
      <c r="L791" t="s">
        <v>18</v>
      </c>
      <c r="M791">
        <v>20.618500000000001</v>
      </c>
      <c r="N791">
        <v>9.6999999999999993</v>
      </c>
    </row>
    <row r="792" spans="1:14" x14ac:dyDescent="0.25">
      <c r="A792" t="s">
        <v>821</v>
      </c>
      <c r="B792" t="s">
        <v>13</v>
      </c>
      <c r="C792" t="s">
        <v>14</v>
      </c>
      <c r="D792" t="s">
        <v>22</v>
      </c>
      <c r="E792" t="s">
        <v>26</v>
      </c>
      <c r="F792" t="s">
        <v>41</v>
      </c>
      <c r="G792" t="s">
        <v>1035</v>
      </c>
      <c r="H792" t="s">
        <v>1043</v>
      </c>
      <c r="I792" s="1">
        <v>43527</v>
      </c>
      <c r="J792" t="s">
        <v>1046</v>
      </c>
      <c r="K792" s="5">
        <v>0.83750000000000002</v>
      </c>
      <c r="L792" t="s">
        <v>28</v>
      </c>
      <c r="M792">
        <v>2.3205</v>
      </c>
      <c r="N792">
        <v>4</v>
      </c>
    </row>
    <row r="793" spans="1:14" x14ac:dyDescent="0.25">
      <c r="A793" t="s">
        <v>822</v>
      </c>
      <c r="B793" t="s">
        <v>20</v>
      </c>
      <c r="C793" t="s">
        <v>21</v>
      </c>
      <c r="D793" t="s">
        <v>15</v>
      </c>
      <c r="E793" t="s">
        <v>26</v>
      </c>
      <c r="F793" t="s">
        <v>17</v>
      </c>
      <c r="G793" t="s">
        <v>1039</v>
      </c>
      <c r="H793" t="s">
        <v>1042</v>
      </c>
      <c r="I793" s="1">
        <v>43511</v>
      </c>
      <c r="J793" t="s">
        <v>1046</v>
      </c>
      <c r="K793" s="5">
        <v>0.84791666666666676</v>
      </c>
      <c r="L793" t="s">
        <v>28</v>
      </c>
      <c r="M793">
        <v>13.71</v>
      </c>
      <c r="N793">
        <v>9.1999999999999993</v>
      </c>
    </row>
    <row r="794" spans="1:14" x14ac:dyDescent="0.25">
      <c r="A794" t="s">
        <v>823</v>
      </c>
      <c r="B794" t="s">
        <v>37</v>
      </c>
      <c r="C794" t="s">
        <v>38</v>
      </c>
      <c r="D794" t="s">
        <v>22</v>
      </c>
      <c r="E794" t="s">
        <v>16</v>
      </c>
      <c r="F794" t="s">
        <v>27</v>
      </c>
      <c r="G794" t="s">
        <v>1035</v>
      </c>
      <c r="H794" t="s">
        <v>1041</v>
      </c>
      <c r="I794" s="1">
        <v>43480</v>
      </c>
      <c r="J794" t="s">
        <v>1045</v>
      </c>
      <c r="K794" s="5">
        <v>0.57500000000000007</v>
      </c>
      <c r="L794" t="s">
        <v>28</v>
      </c>
      <c r="M794">
        <v>48.685000000000002</v>
      </c>
      <c r="N794">
        <v>4.9000000000000004</v>
      </c>
    </row>
    <row r="795" spans="1:14" x14ac:dyDescent="0.25">
      <c r="A795" t="s">
        <v>824</v>
      </c>
      <c r="B795" t="s">
        <v>13</v>
      </c>
      <c r="C795" t="s">
        <v>14</v>
      </c>
      <c r="D795" t="s">
        <v>15</v>
      </c>
      <c r="E795" t="s">
        <v>26</v>
      </c>
      <c r="F795" t="s">
        <v>23</v>
      </c>
      <c r="G795" t="s">
        <v>1034</v>
      </c>
      <c r="H795" t="s">
        <v>1042</v>
      </c>
      <c r="I795" s="1">
        <v>43523</v>
      </c>
      <c r="J795" t="s">
        <v>1045</v>
      </c>
      <c r="K795" s="5">
        <v>0.53611111111111109</v>
      </c>
      <c r="L795" t="s">
        <v>28</v>
      </c>
      <c r="M795">
        <v>32.409999999999997</v>
      </c>
      <c r="N795">
        <v>9.3000000000000007</v>
      </c>
    </row>
    <row r="796" spans="1:14" x14ac:dyDescent="0.25">
      <c r="A796" t="s">
        <v>825</v>
      </c>
      <c r="B796" t="s">
        <v>13</v>
      </c>
      <c r="C796" t="s">
        <v>14</v>
      </c>
      <c r="D796" t="s">
        <v>22</v>
      </c>
      <c r="E796" t="s">
        <v>16</v>
      </c>
      <c r="F796" t="s">
        <v>23</v>
      </c>
      <c r="G796" t="s">
        <v>1034</v>
      </c>
      <c r="H796" t="s">
        <v>1042</v>
      </c>
      <c r="I796" s="1">
        <v>43522</v>
      </c>
      <c r="J796" t="s">
        <v>1045</v>
      </c>
      <c r="K796" s="5">
        <v>0.51944444444444449</v>
      </c>
      <c r="L796" t="s">
        <v>28</v>
      </c>
      <c r="M796">
        <v>4.6609999999999996</v>
      </c>
      <c r="N796">
        <v>6.6</v>
      </c>
    </row>
    <row r="797" spans="1:14" x14ac:dyDescent="0.25">
      <c r="A797" t="s">
        <v>826</v>
      </c>
      <c r="B797" t="s">
        <v>37</v>
      </c>
      <c r="C797" t="s">
        <v>38</v>
      </c>
      <c r="D797" t="s">
        <v>22</v>
      </c>
      <c r="E797" t="s">
        <v>26</v>
      </c>
      <c r="F797" t="s">
        <v>41</v>
      </c>
      <c r="G797" t="s">
        <v>1036</v>
      </c>
      <c r="H797" t="s">
        <v>1043</v>
      </c>
      <c r="I797" s="1">
        <v>43539</v>
      </c>
      <c r="J797" t="s">
        <v>1046</v>
      </c>
      <c r="K797" s="5">
        <v>0.68472222222222223</v>
      </c>
      <c r="L797" t="s">
        <v>18</v>
      </c>
      <c r="M797">
        <v>2.718</v>
      </c>
      <c r="N797">
        <v>4.3</v>
      </c>
    </row>
    <row r="798" spans="1:14" x14ac:dyDescent="0.25">
      <c r="A798" t="s">
        <v>827</v>
      </c>
      <c r="B798" t="s">
        <v>20</v>
      </c>
      <c r="C798" t="s">
        <v>21</v>
      </c>
      <c r="D798" t="s">
        <v>15</v>
      </c>
      <c r="E798" t="s">
        <v>16</v>
      </c>
      <c r="F798" t="s">
        <v>27</v>
      </c>
      <c r="G798" t="s">
        <v>1036</v>
      </c>
      <c r="H798" t="s">
        <v>1041</v>
      </c>
      <c r="I798" s="1">
        <v>43489</v>
      </c>
      <c r="J798" t="s">
        <v>1045</v>
      </c>
      <c r="K798" s="5">
        <v>0.55833333333333335</v>
      </c>
      <c r="L798" t="s">
        <v>24</v>
      </c>
      <c r="M798">
        <v>3.0434999999999999</v>
      </c>
      <c r="N798">
        <v>5.5</v>
      </c>
    </row>
    <row r="799" spans="1:14" x14ac:dyDescent="0.25">
      <c r="A799" t="s">
        <v>828</v>
      </c>
      <c r="B799" t="s">
        <v>13</v>
      </c>
      <c r="C799" t="s">
        <v>14</v>
      </c>
      <c r="D799" t="s">
        <v>15</v>
      </c>
      <c r="E799" t="s">
        <v>16</v>
      </c>
      <c r="F799" t="s">
        <v>31</v>
      </c>
      <c r="G799" t="s">
        <v>1040</v>
      </c>
      <c r="H799" t="s">
        <v>1042</v>
      </c>
      <c r="I799" s="1">
        <v>43518</v>
      </c>
      <c r="J799" t="s">
        <v>1045</v>
      </c>
      <c r="K799" s="5">
        <v>0.63541666666666663</v>
      </c>
      <c r="L799" t="s">
        <v>24</v>
      </c>
      <c r="M799">
        <v>12.244999999999999</v>
      </c>
      <c r="N799">
        <v>8.1</v>
      </c>
    </row>
    <row r="800" spans="1:14" x14ac:dyDescent="0.25">
      <c r="A800" t="s">
        <v>829</v>
      </c>
      <c r="B800" t="s">
        <v>37</v>
      </c>
      <c r="C800" t="s">
        <v>38</v>
      </c>
      <c r="D800" t="s">
        <v>22</v>
      </c>
      <c r="E800" t="s">
        <v>26</v>
      </c>
      <c r="F800" t="s">
        <v>17</v>
      </c>
      <c r="G800" t="s">
        <v>1036</v>
      </c>
      <c r="H800" t="s">
        <v>1043</v>
      </c>
      <c r="I800" s="1">
        <v>43539</v>
      </c>
      <c r="J800" t="s">
        <v>1044</v>
      </c>
      <c r="K800" s="5">
        <v>0.4513888888888889</v>
      </c>
      <c r="L800" t="s">
        <v>28</v>
      </c>
      <c r="M800">
        <v>4.6390000000000002</v>
      </c>
      <c r="N800">
        <v>9.8000000000000007</v>
      </c>
    </row>
    <row r="801" spans="1:14" x14ac:dyDescent="0.25">
      <c r="A801" t="s">
        <v>830</v>
      </c>
      <c r="B801" t="s">
        <v>20</v>
      </c>
      <c r="C801" t="s">
        <v>21</v>
      </c>
      <c r="D801" t="s">
        <v>15</v>
      </c>
      <c r="E801" t="s">
        <v>26</v>
      </c>
      <c r="F801" t="s">
        <v>27</v>
      </c>
      <c r="G801" t="s">
        <v>1039</v>
      </c>
      <c r="H801" t="s">
        <v>1042</v>
      </c>
      <c r="I801" s="1">
        <v>43507</v>
      </c>
      <c r="J801" t="s">
        <v>1046</v>
      </c>
      <c r="K801" s="5">
        <v>0.77638888888888891</v>
      </c>
      <c r="L801" t="s">
        <v>18</v>
      </c>
      <c r="M801">
        <v>21.672499999999999</v>
      </c>
      <c r="N801">
        <v>9.4</v>
      </c>
    </row>
    <row r="802" spans="1:14" x14ac:dyDescent="0.25">
      <c r="A802" t="s">
        <v>831</v>
      </c>
      <c r="B802" t="s">
        <v>37</v>
      </c>
      <c r="C802" t="s">
        <v>38</v>
      </c>
      <c r="D802" t="s">
        <v>22</v>
      </c>
      <c r="E802" t="s">
        <v>26</v>
      </c>
      <c r="F802" t="s">
        <v>31</v>
      </c>
      <c r="G802" t="s">
        <v>1035</v>
      </c>
      <c r="H802" t="s">
        <v>1041</v>
      </c>
      <c r="I802" s="1">
        <v>43477</v>
      </c>
      <c r="J802" t="s">
        <v>1046</v>
      </c>
      <c r="K802" s="5">
        <v>0.69791666666666663</v>
      </c>
      <c r="L802" t="s">
        <v>18</v>
      </c>
      <c r="M802">
        <v>6.9029999999999996</v>
      </c>
      <c r="N802">
        <v>7.9</v>
      </c>
    </row>
    <row r="803" spans="1:14" x14ac:dyDescent="0.25">
      <c r="A803" t="s">
        <v>832</v>
      </c>
      <c r="B803" t="s">
        <v>20</v>
      </c>
      <c r="C803" t="s">
        <v>21</v>
      </c>
      <c r="D803" t="s">
        <v>15</v>
      </c>
      <c r="E803" t="s">
        <v>16</v>
      </c>
      <c r="F803" t="s">
        <v>23</v>
      </c>
      <c r="G803" t="s">
        <v>1035</v>
      </c>
      <c r="H803" t="s">
        <v>1043</v>
      </c>
      <c r="I803" s="1">
        <v>43527</v>
      </c>
      <c r="J803" t="s">
        <v>1046</v>
      </c>
      <c r="K803" s="5">
        <v>0.8125</v>
      </c>
      <c r="L803" t="s">
        <v>18</v>
      </c>
      <c r="M803">
        <v>12.08</v>
      </c>
      <c r="N803">
        <v>5.0999999999999996</v>
      </c>
    </row>
    <row r="804" spans="1:14" x14ac:dyDescent="0.25">
      <c r="A804" t="s">
        <v>833</v>
      </c>
      <c r="B804" t="s">
        <v>20</v>
      </c>
      <c r="C804" t="s">
        <v>21</v>
      </c>
      <c r="D804" t="s">
        <v>15</v>
      </c>
      <c r="E804" t="s">
        <v>26</v>
      </c>
      <c r="F804" t="s">
        <v>41</v>
      </c>
      <c r="G804" t="s">
        <v>1038</v>
      </c>
      <c r="H804" t="s">
        <v>1043</v>
      </c>
      <c r="I804" s="1">
        <v>43547</v>
      </c>
      <c r="J804" t="s">
        <v>1045</v>
      </c>
      <c r="K804" s="5">
        <v>0.55763888888888891</v>
      </c>
      <c r="L804" t="s">
        <v>18</v>
      </c>
      <c r="M804">
        <v>23.586500000000001</v>
      </c>
      <c r="N804">
        <v>6.9</v>
      </c>
    </row>
    <row r="805" spans="1:14" x14ac:dyDescent="0.25">
      <c r="A805" t="s">
        <v>834</v>
      </c>
      <c r="B805" t="s">
        <v>13</v>
      </c>
      <c r="C805" t="s">
        <v>14</v>
      </c>
      <c r="D805" t="s">
        <v>15</v>
      </c>
      <c r="E805" t="s">
        <v>16</v>
      </c>
      <c r="F805" t="s">
        <v>41</v>
      </c>
      <c r="G805" t="s">
        <v>1035</v>
      </c>
      <c r="H805" t="s">
        <v>1043</v>
      </c>
      <c r="I805" s="1">
        <v>43528</v>
      </c>
      <c r="J805" t="s">
        <v>1044</v>
      </c>
      <c r="K805" s="5">
        <v>0.4770833333333333</v>
      </c>
      <c r="L805" t="s">
        <v>24</v>
      </c>
      <c r="M805">
        <v>22.032</v>
      </c>
      <c r="N805">
        <v>8</v>
      </c>
    </row>
    <row r="806" spans="1:14" x14ac:dyDescent="0.25">
      <c r="A806" t="s">
        <v>835</v>
      </c>
      <c r="B806" t="s">
        <v>37</v>
      </c>
      <c r="C806" t="s">
        <v>38</v>
      </c>
      <c r="D806" t="s">
        <v>15</v>
      </c>
      <c r="E806" t="s">
        <v>16</v>
      </c>
      <c r="F806" t="s">
        <v>23</v>
      </c>
      <c r="G806" t="s">
        <v>1034</v>
      </c>
      <c r="H806" t="s">
        <v>1042</v>
      </c>
      <c r="I806" s="1">
        <v>43519</v>
      </c>
      <c r="J806" t="s">
        <v>1044</v>
      </c>
      <c r="K806" s="5">
        <v>0.46666666666666662</v>
      </c>
      <c r="L806" t="s">
        <v>24</v>
      </c>
      <c r="M806">
        <v>34.015500000000003</v>
      </c>
      <c r="N806">
        <v>8</v>
      </c>
    </row>
    <row r="807" spans="1:14" x14ac:dyDescent="0.25">
      <c r="A807" t="s">
        <v>836</v>
      </c>
      <c r="B807" t="s">
        <v>13</v>
      </c>
      <c r="C807" t="s">
        <v>14</v>
      </c>
      <c r="D807" t="s">
        <v>22</v>
      </c>
      <c r="E807" t="s">
        <v>16</v>
      </c>
      <c r="F807" t="s">
        <v>27</v>
      </c>
      <c r="G807" t="s">
        <v>1037</v>
      </c>
      <c r="H807" t="s">
        <v>1043</v>
      </c>
      <c r="I807" s="1">
        <v>43541</v>
      </c>
      <c r="J807" t="s">
        <v>1046</v>
      </c>
      <c r="K807" s="5">
        <v>0.69166666666666676</v>
      </c>
      <c r="L807" t="s">
        <v>24</v>
      </c>
      <c r="M807">
        <v>15.494</v>
      </c>
      <c r="N807">
        <v>4.2</v>
      </c>
    </row>
    <row r="808" spans="1:14" x14ac:dyDescent="0.25">
      <c r="A808" t="s">
        <v>837</v>
      </c>
      <c r="B808" t="s">
        <v>13</v>
      </c>
      <c r="C808" t="s">
        <v>14</v>
      </c>
      <c r="D808" t="s">
        <v>22</v>
      </c>
      <c r="E808" t="s">
        <v>16</v>
      </c>
      <c r="F808" t="s">
        <v>31</v>
      </c>
      <c r="G808" t="s">
        <v>1035</v>
      </c>
      <c r="H808" t="s">
        <v>1041</v>
      </c>
      <c r="I808" s="1">
        <v>43481</v>
      </c>
      <c r="J808" t="s">
        <v>1046</v>
      </c>
      <c r="K808" s="5">
        <v>0.77847222222222223</v>
      </c>
      <c r="L808" t="s">
        <v>28</v>
      </c>
      <c r="M808">
        <v>9.3179999999999996</v>
      </c>
      <c r="N808">
        <v>8.5</v>
      </c>
    </row>
    <row r="809" spans="1:14" x14ac:dyDescent="0.25">
      <c r="A809" t="s">
        <v>838</v>
      </c>
      <c r="B809" t="s">
        <v>13</v>
      </c>
      <c r="C809" t="s">
        <v>14</v>
      </c>
      <c r="D809" t="s">
        <v>22</v>
      </c>
      <c r="E809" t="s">
        <v>16</v>
      </c>
      <c r="F809" t="s">
        <v>23</v>
      </c>
      <c r="G809" t="s">
        <v>1034</v>
      </c>
      <c r="H809" t="s">
        <v>1041</v>
      </c>
      <c r="I809" s="1">
        <v>43473</v>
      </c>
      <c r="J809" t="s">
        <v>1046</v>
      </c>
      <c r="K809" s="5">
        <v>0.71666666666666667</v>
      </c>
      <c r="L809" t="s">
        <v>24</v>
      </c>
      <c r="M809">
        <v>10.045999999999999</v>
      </c>
      <c r="N809">
        <v>9</v>
      </c>
    </row>
    <row r="810" spans="1:14" x14ac:dyDescent="0.25">
      <c r="A810" t="s">
        <v>839</v>
      </c>
      <c r="B810" t="s">
        <v>37</v>
      </c>
      <c r="C810" t="s">
        <v>38</v>
      </c>
      <c r="D810" t="s">
        <v>22</v>
      </c>
      <c r="E810" t="s">
        <v>16</v>
      </c>
      <c r="F810" t="s">
        <v>17</v>
      </c>
      <c r="G810" t="s">
        <v>1035</v>
      </c>
      <c r="H810" t="s">
        <v>1041</v>
      </c>
      <c r="I810" s="1">
        <v>43479</v>
      </c>
      <c r="J810" t="s">
        <v>1044</v>
      </c>
      <c r="K810" s="5">
        <v>0.44305555555555554</v>
      </c>
      <c r="L810" t="s">
        <v>24</v>
      </c>
      <c r="M810">
        <v>0.88749999999999996</v>
      </c>
      <c r="N810">
        <v>8.6</v>
      </c>
    </row>
    <row r="811" spans="1:14" x14ac:dyDescent="0.25">
      <c r="A811" t="s">
        <v>840</v>
      </c>
      <c r="B811" t="s">
        <v>20</v>
      </c>
      <c r="C811" t="s">
        <v>21</v>
      </c>
      <c r="D811" t="s">
        <v>22</v>
      </c>
      <c r="E811" t="s">
        <v>16</v>
      </c>
      <c r="F811" t="s">
        <v>41</v>
      </c>
      <c r="G811" t="s">
        <v>1037</v>
      </c>
      <c r="H811" t="s">
        <v>1041</v>
      </c>
      <c r="I811" s="1">
        <v>43496</v>
      </c>
      <c r="J811" t="s">
        <v>1044</v>
      </c>
      <c r="K811" s="5">
        <v>0.43958333333333338</v>
      </c>
      <c r="L811" t="s">
        <v>18</v>
      </c>
      <c r="M811">
        <v>31.09</v>
      </c>
      <c r="N811">
        <v>6</v>
      </c>
    </row>
    <row r="812" spans="1:14" x14ac:dyDescent="0.25">
      <c r="A812" t="s">
        <v>841</v>
      </c>
      <c r="B812" t="s">
        <v>37</v>
      </c>
      <c r="C812" t="s">
        <v>38</v>
      </c>
      <c r="D812" t="s">
        <v>22</v>
      </c>
      <c r="E812" t="s">
        <v>26</v>
      </c>
      <c r="F812" t="s">
        <v>17</v>
      </c>
      <c r="G812" t="s">
        <v>1036</v>
      </c>
      <c r="H812" t="s">
        <v>1043</v>
      </c>
      <c r="I812" s="1">
        <v>43539</v>
      </c>
      <c r="J812" t="s">
        <v>1045</v>
      </c>
      <c r="K812" s="5">
        <v>0.60972222222222217</v>
      </c>
      <c r="L812" t="s">
        <v>18</v>
      </c>
      <c r="M812">
        <v>4.3</v>
      </c>
      <c r="N812">
        <v>6.2</v>
      </c>
    </row>
    <row r="813" spans="1:14" x14ac:dyDescent="0.25">
      <c r="A813" t="s">
        <v>842</v>
      </c>
      <c r="B813" t="s">
        <v>13</v>
      </c>
      <c r="C813" t="s">
        <v>14</v>
      </c>
      <c r="D813" t="s">
        <v>22</v>
      </c>
      <c r="E813" t="s">
        <v>16</v>
      </c>
      <c r="F813" t="s">
        <v>23</v>
      </c>
      <c r="G813" t="s">
        <v>1034</v>
      </c>
      <c r="H813" t="s">
        <v>1042</v>
      </c>
      <c r="I813" s="1">
        <v>43520</v>
      </c>
      <c r="J813" t="s">
        <v>1046</v>
      </c>
      <c r="K813" s="5">
        <v>0.75416666666666676</v>
      </c>
      <c r="L813" t="s">
        <v>28</v>
      </c>
      <c r="M813">
        <v>20.13</v>
      </c>
      <c r="N813">
        <v>5</v>
      </c>
    </row>
    <row r="814" spans="1:14" x14ac:dyDescent="0.25">
      <c r="A814" t="s">
        <v>843</v>
      </c>
      <c r="B814" t="s">
        <v>20</v>
      </c>
      <c r="C814" t="s">
        <v>21</v>
      </c>
      <c r="D814" t="s">
        <v>15</v>
      </c>
      <c r="E814" t="s">
        <v>16</v>
      </c>
      <c r="F814" t="s">
        <v>31</v>
      </c>
      <c r="G814" t="s">
        <v>1038</v>
      </c>
      <c r="H814" t="s">
        <v>1042</v>
      </c>
      <c r="I814" s="1">
        <v>43504</v>
      </c>
      <c r="J814" t="s">
        <v>1045</v>
      </c>
      <c r="K814" s="5">
        <v>0.53611111111111109</v>
      </c>
      <c r="L814" t="s">
        <v>28</v>
      </c>
      <c r="M814">
        <v>16.2425</v>
      </c>
      <c r="N814">
        <v>6.5</v>
      </c>
    </row>
    <row r="815" spans="1:14" x14ac:dyDescent="0.25">
      <c r="A815" t="s">
        <v>844</v>
      </c>
      <c r="B815" t="s">
        <v>13</v>
      </c>
      <c r="C815" t="s">
        <v>14</v>
      </c>
      <c r="D815" t="s">
        <v>22</v>
      </c>
      <c r="E815" t="s">
        <v>26</v>
      </c>
      <c r="F815" t="s">
        <v>23</v>
      </c>
      <c r="G815" t="s">
        <v>1037</v>
      </c>
      <c r="H815" t="s">
        <v>1043</v>
      </c>
      <c r="I815" s="1">
        <v>43546</v>
      </c>
      <c r="J815" t="s">
        <v>1045</v>
      </c>
      <c r="K815" s="5">
        <v>0.58333333333333337</v>
      </c>
      <c r="L815" t="s">
        <v>24</v>
      </c>
      <c r="M815">
        <v>4.7575000000000003</v>
      </c>
      <c r="N815">
        <v>6</v>
      </c>
    </row>
    <row r="816" spans="1:14" x14ac:dyDescent="0.25">
      <c r="A816" t="s">
        <v>845</v>
      </c>
      <c r="B816" t="s">
        <v>13</v>
      </c>
      <c r="C816" t="s">
        <v>14</v>
      </c>
      <c r="D816" t="s">
        <v>15</v>
      </c>
      <c r="E816" t="s">
        <v>16</v>
      </c>
      <c r="F816" t="s">
        <v>23</v>
      </c>
      <c r="G816" t="s">
        <v>1036</v>
      </c>
      <c r="H816" t="s">
        <v>1041</v>
      </c>
      <c r="I816" s="1">
        <v>43489</v>
      </c>
      <c r="J816" t="s">
        <v>1044</v>
      </c>
      <c r="K816" s="5">
        <v>0.45624999999999999</v>
      </c>
      <c r="L816" t="s">
        <v>24</v>
      </c>
      <c r="M816">
        <v>19.448</v>
      </c>
      <c r="N816">
        <v>5</v>
      </c>
    </row>
    <row r="817" spans="1:14" x14ac:dyDescent="0.25">
      <c r="A817" t="s">
        <v>846</v>
      </c>
      <c r="B817" t="s">
        <v>37</v>
      </c>
      <c r="C817" t="s">
        <v>38</v>
      </c>
      <c r="D817" t="s">
        <v>22</v>
      </c>
      <c r="E817" t="s">
        <v>16</v>
      </c>
      <c r="F817" t="s">
        <v>39</v>
      </c>
      <c r="G817" t="s">
        <v>1036</v>
      </c>
      <c r="H817" t="s">
        <v>1043</v>
      </c>
      <c r="I817" s="1">
        <v>43538</v>
      </c>
      <c r="J817" t="s">
        <v>1046</v>
      </c>
      <c r="K817" s="5">
        <v>0.69791666666666663</v>
      </c>
      <c r="L817" t="s">
        <v>18</v>
      </c>
      <c r="M817">
        <v>21.283999999999999</v>
      </c>
      <c r="N817">
        <v>5</v>
      </c>
    </row>
    <row r="818" spans="1:14" x14ac:dyDescent="0.25">
      <c r="A818" t="s">
        <v>847</v>
      </c>
      <c r="B818" t="s">
        <v>20</v>
      </c>
      <c r="C818" t="s">
        <v>21</v>
      </c>
      <c r="D818" t="s">
        <v>22</v>
      </c>
      <c r="E818" t="s">
        <v>16</v>
      </c>
      <c r="F818" t="s">
        <v>41</v>
      </c>
      <c r="G818" t="s">
        <v>1036</v>
      </c>
      <c r="H818" t="s">
        <v>1041</v>
      </c>
      <c r="I818" s="1">
        <v>43488</v>
      </c>
      <c r="J818" t="s">
        <v>1044</v>
      </c>
      <c r="K818" s="5">
        <v>0.46875</v>
      </c>
      <c r="L818" t="s">
        <v>24</v>
      </c>
      <c r="M818">
        <v>15.904</v>
      </c>
      <c r="N818">
        <v>9.1999999999999993</v>
      </c>
    </row>
    <row r="819" spans="1:14" x14ac:dyDescent="0.25">
      <c r="A819" t="s">
        <v>848</v>
      </c>
      <c r="B819" t="s">
        <v>13</v>
      </c>
      <c r="C819" t="s">
        <v>14</v>
      </c>
      <c r="D819" t="s">
        <v>22</v>
      </c>
      <c r="E819" t="s">
        <v>26</v>
      </c>
      <c r="F819" t="s">
        <v>39</v>
      </c>
      <c r="G819" t="s">
        <v>1036</v>
      </c>
      <c r="H819" t="s">
        <v>1041</v>
      </c>
      <c r="I819" s="1">
        <v>43484</v>
      </c>
      <c r="J819" t="s">
        <v>1046</v>
      </c>
      <c r="K819" s="5">
        <v>0.8534722222222223</v>
      </c>
      <c r="L819" t="s">
        <v>18</v>
      </c>
      <c r="M819">
        <v>13.552</v>
      </c>
      <c r="N819">
        <v>9.6</v>
      </c>
    </row>
    <row r="820" spans="1:14" x14ac:dyDescent="0.25">
      <c r="A820" t="s">
        <v>849</v>
      </c>
      <c r="B820" t="s">
        <v>37</v>
      </c>
      <c r="C820" t="s">
        <v>38</v>
      </c>
      <c r="D820" t="s">
        <v>15</v>
      </c>
      <c r="E820" t="s">
        <v>26</v>
      </c>
      <c r="F820" t="s">
        <v>17</v>
      </c>
      <c r="G820" t="s">
        <v>1037</v>
      </c>
      <c r="H820" t="s">
        <v>1041</v>
      </c>
      <c r="I820" s="1">
        <v>43492</v>
      </c>
      <c r="J820" t="s">
        <v>1046</v>
      </c>
      <c r="K820" s="5">
        <v>0.8354166666666667</v>
      </c>
      <c r="L820" t="s">
        <v>28</v>
      </c>
      <c r="M820">
        <v>19.231999999999999</v>
      </c>
      <c r="N820">
        <v>8.4</v>
      </c>
    </row>
    <row r="821" spans="1:14" x14ac:dyDescent="0.25">
      <c r="A821" t="s">
        <v>850</v>
      </c>
      <c r="B821" t="s">
        <v>37</v>
      </c>
      <c r="C821" t="s">
        <v>38</v>
      </c>
      <c r="D821" t="s">
        <v>15</v>
      </c>
      <c r="E821" t="s">
        <v>26</v>
      </c>
      <c r="F821" t="s">
        <v>39</v>
      </c>
      <c r="G821" t="s">
        <v>1038</v>
      </c>
      <c r="H821" t="s">
        <v>1042</v>
      </c>
      <c r="I821" s="1">
        <v>43499</v>
      </c>
      <c r="J821" t="s">
        <v>1045</v>
      </c>
      <c r="K821" s="5">
        <v>0.60763888888888895</v>
      </c>
      <c r="L821" t="s">
        <v>28</v>
      </c>
      <c r="M821">
        <v>11.79</v>
      </c>
      <c r="N821">
        <v>6</v>
      </c>
    </row>
    <row r="822" spans="1:14" x14ac:dyDescent="0.25">
      <c r="A822" t="s">
        <v>851</v>
      </c>
      <c r="B822" t="s">
        <v>37</v>
      </c>
      <c r="C822" t="s">
        <v>38</v>
      </c>
      <c r="D822" t="s">
        <v>22</v>
      </c>
      <c r="E822" t="s">
        <v>26</v>
      </c>
      <c r="F822" t="s">
        <v>23</v>
      </c>
      <c r="G822" t="s">
        <v>1038</v>
      </c>
      <c r="H822" t="s">
        <v>1043</v>
      </c>
      <c r="I822" s="1">
        <v>43549</v>
      </c>
      <c r="J822" t="s">
        <v>1046</v>
      </c>
      <c r="K822" s="5">
        <v>0.68888888888888899</v>
      </c>
      <c r="L822" t="s">
        <v>18</v>
      </c>
      <c r="M822">
        <v>10.577999999999999</v>
      </c>
      <c r="N822">
        <v>6.7</v>
      </c>
    </row>
    <row r="823" spans="1:14" x14ac:dyDescent="0.25">
      <c r="A823" t="s">
        <v>852</v>
      </c>
      <c r="B823" t="s">
        <v>13</v>
      </c>
      <c r="C823" t="s">
        <v>14</v>
      </c>
      <c r="D823" t="s">
        <v>15</v>
      </c>
      <c r="E823" t="s">
        <v>16</v>
      </c>
      <c r="F823" t="s">
        <v>27</v>
      </c>
      <c r="G823" t="s">
        <v>1034</v>
      </c>
      <c r="H823" t="s">
        <v>1042</v>
      </c>
      <c r="I823" s="1">
        <v>43520</v>
      </c>
      <c r="J823" t="s">
        <v>1044</v>
      </c>
      <c r="K823" s="5">
        <v>0.4236111111111111</v>
      </c>
      <c r="L823" t="s">
        <v>28</v>
      </c>
      <c r="M823">
        <v>4.7679999999999998</v>
      </c>
      <c r="N823">
        <v>4.0999999999999996</v>
      </c>
    </row>
    <row r="824" spans="1:14" x14ac:dyDescent="0.25">
      <c r="A824" t="s">
        <v>853</v>
      </c>
      <c r="B824" t="s">
        <v>20</v>
      </c>
      <c r="C824" t="s">
        <v>21</v>
      </c>
      <c r="D824" t="s">
        <v>15</v>
      </c>
      <c r="E824" t="s">
        <v>26</v>
      </c>
      <c r="F824" t="s">
        <v>31</v>
      </c>
      <c r="G824" t="s">
        <v>1038</v>
      </c>
      <c r="H824" t="s">
        <v>1042</v>
      </c>
      <c r="I824" s="1">
        <v>43503</v>
      </c>
      <c r="J824" t="s">
        <v>1045</v>
      </c>
      <c r="K824" s="5">
        <v>0.59375</v>
      </c>
      <c r="L824" t="s">
        <v>24</v>
      </c>
      <c r="M824">
        <v>0.50849999999999995</v>
      </c>
      <c r="N824">
        <v>5.9</v>
      </c>
    </row>
    <row r="825" spans="1:14" x14ac:dyDescent="0.25">
      <c r="A825" t="s">
        <v>854</v>
      </c>
      <c r="B825" t="s">
        <v>13</v>
      </c>
      <c r="C825" t="s">
        <v>14</v>
      </c>
      <c r="D825" t="s">
        <v>22</v>
      </c>
      <c r="E825" t="s">
        <v>16</v>
      </c>
      <c r="F825" t="s">
        <v>17</v>
      </c>
      <c r="G825" t="s">
        <v>1035</v>
      </c>
      <c r="H825" t="s">
        <v>1043</v>
      </c>
      <c r="I825" s="1">
        <v>43528</v>
      </c>
      <c r="J825" t="s">
        <v>1044</v>
      </c>
      <c r="K825" s="5">
        <v>0.4201388888888889</v>
      </c>
      <c r="L825" t="s">
        <v>24</v>
      </c>
      <c r="M825">
        <v>10.3065</v>
      </c>
      <c r="N825">
        <v>8.6999999999999993</v>
      </c>
    </row>
    <row r="826" spans="1:14" x14ac:dyDescent="0.25">
      <c r="A826" t="s">
        <v>855</v>
      </c>
      <c r="B826" t="s">
        <v>37</v>
      </c>
      <c r="C826" t="s">
        <v>38</v>
      </c>
      <c r="D826" t="s">
        <v>15</v>
      </c>
      <c r="E826" t="s">
        <v>16</v>
      </c>
      <c r="F826" t="s">
        <v>31</v>
      </c>
      <c r="G826" t="s">
        <v>1039</v>
      </c>
      <c r="H826" t="s">
        <v>1042</v>
      </c>
      <c r="I826" s="1">
        <v>43510</v>
      </c>
      <c r="J826" t="s">
        <v>1044</v>
      </c>
      <c r="K826" s="5">
        <v>0.48333333333333334</v>
      </c>
      <c r="L826" t="s">
        <v>28</v>
      </c>
      <c r="M826">
        <v>21.027999999999999</v>
      </c>
      <c r="N826">
        <v>4.5</v>
      </c>
    </row>
    <row r="827" spans="1:14" x14ac:dyDescent="0.25">
      <c r="A827" t="s">
        <v>856</v>
      </c>
      <c r="B827" t="s">
        <v>13</v>
      </c>
      <c r="C827" t="s">
        <v>14</v>
      </c>
      <c r="D827" t="s">
        <v>15</v>
      </c>
      <c r="E827" t="s">
        <v>16</v>
      </c>
      <c r="F827" t="s">
        <v>31</v>
      </c>
      <c r="G827" t="s">
        <v>1037</v>
      </c>
      <c r="H827" t="s">
        <v>1041</v>
      </c>
      <c r="I827" s="1">
        <v>43494</v>
      </c>
      <c r="J827" t="s">
        <v>1046</v>
      </c>
      <c r="K827" s="5">
        <v>0.76041666666666663</v>
      </c>
      <c r="L827" t="s">
        <v>28</v>
      </c>
      <c r="M827">
        <v>4.4020000000000001</v>
      </c>
      <c r="N827">
        <v>6.6</v>
      </c>
    </row>
    <row r="828" spans="1:14" x14ac:dyDescent="0.25">
      <c r="A828" t="s">
        <v>857</v>
      </c>
      <c r="B828" t="s">
        <v>37</v>
      </c>
      <c r="C828" t="s">
        <v>38</v>
      </c>
      <c r="D828" t="s">
        <v>15</v>
      </c>
      <c r="E828" t="s">
        <v>16</v>
      </c>
      <c r="F828" t="s">
        <v>17</v>
      </c>
      <c r="G828" t="s">
        <v>1037</v>
      </c>
      <c r="H828" t="s">
        <v>1041</v>
      </c>
      <c r="I828" s="1">
        <v>43493</v>
      </c>
      <c r="J828" t="s">
        <v>1045</v>
      </c>
      <c r="K828" s="5">
        <v>0.57847222222222217</v>
      </c>
      <c r="L828" t="s">
        <v>28</v>
      </c>
      <c r="M828">
        <v>32.4495</v>
      </c>
      <c r="N828">
        <v>7.7</v>
      </c>
    </row>
    <row r="829" spans="1:14" x14ac:dyDescent="0.25">
      <c r="A829" t="s">
        <v>858</v>
      </c>
      <c r="B829" t="s">
        <v>13</v>
      </c>
      <c r="C829" t="s">
        <v>14</v>
      </c>
      <c r="D829" t="s">
        <v>15</v>
      </c>
      <c r="E829" t="s">
        <v>26</v>
      </c>
      <c r="F829" t="s">
        <v>41</v>
      </c>
      <c r="G829" t="s">
        <v>1038</v>
      </c>
      <c r="H829" t="s">
        <v>1043</v>
      </c>
      <c r="I829" s="1">
        <v>43550</v>
      </c>
      <c r="J829" t="s">
        <v>1046</v>
      </c>
      <c r="K829" s="5">
        <v>0.77569444444444446</v>
      </c>
      <c r="L829" t="s">
        <v>28</v>
      </c>
      <c r="M829">
        <v>6.1920000000000002</v>
      </c>
      <c r="N829">
        <v>8.5</v>
      </c>
    </row>
    <row r="830" spans="1:14" x14ac:dyDescent="0.25">
      <c r="A830" t="s">
        <v>859</v>
      </c>
      <c r="B830" t="s">
        <v>20</v>
      </c>
      <c r="C830" t="s">
        <v>21</v>
      </c>
      <c r="D830" t="s">
        <v>22</v>
      </c>
      <c r="E830" t="s">
        <v>26</v>
      </c>
      <c r="F830" t="s">
        <v>23</v>
      </c>
      <c r="G830" t="s">
        <v>1038</v>
      </c>
      <c r="H830" t="s">
        <v>1043</v>
      </c>
      <c r="I830" s="1">
        <v>43548</v>
      </c>
      <c r="J830" t="s">
        <v>1046</v>
      </c>
      <c r="K830" s="5">
        <v>0.76874999999999993</v>
      </c>
      <c r="L830" t="s">
        <v>24</v>
      </c>
      <c r="M830">
        <v>32.475000000000001</v>
      </c>
      <c r="N830">
        <v>5.2</v>
      </c>
    </row>
    <row r="831" spans="1:14" x14ac:dyDescent="0.25">
      <c r="A831" t="s">
        <v>860</v>
      </c>
      <c r="B831" t="s">
        <v>13</v>
      </c>
      <c r="C831" t="s">
        <v>14</v>
      </c>
      <c r="D831" t="s">
        <v>15</v>
      </c>
      <c r="E831" t="s">
        <v>16</v>
      </c>
      <c r="F831" t="s">
        <v>23</v>
      </c>
      <c r="G831" t="s">
        <v>1040</v>
      </c>
      <c r="H831" t="s">
        <v>1041</v>
      </c>
      <c r="I831" s="1">
        <v>43466</v>
      </c>
      <c r="J831" t="s">
        <v>1045</v>
      </c>
      <c r="K831" s="5">
        <v>0.61249999999999993</v>
      </c>
      <c r="L831" t="s">
        <v>28</v>
      </c>
      <c r="M831">
        <v>37.11</v>
      </c>
      <c r="N831">
        <v>4.3</v>
      </c>
    </row>
    <row r="832" spans="1:14" x14ac:dyDescent="0.25">
      <c r="A832" t="s">
        <v>861</v>
      </c>
      <c r="B832" t="s">
        <v>13</v>
      </c>
      <c r="C832" t="s">
        <v>14</v>
      </c>
      <c r="D832" t="s">
        <v>22</v>
      </c>
      <c r="E832" t="s">
        <v>26</v>
      </c>
      <c r="F832" t="s">
        <v>23</v>
      </c>
      <c r="G832" t="s">
        <v>1036</v>
      </c>
      <c r="H832" t="s">
        <v>1041</v>
      </c>
      <c r="I832" s="1">
        <v>43489</v>
      </c>
      <c r="J832" t="s">
        <v>1046</v>
      </c>
      <c r="K832" s="5">
        <v>0.73819444444444438</v>
      </c>
      <c r="L832" t="s">
        <v>24</v>
      </c>
      <c r="M832">
        <v>4.2240000000000002</v>
      </c>
      <c r="N832">
        <v>7.6</v>
      </c>
    </row>
    <row r="833" spans="1:14" x14ac:dyDescent="0.25">
      <c r="A833" t="s">
        <v>862</v>
      </c>
      <c r="B833" t="s">
        <v>37</v>
      </c>
      <c r="C833" t="s">
        <v>38</v>
      </c>
      <c r="D833" t="s">
        <v>22</v>
      </c>
      <c r="E833" t="s">
        <v>26</v>
      </c>
      <c r="F833" t="s">
        <v>17</v>
      </c>
      <c r="G833" t="s">
        <v>1034</v>
      </c>
      <c r="H833" t="s">
        <v>1042</v>
      </c>
      <c r="I833" s="1">
        <v>43521</v>
      </c>
      <c r="J833" t="s">
        <v>1046</v>
      </c>
      <c r="K833" s="5">
        <v>0.77569444444444446</v>
      </c>
      <c r="L833" t="s">
        <v>24</v>
      </c>
      <c r="M833">
        <v>12.513999999999999</v>
      </c>
      <c r="N833">
        <v>9.5</v>
      </c>
    </row>
    <row r="834" spans="1:14" x14ac:dyDescent="0.25">
      <c r="A834" t="s">
        <v>863</v>
      </c>
      <c r="B834" t="s">
        <v>37</v>
      </c>
      <c r="C834" t="s">
        <v>38</v>
      </c>
      <c r="D834" t="s">
        <v>15</v>
      </c>
      <c r="E834" t="s">
        <v>16</v>
      </c>
      <c r="F834" t="s">
        <v>31</v>
      </c>
      <c r="G834" t="s">
        <v>1034</v>
      </c>
      <c r="H834" t="s">
        <v>1041</v>
      </c>
      <c r="I834" s="1">
        <v>43474</v>
      </c>
      <c r="J834" t="s">
        <v>1046</v>
      </c>
      <c r="K834" s="5">
        <v>0.69027777777777777</v>
      </c>
      <c r="L834" t="s">
        <v>24</v>
      </c>
      <c r="M834">
        <v>4.74</v>
      </c>
      <c r="N834">
        <v>4.0999999999999996</v>
      </c>
    </row>
    <row r="835" spans="1:14" x14ac:dyDescent="0.25">
      <c r="A835" t="s">
        <v>864</v>
      </c>
      <c r="B835" t="s">
        <v>13</v>
      </c>
      <c r="C835" t="s">
        <v>14</v>
      </c>
      <c r="D835" t="s">
        <v>15</v>
      </c>
      <c r="E835" t="s">
        <v>26</v>
      </c>
      <c r="F835" t="s">
        <v>17</v>
      </c>
      <c r="G835" t="s">
        <v>1039</v>
      </c>
      <c r="H835" t="s">
        <v>1042</v>
      </c>
      <c r="I835" s="1">
        <v>43510</v>
      </c>
      <c r="J835" t="s">
        <v>1045</v>
      </c>
      <c r="K835" s="5">
        <v>0.61249999999999993</v>
      </c>
      <c r="L835" t="s">
        <v>18</v>
      </c>
      <c r="M835">
        <v>4.5650000000000004</v>
      </c>
      <c r="N835">
        <v>9.1999999999999993</v>
      </c>
    </row>
    <row r="836" spans="1:14" x14ac:dyDescent="0.25">
      <c r="A836" t="s">
        <v>865</v>
      </c>
      <c r="B836" t="s">
        <v>37</v>
      </c>
      <c r="C836" t="s">
        <v>38</v>
      </c>
      <c r="D836" t="s">
        <v>15</v>
      </c>
      <c r="E836" t="s">
        <v>16</v>
      </c>
      <c r="F836" t="s">
        <v>27</v>
      </c>
      <c r="G836" t="s">
        <v>1036</v>
      </c>
      <c r="H836" t="s">
        <v>1043</v>
      </c>
      <c r="I836" s="1">
        <v>43536</v>
      </c>
      <c r="J836" t="s">
        <v>1044</v>
      </c>
      <c r="K836" s="5">
        <v>0.45902777777777781</v>
      </c>
      <c r="L836" t="s">
        <v>18</v>
      </c>
      <c r="M836">
        <v>14.2555</v>
      </c>
      <c r="N836">
        <v>5.4</v>
      </c>
    </row>
    <row r="837" spans="1:14" x14ac:dyDescent="0.25">
      <c r="A837" t="s">
        <v>866</v>
      </c>
      <c r="B837" t="s">
        <v>13</v>
      </c>
      <c r="C837" t="s">
        <v>14</v>
      </c>
      <c r="D837" t="s">
        <v>22</v>
      </c>
      <c r="E837" t="s">
        <v>26</v>
      </c>
      <c r="F837" t="s">
        <v>41</v>
      </c>
      <c r="G837" t="s">
        <v>1038</v>
      </c>
      <c r="H837" t="s">
        <v>1043</v>
      </c>
      <c r="I837" s="1">
        <v>43550</v>
      </c>
      <c r="J837" t="s">
        <v>1046</v>
      </c>
      <c r="K837" s="5">
        <v>0.8222222222222223</v>
      </c>
      <c r="L837" t="s">
        <v>24</v>
      </c>
      <c r="M837">
        <v>2.6190000000000002</v>
      </c>
      <c r="N837">
        <v>5.8</v>
      </c>
    </row>
    <row r="838" spans="1:14" x14ac:dyDescent="0.25">
      <c r="A838" t="s">
        <v>867</v>
      </c>
      <c r="B838" t="s">
        <v>13</v>
      </c>
      <c r="C838" t="s">
        <v>14</v>
      </c>
      <c r="D838" t="s">
        <v>15</v>
      </c>
      <c r="E838" t="s">
        <v>26</v>
      </c>
      <c r="F838" t="s">
        <v>41</v>
      </c>
      <c r="G838" t="s">
        <v>1034</v>
      </c>
      <c r="H838" t="s">
        <v>1041</v>
      </c>
      <c r="I838" s="1">
        <v>43474</v>
      </c>
      <c r="J838" t="s">
        <v>1045</v>
      </c>
      <c r="K838" s="5">
        <v>0.56527777777777777</v>
      </c>
      <c r="L838" t="s">
        <v>18</v>
      </c>
      <c r="M838">
        <v>9.6349999999999998</v>
      </c>
      <c r="N838">
        <v>5.6</v>
      </c>
    </row>
    <row r="839" spans="1:14" x14ac:dyDescent="0.25">
      <c r="A839" t="s">
        <v>868</v>
      </c>
      <c r="B839" t="s">
        <v>37</v>
      </c>
      <c r="C839" t="s">
        <v>38</v>
      </c>
      <c r="D839" t="s">
        <v>22</v>
      </c>
      <c r="E839" t="s">
        <v>26</v>
      </c>
      <c r="F839" t="s">
        <v>31</v>
      </c>
      <c r="G839" t="s">
        <v>1040</v>
      </c>
      <c r="H839" t="s">
        <v>1041</v>
      </c>
      <c r="I839" s="1">
        <v>43467</v>
      </c>
      <c r="J839" t="s">
        <v>1046</v>
      </c>
      <c r="K839" s="5">
        <v>0.83888888888888891</v>
      </c>
      <c r="L839" t="s">
        <v>28</v>
      </c>
      <c r="M839">
        <v>13.388999999999999</v>
      </c>
      <c r="N839">
        <v>5.0999999999999996</v>
      </c>
    </row>
    <row r="840" spans="1:14" x14ac:dyDescent="0.25">
      <c r="A840" t="s">
        <v>869</v>
      </c>
      <c r="B840" t="s">
        <v>20</v>
      </c>
      <c r="C840" t="s">
        <v>21</v>
      </c>
      <c r="D840" t="s">
        <v>22</v>
      </c>
      <c r="E840" t="s">
        <v>26</v>
      </c>
      <c r="F840" t="s">
        <v>23</v>
      </c>
      <c r="G840" t="s">
        <v>1035</v>
      </c>
      <c r="H840" t="s">
        <v>1041</v>
      </c>
      <c r="I840" s="1">
        <v>43480</v>
      </c>
      <c r="J840" t="s">
        <v>1045</v>
      </c>
      <c r="K840" s="5">
        <v>0.62569444444444444</v>
      </c>
      <c r="L840" t="s">
        <v>24</v>
      </c>
      <c r="M840">
        <v>27.934999999999999</v>
      </c>
      <c r="N840">
        <v>5.8</v>
      </c>
    </row>
    <row r="841" spans="1:14" x14ac:dyDescent="0.25">
      <c r="A841" t="s">
        <v>870</v>
      </c>
      <c r="B841" t="s">
        <v>20</v>
      </c>
      <c r="C841" t="s">
        <v>21</v>
      </c>
      <c r="D841" t="s">
        <v>15</v>
      </c>
      <c r="E841" t="s">
        <v>16</v>
      </c>
      <c r="F841" t="s">
        <v>31</v>
      </c>
      <c r="G841" t="s">
        <v>1040</v>
      </c>
      <c r="H841" t="s">
        <v>1041</v>
      </c>
      <c r="I841" s="1">
        <v>43466</v>
      </c>
      <c r="J841" t="s">
        <v>1044</v>
      </c>
      <c r="K841" s="5">
        <v>0.4861111111111111</v>
      </c>
      <c r="L841" t="s">
        <v>18</v>
      </c>
      <c r="M841">
        <v>8.766</v>
      </c>
      <c r="N841">
        <v>5</v>
      </c>
    </row>
    <row r="842" spans="1:14" x14ac:dyDescent="0.25">
      <c r="A842" t="s">
        <v>871</v>
      </c>
      <c r="B842" t="s">
        <v>13</v>
      </c>
      <c r="C842" t="s">
        <v>14</v>
      </c>
      <c r="D842" t="s">
        <v>22</v>
      </c>
      <c r="E842" t="s">
        <v>26</v>
      </c>
      <c r="F842" t="s">
        <v>41</v>
      </c>
      <c r="G842" t="s">
        <v>1039</v>
      </c>
      <c r="H842" t="s">
        <v>1042</v>
      </c>
      <c r="I842" s="1">
        <v>43511</v>
      </c>
      <c r="J842" t="s">
        <v>1045</v>
      </c>
      <c r="K842" s="5">
        <v>0.63958333333333328</v>
      </c>
      <c r="L842" t="s">
        <v>24</v>
      </c>
      <c r="M842">
        <v>7.7910000000000004</v>
      </c>
      <c r="N842">
        <v>7.9</v>
      </c>
    </row>
    <row r="843" spans="1:14" x14ac:dyDescent="0.25">
      <c r="A843" t="s">
        <v>872</v>
      </c>
      <c r="B843" t="s">
        <v>37</v>
      </c>
      <c r="C843" t="s">
        <v>38</v>
      </c>
      <c r="D843" t="s">
        <v>22</v>
      </c>
      <c r="E843" t="s">
        <v>26</v>
      </c>
      <c r="F843" t="s">
        <v>23</v>
      </c>
      <c r="G843" t="s">
        <v>1034</v>
      </c>
      <c r="H843" t="s">
        <v>1042</v>
      </c>
      <c r="I843" s="1">
        <v>43524</v>
      </c>
      <c r="J843" t="s">
        <v>1046</v>
      </c>
      <c r="K843" s="5">
        <v>0.73472222222222217</v>
      </c>
      <c r="L843" t="s">
        <v>24</v>
      </c>
      <c r="M843">
        <v>3.0150000000000001</v>
      </c>
      <c r="N843">
        <v>6</v>
      </c>
    </row>
    <row r="844" spans="1:14" x14ac:dyDescent="0.25">
      <c r="A844" t="s">
        <v>873</v>
      </c>
      <c r="B844" t="s">
        <v>13</v>
      </c>
      <c r="C844" t="s">
        <v>14</v>
      </c>
      <c r="D844" t="s">
        <v>15</v>
      </c>
      <c r="E844" t="s">
        <v>16</v>
      </c>
      <c r="F844" t="s">
        <v>31</v>
      </c>
      <c r="G844" t="s">
        <v>1035</v>
      </c>
      <c r="H844" t="s">
        <v>1043</v>
      </c>
      <c r="I844" s="1">
        <v>43526</v>
      </c>
      <c r="J844" t="s">
        <v>1046</v>
      </c>
      <c r="K844" s="5">
        <v>0.6777777777777777</v>
      </c>
      <c r="L844" t="s">
        <v>28</v>
      </c>
      <c r="M844">
        <v>3.9470000000000001</v>
      </c>
      <c r="N844">
        <v>5</v>
      </c>
    </row>
    <row r="845" spans="1:14" x14ac:dyDescent="0.25">
      <c r="A845" t="s">
        <v>874</v>
      </c>
      <c r="B845" t="s">
        <v>20</v>
      </c>
      <c r="C845" t="s">
        <v>21</v>
      </c>
      <c r="D845" t="s">
        <v>15</v>
      </c>
      <c r="E845" t="s">
        <v>16</v>
      </c>
      <c r="F845" t="s">
        <v>39</v>
      </c>
      <c r="G845" t="s">
        <v>1039</v>
      </c>
      <c r="H845" t="s">
        <v>1042</v>
      </c>
      <c r="I845" s="1">
        <v>43509</v>
      </c>
      <c r="J845" t="s">
        <v>1046</v>
      </c>
      <c r="K845" s="5">
        <v>0.76041666666666663</v>
      </c>
      <c r="L845" t="s">
        <v>28</v>
      </c>
      <c r="M845">
        <v>1.4870000000000001</v>
      </c>
      <c r="N845">
        <v>8.9</v>
      </c>
    </row>
    <row r="846" spans="1:14" x14ac:dyDescent="0.25">
      <c r="A846" t="s">
        <v>875</v>
      </c>
      <c r="B846" t="s">
        <v>13</v>
      </c>
      <c r="C846" t="s">
        <v>14</v>
      </c>
      <c r="D846" t="s">
        <v>22</v>
      </c>
      <c r="E846" t="s">
        <v>26</v>
      </c>
      <c r="F846" t="s">
        <v>41</v>
      </c>
      <c r="G846" t="s">
        <v>1037</v>
      </c>
      <c r="H846" t="s">
        <v>1041</v>
      </c>
      <c r="I846" s="1">
        <v>43491</v>
      </c>
      <c r="J846" t="s">
        <v>1045</v>
      </c>
      <c r="K846" s="5">
        <v>0.52986111111111112</v>
      </c>
      <c r="L846" t="s">
        <v>24</v>
      </c>
      <c r="M846">
        <v>1.0660000000000001</v>
      </c>
      <c r="N846">
        <v>5.9</v>
      </c>
    </row>
    <row r="847" spans="1:14" x14ac:dyDescent="0.25">
      <c r="A847" t="s">
        <v>876</v>
      </c>
      <c r="B847" t="s">
        <v>13</v>
      </c>
      <c r="C847" t="s">
        <v>14</v>
      </c>
      <c r="D847" t="s">
        <v>15</v>
      </c>
      <c r="E847" t="s">
        <v>26</v>
      </c>
      <c r="F847" t="s">
        <v>23</v>
      </c>
      <c r="G847" t="s">
        <v>1037</v>
      </c>
      <c r="H847" t="s">
        <v>1041</v>
      </c>
      <c r="I847" s="1">
        <v>43495</v>
      </c>
      <c r="J847" t="s">
        <v>1044</v>
      </c>
      <c r="K847" s="5">
        <v>0.48055555555555557</v>
      </c>
      <c r="L847" t="s">
        <v>28</v>
      </c>
      <c r="M847">
        <v>14.067</v>
      </c>
      <c r="N847">
        <v>5.9</v>
      </c>
    </row>
    <row r="848" spans="1:14" x14ac:dyDescent="0.25">
      <c r="A848" t="s">
        <v>877</v>
      </c>
      <c r="B848" t="s">
        <v>13</v>
      </c>
      <c r="C848" t="s">
        <v>14</v>
      </c>
      <c r="D848" t="s">
        <v>15</v>
      </c>
      <c r="E848" t="s">
        <v>26</v>
      </c>
      <c r="F848" t="s">
        <v>23</v>
      </c>
      <c r="G848" t="s">
        <v>1037</v>
      </c>
      <c r="H848" t="s">
        <v>1041</v>
      </c>
      <c r="I848" s="1">
        <v>43492</v>
      </c>
      <c r="J848" t="s">
        <v>1046</v>
      </c>
      <c r="K848" s="5">
        <v>0.75555555555555554</v>
      </c>
      <c r="L848" t="s">
        <v>18</v>
      </c>
      <c r="M848">
        <v>3.6629999999999998</v>
      </c>
      <c r="N848">
        <v>9.6999999999999993</v>
      </c>
    </row>
    <row r="849" spans="1:14" x14ac:dyDescent="0.25">
      <c r="A849" t="s">
        <v>878</v>
      </c>
      <c r="B849" t="s">
        <v>20</v>
      </c>
      <c r="C849" t="s">
        <v>21</v>
      </c>
      <c r="D849" t="s">
        <v>22</v>
      </c>
      <c r="E849" t="s">
        <v>16</v>
      </c>
      <c r="F849" t="s">
        <v>31</v>
      </c>
      <c r="G849" t="s">
        <v>1037</v>
      </c>
      <c r="H849" t="s">
        <v>1041</v>
      </c>
      <c r="I849" s="1">
        <v>43495</v>
      </c>
      <c r="J849" t="s">
        <v>1046</v>
      </c>
      <c r="K849" s="5">
        <v>0.71388888888888891</v>
      </c>
      <c r="L849" t="s">
        <v>28</v>
      </c>
      <c r="M849">
        <v>1.119</v>
      </c>
      <c r="N849">
        <v>8.6</v>
      </c>
    </row>
    <row r="850" spans="1:14" x14ac:dyDescent="0.25">
      <c r="A850" t="s">
        <v>879</v>
      </c>
      <c r="B850" t="s">
        <v>20</v>
      </c>
      <c r="C850" t="s">
        <v>21</v>
      </c>
      <c r="D850" t="s">
        <v>15</v>
      </c>
      <c r="E850" t="s">
        <v>16</v>
      </c>
      <c r="F850" t="s">
        <v>39</v>
      </c>
      <c r="G850" t="s">
        <v>1034</v>
      </c>
      <c r="H850" t="s">
        <v>1041</v>
      </c>
      <c r="I850" s="1">
        <v>43473</v>
      </c>
      <c r="J850" t="s">
        <v>1046</v>
      </c>
      <c r="K850" s="5">
        <v>0.81805555555555554</v>
      </c>
      <c r="L850" t="s">
        <v>24</v>
      </c>
      <c r="M850">
        <v>32.795999999999999</v>
      </c>
      <c r="N850">
        <v>4</v>
      </c>
    </row>
    <row r="851" spans="1:14" x14ac:dyDescent="0.25">
      <c r="A851" t="s">
        <v>880</v>
      </c>
      <c r="B851" t="s">
        <v>13</v>
      </c>
      <c r="C851" t="s">
        <v>14</v>
      </c>
      <c r="D851" t="s">
        <v>22</v>
      </c>
      <c r="E851" t="s">
        <v>16</v>
      </c>
      <c r="F851" t="s">
        <v>41</v>
      </c>
      <c r="G851" t="s">
        <v>1036</v>
      </c>
      <c r="H851" t="s">
        <v>1041</v>
      </c>
      <c r="I851" s="1">
        <v>43484</v>
      </c>
      <c r="J851" t="s">
        <v>1045</v>
      </c>
      <c r="K851" s="5">
        <v>0.5493055555555556</v>
      </c>
      <c r="L851" t="s">
        <v>24</v>
      </c>
      <c r="M851">
        <v>29.73</v>
      </c>
      <c r="N851">
        <v>4.2</v>
      </c>
    </row>
    <row r="852" spans="1:14" x14ac:dyDescent="0.25">
      <c r="A852" t="s">
        <v>881</v>
      </c>
      <c r="B852" t="s">
        <v>13</v>
      </c>
      <c r="C852" t="s">
        <v>14</v>
      </c>
      <c r="D852" t="s">
        <v>22</v>
      </c>
      <c r="E852" t="s">
        <v>26</v>
      </c>
      <c r="F852" t="s">
        <v>41</v>
      </c>
      <c r="G852" t="s">
        <v>1036</v>
      </c>
      <c r="H852" t="s">
        <v>1041</v>
      </c>
      <c r="I852" s="1">
        <v>43490</v>
      </c>
      <c r="J852" t="s">
        <v>1044</v>
      </c>
      <c r="K852" s="5">
        <v>0.46180555555555558</v>
      </c>
      <c r="L852" t="s">
        <v>24</v>
      </c>
      <c r="M852">
        <v>3.7050000000000001</v>
      </c>
      <c r="N852">
        <v>9.1999999999999993</v>
      </c>
    </row>
    <row r="853" spans="1:14" x14ac:dyDescent="0.25">
      <c r="A853" t="s">
        <v>882</v>
      </c>
      <c r="B853" t="s">
        <v>13</v>
      </c>
      <c r="C853" t="s">
        <v>14</v>
      </c>
      <c r="D853" t="s">
        <v>22</v>
      </c>
      <c r="E853" t="s">
        <v>16</v>
      </c>
      <c r="F853" t="s">
        <v>41</v>
      </c>
      <c r="G853" t="s">
        <v>1040</v>
      </c>
      <c r="H853" t="s">
        <v>1042</v>
      </c>
      <c r="I853" s="1">
        <v>43515</v>
      </c>
      <c r="J853" t="s">
        <v>1044</v>
      </c>
      <c r="K853" s="5">
        <v>0.42499999999999999</v>
      </c>
      <c r="L853" t="s">
        <v>18</v>
      </c>
      <c r="M853">
        <v>9.8480000000000008</v>
      </c>
      <c r="N853">
        <v>9.1999999999999993</v>
      </c>
    </row>
    <row r="854" spans="1:14" x14ac:dyDescent="0.25">
      <c r="A854" t="s">
        <v>883</v>
      </c>
      <c r="B854" t="s">
        <v>20</v>
      </c>
      <c r="C854" t="s">
        <v>21</v>
      </c>
      <c r="D854" t="s">
        <v>22</v>
      </c>
      <c r="E854" t="s">
        <v>26</v>
      </c>
      <c r="F854" t="s">
        <v>17</v>
      </c>
      <c r="G854" t="s">
        <v>1035</v>
      </c>
      <c r="H854" t="s">
        <v>1041</v>
      </c>
      <c r="I854" s="1">
        <v>43479</v>
      </c>
      <c r="J854" t="s">
        <v>1045</v>
      </c>
      <c r="K854" s="5">
        <v>0.65416666666666667</v>
      </c>
      <c r="L854" t="s">
        <v>18</v>
      </c>
      <c r="M854">
        <v>18.616499999999998</v>
      </c>
      <c r="N854">
        <v>5</v>
      </c>
    </row>
    <row r="855" spans="1:14" x14ac:dyDescent="0.25">
      <c r="A855" t="s">
        <v>884</v>
      </c>
      <c r="B855" t="s">
        <v>37</v>
      </c>
      <c r="C855" t="s">
        <v>38</v>
      </c>
      <c r="D855" t="s">
        <v>22</v>
      </c>
      <c r="E855" t="s">
        <v>16</v>
      </c>
      <c r="F855" t="s">
        <v>23</v>
      </c>
      <c r="G855" t="s">
        <v>1034</v>
      </c>
      <c r="H855" t="s">
        <v>1042</v>
      </c>
      <c r="I855" s="1">
        <v>43521</v>
      </c>
      <c r="J855" t="s">
        <v>1044</v>
      </c>
      <c r="K855" s="5">
        <v>0.49861111111111112</v>
      </c>
      <c r="L855" t="s">
        <v>18</v>
      </c>
      <c r="M855">
        <v>26.395</v>
      </c>
      <c r="N855">
        <v>10</v>
      </c>
    </row>
    <row r="856" spans="1:14" x14ac:dyDescent="0.25">
      <c r="A856" t="s">
        <v>885</v>
      </c>
      <c r="B856" t="s">
        <v>13</v>
      </c>
      <c r="C856" t="s">
        <v>14</v>
      </c>
      <c r="D856" t="s">
        <v>15</v>
      </c>
      <c r="E856" t="s">
        <v>16</v>
      </c>
      <c r="F856" t="s">
        <v>17</v>
      </c>
      <c r="G856" t="s">
        <v>1036</v>
      </c>
      <c r="H856" t="s">
        <v>1041</v>
      </c>
      <c r="I856" s="1">
        <v>43488</v>
      </c>
      <c r="J856" t="s">
        <v>1045</v>
      </c>
      <c r="K856" s="5">
        <v>0.59791666666666665</v>
      </c>
      <c r="L856" t="s">
        <v>18</v>
      </c>
      <c r="M856">
        <v>23.987500000000001</v>
      </c>
      <c r="N856">
        <v>8.8000000000000007</v>
      </c>
    </row>
    <row r="857" spans="1:14" x14ac:dyDescent="0.25">
      <c r="A857" t="s">
        <v>886</v>
      </c>
      <c r="B857" t="s">
        <v>37</v>
      </c>
      <c r="C857" t="s">
        <v>38</v>
      </c>
      <c r="D857" t="s">
        <v>22</v>
      </c>
      <c r="E857" t="s">
        <v>16</v>
      </c>
      <c r="F857" t="s">
        <v>41</v>
      </c>
      <c r="G857" t="s">
        <v>1040</v>
      </c>
      <c r="H857" t="s">
        <v>1042</v>
      </c>
      <c r="I857" s="1">
        <v>43512</v>
      </c>
      <c r="J857" t="s">
        <v>1044</v>
      </c>
      <c r="K857" s="5">
        <v>0.45277777777777778</v>
      </c>
      <c r="L857" t="s">
        <v>24</v>
      </c>
      <c r="M857">
        <v>16.429500000000001</v>
      </c>
      <c r="N857">
        <v>4.2</v>
      </c>
    </row>
    <row r="858" spans="1:14" x14ac:dyDescent="0.25">
      <c r="A858" t="s">
        <v>887</v>
      </c>
      <c r="B858" t="s">
        <v>37</v>
      </c>
      <c r="C858" t="s">
        <v>38</v>
      </c>
      <c r="D858" t="s">
        <v>22</v>
      </c>
      <c r="E858" t="s">
        <v>26</v>
      </c>
      <c r="F858" t="s">
        <v>39</v>
      </c>
      <c r="G858" t="s">
        <v>1040</v>
      </c>
      <c r="H858" t="s">
        <v>1041</v>
      </c>
      <c r="I858" s="1">
        <v>43466</v>
      </c>
      <c r="J858" t="s">
        <v>1046</v>
      </c>
      <c r="K858" s="5">
        <v>0.81319444444444444</v>
      </c>
      <c r="L858" t="s">
        <v>24</v>
      </c>
      <c r="M858">
        <v>8.4480000000000004</v>
      </c>
      <c r="N858">
        <v>6.3</v>
      </c>
    </row>
    <row r="859" spans="1:14" x14ac:dyDescent="0.25">
      <c r="A859" t="s">
        <v>888</v>
      </c>
      <c r="B859" t="s">
        <v>13</v>
      </c>
      <c r="C859" t="s">
        <v>14</v>
      </c>
      <c r="D859" t="s">
        <v>15</v>
      </c>
      <c r="E859" t="s">
        <v>16</v>
      </c>
      <c r="F859" t="s">
        <v>27</v>
      </c>
      <c r="G859" t="s">
        <v>1035</v>
      </c>
      <c r="H859" t="s">
        <v>1043</v>
      </c>
      <c r="I859" s="1">
        <v>43531</v>
      </c>
      <c r="J859" t="s">
        <v>1046</v>
      </c>
      <c r="K859" s="5">
        <v>0.77430555555555547</v>
      </c>
      <c r="L859" t="s">
        <v>24</v>
      </c>
      <c r="M859">
        <v>5.6619999999999999</v>
      </c>
      <c r="N859">
        <v>8.1999999999999993</v>
      </c>
    </row>
    <row r="860" spans="1:14" x14ac:dyDescent="0.25">
      <c r="A860" t="s">
        <v>889</v>
      </c>
      <c r="B860" t="s">
        <v>37</v>
      </c>
      <c r="C860" t="s">
        <v>38</v>
      </c>
      <c r="D860" t="s">
        <v>22</v>
      </c>
      <c r="E860" t="s">
        <v>26</v>
      </c>
      <c r="F860" t="s">
        <v>17</v>
      </c>
      <c r="G860" t="s">
        <v>1039</v>
      </c>
      <c r="H860" t="s">
        <v>1042</v>
      </c>
      <c r="I860" s="1">
        <v>43511</v>
      </c>
      <c r="J860" t="s">
        <v>1045</v>
      </c>
      <c r="K860" s="5">
        <v>0.57708333333333328</v>
      </c>
      <c r="L860" t="s">
        <v>24</v>
      </c>
      <c r="M860">
        <v>17.277000000000001</v>
      </c>
      <c r="N860">
        <v>5.0999999999999996</v>
      </c>
    </row>
    <row r="861" spans="1:14" x14ac:dyDescent="0.25">
      <c r="A861" t="s">
        <v>890</v>
      </c>
      <c r="B861" t="s">
        <v>13</v>
      </c>
      <c r="C861" t="s">
        <v>14</v>
      </c>
      <c r="D861" t="s">
        <v>15</v>
      </c>
      <c r="E861" t="s">
        <v>16</v>
      </c>
      <c r="F861" t="s">
        <v>39</v>
      </c>
      <c r="G861" t="s">
        <v>1036</v>
      </c>
      <c r="H861" t="s">
        <v>1041</v>
      </c>
      <c r="I861" s="1">
        <v>43488</v>
      </c>
      <c r="J861" t="s">
        <v>1045</v>
      </c>
      <c r="K861" s="5">
        <v>0.52430555555555558</v>
      </c>
      <c r="L861" t="s">
        <v>24</v>
      </c>
      <c r="M861">
        <v>21.433499999999999</v>
      </c>
      <c r="N861">
        <v>5</v>
      </c>
    </row>
    <row r="862" spans="1:14" x14ac:dyDescent="0.25">
      <c r="A862" t="s">
        <v>891</v>
      </c>
      <c r="B862" t="s">
        <v>20</v>
      </c>
      <c r="C862" t="s">
        <v>21</v>
      </c>
      <c r="D862" t="s">
        <v>15</v>
      </c>
      <c r="E862" t="s">
        <v>16</v>
      </c>
      <c r="F862" t="s">
        <v>27</v>
      </c>
      <c r="G862" t="s">
        <v>1040</v>
      </c>
      <c r="H862" t="s">
        <v>1042</v>
      </c>
      <c r="I862" s="1">
        <v>43516</v>
      </c>
      <c r="J862" t="s">
        <v>1045</v>
      </c>
      <c r="K862" s="5">
        <v>0.55833333333333335</v>
      </c>
      <c r="L862" t="s">
        <v>18</v>
      </c>
      <c r="M862">
        <v>4.3135000000000003</v>
      </c>
      <c r="N862">
        <v>7</v>
      </c>
    </row>
    <row r="863" spans="1:14" x14ac:dyDescent="0.25">
      <c r="A863" t="s">
        <v>892</v>
      </c>
      <c r="B863" t="s">
        <v>13</v>
      </c>
      <c r="C863" t="s">
        <v>14</v>
      </c>
      <c r="D863" t="s">
        <v>15</v>
      </c>
      <c r="E863" t="s">
        <v>26</v>
      </c>
      <c r="F863" t="s">
        <v>31</v>
      </c>
      <c r="G863" t="s">
        <v>1034</v>
      </c>
      <c r="H863" t="s">
        <v>1041</v>
      </c>
      <c r="I863" s="1">
        <v>43473</v>
      </c>
      <c r="J863" t="s">
        <v>1046</v>
      </c>
      <c r="K863" s="5">
        <v>0.75416666666666676</v>
      </c>
      <c r="L863" t="s">
        <v>18</v>
      </c>
      <c r="M863">
        <v>1.276</v>
      </c>
      <c r="N863">
        <v>7.8</v>
      </c>
    </row>
    <row r="864" spans="1:14" x14ac:dyDescent="0.25">
      <c r="A864" t="s">
        <v>893</v>
      </c>
      <c r="B864" t="s">
        <v>37</v>
      </c>
      <c r="C864" t="s">
        <v>38</v>
      </c>
      <c r="D864" t="s">
        <v>22</v>
      </c>
      <c r="E864" t="s">
        <v>16</v>
      </c>
      <c r="F864" t="s">
        <v>27</v>
      </c>
      <c r="G864" t="s">
        <v>1037</v>
      </c>
      <c r="H864" t="s">
        <v>1043</v>
      </c>
      <c r="I864" s="1">
        <v>43541</v>
      </c>
      <c r="J864" t="s">
        <v>1044</v>
      </c>
      <c r="K864" s="5">
        <v>0.49652777777777773</v>
      </c>
      <c r="L864" t="s">
        <v>28</v>
      </c>
      <c r="M864">
        <v>5.0759999999999996</v>
      </c>
      <c r="N864">
        <v>4.3</v>
      </c>
    </row>
    <row r="865" spans="1:14" x14ac:dyDescent="0.25">
      <c r="A865" t="s">
        <v>894</v>
      </c>
      <c r="B865" t="s">
        <v>37</v>
      </c>
      <c r="C865" t="s">
        <v>38</v>
      </c>
      <c r="D865" t="s">
        <v>22</v>
      </c>
      <c r="E865" t="s">
        <v>16</v>
      </c>
      <c r="F865" t="s">
        <v>27</v>
      </c>
      <c r="G865" t="s">
        <v>1035</v>
      </c>
      <c r="H865" t="s">
        <v>1041</v>
      </c>
      <c r="I865" s="1">
        <v>43477</v>
      </c>
      <c r="J865" t="s">
        <v>1044</v>
      </c>
      <c r="K865" s="5">
        <v>0.48749999999999999</v>
      </c>
      <c r="L865" t="s">
        <v>24</v>
      </c>
      <c r="M865">
        <v>17.874500000000001</v>
      </c>
      <c r="N865">
        <v>7</v>
      </c>
    </row>
    <row r="866" spans="1:14" x14ac:dyDescent="0.25">
      <c r="A866" t="s">
        <v>895</v>
      </c>
      <c r="B866" t="s">
        <v>13</v>
      </c>
      <c r="C866" t="s">
        <v>14</v>
      </c>
      <c r="D866" t="s">
        <v>15</v>
      </c>
      <c r="E866" t="s">
        <v>16</v>
      </c>
      <c r="F866" t="s">
        <v>23</v>
      </c>
      <c r="G866" t="s">
        <v>1034</v>
      </c>
      <c r="H866" t="s">
        <v>1041</v>
      </c>
      <c r="I866" s="1">
        <v>43473</v>
      </c>
      <c r="J866" t="s">
        <v>1045</v>
      </c>
      <c r="K866" s="5">
        <v>0.60416666666666663</v>
      </c>
      <c r="L866" t="s">
        <v>24</v>
      </c>
      <c r="M866">
        <v>11.938499999999999</v>
      </c>
      <c r="N866">
        <v>6.6</v>
      </c>
    </row>
    <row r="867" spans="1:14" x14ac:dyDescent="0.25">
      <c r="A867" t="s">
        <v>896</v>
      </c>
      <c r="B867" t="s">
        <v>20</v>
      </c>
      <c r="C867" t="s">
        <v>21</v>
      </c>
      <c r="D867" t="s">
        <v>15</v>
      </c>
      <c r="E867" t="s">
        <v>26</v>
      </c>
      <c r="F867" t="s">
        <v>17</v>
      </c>
      <c r="G867" t="s">
        <v>1037</v>
      </c>
      <c r="H867" t="s">
        <v>1041</v>
      </c>
      <c r="I867" s="1">
        <v>43491</v>
      </c>
      <c r="J867" t="s">
        <v>1045</v>
      </c>
      <c r="K867" s="5">
        <v>0.63263888888888886</v>
      </c>
      <c r="L867" t="s">
        <v>18</v>
      </c>
      <c r="M867">
        <v>5.0715000000000003</v>
      </c>
      <c r="N867">
        <v>7.3</v>
      </c>
    </row>
    <row r="868" spans="1:14" x14ac:dyDescent="0.25">
      <c r="A868" t="s">
        <v>897</v>
      </c>
      <c r="B868" t="s">
        <v>37</v>
      </c>
      <c r="C868" t="s">
        <v>38</v>
      </c>
      <c r="D868" t="s">
        <v>15</v>
      </c>
      <c r="E868" t="s">
        <v>26</v>
      </c>
      <c r="F868" t="s">
        <v>31</v>
      </c>
      <c r="G868" t="s">
        <v>1036</v>
      </c>
      <c r="H868" t="s">
        <v>1043</v>
      </c>
      <c r="I868" s="1">
        <v>43539</v>
      </c>
      <c r="J868" t="s">
        <v>1045</v>
      </c>
      <c r="K868" s="5">
        <v>0.6166666666666667</v>
      </c>
      <c r="L868" t="s">
        <v>28</v>
      </c>
      <c r="M868">
        <v>36.212000000000003</v>
      </c>
      <c r="N868">
        <v>6.5</v>
      </c>
    </row>
    <row r="869" spans="1:14" x14ac:dyDescent="0.25">
      <c r="A869" t="s">
        <v>898</v>
      </c>
      <c r="B869" t="s">
        <v>20</v>
      </c>
      <c r="C869" t="s">
        <v>21</v>
      </c>
      <c r="D869" t="s">
        <v>15</v>
      </c>
      <c r="E869" t="s">
        <v>16</v>
      </c>
      <c r="F869" t="s">
        <v>17</v>
      </c>
      <c r="G869" t="s">
        <v>1035</v>
      </c>
      <c r="H869" t="s">
        <v>1041</v>
      </c>
      <c r="I869" s="1">
        <v>43482</v>
      </c>
      <c r="J869" t="s">
        <v>1045</v>
      </c>
      <c r="K869" s="5">
        <v>0.52500000000000002</v>
      </c>
      <c r="L869" t="s">
        <v>18</v>
      </c>
      <c r="M869">
        <v>6.282</v>
      </c>
      <c r="N869">
        <v>4.9000000000000004</v>
      </c>
    </row>
    <row r="870" spans="1:14" x14ac:dyDescent="0.25">
      <c r="A870" t="s">
        <v>899</v>
      </c>
      <c r="B870" t="s">
        <v>20</v>
      </c>
      <c r="C870" t="s">
        <v>21</v>
      </c>
      <c r="D870" t="s">
        <v>15</v>
      </c>
      <c r="E870" t="s">
        <v>26</v>
      </c>
      <c r="F870" t="s">
        <v>39</v>
      </c>
      <c r="G870" t="s">
        <v>1034</v>
      </c>
      <c r="H870" t="s">
        <v>1041</v>
      </c>
      <c r="I870" s="1">
        <v>43473</v>
      </c>
      <c r="J870" t="s">
        <v>1046</v>
      </c>
      <c r="K870" s="5">
        <v>0.79791666666666661</v>
      </c>
      <c r="L870" t="s">
        <v>28</v>
      </c>
      <c r="M870">
        <v>3.6465000000000001</v>
      </c>
      <c r="N870">
        <v>4.3</v>
      </c>
    </row>
    <row r="871" spans="1:14" x14ac:dyDescent="0.25">
      <c r="A871" t="s">
        <v>900</v>
      </c>
      <c r="B871" t="s">
        <v>13</v>
      </c>
      <c r="C871" t="s">
        <v>14</v>
      </c>
      <c r="D871" t="s">
        <v>22</v>
      </c>
      <c r="E871" t="s">
        <v>26</v>
      </c>
      <c r="F871" t="s">
        <v>31</v>
      </c>
      <c r="G871" t="s">
        <v>1034</v>
      </c>
      <c r="H871" t="s">
        <v>1041</v>
      </c>
      <c r="I871" s="1">
        <v>43471</v>
      </c>
      <c r="J871" t="s">
        <v>1045</v>
      </c>
      <c r="K871" s="5">
        <v>0.56597222222222221</v>
      </c>
      <c r="L871" t="s">
        <v>18</v>
      </c>
      <c r="M871">
        <v>12.917999999999999</v>
      </c>
      <c r="N871">
        <v>9.3000000000000007</v>
      </c>
    </row>
    <row r="872" spans="1:14" x14ac:dyDescent="0.25">
      <c r="A872" t="s">
        <v>901</v>
      </c>
      <c r="B872" t="s">
        <v>13</v>
      </c>
      <c r="C872" t="s">
        <v>14</v>
      </c>
      <c r="D872" t="s">
        <v>15</v>
      </c>
      <c r="E872" t="s">
        <v>26</v>
      </c>
      <c r="F872" t="s">
        <v>39</v>
      </c>
      <c r="G872" t="s">
        <v>1040</v>
      </c>
      <c r="H872" t="s">
        <v>1042</v>
      </c>
      <c r="I872" s="1">
        <v>43512</v>
      </c>
      <c r="J872" t="s">
        <v>1044</v>
      </c>
      <c r="K872" s="5">
        <v>0.43958333333333338</v>
      </c>
      <c r="L872" t="s">
        <v>28</v>
      </c>
      <c r="M872">
        <v>8.6869999999999994</v>
      </c>
      <c r="N872">
        <v>7.1</v>
      </c>
    </row>
    <row r="873" spans="1:14" x14ac:dyDescent="0.25">
      <c r="A873" t="s">
        <v>902</v>
      </c>
      <c r="B873" t="s">
        <v>20</v>
      </c>
      <c r="C873" t="s">
        <v>21</v>
      </c>
      <c r="D873" t="s">
        <v>22</v>
      </c>
      <c r="E873" t="s">
        <v>26</v>
      </c>
      <c r="F873" t="s">
        <v>41</v>
      </c>
      <c r="G873" t="s">
        <v>1036</v>
      </c>
      <c r="H873" t="s">
        <v>1043</v>
      </c>
      <c r="I873" s="1">
        <v>43537</v>
      </c>
      <c r="J873" t="s">
        <v>1045</v>
      </c>
      <c r="K873" s="5">
        <v>0.65625</v>
      </c>
      <c r="L873" t="s">
        <v>18</v>
      </c>
      <c r="M873">
        <v>2.8250000000000002</v>
      </c>
      <c r="N873">
        <v>9.6</v>
      </c>
    </row>
    <row r="874" spans="1:14" x14ac:dyDescent="0.25">
      <c r="A874" t="s">
        <v>903</v>
      </c>
      <c r="B874" t="s">
        <v>37</v>
      </c>
      <c r="C874" t="s">
        <v>38</v>
      </c>
      <c r="D874" t="s">
        <v>15</v>
      </c>
      <c r="E874" t="s">
        <v>16</v>
      </c>
      <c r="F874" t="s">
        <v>23</v>
      </c>
      <c r="G874" t="s">
        <v>1037</v>
      </c>
      <c r="H874" t="s">
        <v>1041</v>
      </c>
      <c r="I874" s="1">
        <v>43493</v>
      </c>
      <c r="J874" t="s">
        <v>1044</v>
      </c>
      <c r="K874" s="5">
        <v>0.49374999999999997</v>
      </c>
      <c r="L874" t="s">
        <v>24</v>
      </c>
      <c r="M874">
        <v>10.715</v>
      </c>
      <c r="N874">
        <v>6.2</v>
      </c>
    </row>
    <row r="875" spans="1:14" x14ac:dyDescent="0.25">
      <c r="A875" t="s">
        <v>904</v>
      </c>
      <c r="B875" t="s">
        <v>13</v>
      </c>
      <c r="C875" t="s">
        <v>14</v>
      </c>
      <c r="D875" t="s">
        <v>15</v>
      </c>
      <c r="E875" t="s">
        <v>26</v>
      </c>
      <c r="F875" t="s">
        <v>31</v>
      </c>
      <c r="G875" t="s">
        <v>1035</v>
      </c>
      <c r="H875" t="s">
        <v>1041</v>
      </c>
      <c r="I875" s="1">
        <v>43483</v>
      </c>
      <c r="J875" t="s">
        <v>1046</v>
      </c>
      <c r="K875" s="5">
        <v>0.72638888888888886</v>
      </c>
      <c r="L875" t="s">
        <v>24</v>
      </c>
      <c r="M875">
        <v>26.718</v>
      </c>
      <c r="N875">
        <v>9.9</v>
      </c>
    </row>
    <row r="876" spans="1:14" x14ac:dyDescent="0.25">
      <c r="A876" t="s">
        <v>905</v>
      </c>
      <c r="B876" t="s">
        <v>13</v>
      </c>
      <c r="C876" t="s">
        <v>14</v>
      </c>
      <c r="D876" t="s">
        <v>15</v>
      </c>
      <c r="E876" t="s">
        <v>26</v>
      </c>
      <c r="F876" t="s">
        <v>27</v>
      </c>
      <c r="G876" t="s">
        <v>1037</v>
      </c>
      <c r="H876" t="s">
        <v>1043</v>
      </c>
      <c r="I876" s="1">
        <v>43543</v>
      </c>
      <c r="J876" t="s">
        <v>1044</v>
      </c>
      <c r="K876" s="5">
        <v>0.49444444444444446</v>
      </c>
      <c r="L876" t="s">
        <v>28</v>
      </c>
      <c r="M876">
        <v>4.6580000000000004</v>
      </c>
      <c r="N876">
        <v>5.9</v>
      </c>
    </row>
    <row r="877" spans="1:14" x14ac:dyDescent="0.25">
      <c r="A877" t="s">
        <v>906</v>
      </c>
      <c r="B877" t="s">
        <v>20</v>
      </c>
      <c r="C877" t="s">
        <v>21</v>
      </c>
      <c r="D877" t="s">
        <v>22</v>
      </c>
      <c r="E877" t="s">
        <v>26</v>
      </c>
      <c r="F877" t="s">
        <v>27</v>
      </c>
      <c r="G877" t="s">
        <v>1036</v>
      </c>
      <c r="H877" t="s">
        <v>1043</v>
      </c>
      <c r="I877" s="1">
        <v>43539</v>
      </c>
      <c r="J877" t="s">
        <v>1045</v>
      </c>
      <c r="K877" s="5">
        <v>0.58611111111111114</v>
      </c>
      <c r="L877" t="s">
        <v>18</v>
      </c>
      <c r="M877">
        <v>26.103999999999999</v>
      </c>
      <c r="N877">
        <v>6.3</v>
      </c>
    </row>
    <row r="878" spans="1:14" x14ac:dyDescent="0.25">
      <c r="A878" t="s">
        <v>907</v>
      </c>
      <c r="B878" t="s">
        <v>20</v>
      </c>
      <c r="C878" t="s">
        <v>21</v>
      </c>
      <c r="D878" t="s">
        <v>15</v>
      </c>
      <c r="E878" t="s">
        <v>26</v>
      </c>
      <c r="F878" t="s">
        <v>41</v>
      </c>
      <c r="G878" t="s">
        <v>1039</v>
      </c>
      <c r="H878" t="s">
        <v>1042</v>
      </c>
      <c r="I878" s="1">
        <v>43508</v>
      </c>
      <c r="J878" t="s">
        <v>1046</v>
      </c>
      <c r="K878" s="5">
        <v>0.74236111111111114</v>
      </c>
      <c r="L878" t="s">
        <v>24</v>
      </c>
      <c r="M878">
        <v>2.6175000000000002</v>
      </c>
      <c r="N878">
        <v>4</v>
      </c>
    </row>
    <row r="879" spans="1:14" x14ac:dyDescent="0.25">
      <c r="A879" t="s">
        <v>908</v>
      </c>
      <c r="B879" t="s">
        <v>37</v>
      </c>
      <c r="C879" t="s">
        <v>38</v>
      </c>
      <c r="D879" t="s">
        <v>15</v>
      </c>
      <c r="E879" t="s">
        <v>26</v>
      </c>
      <c r="F879" t="s">
        <v>23</v>
      </c>
      <c r="G879" t="s">
        <v>1034</v>
      </c>
      <c r="H879" t="s">
        <v>1042</v>
      </c>
      <c r="I879" s="1">
        <v>43521</v>
      </c>
      <c r="J879" t="s">
        <v>1046</v>
      </c>
      <c r="K879" s="5">
        <v>0.84652777777777777</v>
      </c>
      <c r="L879" t="s">
        <v>24</v>
      </c>
      <c r="M879">
        <v>1.9875</v>
      </c>
      <c r="N879">
        <v>6.1</v>
      </c>
    </row>
    <row r="880" spans="1:14" x14ac:dyDescent="0.25">
      <c r="A880" t="s">
        <v>909</v>
      </c>
      <c r="B880" t="s">
        <v>13</v>
      </c>
      <c r="C880" t="s">
        <v>14</v>
      </c>
      <c r="D880" t="s">
        <v>22</v>
      </c>
      <c r="E880" t="s">
        <v>16</v>
      </c>
      <c r="F880" t="s">
        <v>23</v>
      </c>
      <c r="G880" t="s">
        <v>1037</v>
      </c>
      <c r="H880" t="s">
        <v>1043</v>
      </c>
      <c r="I880" s="1">
        <v>43545</v>
      </c>
      <c r="J880" t="s">
        <v>1046</v>
      </c>
      <c r="K880" s="5">
        <v>0.67222222222222217</v>
      </c>
      <c r="L880" t="s">
        <v>28</v>
      </c>
      <c r="M880">
        <v>36.008000000000003</v>
      </c>
      <c r="N880">
        <v>4.5</v>
      </c>
    </row>
    <row r="881" spans="1:14" x14ac:dyDescent="0.25">
      <c r="A881" t="s">
        <v>910</v>
      </c>
      <c r="B881" t="s">
        <v>37</v>
      </c>
      <c r="C881" t="s">
        <v>38</v>
      </c>
      <c r="D881" t="s">
        <v>15</v>
      </c>
      <c r="E881" t="s">
        <v>16</v>
      </c>
      <c r="F881" t="s">
        <v>23</v>
      </c>
      <c r="G881" t="s">
        <v>1036</v>
      </c>
      <c r="H881" t="s">
        <v>1041</v>
      </c>
      <c r="I881" s="1">
        <v>43484</v>
      </c>
      <c r="J881" t="s">
        <v>1044</v>
      </c>
      <c r="K881" s="5">
        <v>0.4284722222222222</v>
      </c>
      <c r="L881" t="s">
        <v>18</v>
      </c>
      <c r="M881">
        <v>4.84</v>
      </c>
      <c r="N881">
        <v>8.6</v>
      </c>
    </row>
    <row r="882" spans="1:14" x14ac:dyDescent="0.25">
      <c r="A882" t="s">
        <v>911</v>
      </c>
      <c r="B882" t="s">
        <v>37</v>
      </c>
      <c r="C882" t="s">
        <v>38</v>
      </c>
      <c r="D882" t="s">
        <v>15</v>
      </c>
      <c r="E882" t="s">
        <v>16</v>
      </c>
      <c r="F882" t="s">
        <v>39</v>
      </c>
      <c r="G882" t="s">
        <v>1034</v>
      </c>
      <c r="H882" t="s">
        <v>1041</v>
      </c>
      <c r="I882" s="1">
        <v>43473</v>
      </c>
      <c r="J882" t="s">
        <v>1045</v>
      </c>
      <c r="K882" s="5">
        <v>0.60069444444444442</v>
      </c>
      <c r="L882" t="s">
        <v>18</v>
      </c>
      <c r="M882">
        <v>16.605</v>
      </c>
      <c r="N882">
        <v>6</v>
      </c>
    </row>
    <row r="883" spans="1:14" x14ac:dyDescent="0.25">
      <c r="A883" t="s">
        <v>912</v>
      </c>
      <c r="B883" t="s">
        <v>20</v>
      </c>
      <c r="C883" t="s">
        <v>21</v>
      </c>
      <c r="D883" t="s">
        <v>15</v>
      </c>
      <c r="E883" t="s">
        <v>16</v>
      </c>
      <c r="F883" t="s">
        <v>41</v>
      </c>
      <c r="G883" t="s">
        <v>1039</v>
      </c>
      <c r="H883" t="s">
        <v>1043</v>
      </c>
      <c r="I883" s="1">
        <v>43554</v>
      </c>
      <c r="J883" t="s">
        <v>1045</v>
      </c>
      <c r="K883" s="5">
        <v>0.53541666666666665</v>
      </c>
      <c r="L883" t="s">
        <v>28</v>
      </c>
      <c r="M883">
        <v>4.0720000000000001</v>
      </c>
      <c r="N883">
        <v>9.5</v>
      </c>
    </row>
    <row r="884" spans="1:14" x14ac:dyDescent="0.25">
      <c r="A884" t="s">
        <v>913</v>
      </c>
      <c r="B884" t="s">
        <v>37</v>
      </c>
      <c r="C884" t="s">
        <v>38</v>
      </c>
      <c r="D884" t="s">
        <v>15</v>
      </c>
      <c r="E884" t="s">
        <v>26</v>
      </c>
      <c r="F884" t="s">
        <v>31</v>
      </c>
      <c r="G884" t="s">
        <v>1040</v>
      </c>
      <c r="H884" t="s">
        <v>1042</v>
      </c>
      <c r="I884" s="1">
        <v>43516</v>
      </c>
      <c r="J884" t="s">
        <v>1045</v>
      </c>
      <c r="K884" s="5">
        <v>0.63750000000000007</v>
      </c>
      <c r="L884" t="s">
        <v>28</v>
      </c>
      <c r="M884">
        <v>15.994999999999999</v>
      </c>
      <c r="N884">
        <v>9.9</v>
      </c>
    </row>
    <row r="885" spans="1:14" x14ac:dyDescent="0.25">
      <c r="A885" t="s">
        <v>914</v>
      </c>
      <c r="B885" t="s">
        <v>13</v>
      </c>
      <c r="C885" t="s">
        <v>14</v>
      </c>
      <c r="D885" t="s">
        <v>15</v>
      </c>
      <c r="E885" t="s">
        <v>16</v>
      </c>
      <c r="F885" t="s">
        <v>27</v>
      </c>
      <c r="G885" t="s">
        <v>1039</v>
      </c>
      <c r="H885" t="s">
        <v>1043</v>
      </c>
      <c r="I885" s="1">
        <v>43554</v>
      </c>
      <c r="J885" t="s">
        <v>1045</v>
      </c>
      <c r="K885" s="5">
        <v>0.53125</v>
      </c>
      <c r="L885" t="s">
        <v>18</v>
      </c>
      <c r="M885">
        <v>10.326000000000001</v>
      </c>
      <c r="N885">
        <v>7.5</v>
      </c>
    </row>
    <row r="886" spans="1:14" x14ac:dyDescent="0.25">
      <c r="A886" t="s">
        <v>915</v>
      </c>
      <c r="B886" t="s">
        <v>13</v>
      </c>
      <c r="C886" t="s">
        <v>14</v>
      </c>
      <c r="D886" t="s">
        <v>15</v>
      </c>
      <c r="E886" t="s">
        <v>16</v>
      </c>
      <c r="F886" t="s">
        <v>39</v>
      </c>
      <c r="G886" t="s">
        <v>1037</v>
      </c>
      <c r="H886" t="s">
        <v>1043</v>
      </c>
      <c r="I886" s="1">
        <v>43543</v>
      </c>
      <c r="J886" t="s">
        <v>1045</v>
      </c>
      <c r="K886" s="5">
        <v>0.56736111111111109</v>
      </c>
      <c r="L886" t="s">
        <v>24</v>
      </c>
      <c r="M886">
        <v>8.3339999999999996</v>
      </c>
      <c r="N886">
        <v>7.6</v>
      </c>
    </row>
    <row r="887" spans="1:14" x14ac:dyDescent="0.25">
      <c r="A887" t="s">
        <v>916</v>
      </c>
      <c r="B887" t="s">
        <v>13</v>
      </c>
      <c r="C887" t="s">
        <v>14</v>
      </c>
      <c r="D887" t="s">
        <v>22</v>
      </c>
      <c r="E887" t="s">
        <v>26</v>
      </c>
      <c r="F887" t="s">
        <v>31</v>
      </c>
      <c r="G887" t="s">
        <v>1035</v>
      </c>
      <c r="H887" t="s">
        <v>1041</v>
      </c>
      <c r="I887" s="1">
        <v>43478</v>
      </c>
      <c r="J887" t="s">
        <v>1044</v>
      </c>
      <c r="K887" s="5">
        <v>0.41875000000000001</v>
      </c>
      <c r="L887" t="s">
        <v>24</v>
      </c>
      <c r="M887">
        <v>15.952999999999999</v>
      </c>
      <c r="N887">
        <v>5</v>
      </c>
    </row>
    <row r="888" spans="1:14" x14ac:dyDescent="0.25">
      <c r="A888" t="s">
        <v>917</v>
      </c>
      <c r="B888" t="s">
        <v>13</v>
      </c>
      <c r="C888" t="s">
        <v>14</v>
      </c>
      <c r="D888" t="s">
        <v>15</v>
      </c>
      <c r="E888" t="s">
        <v>26</v>
      </c>
      <c r="F888" t="s">
        <v>39</v>
      </c>
      <c r="G888" t="s">
        <v>1038</v>
      </c>
      <c r="H888" t="s">
        <v>1042</v>
      </c>
      <c r="I888" s="1">
        <v>43501</v>
      </c>
      <c r="J888" t="s">
        <v>1046</v>
      </c>
      <c r="K888" s="5">
        <v>0.8208333333333333</v>
      </c>
      <c r="L888" t="s">
        <v>18</v>
      </c>
      <c r="M888">
        <v>4.3949999999999996</v>
      </c>
      <c r="N888">
        <v>6.7</v>
      </c>
    </row>
    <row r="889" spans="1:14" x14ac:dyDescent="0.25">
      <c r="A889" t="s">
        <v>918</v>
      </c>
      <c r="B889" t="s">
        <v>13</v>
      </c>
      <c r="C889" t="s">
        <v>14</v>
      </c>
      <c r="D889" t="s">
        <v>15</v>
      </c>
      <c r="E889" t="s">
        <v>16</v>
      </c>
      <c r="F889" t="s">
        <v>23</v>
      </c>
      <c r="G889" t="s">
        <v>1038</v>
      </c>
      <c r="H889" t="s">
        <v>1043</v>
      </c>
      <c r="I889" s="1">
        <v>43547</v>
      </c>
      <c r="J889" t="s">
        <v>1045</v>
      </c>
      <c r="K889" s="5">
        <v>0.55138888888888882</v>
      </c>
      <c r="L889" t="s">
        <v>18</v>
      </c>
      <c r="M889">
        <v>36.734999999999999</v>
      </c>
      <c r="N889">
        <v>9.5</v>
      </c>
    </row>
    <row r="890" spans="1:14" x14ac:dyDescent="0.25">
      <c r="A890" t="s">
        <v>919</v>
      </c>
      <c r="B890" t="s">
        <v>20</v>
      </c>
      <c r="C890" t="s">
        <v>21</v>
      </c>
      <c r="D890" t="s">
        <v>22</v>
      </c>
      <c r="E890" t="s">
        <v>16</v>
      </c>
      <c r="F890" t="s">
        <v>41</v>
      </c>
      <c r="G890" t="s">
        <v>1036</v>
      </c>
      <c r="H890" t="s">
        <v>1043</v>
      </c>
      <c r="I890" s="1">
        <v>43537</v>
      </c>
      <c r="J890" t="s">
        <v>1045</v>
      </c>
      <c r="K890" s="5">
        <v>0.53263888888888888</v>
      </c>
      <c r="L890" t="s">
        <v>18</v>
      </c>
      <c r="M890">
        <v>4.8760000000000003</v>
      </c>
      <c r="N890">
        <v>6.8</v>
      </c>
    </row>
    <row r="891" spans="1:14" x14ac:dyDescent="0.25">
      <c r="A891" t="s">
        <v>920</v>
      </c>
      <c r="B891" t="s">
        <v>13</v>
      </c>
      <c r="C891" t="s">
        <v>14</v>
      </c>
      <c r="D891" t="s">
        <v>15</v>
      </c>
      <c r="E891" t="s">
        <v>26</v>
      </c>
      <c r="F891" t="s">
        <v>31</v>
      </c>
      <c r="G891" t="s">
        <v>1037</v>
      </c>
      <c r="H891" t="s">
        <v>1043</v>
      </c>
      <c r="I891" s="1">
        <v>43541</v>
      </c>
      <c r="J891" t="s">
        <v>1046</v>
      </c>
      <c r="K891" s="5">
        <v>0.82847222222222217</v>
      </c>
      <c r="L891" t="s">
        <v>18</v>
      </c>
      <c r="M891">
        <v>38.46</v>
      </c>
      <c r="N891">
        <v>5.6</v>
      </c>
    </row>
    <row r="892" spans="1:14" x14ac:dyDescent="0.25">
      <c r="A892" t="s">
        <v>921</v>
      </c>
      <c r="B892" t="s">
        <v>20</v>
      </c>
      <c r="C892" t="s">
        <v>21</v>
      </c>
      <c r="D892" t="s">
        <v>22</v>
      </c>
      <c r="E892" t="s">
        <v>16</v>
      </c>
      <c r="F892" t="s">
        <v>17</v>
      </c>
      <c r="G892" t="s">
        <v>1040</v>
      </c>
      <c r="H892" t="s">
        <v>1042</v>
      </c>
      <c r="I892" s="1">
        <v>43517</v>
      </c>
      <c r="J892" t="s">
        <v>1044</v>
      </c>
      <c r="K892" s="5">
        <v>0.43472222222222223</v>
      </c>
      <c r="L892" t="s">
        <v>24</v>
      </c>
      <c r="M892">
        <v>20.914999999999999</v>
      </c>
      <c r="N892">
        <v>7.2</v>
      </c>
    </row>
    <row r="893" spans="1:14" x14ac:dyDescent="0.25">
      <c r="A893" t="s">
        <v>922</v>
      </c>
      <c r="B893" t="s">
        <v>37</v>
      </c>
      <c r="C893" t="s">
        <v>38</v>
      </c>
      <c r="D893" t="s">
        <v>22</v>
      </c>
      <c r="E893" t="s">
        <v>16</v>
      </c>
      <c r="F893" t="s">
        <v>23</v>
      </c>
      <c r="G893" t="s">
        <v>1038</v>
      </c>
      <c r="H893" t="s">
        <v>1042</v>
      </c>
      <c r="I893" s="1">
        <v>43503</v>
      </c>
      <c r="J893" t="s">
        <v>1045</v>
      </c>
      <c r="K893" s="5">
        <v>0.62916666666666665</v>
      </c>
      <c r="L893" t="s">
        <v>24</v>
      </c>
      <c r="M893">
        <v>23.164000000000001</v>
      </c>
      <c r="N893">
        <v>8.1</v>
      </c>
    </row>
    <row r="894" spans="1:14" x14ac:dyDescent="0.25">
      <c r="A894" t="s">
        <v>923</v>
      </c>
      <c r="B894" t="s">
        <v>20</v>
      </c>
      <c r="C894" t="s">
        <v>21</v>
      </c>
      <c r="D894" t="s">
        <v>15</v>
      </c>
      <c r="E894" t="s">
        <v>16</v>
      </c>
      <c r="F894" t="s">
        <v>41</v>
      </c>
      <c r="G894" t="s">
        <v>1035</v>
      </c>
      <c r="H894" t="s">
        <v>1043</v>
      </c>
      <c r="I894" s="1">
        <v>43526</v>
      </c>
      <c r="J894" t="s">
        <v>1046</v>
      </c>
      <c r="K894" s="5">
        <v>0.69097222222222221</v>
      </c>
      <c r="L894" t="s">
        <v>28</v>
      </c>
      <c r="M894">
        <v>23.122499999999999</v>
      </c>
      <c r="N894">
        <v>8.6</v>
      </c>
    </row>
    <row r="895" spans="1:14" x14ac:dyDescent="0.25">
      <c r="A895" t="s">
        <v>924</v>
      </c>
      <c r="B895" t="s">
        <v>37</v>
      </c>
      <c r="C895" t="s">
        <v>38</v>
      </c>
      <c r="D895" t="s">
        <v>22</v>
      </c>
      <c r="E895" t="s">
        <v>26</v>
      </c>
      <c r="F895" t="s">
        <v>23</v>
      </c>
      <c r="G895" t="s">
        <v>1035</v>
      </c>
      <c r="H895" t="s">
        <v>1043</v>
      </c>
      <c r="I895" s="1">
        <v>43530</v>
      </c>
      <c r="J895" t="s">
        <v>1046</v>
      </c>
      <c r="K895" s="5">
        <v>0.87291666666666667</v>
      </c>
      <c r="L895" t="s">
        <v>24</v>
      </c>
      <c r="M895">
        <v>7.0949999999999998</v>
      </c>
      <c r="N895">
        <v>9.4</v>
      </c>
    </row>
    <row r="896" spans="1:14" x14ac:dyDescent="0.25">
      <c r="A896" t="s">
        <v>925</v>
      </c>
      <c r="B896" t="s">
        <v>37</v>
      </c>
      <c r="C896" t="s">
        <v>38</v>
      </c>
      <c r="D896" t="s">
        <v>15</v>
      </c>
      <c r="E896" t="s">
        <v>26</v>
      </c>
      <c r="F896" t="s">
        <v>23</v>
      </c>
      <c r="G896" t="s">
        <v>1038</v>
      </c>
      <c r="H896" t="s">
        <v>1042</v>
      </c>
      <c r="I896" s="1">
        <v>43502</v>
      </c>
      <c r="J896" t="s">
        <v>1045</v>
      </c>
      <c r="K896" s="5">
        <v>0.63611111111111118</v>
      </c>
      <c r="L896" t="s">
        <v>28</v>
      </c>
      <c r="M896">
        <v>15.135</v>
      </c>
      <c r="N896">
        <v>8.9</v>
      </c>
    </row>
    <row r="897" spans="1:14" x14ac:dyDescent="0.25">
      <c r="A897" t="s">
        <v>926</v>
      </c>
      <c r="B897" t="s">
        <v>37</v>
      </c>
      <c r="C897" t="s">
        <v>38</v>
      </c>
      <c r="D897" t="s">
        <v>22</v>
      </c>
      <c r="E897" t="s">
        <v>26</v>
      </c>
      <c r="F897" t="s">
        <v>17</v>
      </c>
      <c r="G897" t="s">
        <v>1037</v>
      </c>
      <c r="H897" t="s">
        <v>1041</v>
      </c>
      <c r="I897" s="1">
        <v>43493</v>
      </c>
      <c r="J897" t="s">
        <v>1046</v>
      </c>
      <c r="K897" s="5">
        <v>0.74097222222222225</v>
      </c>
      <c r="L897" t="s">
        <v>28</v>
      </c>
      <c r="M897">
        <v>39.664000000000001</v>
      </c>
      <c r="N897">
        <v>4.2</v>
      </c>
    </row>
    <row r="898" spans="1:14" x14ac:dyDescent="0.25">
      <c r="A898" t="s">
        <v>927</v>
      </c>
      <c r="B898" t="s">
        <v>20</v>
      </c>
      <c r="C898" t="s">
        <v>21</v>
      </c>
      <c r="D898" t="s">
        <v>22</v>
      </c>
      <c r="E898" t="s">
        <v>26</v>
      </c>
      <c r="F898" t="s">
        <v>41</v>
      </c>
      <c r="G898" t="s">
        <v>1035</v>
      </c>
      <c r="H898" t="s">
        <v>1041</v>
      </c>
      <c r="I898" s="1">
        <v>43483</v>
      </c>
      <c r="J898" t="s">
        <v>1046</v>
      </c>
      <c r="K898" s="5">
        <v>0.68263888888888891</v>
      </c>
      <c r="L898" t="s">
        <v>18</v>
      </c>
      <c r="M898">
        <v>21.259</v>
      </c>
      <c r="N898">
        <v>5</v>
      </c>
    </row>
    <row r="899" spans="1:14" x14ac:dyDescent="0.25">
      <c r="A899" t="s">
        <v>928</v>
      </c>
      <c r="B899" t="s">
        <v>20</v>
      </c>
      <c r="C899" t="s">
        <v>21</v>
      </c>
      <c r="D899" t="s">
        <v>15</v>
      </c>
      <c r="E899" t="s">
        <v>16</v>
      </c>
      <c r="F899" t="s">
        <v>39</v>
      </c>
      <c r="G899" t="s">
        <v>1038</v>
      </c>
      <c r="H899" t="s">
        <v>1042</v>
      </c>
      <c r="I899" s="1">
        <v>43501</v>
      </c>
      <c r="J899" t="s">
        <v>1044</v>
      </c>
      <c r="K899" s="5">
        <v>0.4284722222222222</v>
      </c>
      <c r="L899" t="s">
        <v>24</v>
      </c>
      <c r="M899">
        <v>14.180999999999999</v>
      </c>
      <c r="N899">
        <v>8.8000000000000007</v>
      </c>
    </row>
    <row r="900" spans="1:14" x14ac:dyDescent="0.25">
      <c r="A900" t="s">
        <v>929</v>
      </c>
      <c r="B900" t="s">
        <v>20</v>
      </c>
      <c r="C900" t="s">
        <v>21</v>
      </c>
      <c r="D900" t="s">
        <v>15</v>
      </c>
      <c r="E900" t="s">
        <v>26</v>
      </c>
      <c r="F900" t="s">
        <v>17</v>
      </c>
      <c r="G900" t="s">
        <v>1035</v>
      </c>
      <c r="H900" t="s">
        <v>1043</v>
      </c>
      <c r="I900" s="1">
        <v>43526</v>
      </c>
      <c r="J900" t="s">
        <v>1045</v>
      </c>
      <c r="K900" s="5">
        <v>0.57638888888888895</v>
      </c>
      <c r="L900" t="s">
        <v>24</v>
      </c>
      <c r="M900">
        <v>29.96</v>
      </c>
      <c r="N900">
        <v>5.3</v>
      </c>
    </row>
    <row r="901" spans="1:14" x14ac:dyDescent="0.25">
      <c r="A901" t="s">
        <v>930</v>
      </c>
      <c r="B901" t="s">
        <v>13</v>
      </c>
      <c r="C901" t="s">
        <v>14</v>
      </c>
      <c r="D901" t="s">
        <v>15</v>
      </c>
      <c r="E901" t="s">
        <v>26</v>
      </c>
      <c r="F901" t="s">
        <v>39</v>
      </c>
      <c r="G901" t="s">
        <v>1039</v>
      </c>
      <c r="H901" t="s">
        <v>1042</v>
      </c>
      <c r="I901" s="1">
        <v>43505</v>
      </c>
      <c r="J901" t="s">
        <v>1046</v>
      </c>
      <c r="K901" s="5">
        <v>0.80347222222222225</v>
      </c>
      <c r="L901" t="s">
        <v>18</v>
      </c>
      <c r="M901">
        <v>15.768000000000001</v>
      </c>
      <c r="N901">
        <v>4.5999999999999996</v>
      </c>
    </row>
    <row r="902" spans="1:14" x14ac:dyDescent="0.25">
      <c r="A902" t="s">
        <v>931</v>
      </c>
      <c r="B902" t="s">
        <v>20</v>
      </c>
      <c r="C902" t="s">
        <v>21</v>
      </c>
      <c r="D902" t="s">
        <v>15</v>
      </c>
      <c r="E902" t="s">
        <v>16</v>
      </c>
      <c r="F902" t="s">
        <v>23</v>
      </c>
      <c r="G902" t="s">
        <v>1035</v>
      </c>
      <c r="H902" t="s">
        <v>1041</v>
      </c>
      <c r="I902" s="1">
        <v>43479</v>
      </c>
      <c r="J902" t="s">
        <v>1045</v>
      </c>
      <c r="K902" s="5">
        <v>0.58333333333333337</v>
      </c>
      <c r="L902" t="s">
        <v>28</v>
      </c>
      <c r="M902">
        <v>20.178000000000001</v>
      </c>
      <c r="N902">
        <v>7.5</v>
      </c>
    </row>
    <row r="903" spans="1:14" x14ac:dyDescent="0.25">
      <c r="A903" t="s">
        <v>932</v>
      </c>
      <c r="B903" t="s">
        <v>37</v>
      </c>
      <c r="C903" t="s">
        <v>38</v>
      </c>
      <c r="D903" t="s">
        <v>22</v>
      </c>
      <c r="E903" t="s">
        <v>26</v>
      </c>
      <c r="F903" t="s">
        <v>27</v>
      </c>
      <c r="G903" t="s">
        <v>1039</v>
      </c>
      <c r="H903" t="s">
        <v>1042</v>
      </c>
      <c r="I903" s="1">
        <v>43505</v>
      </c>
      <c r="J903" t="s">
        <v>1045</v>
      </c>
      <c r="K903" s="5">
        <v>0.50138888888888888</v>
      </c>
      <c r="L903" t="s">
        <v>18</v>
      </c>
      <c r="M903">
        <v>9.1940000000000008</v>
      </c>
      <c r="N903">
        <v>5.0999999999999996</v>
      </c>
    </row>
    <row r="904" spans="1:14" x14ac:dyDescent="0.25">
      <c r="A904" t="s">
        <v>933</v>
      </c>
      <c r="B904" t="s">
        <v>13</v>
      </c>
      <c r="C904" t="s">
        <v>14</v>
      </c>
      <c r="D904" t="s">
        <v>15</v>
      </c>
      <c r="E904" t="s">
        <v>16</v>
      </c>
      <c r="F904" t="s">
        <v>17</v>
      </c>
      <c r="G904" t="s">
        <v>1038</v>
      </c>
      <c r="H904" t="s">
        <v>1043</v>
      </c>
      <c r="I904" s="1">
        <v>43550</v>
      </c>
      <c r="J904" t="s">
        <v>1046</v>
      </c>
      <c r="K904" s="5">
        <v>0.84791666666666676</v>
      </c>
      <c r="L904" t="s">
        <v>28</v>
      </c>
      <c r="M904">
        <v>6.9325000000000001</v>
      </c>
      <c r="N904">
        <v>4.2</v>
      </c>
    </row>
    <row r="905" spans="1:14" x14ac:dyDescent="0.25">
      <c r="A905" t="s">
        <v>934</v>
      </c>
      <c r="B905" t="s">
        <v>13</v>
      </c>
      <c r="C905" t="s">
        <v>14</v>
      </c>
      <c r="D905" t="s">
        <v>22</v>
      </c>
      <c r="E905" t="s">
        <v>26</v>
      </c>
      <c r="F905" t="s">
        <v>39</v>
      </c>
      <c r="G905" t="s">
        <v>1037</v>
      </c>
      <c r="H905" t="s">
        <v>1041</v>
      </c>
      <c r="I905" s="1">
        <v>43493</v>
      </c>
      <c r="J905" t="s">
        <v>1046</v>
      </c>
      <c r="K905" s="5">
        <v>0.73263888888888884</v>
      </c>
      <c r="L905" t="s">
        <v>24</v>
      </c>
      <c r="M905">
        <v>4.0354999999999999</v>
      </c>
      <c r="N905">
        <v>8.1</v>
      </c>
    </row>
    <row r="906" spans="1:14" x14ac:dyDescent="0.25">
      <c r="A906" t="s">
        <v>935</v>
      </c>
      <c r="B906" t="s">
        <v>20</v>
      </c>
      <c r="C906" t="s">
        <v>21</v>
      </c>
      <c r="D906" t="s">
        <v>22</v>
      </c>
      <c r="E906" t="s">
        <v>16</v>
      </c>
      <c r="F906" t="s">
        <v>17</v>
      </c>
      <c r="G906" t="s">
        <v>1039</v>
      </c>
      <c r="H906" t="s">
        <v>1042</v>
      </c>
      <c r="I906" s="1">
        <v>43510</v>
      </c>
      <c r="J906" t="s">
        <v>1045</v>
      </c>
      <c r="K906" s="5">
        <v>0.52916666666666667</v>
      </c>
      <c r="L906" t="s">
        <v>18</v>
      </c>
      <c r="M906">
        <v>5.8319999999999999</v>
      </c>
      <c r="N906">
        <v>6</v>
      </c>
    </row>
    <row r="907" spans="1:14" x14ac:dyDescent="0.25">
      <c r="A907" t="s">
        <v>936</v>
      </c>
      <c r="B907" t="s">
        <v>20</v>
      </c>
      <c r="C907" t="s">
        <v>21</v>
      </c>
      <c r="D907" t="s">
        <v>15</v>
      </c>
      <c r="E907" t="s">
        <v>16</v>
      </c>
      <c r="F907" t="s">
        <v>27</v>
      </c>
      <c r="G907" t="s">
        <v>1038</v>
      </c>
      <c r="H907" t="s">
        <v>1043</v>
      </c>
      <c r="I907" s="1">
        <v>43548</v>
      </c>
      <c r="J907" t="s">
        <v>1046</v>
      </c>
      <c r="K907" s="5">
        <v>0.74722222222222223</v>
      </c>
      <c r="L907" t="s">
        <v>24</v>
      </c>
      <c r="M907">
        <v>15.676</v>
      </c>
      <c r="N907">
        <v>7.9</v>
      </c>
    </row>
    <row r="908" spans="1:14" x14ac:dyDescent="0.25">
      <c r="A908" t="s">
        <v>937</v>
      </c>
      <c r="B908" t="s">
        <v>20</v>
      </c>
      <c r="C908" t="s">
        <v>21</v>
      </c>
      <c r="D908" t="s">
        <v>22</v>
      </c>
      <c r="E908" t="s">
        <v>26</v>
      </c>
      <c r="F908" t="s">
        <v>17</v>
      </c>
      <c r="G908" t="s">
        <v>1039</v>
      </c>
      <c r="H908" t="s">
        <v>1042</v>
      </c>
      <c r="I908" s="1">
        <v>43505</v>
      </c>
      <c r="J908" t="s">
        <v>1046</v>
      </c>
      <c r="K908" s="5">
        <v>0.79027777777777775</v>
      </c>
      <c r="L908" t="s">
        <v>28</v>
      </c>
      <c r="M908">
        <v>42.305</v>
      </c>
      <c r="N908">
        <v>8.8000000000000007</v>
      </c>
    </row>
    <row r="909" spans="1:14" x14ac:dyDescent="0.25">
      <c r="A909" t="s">
        <v>938</v>
      </c>
      <c r="B909" t="s">
        <v>37</v>
      </c>
      <c r="C909" t="s">
        <v>38</v>
      </c>
      <c r="D909" t="s">
        <v>22</v>
      </c>
      <c r="E909" t="s">
        <v>16</v>
      </c>
      <c r="F909" t="s">
        <v>17</v>
      </c>
      <c r="G909" t="s">
        <v>1038</v>
      </c>
      <c r="H909" t="s">
        <v>1043</v>
      </c>
      <c r="I909" s="1">
        <v>43548</v>
      </c>
      <c r="J909" t="s">
        <v>1045</v>
      </c>
      <c r="K909" s="5">
        <v>0.58888888888888891</v>
      </c>
      <c r="L909" t="s">
        <v>28</v>
      </c>
      <c r="M909">
        <v>20.72</v>
      </c>
      <c r="N909">
        <v>6.6</v>
      </c>
    </row>
    <row r="910" spans="1:14" x14ac:dyDescent="0.25">
      <c r="A910" t="s">
        <v>939</v>
      </c>
      <c r="B910" t="s">
        <v>13</v>
      </c>
      <c r="C910" t="s">
        <v>14</v>
      </c>
      <c r="D910" t="s">
        <v>15</v>
      </c>
      <c r="E910" t="s">
        <v>16</v>
      </c>
      <c r="F910" t="s">
        <v>39</v>
      </c>
      <c r="G910" t="s">
        <v>1038</v>
      </c>
      <c r="H910" t="s">
        <v>1043</v>
      </c>
      <c r="I910" s="1">
        <v>43551</v>
      </c>
      <c r="J910" t="s">
        <v>1046</v>
      </c>
      <c r="K910" s="5">
        <v>0.6875</v>
      </c>
      <c r="L910" t="s">
        <v>18</v>
      </c>
      <c r="M910">
        <v>7.9539999999999997</v>
      </c>
      <c r="N910">
        <v>6.2</v>
      </c>
    </row>
    <row r="911" spans="1:14" x14ac:dyDescent="0.25">
      <c r="A911" t="s">
        <v>940</v>
      </c>
      <c r="B911" t="s">
        <v>37</v>
      </c>
      <c r="C911" t="s">
        <v>38</v>
      </c>
      <c r="D911" t="s">
        <v>22</v>
      </c>
      <c r="E911" t="s">
        <v>16</v>
      </c>
      <c r="F911" t="s">
        <v>27</v>
      </c>
      <c r="G911" t="s">
        <v>1037</v>
      </c>
      <c r="H911" t="s">
        <v>1041</v>
      </c>
      <c r="I911" s="1">
        <v>43492</v>
      </c>
      <c r="J911" t="s">
        <v>1044</v>
      </c>
      <c r="K911" s="5">
        <v>0.44722222222222219</v>
      </c>
      <c r="L911" t="s">
        <v>28</v>
      </c>
      <c r="M911">
        <v>24.504999999999999</v>
      </c>
      <c r="N911">
        <v>4.2</v>
      </c>
    </row>
    <row r="912" spans="1:14" x14ac:dyDescent="0.25">
      <c r="A912" t="s">
        <v>941</v>
      </c>
      <c r="B912" t="s">
        <v>37</v>
      </c>
      <c r="C912" t="s">
        <v>38</v>
      </c>
      <c r="D912" t="s">
        <v>15</v>
      </c>
      <c r="E912" t="s">
        <v>16</v>
      </c>
      <c r="F912" t="s">
        <v>39</v>
      </c>
      <c r="G912" t="s">
        <v>1038</v>
      </c>
      <c r="H912" t="s">
        <v>1043</v>
      </c>
      <c r="I912" s="1">
        <v>43551</v>
      </c>
      <c r="J912" t="s">
        <v>1046</v>
      </c>
      <c r="K912" s="5">
        <v>0.8534722222222223</v>
      </c>
      <c r="L912" t="s">
        <v>28</v>
      </c>
      <c r="M912">
        <v>4.3724999999999996</v>
      </c>
      <c r="N912">
        <v>7.3</v>
      </c>
    </row>
    <row r="913" spans="1:14" x14ac:dyDescent="0.25">
      <c r="A913" t="s">
        <v>942</v>
      </c>
      <c r="B913" t="s">
        <v>20</v>
      </c>
      <c r="C913" t="s">
        <v>21</v>
      </c>
      <c r="D913" t="s">
        <v>22</v>
      </c>
      <c r="E913" t="s">
        <v>16</v>
      </c>
      <c r="F913" t="s">
        <v>23</v>
      </c>
      <c r="G913" t="s">
        <v>1036</v>
      </c>
      <c r="H913" t="s">
        <v>1041</v>
      </c>
      <c r="I913" s="1">
        <v>43484</v>
      </c>
      <c r="J913" t="s">
        <v>1044</v>
      </c>
      <c r="K913" s="5">
        <v>0.48819444444444443</v>
      </c>
      <c r="L913" t="s">
        <v>18</v>
      </c>
      <c r="M913">
        <v>11.226000000000001</v>
      </c>
      <c r="N913">
        <v>8.6</v>
      </c>
    </row>
    <row r="914" spans="1:14" x14ac:dyDescent="0.25">
      <c r="A914" t="s">
        <v>943</v>
      </c>
      <c r="B914" t="s">
        <v>13</v>
      </c>
      <c r="C914" t="s">
        <v>14</v>
      </c>
      <c r="D914" t="s">
        <v>22</v>
      </c>
      <c r="E914" t="s">
        <v>16</v>
      </c>
      <c r="F914" t="s">
        <v>27</v>
      </c>
      <c r="G914" t="s">
        <v>1038</v>
      </c>
      <c r="H914" t="s">
        <v>1042</v>
      </c>
      <c r="I914" s="1">
        <v>43503</v>
      </c>
      <c r="J914" t="s">
        <v>1044</v>
      </c>
      <c r="K914" s="5">
        <v>0.42291666666666666</v>
      </c>
      <c r="L914" t="s">
        <v>24</v>
      </c>
      <c r="M914">
        <v>37.247999999999998</v>
      </c>
      <c r="N914">
        <v>6.8</v>
      </c>
    </row>
    <row r="915" spans="1:14" x14ac:dyDescent="0.25">
      <c r="A915" t="s">
        <v>944</v>
      </c>
      <c r="B915" t="s">
        <v>13</v>
      </c>
      <c r="C915" t="s">
        <v>14</v>
      </c>
      <c r="D915" t="s">
        <v>15</v>
      </c>
      <c r="E915" t="s">
        <v>26</v>
      </c>
      <c r="F915" t="s">
        <v>41</v>
      </c>
      <c r="G915" t="s">
        <v>1037</v>
      </c>
      <c r="H915" t="s">
        <v>1041</v>
      </c>
      <c r="I915" s="1">
        <v>43496</v>
      </c>
      <c r="J915" t="s">
        <v>1044</v>
      </c>
      <c r="K915" s="5">
        <v>0.41666666666666669</v>
      </c>
      <c r="L915" t="s">
        <v>18</v>
      </c>
      <c r="M915">
        <v>20.536000000000001</v>
      </c>
      <c r="N915">
        <v>7.6</v>
      </c>
    </row>
    <row r="916" spans="1:14" x14ac:dyDescent="0.25">
      <c r="A916" t="s">
        <v>945</v>
      </c>
      <c r="B916" t="s">
        <v>13</v>
      </c>
      <c r="C916" t="s">
        <v>14</v>
      </c>
      <c r="D916" t="s">
        <v>15</v>
      </c>
      <c r="E916" t="s">
        <v>16</v>
      </c>
      <c r="F916" t="s">
        <v>39</v>
      </c>
      <c r="G916" t="s">
        <v>1034</v>
      </c>
      <c r="H916" t="s">
        <v>1042</v>
      </c>
      <c r="I916" s="1">
        <v>43521</v>
      </c>
      <c r="J916" t="s">
        <v>1046</v>
      </c>
      <c r="K916" s="5">
        <v>0.78125</v>
      </c>
      <c r="L916" t="s">
        <v>24</v>
      </c>
      <c r="M916">
        <v>14.94</v>
      </c>
      <c r="N916">
        <v>5.8</v>
      </c>
    </row>
    <row r="917" spans="1:14" x14ac:dyDescent="0.25">
      <c r="A917" t="s">
        <v>946</v>
      </c>
      <c r="B917" t="s">
        <v>20</v>
      </c>
      <c r="C917" t="s">
        <v>21</v>
      </c>
      <c r="D917" t="s">
        <v>22</v>
      </c>
      <c r="E917" t="s">
        <v>16</v>
      </c>
      <c r="F917" t="s">
        <v>23</v>
      </c>
      <c r="G917" t="s">
        <v>1038</v>
      </c>
      <c r="H917" t="s">
        <v>1042</v>
      </c>
      <c r="I917" s="1">
        <v>43498</v>
      </c>
      <c r="J917" t="s">
        <v>1045</v>
      </c>
      <c r="K917" s="5">
        <v>0.52777777777777779</v>
      </c>
      <c r="L917" t="s">
        <v>24</v>
      </c>
      <c r="M917">
        <v>10.647</v>
      </c>
      <c r="N917">
        <v>4.0999999999999996</v>
      </c>
    </row>
    <row r="918" spans="1:14" x14ac:dyDescent="0.25">
      <c r="A918" t="s">
        <v>947</v>
      </c>
      <c r="B918" t="s">
        <v>20</v>
      </c>
      <c r="C918" t="s">
        <v>21</v>
      </c>
      <c r="D918" t="s">
        <v>15</v>
      </c>
      <c r="E918" t="s">
        <v>26</v>
      </c>
      <c r="F918" t="s">
        <v>31</v>
      </c>
      <c r="G918" t="s">
        <v>1036</v>
      </c>
      <c r="H918" t="s">
        <v>1043</v>
      </c>
      <c r="I918" s="1">
        <v>43538</v>
      </c>
      <c r="J918" t="s">
        <v>1045</v>
      </c>
      <c r="K918" s="5">
        <v>0.65</v>
      </c>
      <c r="L918" t="s">
        <v>28</v>
      </c>
      <c r="M918">
        <v>2.1425000000000001</v>
      </c>
      <c r="N918">
        <v>9.3000000000000007</v>
      </c>
    </row>
    <row r="919" spans="1:14" x14ac:dyDescent="0.25">
      <c r="A919" t="s">
        <v>948</v>
      </c>
      <c r="B919" t="s">
        <v>13</v>
      </c>
      <c r="C919" t="s">
        <v>14</v>
      </c>
      <c r="D919" t="s">
        <v>22</v>
      </c>
      <c r="E919" t="s">
        <v>16</v>
      </c>
      <c r="F919" t="s">
        <v>41</v>
      </c>
      <c r="G919" t="s">
        <v>1036</v>
      </c>
      <c r="H919" t="s">
        <v>1043</v>
      </c>
      <c r="I919" s="1">
        <v>43535</v>
      </c>
      <c r="J919" t="s">
        <v>1045</v>
      </c>
      <c r="K919" s="5">
        <v>0.50277777777777777</v>
      </c>
      <c r="L919" t="s">
        <v>24</v>
      </c>
      <c r="M919">
        <v>18.934000000000001</v>
      </c>
      <c r="N919">
        <v>6.8</v>
      </c>
    </row>
    <row r="920" spans="1:14" x14ac:dyDescent="0.25">
      <c r="A920" t="s">
        <v>949</v>
      </c>
      <c r="B920" t="s">
        <v>37</v>
      </c>
      <c r="C920" t="s">
        <v>38</v>
      </c>
      <c r="D920" t="s">
        <v>22</v>
      </c>
      <c r="E920" t="s">
        <v>26</v>
      </c>
      <c r="F920" t="s">
        <v>27</v>
      </c>
      <c r="G920" t="s">
        <v>1040</v>
      </c>
      <c r="H920" t="s">
        <v>1042</v>
      </c>
      <c r="I920" s="1">
        <v>43518</v>
      </c>
      <c r="J920" t="s">
        <v>1044</v>
      </c>
      <c r="K920" s="5">
        <v>0.47638888888888892</v>
      </c>
      <c r="L920" t="s">
        <v>18</v>
      </c>
      <c r="M920">
        <v>10.345499999999999</v>
      </c>
      <c r="N920">
        <v>8.6999999999999993</v>
      </c>
    </row>
    <row r="921" spans="1:14" x14ac:dyDescent="0.25">
      <c r="A921" t="s">
        <v>950</v>
      </c>
      <c r="B921" t="s">
        <v>37</v>
      </c>
      <c r="C921" t="s">
        <v>38</v>
      </c>
      <c r="D921" t="s">
        <v>15</v>
      </c>
      <c r="E921" t="s">
        <v>16</v>
      </c>
      <c r="F921" t="s">
        <v>23</v>
      </c>
      <c r="G921" t="s">
        <v>1035</v>
      </c>
      <c r="H921" t="s">
        <v>1043</v>
      </c>
      <c r="I921" s="1">
        <v>43526</v>
      </c>
      <c r="J921" t="s">
        <v>1045</v>
      </c>
      <c r="K921" s="5">
        <v>0.52500000000000002</v>
      </c>
      <c r="L921" t="s">
        <v>18</v>
      </c>
      <c r="M921">
        <v>3.9390000000000001</v>
      </c>
      <c r="N921">
        <v>6.3</v>
      </c>
    </row>
    <row r="922" spans="1:14" x14ac:dyDescent="0.25">
      <c r="A922" t="s">
        <v>951</v>
      </c>
      <c r="B922" t="s">
        <v>20</v>
      </c>
      <c r="C922" t="s">
        <v>21</v>
      </c>
      <c r="D922" t="s">
        <v>15</v>
      </c>
      <c r="E922" t="s">
        <v>16</v>
      </c>
      <c r="F922" t="s">
        <v>27</v>
      </c>
      <c r="G922" t="s">
        <v>1036</v>
      </c>
      <c r="H922" t="s">
        <v>1043</v>
      </c>
      <c r="I922" s="1">
        <v>43534</v>
      </c>
      <c r="J922" t="s">
        <v>1045</v>
      </c>
      <c r="K922" s="5">
        <v>0.62916666666666665</v>
      </c>
      <c r="L922" t="s">
        <v>28</v>
      </c>
      <c r="M922">
        <v>16.105499999999999</v>
      </c>
      <c r="N922">
        <v>5.0999999999999996</v>
      </c>
    </row>
    <row r="923" spans="1:14" x14ac:dyDescent="0.25">
      <c r="A923" t="s">
        <v>952</v>
      </c>
      <c r="B923" t="s">
        <v>37</v>
      </c>
      <c r="C923" t="s">
        <v>38</v>
      </c>
      <c r="D923" t="s">
        <v>22</v>
      </c>
      <c r="E923" t="s">
        <v>16</v>
      </c>
      <c r="F923" t="s">
        <v>27</v>
      </c>
      <c r="G923" t="s">
        <v>1038</v>
      </c>
      <c r="H923" t="s">
        <v>1042</v>
      </c>
      <c r="I923" s="1">
        <v>43504</v>
      </c>
      <c r="J923" t="s">
        <v>1044</v>
      </c>
      <c r="K923" s="5">
        <v>0.45694444444444443</v>
      </c>
      <c r="L923" t="s">
        <v>24</v>
      </c>
      <c r="M923">
        <v>4.9109999999999996</v>
      </c>
      <c r="N923">
        <v>7</v>
      </c>
    </row>
    <row r="924" spans="1:14" x14ac:dyDescent="0.25">
      <c r="A924" t="s">
        <v>953</v>
      </c>
      <c r="B924" t="s">
        <v>20</v>
      </c>
      <c r="C924" t="s">
        <v>21</v>
      </c>
      <c r="D924" t="s">
        <v>15</v>
      </c>
      <c r="E924" t="s">
        <v>16</v>
      </c>
      <c r="F924" t="s">
        <v>27</v>
      </c>
      <c r="G924" t="s">
        <v>1040</v>
      </c>
      <c r="H924" t="s">
        <v>1042</v>
      </c>
      <c r="I924" s="1">
        <v>43518</v>
      </c>
      <c r="J924" t="s">
        <v>1045</v>
      </c>
      <c r="K924" s="5">
        <v>0.50694444444444442</v>
      </c>
      <c r="L924" t="s">
        <v>28</v>
      </c>
      <c r="M924">
        <v>1.2729999999999999</v>
      </c>
      <c r="N924">
        <v>5.2</v>
      </c>
    </row>
    <row r="925" spans="1:14" x14ac:dyDescent="0.25">
      <c r="A925" t="s">
        <v>954</v>
      </c>
      <c r="B925" t="s">
        <v>20</v>
      </c>
      <c r="C925" t="s">
        <v>21</v>
      </c>
      <c r="D925" t="s">
        <v>22</v>
      </c>
      <c r="E925" t="s">
        <v>16</v>
      </c>
      <c r="F925" t="s">
        <v>31</v>
      </c>
      <c r="G925" t="s">
        <v>1034</v>
      </c>
      <c r="H925" t="s">
        <v>1041</v>
      </c>
      <c r="I925" s="1">
        <v>43475</v>
      </c>
      <c r="J925" t="s">
        <v>1044</v>
      </c>
      <c r="K925" s="5">
        <v>0.4381944444444445</v>
      </c>
      <c r="L925" t="s">
        <v>28</v>
      </c>
      <c r="M925">
        <v>29.099</v>
      </c>
      <c r="N925">
        <v>6.6</v>
      </c>
    </row>
    <row r="926" spans="1:14" x14ac:dyDescent="0.25">
      <c r="A926" t="s">
        <v>955</v>
      </c>
      <c r="B926" t="s">
        <v>20</v>
      </c>
      <c r="C926" t="s">
        <v>21</v>
      </c>
      <c r="D926" t="s">
        <v>15</v>
      </c>
      <c r="E926" t="s">
        <v>16</v>
      </c>
      <c r="F926" t="s">
        <v>31</v>
      </c>
      <c r="G926" t="s">
        <v>1036</v>
      </c>
      <c r="H926" t="s">
        <v>1043</v>
      </c>
      <c r="I926" s="1">
        <v>43538</v>
      </c>
      <c r="J926" t="s">
        <v>1045</v>
      </c>
      <c r="K926" s="5">
        <v>0.5756944444444444</v>
      </c>
      <c r="L926" t="s">
        <v>18</v>
      </c>
      <c r="M926">
        <v>10.566000000000001</v>
      </c>
      <c r="N926">
        <v>6.5</v>
      </c>
    </row>
    <row r="927" spans="1:14" x14ac:dyDescent="0.25">
      <c r="A927" t="s">
        <v>956</v>
      </c>
      <c r="B927" t="s">
        <v>37</v>
      </c>
      <c r="C927" t="s">
        <v>38</v>
      </c>
      <c r="D927" t="s">
        <v>22</v>
      </c>
      <c r="E927" t="s">
        <v>16</v>
      </c>
      <c r="F927" t="s">
        <v>23</v>
      </c>
      <c r="G927" t="s">
        <v>1034</v>
      </c>
      <c r="H927" t="s">
        <v>1041</v>
      </c>
      <c r="I927" s="1">
        <v>43475</v>
      </c>
      <c r="J927" t="s">
        <v>1044</v>
      </c>
      <c r="K927" s="5">
        <v>0.46527777777777773</v>
      </c>
      <c r="L927" t="s">
        <v>18</v>
      </c>
      <c r="M927">
        <v>2.7559999999999998</v>
      </c>
      <c r="N927">
        <v>9</v>
      </c>
    </row>
    <row r="928" spans="1:14" x14ac:dyDescent="0.25">
      <c r="A928" t="s">
        <v>957</v>
      </c>
      <c r="B928" t="s">
        <v>37</v>
      </c>
      <c r="C928" t="s">
        <v>38</v>
      </c>
      <c r="D928" t="s">
        <v>15</v>
      </c>
      <c r="E928" t="s">
        <v>26</v>
      </c>
      <c r="F928" t="s">
        <v>31</v>
      </c>
      <c r="G928" t="s">
        <v>1039</v>
      </c>
      <c r="H928" t="s">
        <v>1042</v>
      </c>
      <c r="I928" s="1">
        <v>43511</v>
      </c>
      <c r="J928" t="s">
        <v>1046</v>
      </c>
      <c r="K928" s="5">
        <v>0.73472222222222217</v>
      </c>
      <c r="L928" t="s">
        <v>28</v>
      </c>
      <c r="M928">
        <v>4.4154999999999998</v>
      </c>
      <c r="N928">
        <v>5.2</v>
      </c>
    </row>
    <row r="929" spans="1:14" x14ac:dyDescent="0.25">
      <c r="A929" t="s">
        <v>958</v>
      </c>
      <c r="B929" t="s">
        <v>13</v>
      </c>
      <c r="C929" t="s">
        <v>14</v>
      </c>
      <c r="D929" t="s">
        <v>15</v>
      </c>
      <c r="E929" t="s">
        <v>16</v>
      </c>
      <c r="F929" t="s">
        <v>17</v>
      </c>
      <c r="G929" t="s">
        <v>1035</v>
      </c>
      <c r="H929" t="s">
        <v>1041</v>
      </c>
      <c r="I929" s="1">
        <v>43478</v>
      </c>
      <c r="J929" t="s">
        <v>1046</v>
      </c>
      <c r="K929" s="5">
        <v>0.74583333333333324</v>
      </c>
      <c r="L929" t="s">
        <v>28</v>
      </c>
      <c r="M929">
        <v>17.829000000000001</v>
      </c>
      <c r="N929">
        <v>6.8</v>
      </c>
    </row>
    <row r="930" spans="1:14" x14ac:dyDescent="0.25">
      <c r="A930" t="s">
        <v>959</v>
      </c>
      <c r="B930" t="s">
        <v>37</v>
      </c>
      <c r="C930" t="s">
        <v>38</v>
      </c>
      <c r="D930" t="s">
        <v>22</v>
      </c>
      <c r="E930" t="s">
        <v>16</v>
      </c>
      <c r="F930" t="s">
        <v>23</v>
      </c>
      <c r="G930" t="s">
        <v>1039</v>
      </c>
      <c r="H930" t="s">
        <v>1042</v>
      </c>
      <c r="I930" s="1">
        <v>43511</v>
      </c>
      <c r="J930" t="s">
        <v>1046</v>
      </c>
      <c r="K930" s="5">
        <v>0.86875000000000002</v>
      </c>
      <c r="L930" t="s">
        <v>28</v>
      </c>
      <c r="M930">
        <v>39.712499999999999</v>
      </c>
      <c r="N930">
        <v>7.6</v>
      </c>
    </row>
    <row r="931" spans="1:14" x14ac:dyDescent="0.25">
      <c r="A931" t="s">
        <v>960</v>
      </c>
      <c r="B931" t="s">
        <v>37</v>
      </c>
      <c r="C931" t="s">
        <v>38</v>
      </c>
      <c r="D931" t="s">
        <v>22</v>
      </c>
      <c r="E931" t="s">
        <v>26</v>
      </c>
      <c r="F931" t="s">
        <v>31</v>
      </c>
      <c r="G931" t="s">
        <v>1035</v>
      </c>
      <c r="H931" t="s">
        <v>1043</v>
      </c>
      <c r="I931" s="1">
        <v>43526</v>
      </c>
      <c r="J931" t="s">
        <v>1046</v>
      </c>
      <c r="K931" s="5">
        <v>0.80972222222222223</v>
      </c>
      <c r="L931" t="s">
        <v>18</v>
      </c>
      <c r="M931">
        <v>2.5310000000000001</v>
      </c>
      <c r="N931">
        <v>7.2</v>
      </c>
    </row>
    <row r="932" spans="1:14" x14ac:dyDescent="0.25">
      <c r="A932" t="s">
        <v>961</v>
      </c>
      <c r="B932" t="s">
        <v>37</v>
      </c>
      <c r="C932" t="s">
        <v>38</v>
      </c>
      <c r="D932" t="s">
        <v>22</v>
      </c>
      <c r="E932" t="s">
        <v>26</v>
      </c>
      <c r="F932" t="s">
        <v>27</v>
      </c>
      <c r="G932" t="s">
        <v>1038</v>
      </c>
      <c r="H932" t="s">
        <v>1043</v>
      </c>
      <c r="I932" s="1">
        <v>43548</v>
      </c>
      <c r="J932" t="s">
        <v>1045</v>
      </c>
      <c r="K932" s="5">
        <v>0.56458333333333333</v>
      </c>
      <c r="L932" t="s">
        <v>18</v>
      </c>
      <c r="M932">
        <v>29.975999999999999</v>
      </c>
      <c r="N932">
        <v>7.1</v>
      </c>
    </row>
    <row r="933" spans="1:14" x14ac:dyDescent="0.25">
      <c r="A933" t="s">
        <v>962</v>
      </c>
      <c r="B933" t="s">
        <v>20</v>
      </c>
      <c r="C933" t="s">
        <v>21</v>
      </c>
      <c r="D933" t="s">
        <v>15</v>
      </c>
      <c r="E933" t="s">
        <v>16</v>
      </c>
      <c r="F933" t="s">
        <v>41</v>
      </c>
      <c r="G933" t="s">
        <v>1038</v>
      </c>
      <c r="H933" t="s">
        <v>1042</v>
      </c>
      <c r="I933" s="1">
        <v>43498</v>
      </c>
      <c r="J933" t="s">
        <v>1045</v>
      </c>
      <c r="K933" s="5">
        <v>0.58680555555555558</v>
      </c>
      <c r="L933" t="s">
        <v>28</v>
      </c>
      <c r="M933">
        <v>8.3350000000000009</v>
      </c>
      <c r="N933">
        <v>9.5</v>
      </c>
    </row>
    <row r="934" spans="1:14" x14ac:dyDescent="0.25">
      <c r="A934" t="s">
        <v>963</v>
      </c>
      <c r="B934" t="s">
        <v>13</v>
      </c>
      <c r="C934" t="s">
        <v>14</v>
      </c>
      <c r="D934" t="s">
        <v>22</v>
      </c>
      <c r="E934" t="s">
        <v>16</v>
      </c>
      <c r="F934" t="s">
        <v>39</v>
      </c>
      <c r="G934" t="s">
        <v>1034</v>
      </c>
      <c r="H934" t="s">
        <v>1042</v>
      </c>
      <c r="I934" s="1">
        <v>43523</v>
      </c>
      <c r="J934" t="s">
        <v>1044</v>
      </c>
      <c r="K934" s="5">
        <v>0.4861111111111111</v>
      </c>
      <c r="L934" t="s">
        <v>18</v>
      </c>
      <c r="M934">
        <v>37.22</v>
      </c>
      <c r="N934">
        <v>5.0999999999999996</v>
      </c>
    </row>
    <row r="935" spans="1:14" x14ac:dyDescent="0.25">
      <c r="A935" t="s">
        <v>964</v>
      </c>
      <c r="B935" t="s">
        <v>20</v>
      </c>
      <c r="C935" t="s">
        <v>21</v>
      </c>
      <c r="D935" t="s">
        <v>22</v>
      </c>
      <c r="E935" t="s">
        <v>26</v>
      </c>
      <c r="F935" t="s">
        <v>17</v>
      </c>
      <c r="G935" t="s">
        <v>1036</v>
      </c>
      <c r="H935" t="s">
        <v>1041</v>
      </c>
      <c r="I935" s="1">
        <v>43485</v>
      </c>
      <c r="J935" t="s">
        <v>1045</v>
      </c>
      <c r="K935" s="5">
        <v>0.51874999999999993</v>
      </c>
      <c r="L935" t="s">
        <v>18</v>
      </c>
      <c r="M935">
        <v>22.428000000000001</v>
      </c>
      <c r="N935">
        <v>7.6</v>
      </c>
    </row>
    <row r="936" spans="1:14" x14ac:dyDescent="0.25">
      <c r="A936" t="s">
        <v>965</v>
      </c>
      <c r="B936" t="s">
        <v>37</v>
      </c>
      <c r="C936" t="s">
        <v>38</v>
      </c>
      <c r="D936" t="s">
        <v>22</v>
      </c>
      <c r="E936" t="s">
        <v>16</v>
      </c>
      <c r="F936" t="s">
        <v>27</v>
      </c>
      <c r="G936" t="s">
        <v>1040</v>
      </c>
      <c r="H936" t="s">
        <v>1041</v>
      </c>
      <c r="I936" s="1">
        <v>43468</v>
      </c>
      <c r="J936" t="s">
        <v>1046</v>
      </c>
      <c r="K936" s="5">
        <v>0.85</v>
      </c>
      <c r="L936" t="s">
        <v>18</v>
      </c>
      <c r="M936">
        <v>18.945</v>
      </c>
      <c r="N936">
        <v>9.8000000000000007</v>
      </c>
    </row>
    <row r="937" spans="1:14" x14ac:dyDescent="0.25">
      <c r="A937" t="s">
        <v>966</v>
      </c>
      <c r="B937" t="s">
        <v>20</v>
      </c>
      <c r="C937" t="s">
        <v>21</v>
      </c>
      <c r="D937" t="s">
        <v>15</v>
      </c>
      <c r="E937" t="s">
        <v>26</v>
      </c>
      <c r="F937" t="s">
        <v>27</v>
      </c>
      <c r="G937" t="s">
        <v>1036</v>
      </c>
      <c r="H937" t="s">
        <v>1041</v>
      </c>
      <c r="I937" s="1">
        <v>43489</v>
      </c>
      <c r="J937" t="s">
        <v>1046</v>
      </c>
      <c r="K937" s="5">
        <v>0.87430555555555556</v>
      </c>
      <c r="L937" t="s">
        <v>18</v>
      </c>
      <c r="M937">
        <v>12.858000000000001</v>
      </c>
      <c r="N937">
        <v>5.0999999999999996</v>
      </c>
    </row>
    <row r="938" spans="1:14" x14ac:dyDescent="0.25">
      <c r="A938" t="s">
        <v>967</v>
      </c>
      <c r="B938" t="s">
        <v>20</v>
      </c>
      <c r="C938" t="s">
        <v>21</v>
      </c>
      <c r="D938" t="s">
        <v>22</v>
      </c>
      <c r="E938" t="s">
        <v>16</v>
      </c>
      <c r="F938" t="s">
        <v>17</v>
      </c>
      <c r="G938" t="s">
        <v>1034</v>
      </c>
      <c r="H938" t="s">
        <v>1041</v>
      </c>
      <c r="I938" s="1">
        <v>43470</v>
      </c>
      <c r="J938" t="s">
        <v>1046</v>
      </c>
      <c r="K938" s="5">
        <v>0.82500000000000007</v>
      </c>
      <c r="L938" t="s">
        <v>18</v>
      </c>
      <c r="M938">
        <v>27.611499999999999</v>
      </c>
      <c r="N938">
        <v>7.5</v>
      </c>
    </row>
    <row r="939" spans="1:14" x14ac:dyDescent="0.25">
      <c r="A939" t="s">
        <v>968</v>
      </c>
      <c r="B939" t="s">
        <v>13</v>
      </c>
      <c r="C939" t="s">
        <v>14</v>
      </c>
      <c r="D939" t="s">
        <v>22</v>
      </c>
      <c r="E939" t="s">
        <v>16</v>
      </c>
      <c r="F939" t="s">
        <v>31</v>
      </c>
      <c r="G939" t="s">
        <v>1039</v>
      </c>
      <c r="H939" t="s">
        <v>1043</v>
      </c>
      <c r="I939" s="1">
        <v>43554</v>
      </c>
      <c r="J939" t="s">
        <v>1044</v>
      </c>
      <c r="K939" s="5">
        <v>0.4291666666666667</v>
      </c>
      <c r="L939" t="s">
        <v>24</v>
      </c>
      <c r="M939">
        <v>22.37</v>
      </c>
      <c r="N939">
        <v>7.4</v>
      </c>
    </row>
    <row r="940" spans="1:14" x14ac:dyDescent="0.25">
      <c r="A940" t="s">
        <v>969</v>
      </c>
      <c r="B940" t="s">
        <v>13</v>
      </c>
      <c r="C940" t="s">
        <v>14</v>
      </c>
      <c r="D940" t="s">
        <v>15</v>
      </c>
      <c r="E940" t="s">
        <v>16</v>
      </c>
      <c r="F940" t="s">
        <v>17</v>
      </c>
      <c r="G940" t="s">
        <v>1040</v>
      </c>
      <c r="H940" t="s">
        <v>1042</v>
      </c>
      <c r="I940" s="1">
        <v>43513</v>
      </c>
      <c r="J940" t="s">
        <v>1046</v>
      </c>
      <c r="K940" s="5">
        <v>0.68541666666666667</v>
      </c>
      <c r="L940" t="s">
        <v>24</v>
      </c>
      <c r="M940">
        <v>13.813499999999999</v>
      </c>
      <c r="N940">
        <v>4.2</v>
      </c>
    </row>
    <row r="941" spans="1:14" x14ac:dyDescent="0.25">
      <c r="A941" t="s">
        <v>970</v>
      </c>
      <c r="B941" t="s">
        <v>20</v>
      </c>
      <c r="C941" t="s">
        <v>21</v>
      </c>
      <c r="D941" t="s">
        <v>22</v>
      </c>
      <c r="E941" t="s">
        <v>16</v>
      </c>
      <c r="F941" t="s">
        <v>39</v>
      </c>
      <c r="G941" t="s">
        <v>1037</v>
      </c>
      <c r="H941" t="s">
        <v>1043</v>
      </c>
      <c r="I941" s="1">
        <v>43545</v>
      </c>
      <c r="J941" t="s">
        <v>1046</v>
      </c>
      <c r="K941" s="5">
        <v>0.71111111111111114</v>
      </c>
      <c r="L941" t="s">
        <v>18</v>
      </c>
      <c r="M941">
        <v>17.187000000000001</v>
      </c>
      <c r="N941">
        <v>5.9</v>
      </c>
    </row>
    <row r="942" spans="1:14" x14ac:dyDescent="0.25">
      <c r="A942" t="s">
        <v>971</v>
      </c>
      <c r="B942" t="s">
        <v>13</v>
      </c>
      <c r="C942" t="s">
        <v>14</v>
      </c>
      <c r="D942" t="s">
        <v>22</v>
      </c>
      <c r="E942" t="s">
        <v>26</v>
      </c>
      <c r="F942" t="s">
        <v>39</v>
      </c>
      <c r="G942" t="s">
        <v>1035</v>
      </c>
      <c r="H942" t="s">
        <v>1043</v>
      </c>
      <c r="I942" s="1">
        <v>43526</v>
      </c>
      <c r="J942" t="s">
        <v>1046</v>
      </c>
      <c r="K942" s="5">
        <v>0.7597222222222223</v>
      </c>
      <c r="L942" t="s">
        <v>18</v>
      </c>
      <c r="M942">
        <v>13.304</v>
      </c>
      <c r="N942">
        <v>6.9</v>
      </c>
    </row>
    <row r="943" spans="1:14" x14ac:dyDescent="0.25">
      <c r="A943" t="s">
        <v>972</v>
      </c>
      <c r="B943" t="s">
        <v>20</v>
      </c>
      <c r="C943" t="s">
        <v>21</v>
      </c>
      <c r="D943" t="s">
        <v>15</v>
      </c>
      <c r="E943" t="s">
        <v>26</v>
      </c>
      <c r="F943" t="s">
        <v>41</v>
      </c>
      <c r="G943" t="s">
        <v>1038</v>
      </c>
      <c r="H943" t="s">
        <v>1043</v>
      </c>
      <c r="I943" s="1">
        <v>43551</v>
      </c>
      <c r="J943" t="s">
        <v>1044</v>
      </c>
      <c r="K943" s="5">
        <v>0.4465277777777778</v>
      </c>
      <c r="L943" t="s">
        <v>24</v>
      </c>
      <c r="M943">
        <v>44.918999999999997</v>
      </c>
      <c r="N943">
        <v>6.6</v>
      </c>
    </row>
    <row r="944" spans="1:14" x14ac:dyDescent="0.25">
      <c r="A944" t="s">
        <v>973</v>
      </c>
      <c r="B944" t="s">
        <v>13</v>
      </c>
      <c r="C944" t="s">
        <v>14</v>
      </c>
      <c r="D944" t="s">
        <v>22</v>
      </c>
      <c r="E944" t="s">
        <v>16</v>
      </c>
      <c r="F944" t="s">
        <v>27</v>
      </c>
      <c r="G944" t="s">
        <v>1036</v>
      </c>
      <c r="H944" t="s">
        <v>1041</v>
      </c>
      <c r="I944" s="1">
        <v>43484</v>
      </c>
      <c r="J944" t="s">
        <v>1046</v>
      </c>
      <c r="K944" s="5">
        <v>0.8125</v>
      </c>
      <c r="L944" t="s">
        <v>18</v>
      </c>
      <c r="M944">
        <v>22.84</v>
      </c>
      <c r="N944">
        <v>5.7</v>
      </c>
    </row>
    <row r="945" spans="1:14" x14ac:dyDescent="0.25">
      <c r="A945" t="s">
        <v>974</v>
      </c>
      <c r="B945" t="s">
        <v>13</v>
      </c>
      <c r="C945" t="s">
        <v>14</v>
      </c>
      <c r="D945" t="s">
        <v>22</v>
      </c>
      <c r="E945" t="s">
        <v>26</v>
      </c>
      <c r="F945" t="s">
        <v>17</v>
      </c>
      <c r="G945" t="s">
        <v>1040</v>
      </c>
      <c r="H945" t="s">
        <v>1042</v>
      </c>
      <c r="I945" s="1">
        <v>43515</v>
      </c>
      <c r="J945" t="s">
        <v>1045</v>
      </c>
      <c r="K945" s="5">
        <v>0.62013888888888891</v>
      </c>
      <c r="L945" t="s">
        <v>28</v>
      </c>
      <c r="M945">
        <v>12.6975</v>
      </c>
      <c r="N945">
        <v>5.3</v>
      </c>
    </row>
    <row r="946" spans="1:14" x14ac:dyDescent="0.25">
      <c r="A946" t="s">
        <v>975</v>
      </c>
      <c r="B946" t="s">
        <v>13</v>
      </c>
      <c r="C946" t="s">
        <v>14</v>
      </c>
      <c r="D946" t="s">
        <v>15</v>
      </c>
      <c r="E946" t="s">
        <v>26</v>
      </c>
      <c r="F946" t="s">
        <v>17</v>
      </c>
      <c r="G946" t="s">
        <v>1038</v>
      </c>
      <c r="H946" t="s">
        <v>1043</v>
      </c>
      <c r="I946" s="1">
        <v>43552</v>
      </c>
      <c r="J946" t="s">
        <v>1046</v>
      </c>
      <c r="K946" s="5">
        <v>0.84305555555555556</v>
      </c>
      <c r="L946" t="s">
        <v>24</v>
      </c>
      <c r="M946">
        <v>3.528</v>
      </c>
      <c r="N946">
        <v>4.2</v>
      </c>
    </row>
    <row r="947" spans="1:14" x14ac:dyDescent="0.25">
      <c r="A947" t="s">
        <v>976</v>
      </c>
      <c r="B947" t="s">
        <v>13</v>
      </c>
      <c r="C947" t="s">
        <v>14</v>
      </c>
      <c r="D947" t="s">
        <v>22</v>
      </c>
      <c r="E947" t="s">
        <v>16</v>
      </c>
      <c r="F947" t="s">
        <v>23</v>
      </c>
      <c r="G947" t="s">
        <v>1034</v>
      </c>
      <c r="H947" t="s">
        <v>1041</v>
      </c>
      <c r="I947" s="1">
        <v>43470</v>
      </c>
      <c r="J947" t="s">
        <v>1044</v>
      </c>
      <c r="K947" s="5">
        <v>0.49374999999999997</v>
      </c>
      <c r="L947" t="s">
        <v>28</v>
      </c>
      <c r="M947">
        <v>32.857999999999997</v>
      </c>
      <c r="N947">
        <v>7.3</v>
      </c>
    </row>
    <row r="948" spans="1:14" x14ac:dyDescent="0.25">
      <c r="A948" t="s">
        <v>977</v>
      </c>
      <c r="B948" t="s">
        <v>20</v>
      </c>
      <c r="C948" t="s">
        <v>21</v>
      </c>
      <c r="D948" t="s">
        <v>15</v>
      </c>
      <c r="E948" t="s">
        <v>26</v>
      </c>
      <c r="F948" t="s">
        <v>23</v>
      </c>
      <c r="G948" t="s">
        <v>1038</v>
      </c>
      <c r="H948" t="s">
        <v>1043</v>
      </c>
      <c r="I948" s="1">
        <v>43550</v>
      </c>
      <c r="J948" t="s">
        <v>1045</v>
      </c>
      <c r="K948" s="5">
        <v>0.59236111111111112</v>
      </c>
      <c r="L948" t="s">
        <v>28</v>
      </c>
      <c r="M948">
        <v>8.4250000000000007</v>
      </c>
      <c r="N948">
        <v>5.3</v>
      </c>
    </row>
    <row r="949" spans="1:14" x14ac:dyDescent="0.25">
      <c r="A949" t="s">
        <v>978</v>
      </c>
      <c r="B949" t="s">
        <v>37</v>
      </c>
      <c r="C949" t="s">
        <v>38</v>
      </c>
      <c r="D949" t="s">
        <v>15</v>
      </c>
      <c r="E949" t="s">
        <v>26</v>
      </c>
      <c r="F949" t="s">
        <v>41</v>
      </c>
      <c r="G949" t="s">
        <v>1038</v>
      </c>
      <c r="H949" t="s">
        <v>1042</v>
      </c>
      <c r="I949" s="1">
        <v>43499</v>
      </c>
      <c r="J949" t="s">
        <v>1046</v>
      </c>
      <c r="K949" s="5">
        <v>0.84236111111111101</v>
      </c>
      <c r="L949" t="s">
        <v>18</v>
      </c>
      <c r="M949">
        <v>2.6890000000000001</v>
      </c>
      <c r="N949">
        <v>4.7</v>
      </c>
    </row>
    <row r="950" spans="1:14" x14ac:dyDescent="0.25">
      <c r="A950" t="s">
        <v>979</v>
      </c>
      <c r="B950" t="s">
        <v>20</v>
      </c>
      <c r="C950" t="s">
        <v>21</v>
      </c>
      <c r="D950" t="s">
        <v>15</v>
      </c>
      <c r="E950" t="s">
        <v>26</v>
      </c>
      <c r="F950" t="s">
        <v>27</v>
      </c>
      <c r="G950" t="s">
        <v>1038</v>
      </c>
      <c r="H950" t="s">
        <v>1042</v>
      </c>
      <c r="I950" s="1">
        <v>43502</v>
      </c>
      <c r="J950" t="s">
        <v>1046</v>
      </c>
      <c r="K950" s="5">
        <v>0.78055555555555556</v>
      </c>
      <c r="L950" t="s">
        <v>18</v>
      </c>
      <c r="M950">
        <v>8.9525000000000006</v>
      </c>
      <c r="N950">
        <v>7.9</v>
      </c>
    </row>
    <row r="951" spans="1:14" x14ac:dyDescent="0.25">
      <c r="A951" t="s">
        <v>980</v>
      </c>
      <c r="B951" t="s">
        <v>37</v>
      </c>
      <c r="C951" t="s">
        <v>38</v>
      </c>
      <c r="D951" t="s">
        <v>22</v>
      </c>
      <c r="E951" t="s">
        <v>16</v>
      </c>
      <c r="F951" t="s">
        <v>39</v>
      </c>
      <c r="G951" t="s">
        <v>1034</v>
      </c>
      <c r="H951" t="s">
        <v>1042</v>
      </c>
      <c r="I951" s="1">
        <v>43520</v>
      </c>
      <c r="J951" t="s">
        <v>1045</v>
      </c>
      <c r="K951" s="5">
        <v>0.60138888888888886</v>
      </c>
      <c r="L951" t="s">
        <v>18</v>
      </c>
      <c r="M951">
        <v>10.571999999999999</v>
      </c>
      <c r="N951">
        <v>8.9</v>
      </c>
    </row>
    <row r="952" spans="1:14" x14ac:dyDescent="0.25">
      <c r="A952" t="s">
        <v>981</v>
      </c>
      <c r="B952" t="s">
        <v>37</v>
      </c>
      <c r="C952" t="s">
        <v>38</v>
      </c>
      <c r="D952" t="s">
        <v>15</v>
      </c>
      <c r="E952" t="s">
        <v>26</v>
      </c>
      <c r="F952" t="s">
        <v>17</v>
      </c>
      <c r="G952" t="s">
        <v>1040</v>
      </c>
      <c r="H952" t="s">
        <v>1042</v>
      </c>
      <c r="I952" s="1">
        <v>43517</v>
      </c>
      <c r="J952" t="s">
        <v>1045</v>
      </c>
      <c r="K952" s="5">
        <v>0.52777777777777779</v>
      </c>
      <c r="L952" t="s">
        <v>18</v>
      </c>
      <c r="M952">
        <v>5.9865000000000004</v>
      </c>
      <c r="N952">
        <v>9.3000000000000007</v>
      </c>
    </row>
    <row r="953" spans="1:14" x14ac:dyDescent="0.25">
      <c r="A953" t="s">
        <v>982</v>
      </c>
      <c r="B953" t="s">
        <v>37</v>
      </c>
      <c r="C953" t="s">
        <v>38</v>
      </c>
      <c r="D953" t="s">
        <v>15</v>
      </c>
      <c r="E953" t="s">
        <v>16</v>
      </c>
      <c r="F953" t="s">
        <v>27</v>
      </c>
      <c r="G953" t="s">
        <v>1034</v>
      </c>
      <c r="H953" t="s">
        <v>1041</v>
      </c>
      <c r="I953" s="1">
        <v>43474</v>
      </c>
      <c r="J953" t="s">
        <v>1046</v>
      </c>
      <c r="K953" s="5">
        <v>0.77986111111111101</v>
      </c>
      <c r="L953" t="s">
        <v>18</v>
      </c>
      <c r="M953">
        <v>3.2850000000000001</v>
      </c>
      <c r="N953">
        <v>4.7</v>
      </c>
    </row>
    <row r="954" spans="1:14" x14ac:dyDescent="0.25">
      <c r="A954" t="s">
        <v>983</v>
      </c>
      <c r="B954" t="s">
        <v>37</v>
      </c>
      <c r="C954" t="s">
        <v>38</v>
      </c>
      <c r="D954" t="s">
        <v>15</v>
      </c>
      <c r="E954" t="s">
        <v>16</v>
      </c>
      <c r="F954" t="s">
        <v>39</v>
      </c>
      <c r="G954" t="s">
        <v>1034</v>
      </c>
      <c r="H954" t="s">
        <v>1042</v>
      </c>
      <c r="I954" s="1">
        <v>43521</v>
      </c>
      <c r="J954" t="s">
        <v>1045</v>
      </c>
      <c r="K954" s="5">
        <v>0.55694444444444446</v>
      </c>
      <c r="L954" t="s">
        <v>18</v>
      </c>
      <c r="M954">
        <v>12.57</v>
      </c>
      <c r="N954">
        <v>8.6999999999999993</v>
      </c>
    </row>
    <row r="955" spans="1:14" x14ac:dyDescent="0.25">
      <c r="A955" t="s">
        <v>984</v>
      </c>
      <c r="B955" t="s">
        <v>20</v>
      </c>
      <c r="C955" t="s">
        <v>21</v>
      </c>
      <c r="D955" t="s">
        <v>15</v>
      </c>
      <c r="E955" t="s">
        <v>16</v>
      </c>
      <c r="F955" t="s">
        <v>39</v>
      </c>
      <c r="G955" t="s">
        <v>1035</v>
      </c>
      <c r="H955" t="s">
        <v>1041</v>
      </c>
      <c r="I955" s="1">
        <v>43478</v>
      </c>
      <c r="J955" t="s">
        <v>1045</v>
      </c>
      <c r="K955" s="5">
        <v>0.58194444444444449</v>
      </c>
      <c r="L955" t="s">
        <v>24</v>
      </c>
      <c r="M955">
        <v>4.2080000000000002</v>
      </c>
      <c r="N955">
        <v>7.6</v>
      </c>
    </row>
    <row r="956" spans="1:14" x14ac:dyDescent="0.25">
      <c r="A956" t="s">
        <v>985</v>
      </c>
      <c r="B956" t="s">
        <v>37</v>
      </c>
      <c r="C956" t="s">
        <v>38</v>
      </c>
      <c r="D956" t="s">
        <v>15</v>
      </c>
      <c r="E956" t="s">
        <v>26</v>
      </c>
      <c r="F956" t="s">
        <v>27</v>
      </c>
      <c r="G956" t="s">
        <v>1039</v>
      </c>
      <c r="H956" t="s">
        <v>1042</v>
      </c>
      <c r="I956" s="1">
        <v>43505</v>
      </c>
      <c r="J956" t="s">
        <v>1044</v>
      </c>
      <c r="K956" s="5">
        <v>0.48958333333333331</v>
      </c>
      <c r="L956" t="s">
        <v>24</v>
      </c>
      <c r="M956">
        <v>19.773</v>
      </c>
      <c r="N956">
        <v>5.7</v>
      </c>
    </row>
    <row r="957" spans="1:14" x14ac:dyDescent="0.25">
      <c r="A957" t="s">
        <v>986</v>
      </c>
      <c r="B957" t="s">
        <v>13</v>
      </c>
      <c r="C957" t="s">
        <v>14</v>
      </c>
      <c r="D957" t="s">
        <v>22</v>
      </c>
      <c r="E957" t="s">
        <v>16</v>
      </c>
      <c r="F957" t="s">
        <v>41</v>
      </c>
      <c r="G957" t="s">
        <v>1034</v>
      </c>
      <c r="H957" t="s">
        <v>1041</v>
      </c>
      <c r="I957" s="1">
        <v>43471</v>
      </c>
      <c r="J957" t="s">
        <v>1044</v>
      </c>
      <c r="K957" s="5">
        <v>0.49374999999999997</v>
      </c>
      <c r="L957" t="s">
        <v>24</v>
      </c>
      <c r="M957">
        <v>14.8995</v>
      </c>
      <c r="N957">
        <v>6.8</v>
      </c>
    </row>
    <row r="958" spans="1:14" x14ac:dyDescent="0.25">
      <c r="A958" t="s">
        <v>987</v>
      </c>
      <c r="B958" t="s">
        <v>20</v>
      </c>
      <c r="C958" t="s">
        <v>21</v>
      </c>
      <c r="D958" t="s">
        <v>15</v>
      </c>
      <c r="E958" t="s">
        <v>26</v>
      </c>
      <c r="F958" t="s">
        <v>39</v>
      </c>
      <c r="G958" t="s">
        <v>1034</v>
      </c>
      <c r="H958" t="s">
        <v>1041</v>
      </c>
      <c r="I958" s="1">
        <v>43475</v>
      </c>
      <c r="J958" t="s">
        <v>1046</v>
      </c>
      <c r="K958" s="5">
        <v>0.71944444444444444</v>
      </c>
      <c r="L958" t="s">
        <v>24</v>
      </c>
      <c r="M958">
        <v>22.720500000000001</v>
      </c>
      <c r="N958">
        <v>5.4</v>
      </c>
    </row>
    <row r="959" spans="1:14" x14ac:dyDescent="0.25">
      <c r="A959" t="s">
        <v>988</v>
      </c>
      <c r="B959" t="s">
        <v>37</v>
      </c>
      <c r="C959" t="s">
        <v>38</v>
      </c>
      <c r="D959" t="s">
        <v>22</v>
      </c>
      <c r="E959" t="s">
        <v>26</v>
      </c>
      <c r="F959" t="s">
        <v>23</v>
      </c>
      <c r="G959" t="s">
        <v>1038</v>
      </c>
      <c r="H959" t="s">
        <v>1042</v>
      </c>
      <c r="I959" s="1">
        <v>43503</v>
      </c>
      <c r="J959" t="s">
        <v>1045</v>
      </c>
      <c r="K959" s="5">
        <v>0.66319444444444442</v>
      </c>
      <c r="L959" t="s">
        <v>24</v>
      </c>
      <c r="M959">
        <v>13.805999999999999</v>
      </c>
      <c r="N959">
        <v>7.1</v>
      </c>
    </row>
    <row r="960" spans="1:14" x14ac:dyDescent="0.25">
      <c r="A960" t="s">
        <v>989</v>
      </c>
      <c r="B960" t="s">
        <v>20</v>
      </c>
      <c r="C960" t="s">
        <v>21</v>
      </c>
      <c r="D960" t="s">
        <v>22</v>
      </c>
      <c r="E960" t="s">
        <v>16</v>
      </c>
      <c r="F960" t="s">
        <v>27</v>
      </c>
      <c r="G960" t="s">
        <v>1034</v>
      </c>
      <c r="H960" t="s">
        <v>1041</v>
      </c>
      <c r="I960" s="1">
        <v>43474</v>
      </c>
      <c r="J960" t="s">
        <v>1045</v>
      </c>
      <c r="K960" s="5">
        <v>0.50486111111111109</v>
      </c>
      <c r="L960" t="s">
        <v>24</v>
      </c>
      <c r="M960">
        <v>7.9</v>
      </c>
      <c r="N960">
        <v>7.8</v>
      </c>
    </row>
    <row r="961" spans="1:14" x14ac:dyDescent="0.25">
      <c r="A961" t="s">
        <v>990</v>
      </c>
      <c r="B961" t="s">
        <v>13</v>
      </c>
      <c r="C961" t="s">
        <v>14</v>
      </c>
      <c r="D961" t="s">
        <v>15</v>
      </c>
      <c r="E961" t="s">
        <v>16</v>
      </c>
      <c r="F961" t="s">
        <v>39</v>
      </c>
      <c r="G961" t="s">
        <v>1040</v>
      </c>
      <c r="H961" t="s">
        <v>1042</v>
      </c>
      <c r="I961" s="1">
        <v>43515</v>
      </c>
      <c r="J961" t="s">
        <v>1045</v>
      </c>
      <c r="K961" s="5">
        <v>0.62986111111111109</v>
      </c>
      <c r="L961" t="s">
        <v>24</v>
      </c>
      <c r="M961">
        <v>44.396999999999998</v>
      </c>
      <c r="N961">
        <v>8.4</v>
      </c>
    </row>
    <row r="962" spans="1:14" x14ac:dyDescent="0.25">
      <c r="A962" t="s">
        <v>991</v>
      </c>
      <c r="B962" t="s">
        <v>20</v>
      </c>
      <c r="C962" t="s">
        <v>21</v>
      </c>
      <c r="D962" t="s">
        <v>15</v>
      </c>
      <c r="E962" t="s">
        <v>26</v>
      </c>
      <c r="F962" t="s">
        <v>41</v>
      </c>
      <c r="G962" t="s">
        <v>1037</v>
      </c>
      <c r="H962" t="s">
        <v>1043</v>
      </c>
      <c r="I962" s="1">
        <v>43542</v>
      </c>
      <c r="J962" t="s">
        <v>1045</v>
      </c>
      <c r="K962" s="5">
        <v>0.64513888888888882</v>
      </c>
      <c r="L962" t="s">
        <v>24</v>
      </c>
      <c r="M962">
        <v>4.5990000000000002</v>
      </c>
      <c r="N962">
        <v>9.8000000000000007</v>
      </c>
    </row>
    <row r="963" spans="1:14" x14ac:dyDescent="0.25">
      <c r="A963" t="s">
        <v>992</v>
      </c>
      <c r="B963" t="s">
        <v>13</v>
      </c>
      <c r="C963" t="s">
        <v>14</v>
      </c>
      <c r="D963" t="s">
        <v>15</v>
      </c>
      <c r="E963" t="s">
        <v>26</v>
      </c>
      <c r="F963" t="s">
        <v>23</v>
      </c>
      <c r="G963" t="s">
        <v>1038</v>
      </c>
      <c r="H963" t="s">
        <v>1042</v>
      </c>
      <c r="I963" s="1">
        <v>43501</v>
      </c>
      <c r="J963" t="s">
        <v>1046</v>
      </c>
      <c r="K963" s="5">
        <v>0.78125</v>
      </c>
      <c r="L963" t="s">
        <v>24</v>
      </c>
      <c r="M963">
        <v>2.089</v>
      </c>
      <c r="N963">
        <v>9.8000000000000007</v>
      </c>
    </row>
    <row r="964" spans="1:14" x14ac:dyDescent="0.25">
      <c r="A964" t="s">
        <v>993</v>
      </c>
      <c r="B964" t="s">
        <v>13</v>
      </c>
      <c r="C964" t="s">
        <v>14</v>
      </c>
      <c r="D964" t="s">
        <v>22</v>
      </c>
      <c r="E964" t="s">
        <v>16</v>
      </c>
      <c r="F964" t="s">
        <v>41</v>
      </c>
      <c r="G964" t="s">
        <v>1037</v>
      </c>
      <c r="H964" t="s">
        <v>1043</v>
      </c>
      <c r="I964" s="1">
        <v>43543</v>
      </c>
      <c r="J964" t="s">
        <v>1045</v>
      </c>
      <c r="K964" s="5">
        <v>0.64097222222222217</v>
      </c>
      <c r="L964" t="s">
        <v>28</v>
      </c>
      <c r="M964">
        <v>0.77500000000000002</v>
      </c>
      <c r="N964">
        <v>7.4</v>
      </c>
    </row>
    <row r="965" spans="1:14" x14ac:dyDescent="0.25">
      <c r="A965" t="s">
        <v>994</v>
      </c>
      <c r="B965" t="s">
        <v>20</v>
      </c>
      <c r="C965" t="s">
        <v>21</v>
      </c>
      <c r="D965" t="s">
        <v>15</v>
      </c>
      <c r="E965" t="s">
        <v>26</v>
      </c>
      <c r="F965" t="s">
        <v>23</v>
      </c>
      <c r="G965" t="s">
        <v>1039</v>
      </c>
      <c r="H965" t="s">
        <v>1043</v>
      </c>
      <c r="I965" s="1">
        <v>43554</v>
      </c>
      <c r="J965" t="s">
        <v>1046</v>
      </c>
      <c r="K965" s="5">
        <v>0.85902777777777783</v>
      </c>
      <c r="L965" t="s">
        <v>24</v>
      </c>
      <c r="M965">
        <v>14.523</v>
      </c>
      <c r="N965">
        <v>6.7</v>
      </c>
    </row>
    <row r="966" spans="1:14" x14ac:dyDescent="0.25">
      <c r="A966" t="s">
        <v>995</v>
      </c>
      <c r="B966" t="s">
        <v>37</v>
      </c>
      <c r="C966" t="s">
        <v>38</v>
      </c>
      <c r="D966" t="s">
        <v>22</v>
      </c>
      <c r="E966" t="s">
        <v>26</v>
      </c>
      <c r="F966" t="s">
        <v>39</v>
      </c>
      <c r="G966" t="s">
        <v>1037</v>
      </c>
      <c r="H966" t="s">
        <v>1041</v>
      </c>
      <c r="I966" s="1">
        <v>43491</v>
      </c>
      <c r="J966" t="s">
        <v>1045</v>
      </c>
      <c r="K966" s="5">
        <v>0.6118055555555556</v>
      </c>
      <c r="L966" t="s">
        <v>28</v>
      </c>
      <c r="M966">
        <v>3.3330000000000002</v>
      </c>
      <c r="N966">
        <v>6.4</v>
      </c>
    </row>
    <row r="967" spans="1:14" x14ac:dyDescent="0.25">
      <c r="A967" t="s">
        <v>996</v>
      </c>
      <c r="B967" t="s">
        <v>37</v>
      </c>
      <c r="C967" t="s">
        <v>38</v>
      </c>
      <c r="D967" t="s">
        <v>22</v>
      </c>
      <c r="E967" t="s">
        <v>16</v>
      </c>
      <c r="F967" t="s">
        <v>23</v>
      </c>
      <c r="G967" t="s">
        <v>1035</v>
      </c>
      <c r="H967" t="s">
        <v>1043</v>
      </c>
      <c r="I967" s="1">
        <v>43526</v>
      </c>
      <c r="J967" t="s">
        <v>1046</v>
      </c>
      <c r="K967" s="5">
        <v>0.76250000000000007</v>
      </c>
      <c r="L967" t="s">
        <v>28</v>
      </c>
      <c r="M967">
        <v>3.827</v>
      </c>
      <c r="N967">
        <v>5.8</v>
      </c>
    </row>
    <row r="968" spans="1:14" x14ac:dyDescent="0.25">
      <c r="A968" t="s">
        <v>997</v>
      </c>
      <c r="B968" t="s">
        <v>13</v>
      </c>
      <c r="C968" t="s">
        <v>14</v>
      </c>
      <c r="D968" t="s">
        <v>22</v>
      </c>
      <c r="E968" t="s">
        <v>16</v>
      </c>
      <c r="F968" t="s">
        <v>27</v>
      </c>
      <c r="G968" t="s">
        <v>1035</v>
      </c>
      <c r="H968" t="s">
        <v>1043</v>
      </c>
      <c r="I968" s="1">
        <v>43528</v>
      </c>
      <c r="J968" t="s">
        <v>1045</v>
      </c>
      <c r="K968" s="5">
        <v>0.64374999999999993</v>
      </c>
      <c r="L968" t="s">
        <v>18</v>
      </c>
      <c r="M968">
        <v>14.984999999999999</v>
      </c>
      <c r="N968">
        <v>7.2</v>
      </c>
    </row>
    <row r="969" spans="1:14" x14ac:dyDescent="0.25">
      <c r="A969" t="s">
        <v>998</v>
      </c>
      <c r="B969" t="s">
        <v>13</v>
      </c>
      <c r="C969" t="s">
        <v>14</v>
      </c>
      <c r="D969" t="s">
        <v>15</v>
      </c>
      <c r="E969" t="s">
        <v>26</v>
      </c>
      <c r="F969" t="s">
        <v>27</v>
      </c>
      <c r="G969" t="s">
        <v>1035</v>
      </c>
      <c r="H969" t="s">
        <v>1041</v>
      </c>
      <c r="I969" s="1">
        <v>43478</v>
      </c>
      <c r="J969" t="s">
        <v>1045</v>
      </c>
      <c r="K969" s="5">
        <v>0.53819444444444442</v>
      </c>
      <c r="L969" t="s">
        <v>28</v>
      </c>
      <c r="M969">
        <v>12.1515</v>
      </c>
      <c r="N969">
        <v>9.3000000000000007</v>
      </c>
    </row>
    <row r="970" spans="1:14" x14ac:dyDescent="0.25">
      <c r="A970" t="s">
        <v>999</v>
      </c>
      <c r="B970" t="s">
        <v>13</v>
      </c>
      <c r="C970" t="s">
        <v>14</v>
      </c>
      <c r="D970" t="s">
        <v>22</v>
      </c>
      <c r="E970" t="s">
        <v>16</v>
      </c>
      <c r="F970" t="s">
        <v>17</v>
      </c>
      <c r="G970" t="s">
        <v>1038</v>
      </c>
      <c r="H970" t="s">
        <v>1043</v>
      </c>
      <c r="I970" s="1">
        <v>43549</v>
      </c>
      <c r="J970" t="s">
        <v>1046</v>
      </c>
      <c r="K970" s="5">
        <v>0.75138888888888899</v>
      </c>
      <c r="L970" t="s">
        <v>24</v>
      </c>
      <c r="M970">
        <v>2.37</v>
      </c>
      <c r="N970">
        <v>9.5</v>
      </c>
    </row>
    <row r="971" spans="1:14" x14ac:dyDescent="0.25">
      <c r="A971" t="s">
        <v>1000</v>
      </c>
      <c r="B971" t="s">
        <v>37</v>
      </c>
      <c r="C971" t="s">
        <v>38</v>
      </c>
      <c r="D971" t="s">
        <v>15</v>
      </c>
      <c r="E971" t="s">
        <v>16</v>
      </c>
      <c r="F971" t="s">
        <v>23</v>
      </c>
      <c r="G971" t="s">
        <v>1036</v>
      </c>
      <c r="H971" t="s">
        <v>1043</v>
      </c>
      <c r="I971" s="1">
        <v>43535</v>
      </c>
      <c r="J971" t="s">
        <v>1046</v>
      </c>
      <c r="K971" s="5">
        <v>0.8222222222222223</v>
      </c>
      <c r="L971" t="s">
        <v>28</v>
      </c>
      <c r="M971">
        <v>8.6225000000000005</v>
      </c>
      <c r="N971">
        <v>9</v>
      </c>
    </row>
    <row r="972" spans="1:14" x14ac:dyDescent="0.25">
      <c r="A972" t="s">
        <v>1001</v>
      </c>
      <c r="B972" t="s">
        <v>37</v>
      </c>
      <c r="C972" t="s">
        <v>38</v>
      </c>
      <c r="D972" t="s">
        <v>15</v>
      </c>
      <c r="E972" t="s">
        <v>16</v>
      </c>
      <c r="F972" t="s">
        <v>39</v>
      </c>
      <c r="G972" t="s">
        <v>1040</v>
      </c>
      <c r="H972" t="s">
        <v>1041</v>
      </c>
      <c r="I972" s="1">
        <v>43466</v>
      </c>
      <c r="J972" t="s">
        <v>1044</v>
      </c>
      <c r="K972" s="5">
        <v>0.48333333333333334</v>
      </c>
      <c r="L972" t="s">
        <v>28</v>
      </c>
      <c r="M972">
        <v>42.314999999999998</v>
      </c>
      <c r="N972">
        <v>9</v>
      </c>
    </row>
    <row r="973" spans="1:14" x14ac:dyDescent="0.25">
      <c r="A973" t="s">
        <v>1002</v>
      </c>
      <c r="B973" t="s">
        <v>37</v>
      </c>
      <c r="C973" t="s">
        <v>38</v>
      </c>
      <c r="D973" t="s">
        <v>15</v>
      </c>
      <c r="E973" t="s">
        <v>26</v>
      </c>
      <c r="F973" t="s">
        <v>27</v>
      </c>
      <c r="G973" t="s">
        <v>1039</v>
      </c>
      <c r="H973" t="s">
        <v>1042</v>
      </c>
      <c r="I973" s="1">
        <v>43506</v>
      </c>
      <c r="J973" t="s">
        <v>1045</v>
      </c>
      <c r="K973" s="5">
        <v>0.57708333333333328</v>
      </c>
      <c r="L973" t="s">
        <v>18</v>
      </c>
      <c r="M973">
        <v>12.9185</v>
      </c>
      <c r="N973">
        <v>6.7</v>
      </c>
    </row>
    <row r="974" spans="1:14" x14ac:dyDescent="0.25">
      <c r="A974" t="s">
        <v>1003</v>
      </c>
      <c r="B974" t="s">
        <v>37</v>
      </c>
      <c r="C974" t="s">
        <v>38</v>
      </c>
      <c r="D974" t="s">
        <v>22</v>
      </c>
      <c r="E974" t="s">
        <v>26</v>
      </c>
      <c r="F974" t="s">
        <v>23</v>
      </c>
      <c r="G974" t="s">
        <v>1037</v>
      </c>
      <c r="H974" t="s">
        <v>1041</v>
      </c>
      <c r="I974" s="1">
        <v>43491</v>
      </c>
      <c r="J974" t="s">
        <v>1045</v>
      </c>
      <c r="K974" s="5">
        <v>0.63680555555555551</v>
      </c>
      <c r="L974" t="s">
        <v>24</v>
      </c>
      <c r="M974">
        <v>30.478000000000002</v>
      </c>
      <c r="N974">
        <v>5.5</v>
      </c>
    </row>
    <row r="975" spans="1:14" x14ac:dyDescent="0.25">
      <c r="A975" t="s">
        <v>1004</v>
      </c>
      <c r="B975" t="s">
        <v>13</v>
      </c>
      <c r="C975" t="s">
        <v>14</v>
      </c>
      <c r="D975" t="s">
        <v>22</v>
      </c>
      <c r="E975" t="s">
        <v>26</v>
      </c>
      <c r="F975" t="s">
        <v>27</v>
      </c>
      <c r="G975" t="s">
        <v>1039</v>
      </c>
      <c r="H975" t="s">
        <v>1042</v>
      </c>
      <c r="I975" s="1">
        <v>43507</v>
      </c>
      <c r="J975" t="s">
        <v>1045</v>
      </c>
      <c r="K975" s="5">
        <v>0.64513888888888882</v>
      </c>
      <c r="L975" t="s">
        <v>24</v>
      </c>
      <c r="M975">
        <v>12.012</v>
      </c>
      <c r="N975">
        <v>5.4</v>
      </c>
    </row>
    <row r="976" spans="1:14" x14ac:dyDescent="0.25">
      <c r="A976" t="s">
        <v>1005</v>
      </c>
      <c r="B976" t="s">
        <v>20</v>
      </c>
      <c r="C976" t="s">
        <v>21</v>
      </c>
      <c r="D976" t="s">
        <v>22</v>
      </c>
      <c r="E976" t="s">
        <v>26</v>
      </c>
      <c r="F976" t="s">
        <v>41</v>
      </c>
      <c r="G976" t="s">
        <v>1038</v>
      </c>
      <c r="H976" t="s">
        <v>1042</v>
      </c>
      <c r="I976" s="1">
        <v>43503</v>
      </c>
      <c r="J976" t="s">
        <v>1046</v>
      </c>
      <c r="K976" s="5">
        <v>0.74930555555555556</v>
      </c>
      <c r="L976" t="s">
        <v>24</v>
      </c>
      <c r="M976">
        <v>8.6129999999999995</v>
      </c>
      <c r="N976">
        <v>8.1999999999999993</v>
      </c>
    </row>
    <row r="977" spans="1:14" x14ac:dyDescent="0.25">
      <c r="A977" t="s">
        <v>1006</v>
      </c>
      <c r="B977" t="s">
        <v>37</v>
      </c>
      <c r="C977" t="s">
        <v>38</v>
      </c>
      <c r="D977" t="s">
        <v>15</v>
      </c>
      <c r="E977" t="s">
        <v>26</v>
      </c>
      <c r="F977" t="s">
        <v>41</v>
      </c>
      <c r="G977" t="s">
        <v>1035</v>
      </c>
      <c r="H977" t="s">
        <v>1043</v>
      </c>
      <c r="I977" s="1">
        <v>43530</v>
      </c>
      <c r="J977" t="s">
        <v>1044</v>
      </c>
      <c r="K977" s="5">
        <v>0.49652777777777773</v>
      </c>
      <c r="L977" t="s">
        <v>28</v>
      </c>
      <c r="M977">
        <v>4.992</v>
      </c>
      <c r="N977">
        <v>7</v>
      </c>
    </row>
    <row r="978" spans="1:14" x14ac:dyDescent="0.25">
      <c r="A978" t="s">
        <v>1007</v>
      </c>
      <c r="B978" t="s">
        <v>13</v>
      </c>
      <c r="C978" t="s">
        <v>14</v>
      </c>
      <c r="D978" t="s">
        <v>22</v>
      </c>
      <c r="E978" t="s">
        <v>16</v>
      </c>
      <c r="F978" t="s">
        <v>39</v>
      </c>
      <c r="G978" t="s">
        <v>1035</v>
      </c>
      <c r="H978" t="s">
        <v>1043</v>
      </c>
      <c r="I978" s="1">
        <v>43528</v>
      </c>
      <c r="J978" t="s">
        <v>1044</v>
      </c>
      <c r="K978" s="5">
        <v>0.44375000000000003</v>
      </c>
      <c r="L978" t="s">
        <v>24</v>
      </c>
      <c r="M978">
        <v>14.932</v>
      </c>
      <c r="N978">
        <v>8.5</v>
      </c>
    </row>
    <row r="979" spans="1:14" x14ac:dyDescent="0.25">
      <c r="A979" t="s">
        <v>1008</v>
      </c>
      <c r="B979" t="s">
        <v>37</v>
      </c>
      <c r="C979" t="s">
        <v>38</v>
      </c>
      <c r="D979" t="s">
        <v>15</v>
      </c>
      <c r="E979" t="s">
        <v>26</v>
      </c>
      <c r="F979" t="s">
        <v>39</v>
      </c>
      <c r="G979" t="s">
        <v>1034</v>
      </c>
      <c r="H979" t="s">
        <v>1042</v>
      </c>
      <c r="I979" s="1">
        <v>43522</v>
      </c>
      <c r="J979" t="s">
        <v>1045</v>
      </c>
      <c r="K979" s="5">
        <v>0.63194444444444442</v>
      </c>
      <c r="L979" t="s">
        <v>18</v>
      </c>
      <c r="M979">
        <v>7.98</v>
      </c>
      <c r="N979">
        <v>4.9000000000000004</v>
      </c>
    </row>
    <row r="980" spans="1:14" x14ac:dyDescent="0.25">
      <c r="A980" t="s">
        <v>1009</v>
      </c>
      <c r="B980" t="s">
        <v>37</v>
      </c>
      <c r="C980" t="s">
        <v>38</v>
      </c>
      <c r="D980" t="s">
        <v>22</v>
      </c>
      <c r="E980" t="s">
        <v>16</v>
      </c>
      <c r="F980" t="s">
        <v>23</v>
      </c>
      <c r="G980" t="s">
        <v>1036</v>
      </c>
      <c r="H980" t="s">
        <v>1043</v>
      </c>
      <c r="I980" s="1">
        <v>43534</v>
      </c>
      <c r="J980" t="s">
        <v>1046</v>
      </c>
      <c r="K980" s="5">
        <v>0.75694444444444453</v>
      </c>
      <c r="L980" t="s">
        <v>28</v>
      </c>
      <c r="M980">
        <v>1.2725</v>
      </c>
      <c r="N980">
        <v>5.0999999999999996</v>
      </c>
    </row>
    <row r="981" spans="1:14" x14ac:dyDescent="0.25">
      <c r="A981" t="s">
        <v>1010</v>
      </c>
      <c r="B981" t="s">
        <v>37</v>
      </c>
      <c r="C981" t="s">
        <v>38</v>
      </c>
      <c r="D981" t="s">
        <v>22</v>
      </c>
      <c r="E981" t="s">
        <v>16</v>
      </c>
      <c r="F981" t="s">
        <v>39</v>
      </c>
      <c r="G981" t="s">
        <v>1038</v>
      </c>
      <c r="H981" t="s">
        <v>1042</v>
      </c>
      <c r="I981" s="1">
        <v>43500</v>
      </c>
      <c r="J981" t="s">
        <v>1046</v>
      </c>
      <c r="K981" s="5">
        <v>0.86319444444444438</v>
      </c>
      <c r="L981" t="s">
        <v>28</v>
      </c>
      <c r="M981">
        <v>3.3885000000000001</v>
      </c>
      <c r="N981">
        <v>6.5</v>
      </c>
    </row>
    <row r="982" spans="1:14" x14ac:dyDescent="0.25">
      <c r="A982" t="s">
        <v>1011</v>
      </c>
      <c r="B982" t="s">
        <v>20</v>
      </c>
      <c r="C982" t="s">
        <v>21</v>
      </c>
      <c r="D982" t="s">
        <v>15</v>
      </c>
      <c r="E982" t="s">
        <v>26</v>
      </c>
      <c r="F982" t="s">
        <v>39</v>
      </c>
      <c r="G982" t="s">
        <v>1036</v>
      </c>
      <c r="H982" t="s">
        <v>1041</v>
      </c>
      <c r="I982" s="1">
        <v>43484</v>
      </c>
      <c r="J982" t="s">
        <v>1045</v>
      </c>
      <c r="K982" s="5">
        <v>0.53194444444444444</v>
      </c>
      <c r="L982" t="s">
        <v>24</v>
      </c>
      <c r="M982">
        <v>11.917999999999999</v>
      </c>
      <c r="N982">
        <v>9.8000000000000007</v>
      </c>
    </row>
    <row r="983" spans="1:14" x14ac:dyDescent="0.25">
      <c r="A983" t="s">
        <v>1012</v>
      </c>
      <c r="B983" t="s">
        <v>13</v>
      </c>
      <c r="C983" t="s">
        <v>14</v>
      </c>
      <c r="D983" t="s">
        <v>22</v>
      </c>
      <c r="E983" t="s">
        <v>26</v>
      </c>
      <c r="F983" t="s">
        <v>17</v>
      </c>
      <c r="G983" t="s">
        <v>1036</v>
      </c>
      <c r="H983" t="s">
        <v>1041</v>
      </c>
      <c r="I983" s="1">
        <v>43488</v>
      </c>
      <c r="J983" t="s">
        <v>1046</v>
      </c>
      <c r="K983" s="5">
        <v>0.73888888888888893</v>
      </c>
      <c r="L983" t="s">
        <v>24</v>
      </c>
      <c r="M983">
        <v>11.63</v>
      </c>
      <c r="N983">
        <v>8.4</v>
      </c>
    </row>
    <row r="984" spans="1:14" x14ac:dyDescent="0.25">
      <c r="A984" t="s">
        <v>1013</v>
      </c>
      <c r="B984" t="s">
        <v>13</v>
      </c>
      <c r="C984" t="s">
        <v>14</v>
      </c>
      <c r="D984" t="s">
        <v>15</v>
      </c>
      <c r="E984" t="s">
        <v>16</v>
      </c>
      <c r="F984" t="s">
        <v>31</v>
      </c>
      <c r="G984" t="s">
        <v>1036</v>
      </c>
      <c r="H984" t="s">
        <v>1043</v>
      </c>
      <c r="I984" s="1">
        <v>43538</v>
      </c>
      <c r="J984" t="s">
        <v>1045</v>
      </c>
      <c r="K984" s="5">
        <v>0.59652777777777777</v>
      </c>
      <c r="L984" t="s">
        <v>18</v>
      </c>
      <c r="M984">
        <v>43.866</v>
      </c>
      <c r="N984">
        <v>7.4</v>
      </c>
    </row>
    <row r="985" spans="1:14" x14ac:dyDescent="0.25">
      <c r="A985" t="s">
        <v>1014</v>
      </c>
      <c r="B985" t="s">
        <v>20</v>
      </c>
      <c r="C985" t="s">
        <v>21</v>
      </c>
      <c r="D985" t="s">
        <v>22</v>
      </c>
      <c r="E985" t="s">
        <v>26</v>
      </c>
      <c r="F985" t="s">
        <v>17</v>
      </c>
      <c r="G985" t="s">
        <v>1036</v>
      </c>
      <c r="H985" t="s">
        <v>1041</v>
      </c>
      <c r="I985" s="1">
        <v>43488</v>
      </c>
      <c r="J985" t="s">
        <v>1044</v>
      </c>
      <c r="K985" s="5">
        <v>0.43958333333333338</v>
      </c>
      <c r="L985" t="s">
        <v>24</v>
      </c>
      <c r="M985">
        <v>34.985999999999997</v>
      </c>
      <c r="N985">
        <v>6.1</v>
      </c>
    </row>
    <row r="986" spans="1:14" x14ac:dyDescent="0.25">
      <c r="A986" t="s">
        <v>1015</v>
      </c>
      <c r="B986" t="s">
        <v>20</v>
      </c>
      <c r="C986" t="s">
        <v>21</v>
      </c>
      <c r="D986" t="s">
        <v>22</v>
      </c>
      <c r="E986" t="s">
        <v>26</v>
      </c>
      <c r="F986" t="s">
        <v>23</v>
      </c>
      <c r="G986" t="s">
        <v>1034</v>
      </c>
      <c r="H986" t="s">
        <v>1041</v>
      </c>
      <c r="I986" s="1">
        <v>43474</v>
      </c>
      <c r="J986" t="s">
        <v>1044</v>
      </c>
      <c r="K986" s="5">
        <v>0.4861111111111111</v>
      </c>
      <c r="L986" t="s">
        <v>24</v>
      </c>
      <c r="M986">
        <v>33.729500000000002</v>
      </c>
      <c r="N986">
        <v>6</v>
      </c>
    </row>
    <row r="987" spans="1:14" x14ac:dyDescent="0.25">
      <c r="A987" t="s">
        <v>1016</v>
      </c>
      <c r="B987" t="s">
        <v>37</v>
      </c>
      <c r="C987" t="s">
        <v>38</v>
      </c>
      <c r="D987" t="s">
        <v>22</v>
      </c>
      <c r="E987" t="s">
        <v>16</v>
      </c>
      <c r="F987" t="s">
        <v>41</v>
      </c>
      <c r="G987" t="s">
        <v>1038</v>
      </c>
      <c r="H987" t="s">
        <v>1042</v>
      </c>
      <c r="I987" s="1">
        <v>43503</v>
      </c>
      <c r="J987" t="s">
        <v>1046</v>
      </c>
      <c r="K987" s="5">
        <v>0.8125</v>
      </c>
      <c r="L987" t="s">
        <v>18</v>
      </c>
      <c r="M987">
        <v>15.9275</v>
      </c>
      <c r="N987">
        <v>8.5</v>
      </c>
    </row>
    <row r="988" spans="1:14" x14ac:dyDescent="0.25">
      <c r="A988" t="s">
        <v>1017</v>
      </c>
      <c r="B988" t="s">
        <v>37</v>
      </c>
      <c r="C988" t="s">
        <v>38</v>
      </c>
      <c r="D988" t="s">
        <v>22</v>
      </c>
      <c r="E988" t="s">
        <v>16</v>
      </c>
      <c r="F988" t="s">
        <v>17</v>
      </c>
      <c r="G988" t="s">
        <v>1040</v>
      </c>
      <c r="H988" t="s">
        <v>1042</v>
      </c>
      <c r="I988" s="1">
        <v>43514</v>
      </c>
      <c r="J988" t="s">
        <v>1045</v>
      </c>
      <c r="K988" s="5">
        <v>0.61249999999999993</v>
      </c>
      <c r="L988" t="s">
        <v>18</v>
      </c>
      <c r="M988">
        <v>1.476</v>
      </c>
      <c r="N988">
        <v>4.3</v>
      </c>
    </row>
    <row r="989" spans="1:14" x14ac:dyDescent="0.25">
      <c r="A989" t="s">
        <v>1018</v>
      </c>
      <c r="B989" t="s">
        <v>37</v>
      </c>
      <c r="C989" t="s">
        <v>38</v>
      </c>
      <c r="D989" t="s">
        <v>15</v>
      </c>
      <c r="E989" t="s">
        <v>26</v>
      </c>
      <c r="F989" t="s">
        <v>17</v>
      </c>
      <c r="G989" t="s">
        <v>1040</v>
      </c>
      <c r="H989" t="s">
        <v>1041</v>
      </c>
      <c r="I989" s="1">
        <v>43468</v>
      </c>
      <c r="J989" t="s">
        <v>1046</v>
      </c>
      <c r="K989" s="5">
        <v>0.79722222222222217</v>
      </c>
      <c r="L989" t="s">
        <v>28</v>
      </c>
      <c r="M989">
        <v>24.8</v>
      </c>
      <c r="N989">
        <v>6.2</v>
      </c>
    </row>
    <row r="990" spans="1:14" x14ac:dyDescent="0.25">
      <c r="A990" t="s">
        <v>1019</v>
      </c>
      <c r="B990" t="s">
        <v>20</v>
      </c>
      <c r="C990" t="s">
        <v>21</v>
      </c>
      <c r="D990" t="s">
        <v>15</v>
      </c>
      <c r="E990" t="s">
        <v>26</v>
      </c>
      <c r="F990" t="s">
        <v>23</v>
      </c>
      <c r="G990" t="s">
        <v>1038</v>
      </c>
      <c r="H990" t="s">
        <v>1043</v>
      </c>
      <c r="I990" s="1">
        <v>43553</v>
      </c>
      <c r="J990" t="s">
        <v>1046</v>
      </c>
      <c r="K990" s="5">
        <v>0.79999999999999993</v>
      </c>
      <c r="L990" t="s">
        <v>18</v>
      </c>
      <c r="M990">
        <v>41.17</v>
      </c>
      <c r="N990">
        <v>4.3</v>
      </c>
    </row>
    <row r="991" spans="1:14" x14ac:dyDescent="0.25">
      <c r="A991" t="s">
        <v>1020</v>
      </c>
      <c r="B991" t="s">
        <v>37</v>
      </c>
      <c r="C991" t="s">
        <v>38</v>
      </c>
      <c r="D991" t="s">
        <v>15</v>
      </c>
      <c r="E991" t="s">
        <v>26</v>
      </c>
      <c r="F991" t="s">
        <v>17</v>
      </c>
      <c r="G991" t="s">
        <v>1037</v>
      </c>
      <c r="H991" t="s">
        <v>1041</v>
      </c>
      <c r="I991" s="1">
        <v>43493</v>
      </c>
      <c r="J991" t="s">
        <v>1045</v>
      </c>
      <c r="K991" s="5">
        <v>0.65694444444444444</v>
      </c>
      <c r="L991" t="s">
        <v>28</v>
      </c>
      <c r="M991">
        <v>30.148</v>
      </c>
      <c r="N991">
        <v>8.4</v>
      </c>
    </row>
    <row r="992" spans="1:14" x14ac:dyDescent="0.25">
      <c r="A992" t="s">
        <v>1021</v>
      </c>
      <c r="B992" t="s">
        <v>13</v>
      </c>
      <c r="C992" t="s">
        <v>14</v>
      </c>
      <c r="D992" t="s">
        <v>22</v>
      </c>
      <c r="E992" t="s">
        <v>16</v>
      </c>
      <c r="F992" t="s">
        <v>39</v>
      </c>
      <c r="G992" t="s">
        <v>1037</v>
      </c>
      <c r="H992" t="s">
        <v>1043</v>
      </c>
      <c r="I992" s="1">
        <v>43546</v>
      </c>
      <c r="J992" t="s">
        <v>1046</v>
      </c>
      <c r="K992" s="5">
        <v>0.79583333333333339</v>
      </c>
      <c r="L992" t="s">
        <v>28</v>
      </c>
      <c r="M992">
        <v>14.14</v>
      </c>
      <c r="N992">
        <v>4.5</v>
      </c>
    </row>
    <row r="993" spans="1:14" x14ac:dyDescent="0.25">
      <c r="A993" t="s">
        <v>1022</v>
      </c>
      <c r="B993" t="s">
        <v>37</v>
      </c>
      <c r="C993" t="s">
        <v>38</v>
      </c>
      <c r="D993" t="s">
        <v>22</v>
      </c>
      <c r="E993" t="s">
        <v>16</v>
      </c>
      <c r="F993" t="s">
        <v>31</v>
      </c>
      <c r="H993" t="s">
        <v>1041</v>
      </c>
      <c r="I993" s="1">
        <v>43489</v>
      </c>
      <c r="J993" t="s">
        <v>1046</v>
      </c>
      <c r="K993" s="5">
        <v>0.75694444444444453</v>
      </c>
      <c r="L993" t="s">
        <v>18</v>
      </c>
      <c r="M993">
        <v>38.299999999999997</v>
      </c>
      <c r="N993">
        <v>6</v>
      </c>
    </row>
    <row r="994" spans="1:14" x14ac:dyDescent="0.25">
      <c r="A994" t="s">
        <v>1023</v>
      </c>
      <c r="B994" t="s">
        <v>13</v>
      </c>
      <c r="C994" t="s">
        <v>14</v>
      </c>
      <c r="D994" t="s">
        <v>22</v>
      </c>
      <c r="E994" t="s">
        <v>26</v>
      </c>
      <c r="F994" t="s">
        <v>23</v>
      </c>
      <c r="G994" t="s">
        <v>1036</v>
      </c>
      <c r="H994" t="s">
        <v>1043</v>
      </c>
      <c r="I994" s="1">
        <v>43534</v>
      </c>
      <c r="J994" t="s">
        <v>1046</v>
      </c>
      <c r="K994" s="5">
        <v>0.8652777777777777</v>
      </c>
      <c r="L994" t="s">
        <v>18</v>
      </c>
      <c r="M994">
        <v>5.8029999999999999</v>
      </c>
      <c r="N994">
        <v>8.8000000000000007</v>
      </c>
    </row>
    <row r="995" spans="1:14" x14ac:dyDescent="0.25">
      <c r="A995" t="s">
        <v>1024</v>
      </c>
      <c r="B995" t="s">
        <v>37</v>
      </c>
      <c r="C995" t="s">
        <v>38</v>
      </c>
      <c r="D995" t="s">
        <v>22</v>
      </c>
      <c r="E995" t="s">
        <v>26</v>
      </c>
      <c r="F995" t="s">
        <v>41</v>
      </c>
      <c r="G995" t="s">
        <v>1040</v>
      </c>
      <c r="H995" t="s">
        <v>1042</v>
      </c>
      <c r="I995" s="1">
        <v>43518</v>
      </c>
      <c r="J995" t="s">
        <v>1046</v>
      </c>
      <c r="K995" s="5">
        <v>0.77430555555555547</v>
      </c>
      <c r="L995" t="s">
        <v>18</v>
      </c>
      <c r="M995">
        <v>8.7449999999999992</v>
      </c>
      <c r="N995">
        <v>6.6</v>
      </c>
    </row>
    <row r="996" spans="1:14" x14ac:dyDescent="0.25">
      <c r="A996" t="s">
        <v>1025</v>
      </c>
      <c r="B996" t="s">
        <v>20</v>
      </c>
      <c r="C996" t="s">
        <v>21</v>
      </c>
      <c r="D996" t="s">
        <v>15</v>
      </c>
      <c r="E996" t="s">
        <v>16</v>
      </c>
      <c r="F996" t="s">
        <v>23</v>
      </c>
      <c r="G996" t="s">
        <v>1040</v>
      </c>
      <c r="H996" t="s">
        <v>1042</v>
      </c>
      <c r="I996" s="1">
        <v>43514</v>
      </c>
      <c r="J996" t="s">
        <v>1044</v>
      </c>
      <c r="K996" s="5">
        <v>0.4861111111111111</v>
      </c>
      <c r="L996" t="s">
        <v>18</v>
      </c>
      <c r="M996">
        <v>3.0474999999999999</v>
      </c>
      <c r="N996">
        <v>5.9</v>
      </c>
    </row>
    <row r="997" spans="1:14" x14ac:dyDescent="0.25">
      <c r="A997" t="s">
        <v>1026</v>
      </c>
      <c r="B997" t="s">
        <v>20</v>
      </c>
      <c r="C997" t="s">
        <v>21</v>
      </c>
      <c r="D997" t="s">
        <v>22</v>
      </c>
      <c r="E997" t="s">
        <v>26</v>
      </c>
      <c r="F997" t="s">
        <v>17</v>
      </c>
      <c r="G997" t="s">
        <v>1037</v>
      </c>
      <c r="H997" t="s">
        <v>1041</v>
      </c>
      <c r="I997" s="1">
        <v>43494</v>
      </c>
      <c r="J997" t="s">
        <v>1045</v>
      </c>
      <c r="K997" s="5">
        <v>0.57361111111111118</v>
      </c>
      <c r="L997" t="s">
        <v>18</v>
      </c>
      <c r="M997">
        <v>2.0175000000000001</v>
      </c>
      <c r="N997">
        <v>6.2</v>
      </c>
    </row>
    <row r="998" spans="1:14" x14ac:dyDescent="0.25">
      <c r="A998" t="s">
        <v>1027</v>
      </c>
      <c r="B998" t="s">
        <v>37</v>
      </c>
      <c r="C998" t="s">
        <v>38</v>
      </c>
      <c r="D998" t="s">
        <v>22</v>
      </c>
      <c r="E998" t="s">
        <v>16</v>
      </c>
      <c r="F998" t="s">
        <v>27</v>
      </c>
      <c r="G998" t="s">
        <v>1035</v>
      </c>
      <c r="H998" t="s">
        <v>1043</v>
      </c>
      <c r="I998" s="1">
        <v>43526</v>
      </c>
      <c r="J998" t="s">
        <v>1046</v>
      </c>
      <c r="K998" s="5">
        <v>0.71944444444444444</v>
      </c>
      <c r="L998" t="s">
        <v>18</v>
      </c>
      <c r="M998">
        <v>48.69</v>
      </c>
      <c r="N998">
        <v>4.4000000000000004</v>
      </c>
    </row>
    <row r="999" spans="1:14" x14ac:dyDescent="0.25">
      <c r="A999" t="s">
        <v>1028</v>
      </c>
      <c r="B999" t="s">
        <v>13</v>
      </c>
      <c r="C999" t="s">
        <v>14</v>
      </c>
      <c r="D999" t="s">
        <v>15</v>
      </c>
      <c r="E999" t="s">
        <v>26</v>
      </c>
      <c r="F999" t="s">
        <v>39</v>
      </c>
      <c r="G999" t="s">
        <v>1039</v>
      </c>
      <c r="H999" t="s">
        <v>1042</v>
      </c>
      <c r="I999" s="1">
        <v>43505</v>
      </c>
      <c r="J999" t="s">
        <v>1045</v>
      </c>
      <c r="K999" s="5">
        <v>0.55694444444444446</v>
      </c>
      <c r="L999" t="s">
        <v>24</v>
      </c>
      <c r="M999">
        <v>1.5920000000000001</v>
      </c>
      <c r="N999">
        <v>7.7</v>
      </c>
    </row>
    <row r="1000" spans="1:14" x14ac:dyDescent="0.25">
      <c r="A1000" t="s">
        <v>1029</v>
      </c>
      <c r="B1000" t="s">
        <v>13</v>
      </c>
      <c r="C1000" t="s">
        <v>14</v>
      </c>
      <c r="D1000" t="s">
        <v>22</v>
      </c>
      <c r="E1000" t="s">
        <v>26</v>
      </c>
      <c r="F1000" t="s">
        <v>27</v>
      </c>
      <c r="G1000" t="s">
        <v>1040</v>
      </c>
      <c r="H1000" t="s">
        <v>1042</v>
      </c>
      <c r="I1000" s="1">
        <v>43518</v>
      </c>
      <c r="J1000" t="s">
        <v>1045</v>
      </c>
      <c r="K1000" s="5">
        <v>0.6479166666666667</v>
      </c>
      <c r="L1000" t="s">
        <v>24</v>
      </c>
      <c r="M1000">
        <v>3.2909999999999999</v>
      </c>
      <c r="N1000">
        <v>4.0999999999999996</v>
      </c>
    </row>
    <row r="1001" spans="1:14" x14ac:dyDescent="0.25">
      <c r="A1001" t="s">
        <v>1030</v>
      </c>
      <c r="B1001" t="s">
        <v>13</v>
      </c>
      <c r="C1001" t="s">
        <v>14</v>
      </c>
      <c r="D1001" t="s">
        <v>15</v>
      </c>
      <c r="E1001" t="s">
        <v>16</v>
      </c>
      <c r="F1001" t="s">
        <v>41</v>
      </c>
      <c r="G1001" t="s">
        <v>1040</v>
      </c>
      <c r="H1001" t="s">
        <v>1042</v>
      </c>
      <c r="I1001" s="1">
        <v>43514</v>
      </c>
      <c r="J1001" t="s">
        <v>1045</v>
      </c>
      <c r="K1001" s="5">
        <v>0.56111111111111112</v>
      </c>
      <c r="L1001" t="s">
        <v>24</v>
      </c>
      <c r="M1001">
        <v>30.919</v>
      </c>
      <c r="N1001">
        <v>6.6</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sqref="A1:N1001"/>
    </sheetView>
  </sheetViews>
  <sheetFormatPr defaultRowHeight="15" x14ac:dyDescent="0.25"/>
  <cols>
    <col min="1" max="1" width="11.85546875" customWidth="1"/>
    <col min="4" max="4" width="16.140625" customWidth="1"/>
    <col min="5" max="5" width="9.85546875" customWidth="1"/>
    <col min="6" max="6" width="13.85546875" customWidth="1"/>
    <col min="8" max="8" width="10" customWidth="1"/>
    <col min="10" max="10" width="9.85546875" customWidth="1"/>
    <col min="12" max="12" width="11" customWidth="1"/>
    <col min="13" max="13" width="14.7109375" customWidth="1"/>
  </cols>
  <sheetData>
    <row r="1" spans="1:14" x14ac:dyDescent="0.25">
      <c r="A1" t="s">
        <v>0</v>
      </c>
      <c r="B1" t="s">
        <v>1</v>
      </c>
      <c r="C1" t="s">
        <v>2</v>
      </c>
      <c r="D1" t="s">
        <v>3</v>
      </c>
      <c r="E1" t="s">
        <v>4</v>
      </c>
      <c r="F1" t="s">
        <v>5</v>
      </c>
      <c r="G1" t="s">
        <v>1032</v>
      </c>
      <c r="H1" t="s">
        <v>1033</v>
      </c>
      <c r="I1" t="s">
        <v>7</v>
      </c>
      <c r="J1" t="s">
        <v>1031</v>
      </c>
      <c r="K1" t="s">
        <v>8</v>
      </c>
      <c r="L1" t="s">
        <v>9</v>
      </c>
      <c r="M1" t="s">
        <v>10</v>
      </c>
      <c r="N1" t="s">
        <v>11</v>
      </c>
    </row>
    <row r="2" spans="1:14" x14ac:dyDescent="0.25">
      <c r="A2" t="s">
        <v>12</v>
      </c>
      <c r="B2" t="s">
        <v>13</v>
      </c>
      <c r="C2" t="s">
        <v>14</v>
      </c>
      <c r="D2" t="s">
        <v>15</v>
      </c>
      <c r="E2" t="s">
        <v>16</v>
      </c>
      <c r="F2" t="s">
        <v>17</v>
      </c>
      <c r="G2" t="s">
        <v>1034</v>
      </c>
      <c r="H2" t="s">
        <v>1041</v>
      </c>
      <c r="I2" s="1">
        <v>43470</v>
      </c>
      <c r="J2" t="s">
        <v>1045</v>
      </c>
      <c r="K2" s="5">
        <v>0.54722222222222217</v>
      </c>
      <c r="L2" t="s">
        <v>18</v>
      </c>
      <c r="M2">
        <v>26.141500000000001</v>
      </c>
      <c r="N2">
        <v>9.1</v>
      </c>
    </row>
    <row r="3" spans="1:14" x14ac:dyDescent="0.25">
      <c r="A3" t="s">
        <v>19</v>
      </c>
      <c r="B3" t="s">
        <v>20</v>
      </c>
      <c r="C3" t="s">
        <v>21</v>
      </c>
      <c r="D3" t="s">
        <v>22</v>
      </c>
      <c r="E3" t="s">
        <v>16</v>
      </c>
      <c r="F3" t="s">
        <v>23</v>
      </c>
      <c r="G3" t="s">
        <v>1035</v>
      </c>
      <c r="H3" t="s">
        <v>1043</v>
      </c>
      <c r="I3" s="1">
        <v>43532</v>
      </c>
      <c r="J3" t="s">
        <v>1044</v>
      </c>
      <c r="K3" s="5">
        <v>0.4368055555555555</v>
      </c>
      <c r="L3" t="s">
        <v>24</v>
      </c>
      <c r="M3">
        <v>3.82</v>
      </c>
      <c r="N3">
        <v>9.6</v>
      </c>
    </row>
    <row r="4" spans="1:14" x14ac:dyDescent="0.25">
      <c r="A4" t="s">
        <v>25</v>
      </c>
      <c r="B4" t="s">
        <v>13</v>
      </c>
      <c r="C4" t="s">
        <v>14</v>
      </c>
      <c r="D4" t="s">
        <v>22</v>
      </c>
      <c r="E4" t="s">
        <v>26</v>
      </c>
      <c r="F4" t="s">
        <v>27</v>
      </c>
      <c r="G4" t="s">
        <v>1035</v>
      </c>
      <c r="H4" t="s">
        <v>1043</v>
      </c>
      <c r="I4" s="1">
        <v>43527</v>
      </c>
      <c r="J4" t="s">
        <v>1045</v>
      </c>
      <c r="K4" s="5">
        <v>0.55763888888888891</v>
      </c>
      <c r="L4" t="s">
        <v>28</v>
      </c>
      <c r="M4">
        <v>16.215499999999999</v>
      </c>
      <c r="N4">
        <v>7.4</v>
      </c>
    </row>
    <row r="5" spans="1:14" x14ac:dyDescent="0.25">
      <c r="A5" t="s">
        <v>29</v>
      </c>
      <c r="B5" t="s">
        <v>13</v>
      </c>
      <c r="C5" t="s">
        <v>14</v>
      </c>
      <c r="D5" t="s">
        <v>15</v>
      </c>
      <c r="E5" t="s">
        <v>26</v>
      </c>
      <c r="F5" t="s">
        <v>17</v>
      </c>
      <c r="G5" t="s">
        <v>1037</v>
      </c>
      <c r="H5" t="s">
        <v>1041</v>
      </c>
      <c r="I5" s="1">
        <v>43492</v>
      </c>
      <c r="J5" t="s">
        <v>1046</v>
      </c>
      <c r="K5" s="5">
        <v>0.85625000000000007</v>
      </c>
      <c r="L5" t="s">
        <v>18</v>
      </c>
      <c r="M5">
        <v>23.288</v>
      </c>
      <c r="N5">
        <v>8.4</v>
      </c>
    </row>
    <row r="6" spans="1:14" x14ac:dyDescent="0.25">
      <c r="A6" t="s">
        <v>30</v>
      </c>
      <c r="B6" t="s">
        <v>13</v>
      </c>
      <c r="C6" t="s">
        <v>14</v>
      </c>
      <c r="D6" t="s">
        <v>22</v>
      </c>
      <c r="E6" t="s">
        <v>26</v>
      </c>
      <c r="F6" t="s">
        <v>31</v>
      </c>
      <c r="G6" t="s">
        <v>1038</v>
      </c>
      <c r="H6" t="s">
        <v>1042</v>
      </c>
      <c r="I6" s="1">
        <v>43504</v>
      </c>
      <c r="J6" t="s">
        <v>1044</v>
      </c>
      <c r="K6" s="5">
        <v>0.44236111111111115</v>
      </c>
      <c r="L6" t="s">
        <v>18</v>
      </c>
      <c r="M6">
        <v>30.208500000000001</v>
      </c>
      <c r="N6">
        <v>5.3</v>
      </c>
    </row>
    <row r="7" spans="1:14" x14ac:dyDescent="0.25">
      <c r="A7" t="s">
        <v>32</v>
      </c>
      <c r="B7" t="s">
        <v>20</v>
      </c>
      <c r="C7" t="s">
        <v>21</v>
      </c>
      <c r="D7" t="s">
        <v>22</v>
      </c>
      <c r="E7" t="s">
        <v>26</v>
      </c>
      <c r="F7" t="s">
        <v>23</v>
      </c>
      <c r="G7" t="s">
        <v>1038</v>
      </c>
      <c r="H7" t="s">
        <v>1043</v>
      </c>
      <c r="I7" s="1">
        <v>43549</v>
      </c>
      <c r="J7" t="s">
        <v>1046</v>
      </c>
      <c r="K7" s="5">
        <v>0.77083333333333337</v>
      </c>
      <c r="L7" t="s">
        <v>18</v>
      </c>
      <c r="M7">
        <v>29.886500000000002</v>
      </c>
      <c r="N7">
        <v>4.0999999999999996</v>
      </c>
    </row>
    <row r="8" spans="1:14" x14ac:dyDescent="0.25">
      <c r="A8" t="s">
        <v>33</v>
      </c>
      <c r="B8" t="s">
        <v>13</v>
      </c>
      <c r="C8" t="s">
        <v>14</v>
      </c>
      <c r="D8" t="s">
        <v>15</v>
      </c>
      <c r="E8" t="s">
        <v>16</v>
      </c>
      <c r="F8" t="s">
        <v>23</v>
      </c>
      <c r="G8" t="s">
        <v>1034</v>
      </c>
      <c r="H8" t="s">
        <v>1042</v>
      </c>
      <c r="I8" s="1">
        <v>43521</v>
      </c>
      <c r="J8" t="s">
        <v>1045</v>
      </c>
      <c r="K8" s="5">
        <v>0.60833333333333328</v>
      </c>
      <c r="L8" t="s">
        <v>18</v>
      </c>
      <c r="M8">
        <v>20.652000000000001</v>
      </c>
      <c r="N8">
        <v>5.8</v>
      </c>
    </row>
    <row r="9" spans="1:14" x14ac:dyDescent="0.25">
      <c r="A9" t="s">
        <v>34</v>
      </c>
      <c r="B9" t="s">
        <v>20</v>
      </c>
      <c r="C9" t="s">
        <v>21</v>
      </c>
      <c r="D9" t="s">
        <v>22</v>
      </c>
      <c r="E9" t="s">
        <v>16</v>
      </c>
      <c r="F9" t="s">
        <v>27</v>
      </c>
      <c r="G9" t="s">
        <v>1034</v>
      </c>
      <c r="H9" t="s">
        <v>1042</v>
      </c>
      <c r="I9" s="1">
        <v>43520</v>
      </c>
      <c r="J9" t="s">
        <v>1044</v>
      </c>
      <c r="K9" s="5">
        <v>0.48472222222222222</v>
      </c>
      <c r="L9" t="s">
        <v>18</v>
      </c>
      <c r="M9">
        <v>36.78</v>
      </c>
      <c r="N9">
        <v>8</v>
      </c>
    </row>
    <row r="10" spans="1:14" x14ac:dyDescent="0.25">
      <c r="A10" t="s">
        <v>35</v>
      </c>
      <c r="B10" t="s">
        <v>13</v>
      </c>
      <c r="C10" t="s">
        <v>14</v>
      </c>
      <c r="D10" t="s">
        <v>15</v>
      </c>
      <c r="E10" t="s">
        <v>16</v>
      </c>
      <c r="F10" t="s">
        <v>17</v>
      </c>
      <c r="G10" t="s">
        <v>1034</v>
      </c>
      <c r="H10" t="s">
        <v>1041</v>
      </c>
      <c r="I10" s="1">
        <v>43475</v>
      </c>
      <c r="J10" t="s">
        <v>1046</v>
      </c>
      <c r="K10" s="5">
        <v>0.71875</v>
      </c>
      <c r="L10" t="s">
        <v>28</v>
      </c>
      <c r="M10">
        <v>3.6259999999999999</v>
      </c>
      <c r="N10">
        <v>7.2</v>
      </c>
    </row>
    <row r="11" spans="1:14" x14ac:dyDescent="0.25">
      <c r="A11" t="s">
        <v>36</v>
      </c>
      <c r="B11" t="s">
        <v>37</v>
      </c>
      <c r="C11" t="s">
        <v>38</v>
      </c>
      <c r="D11" t="s">
        <v>15</v>
      </c>
      <c r="E11" t="s">
        <v>16</v>
      </c>
      <c r="F11" t="s">
        <v>39</v>
      </c>
      <c r="G11" t="s">
        <v>1040</v>
      </c>
      <c r="H11" t="s">
        <v>1042</v>
      </c>
      <c r="I11" s="1">
        <v>43516</v>
      </c>
      <c r="J11" t="s">
        <v>1045</v>
      </c>
      <c r="K11" s="5">
        <v>0.56041666666666667</v>
      </c>
      <c r="L11" t="s">
        <v>28</v>
      </c>
      <c r="M11">
        <v>8.2260000000000009</v>
      </c>
      <c r="N11">
        <v>5.9</v>
      </c>
    </row>
    <row r="12" spans="1:14" x14ac:dyDescent="0.25">
      <c r="A12" t="s">
        <v>40</v>
      </c>
      <c r="B12" t="s">
        <v>37</v>
      </c>
      <c r="C12" t="s">
        <v>38</v>
      </c>
      <c r="D12" t="s">
        <v>15</v>
      </c>
      <c r="E12" t="s">
        <v>16</v>
      </c>
      <c r="F12" t="s">
        <v>41</v>
      </c>
      <c r="G12" t="s">
        <v>1038</v>
      </c>
      <c r="H12" t="s">
        <v>1042</v>
      </c>
      <c r="I12" s="1">
        <v>43502</v>
      </c>
      <c r="J12" t="s">
        <v>1046</v>
      </c>
      <c r="K12" s="5">
        <v>0.75486111111111109</v>
      </c>
      <c r="L12" t="s">
        <v>18</v>
      </c>
      <c r="M12">
        <v>2.8959999999999999</v>
      </c>
      <c r="N12">
        <v>4.5</v>
      </c>
    </row>
    <row r="13" spans="1:14" x14ac:dyDescent="0.25">
      <c r="A13" t="s">
        <v>42</v>
      </c>
      <c r="B13" t="s">
        <v>37</v>
      </c>
      <c r="C13" t="s">
        <v>38</v>
      </c>
      <c r="D13" t="s">
        <v>15</v>
      </c>
      <c r="E13" t="s">
        <v>26</v>
      </c>
      <c r="F13" t="s">
        <v>23</v>
      </c>
      <c r="G13" t="s">
        <v>1036</v>
      </c>
      <c r="H13" t="s">
        <v>1043</v>
      </c>
      <c r="I13" s="1">
        <v>43533</v>
      </c>
      <c r="J13" t="s">
        <v>1046</v>
      </c>
      <c r="K13" s="5">
        <v>0.7104166666666667</v>
      </c>
      <c r="L13" t="s">
        <v>24</v>
      </c>
      <c r="M13">
        <v>5.1020000000000003</v>
      </c>
      <c r="N13">
        <v>6.8</v>
      </c>
    </row>
    <row r="14" spans="1:14" x14ac:dyDescent="0.25">
      <c r="A14" t="s">
        <v>43</v>
      </c>
      <c r="B14" t="s">
        <v>13</v>
      </c>
      <c r="C14" t="s">
        <v>14</v>
      </c>
      <c r="D14" t="s">
        <v>22</v>
      </c>
      <c r="E14" t="s">
        <v>16</v>
      </c>
      <c r="F14" t="s">
        <v>23</v>
      </c>
      <c r="G14" t="s">
        <v>1039</v>
      </c>
      <c r="H14" t="s">
        <v>1042</v>
      </c>
      <c r="I14" s="1">
        <v>43508</v>
      </c>
      <c r="J14" t="s">
        <v>1044</v>
      </c>
      <c r="K14" s="5">
        <v>0.43402777777777773</v>
      </c>
      <c r="L14" t="s">
        <v>18</v>
      </c>
      <c r="M14">
        <v>11.737500000000001</v>
      </c>
      <c r="N14">
        <v>7.1</v>
      </c>
    </row>
    <row r="15" spans="1:14" x14ac:dyDescent="0.25">
      <c r="A15" t="s">
        <v>44</v>
      </c>
      <c r="B15" t="s">
        <v>13</v>
      </c>
      <c r="C15" t="s">
        <v>14</v>
      </c>
      <c r="D15" t="s">
        <v>22</v>
      </c>
      <c r="E15" t="s">
        <v>26</v>
      </c>
      <c r="F15" t="s">
        <v>39</v>
      </c>
      <c r="G15" t="s">
        <v>1038</v>
      </c>
      <c r="H15" t="s">
        <v>1042</v>
      </c>
      <c r="I15" s="1">
        <v>43503</v>
      </c>
      <c r="J15" t="s">
        <v>1046</v>
      </c>
      <c r="K15" s="5">
        <v>0.70000000000000007</v>
      </c>
      <c r="L15" t="s">
        <v>18</v>
      </c>
      <c r="M15">
        <v>21.594999999999999</v>
      </c>
      <c r="N15">
        <v>8.1999999999999993</v>
      </c>
    </row>
    <row r="16" spans="1:14" x14ac:dyDescent="0.25">
      <c r="A16" t="s">
        <v>45</v>
      </c>
      <c r="B16" t="s">
        <v>13</v>
      </c>
      <c r="C16" t="s">
        <v>14</v>
      </c>
      <c r="D16" t="s">
        <v>22</v>
      </c>
      <c r="E16" t="s">
        <v>16</v>
      </c>
      <c r="F16" t="s">
        <v>17</v>
      </c>
      <c r="G16" t="s">
        <v>1038</v>
      </c>
      <c r="H16" t="s">
        <v>1043</v>
      </c>
      <c r="I16" s="1">
        <v>43553</v>
      </c>
      <c r="J16" t="s">
        <v>1046</v>
      </c>
      <c r="K16" s="5">
        <v>0.80625000000000002</v>
      </c>
      <c r="L16" t="s">
        <v>24</v>
      </c>
      <c r="M16">
        <v>35.69</v>
      </c>
      <c r="N16">
        <v>5.7</v>
      </c>
    </row>
    <row r="17" spans="1:14" x14ac:dyDescent="0.25">
      <c r="A17" t="s">
        <v>46</v>
      </c>
      <c r="B17" t="s">
        <v>37</v>
      </c>
      <c r="C17" t="s">
        <v>38</v>
      </c>
      <c r="D17" t="s">
        <v>15</v>
      </c>
      <c r="E17" t="s">
        <v>16</v>
      </c>
      <c r="F17" t="s">
        <v>31</v>
      </c>
      <c r="G17" t="s">
        <v>1035</v>
      </c>
      <c r="H17" t="s">
        <v>1041</v>
      </c>
      <c r="I17" s="1">
        <v>43480</v>
      </c>
      <c r="J17" t="s">
        <v>1046</v>
      </c>
      <c r="K17" s="5">
        <v>0.67986111111111114</v>
      </c>
      <c r="L17" t="s">
        <v>24</v>
      </c>
      <c r="M17">
        <v>28.116</v>
      </c>
      <c r="N17">
        <v>4.5</v>
      </c>
    </row>
    <row r="18" spans="1:14" x14ac:dyDescent="0.25">
      <c r="A18" t="s">
        <v>47</v>
      </c>
      <c r="B18" t="s">
        <v>13</v>
      </c>
      <c r="C18" t="s">
        <v>14</v>
      </c>
      <c r="D18" t="s">
        <v>15</v>
      </c>
      <c r="E18" t="s">
        <v>16</v>
      </c>
      <c r="F18" t="s">
        <v>17</v>
      </c>
      <c r="G18" t="s">
        <v>1036</v>
      </c>
      <c r="H18" t="s">
        <v>1043</v>
      </c>
      <c r="I18" s="1">
        <v>43535</v>
      </c>
      <c r="J18" t="s">
        <v>1044</v>
      </c>
      <c r="K18" s="5">
        <v>0.4604166666666667</v>
      </c>
      <c r="L18" t="s">
        <v>28</v>
      </c>
      <c r="M18">
        <v>24.125499999999999</v>
      </c>
      <c r="N18">
        <v>4.5999999999999996</v>
      </c>
    </row>
    <row r="19" spans="1:14" x14ac:dyDescent="0.25">
      <c r="A19" t="s">
        <v>48</v>
      </c>
      <c r="B19" t="s">
        <v>13</v>
      </c>
      <c r="C19" t="s">
        <v>14</v>
      </c>
      <c r="D19" t="s">
        <v>22</v>
      </c>
      <c r="E19" t="s">
        <v>26</v>
      </c>
      <c r="F19" t="s">
        <v>31</v>
      </c>
      <c r="G19" t="s">
        <v>1040</v>
      </c>
      <c r="H19" t="s">
        <v>1041</v>
      </c>
      <c r="I19" s="1">
        <v>43466</v>
      </c>
      <c r="J19" t="s">
        <v>1044</v>
      </c>
      <c r="K19" s="5">
        <v>0.44375000000000003</v>
      </c>
      <c r="L19" t="s">
        <v>28</v>
      </c>
      <c r="M19">
        <v>21.783000000000001</v>
      </c>
      <c r="N19">
        <v>6.9</v>
      </c>
    </row>
    <row r="20" spans="1:14" x14ac:dyDescent="0.25">
      <c r="A20" t="s">
        <v>49</v>
      </c>
      <c r="B20" t="s">
        <v>13</v>
      </c>
      <c r="C20" t="s">
        <v>14</v>
      </c>
      <c r="D20" t="s">
        <v>22</v>
      </c>
      <c r="E20" t="s">
        <v>26</v>
      </c>
      <c r="F20" t="s">
        <v>39</v>
      </c>
      <c r="G20" t="s">
        <v>1036</v>
      </c>
      <c r="H20" t="s">
        <v>1041</v>
      </c>
      <c r="I20" s="1">
        <v>43486</v>
      </c>
      <c r="J20" t="s">
        <v>1046</v>
      </c>
      <c r="K20" s="5">
        <v>0.75</v>
      </c>
      <c r="L20" t="s">
        <v>28</v>
      </c>
      <c r="M20">
        <v>8.2004999999999999</v>
      </c>
      <c r="N20">
        <v>8.6</v>
      </c>
    </row>
    <row r="21" spans="1:14" x14ac:dyDescent="0.25">
      <c r="A21" t="s">
        <v>50</v>
      </c>
      <c r="B21" t="s">
        <v>37</v>
      </c>
      <c r="C21" t="s">
        <v>38</v>
      </c>
      <c r="D21" t="s">
        <v>22</v>
      </c>
      <c r="E21" t="s">
        <v>16</v>
      </c>
      <c r="F21" t="s">
        <v>27</v>
      </c>
      <c r="G21" t="s">
        <v>1036</v>
      </c>
      <c r="H21" t="s">
        <v>1043</v>
      </c>
      <c r="I21" s="1">
        <v>43535</v>
      </c>
      <c r="J21" t="s">
        <v>1045</v>
      </c>
      <c r="K21" s="5">
        <v>0.64583333333333337</v>
      </c>
      <c r="L21" t="s">
        <v>18</v>
      </c>
      <c r="M21">
        <v>4.03</v>
      </c>
      <c r="N21">
        <v>4.4000000000000004</v>
      </c>
    </row>
    <row r="22" spans="1:14" x14ac:dyDescent="0.25">
      <c r="A22" t="s">
        <v>51</v>
      </c>
      <c r="B22" t="s">
        <v>20</v>
      </c>
      <c r="C22" t="s">
        <v>21</v>
      </c>
      <c r="D22" t="s">
        <v>15</v>
      </c>
      <c r="E22" t="s">
        <v>26</v>
      </c>
      <c r="F22" t="s">
        <v>23</v>
      </c>
      <c r="G22" t="s">
        <v>1034</v>
      </c>
      <c r="H22" t="s">
        <v>1042</v>
      </c>
      <c r="I22" s="1">
        <v>43521</v>
      </c>
      <c r="J22" t="s">
        <v>1044</v>
      </c>
      <c r="K22" s="5">
        <v>0.47500000000000003</v>
      </c>
      <c r="L22" t="s">
        <v>18</v>
      </c>
      <c r="M22">
        <v>21.51</v>
      </c>
      <c r="N22">
        <v>4.8</v>
      </c>
    </row>
    <row r="23" spans="1:14" x14ac:dyDescent="0.25">
      <c r="A23" t="s">
        <v>52</v>
      </c>
      <c r="B23" t="s">
        <v>37</v>
      </c>
      <c r="C23" t="s">
        <v>38</v>
      </c>
      <c r="D23" t="s">
        <v>22</v>
      </c>
      <c r="E23" t="s">
        <v>26</v>
      </c>
      <c r="F23" t="s">
        <v>17</v>
      </c>
      <c r="G23" t="s">
        <v>1035</v>
      </c>
      <c r="H23" t="s">
        <v>1043</v>
      </c>
      <c r="I23" s="1">
        <v>43529</v>
      </c>
      <c r="J23" t="s">
        <v>1044</v>
      </c>
      <c r="K23" s="5">
        <v>0.44444444444444442</v>
      </c>
      <c r="L23" t="s">
        <v>18</v>
      </c>
      <c r="M23">
        <v>13.196999999999999</v>
      </c>
      <c r="N23">
        <v>5.0999999999999996</v>
      </c>
    </row>
    <row r="24" spans="1:14" x14ac:dyDescent="0.25">
      <c r="A24" t="s">
        <v>53</v>
      </c>
      <c r="B24" t="s">
        <v>37</v>
      </c>
      <c r="C24" t="s">
        <v>38</v>
      </c>
      <c r="D24" t="s">
        <v>22</v>
      </c>
      <c r="E24" t="s">
        <v>26</v>
      </c>
      <c r="F24" t="s">
        <v>27</v>
      </c>
      <c r="G24" t="s">
        <v>1036</v>
      </c>
      <c r="H24" t="s">
        <v>1043</v>
      </c>
      <c r="I24" s="1">
        <v>43539</v>
      </c>
      <c r="J24" t="s">
        <v>1045</v>
      </c>
      <c r="K24" s="5">
        <v>0.51388888888888895</v>
      </c>
      <c r="L24" t="s">
        <v>28</v>
      </c>
      <c r="M24">
        <v>3.32</v>
      </c>
      <c r="N24">
        <v>4.4000000000000004</v>
      </c>
    </row>
    <row r="25" spans="1:14" x14ac:dyDescent="0.25">
      <c r="A25" t="s">
        <v>54</v>
      </c>
      <c r="B25" t="s">
        <v>13</v>
      </c>
      <c r="C25" t="s">
        <v>14</v>
      </c>
      <c r="D25" t="s">
        <v>22</v>
      </c>
      <c r="E25" t="s">
        <v>26</v>
      </c>
      <c r="F25" t="s">
        <v>23</v>
      </c>
      <c r="G25" t="s">
        <v>1040</v>
      </c>
      <c r="H25" t="s">
        <v>1042</v>
      </c>
      <c r="I25" s="1">
        <v>43513</v>
      </c>
      <c r="J25" t="s">
        <v>1044</v>
      </c>
      <c r="K25" s="5">
        <v>0.46875</v>
      </c>
      <c r="L25" t="s">
        <v>18</v>
      </c>
      <c r="M25">
        <v>8.64</v>
      </c>
      <c r="N25">
        <v>9.9</v>
      </c>
    </row>
    <row r="26" spans="1:14" x14ac:dyDescent="0.25">
      <c r="A26" t="s">
        <v>55</v>
      </c>
      <c r="B26" t="s">
        <v>13</v>
      </c>
      <c r="C26" t="s">
        <v>14</v>
      </c>
      <c r="D26" t="s">
        <v>15</v>
      </c>
      <c r="E26" t="s">
        <v>26</v>
      </c>
      <c r="F26" t="s">
        <v>31</v>
      </c>
      <c r="G26" t="s">
        <v>1035</v>
      </c>
      <c r="H26" t="s">
        <v>1043</v>
      </c>
      <c r="I26" s="1">
        <v>43526</v>
      </c>
      <c r="J26" t="s">
        <v>1046</v>
      </c>
      <c r="K26" s="5">
        <v>0.73333333333333339</v>
      </c>
      <c r="L26" t="s">
        <v>18</v>
      </c>
      <c r="M26">
        <v>13.294499999999999</v>
      </c>
      <c r="N26">
        <v>6</v>
      </c>
    </row>
    <row r="27" spans="1:14" x14ac:dyDescent="0.25">
      <c r="A27" t="s">
        <v>56</v>
      </c>
      <c r="B27" t="s">
        <v>13</v>
      </c>
      <c r="C27" t="s">
        <v>14</v>
      </c>
      <c r="D27" t="s">
        <v>15</v>
      </c>
      <c r="E27" t="s">
        <v>16</v>
      </c>
      <c r="F27" t="s">
        <v>27</v>
      </c>
      <c r="G27" t="s">
        <v>1037</v>
      </c>
      <c r="H27" t="s">
        <v>1043</v>
      </c>
      <c r="I27" s="1">
        <v>43546</v>
      </c>
      <c r="J27" t="s">
        <v>1046</v>
      </c>
      <c r="K27" s="5">
        <v>0.80555555555555547</v>
      </c>
      <c r="L27" t="s">
        <v>28</v>
      </c>
      <c r="M27">
        <v>21.036000000000001</v>
      </c>
      <c r="N27">
        <v>8.5</v>
      </c>
    </row>
    <row r="28" spans="1:14" x14ac:dyDescent="0.25">
      <c r="A28" t="s">
        <v>57</v>
      </c>
      <c r="B28" t="s">
        <v>37</v>
      </c>
      <c r="C28" t="s">
        <v>38</v>
      </c>
      <c r="D28" t="s">
        <v>22</v>
      </c>
      <c r="E28" t="s">
        <v>26</v>
      </c>
      <c r="F28" t="s">
        <v>41</v>
      </c>
      <c r="G28" t="s">
        <v>1038</v>
      </c>
      <c r="H28" t="s">
        <v>1042</v>
      </c>
      <c r="I28" s="1">
        <v>43504</v>
      </c>
      <c r="J28" t="s">
        <v>1045</v>
      </c>
      <c r="K28" s="5">
        <v>0.64652777777777781</v>
      </c>
      <c r="L28" t="s">
        <v>24</v>
      </c>
      <c r="M28">
        <v>1.6759999999999999</v>
      </c>
      <c r="N28">
        <v>6.7</v>
      </c>
    </row>
    <row r="29" spans="1:14" x14ac:dyDescent="0.25">
      <c r="A29" t="s">
        <v>58</v>
      </c>
      <c r="B29" t="s">
        <v>13</v>
      </c>
      <c r="C29" t="s">
        <v>14</v>
      </c>
      <c r="D29" t="s">
        <v>22</v>
      </c>
      <c r="E29" t="s">
        <v>16</v>
      </c>
      <c r="F29" t="s">
        <v>41</v>
      </c>
      <c r="G29" t="s">
        <v>1036</v>
      </c>
      <c r="H29" t="s">
        <v>1043</v>
      </c>
      <c r="I29" s="1">
        <v>43534</v>
      </c>
      <c r="J29" t="s">
        <v>1045</v>
      </c>
      <c r="K29" s="5">
        <v>0.51180555555555551</v>
      </c>
      <c r="L29" t="s">
        <v>28</v>
      </c>
      <c r="M29">
        <v>8.7669999999999995</v>
      </c>
      <c r="N29">
        <v>7.7</v>
      </c>
    </row>
    <row r="30" spans="1:14" x14ac:dyDescent="0.25">
      <c r="A30" t="s">
        <v>59</v>
      </c>
      <c r="B30" t="s">
        <v>37</v>
      </c>
      <c r="C30" t="s">
        <v>38</v>
      </c>
      <c r="D30" t="s">
        <v>22</v>
      </c>
      <c r="E30" t="s">
        <v>16</v>
      </c>
      <c r="F30" t="s">
        <v>39</v>
      </c>
      <c r="G30" t="s">
        <v>1036</v>
      </c>
      <c r="H30" t="s">
        <v>1041</v>
      </c>
      <c r="I30" s="1">
        <v>43490</v>
      </c>
      <c r="J30" t="s">
        <v>1046</v>
      </c>
      <c r="K30" s="5">
        <v>0.82500000000000007</v>
      </c>
      <c r="L30" t="s">
        <v>24</v>
      </c>
      <c r="M30">
        <v>22.09</v>
      </c>
      <c r="N30">
        <v>9.6</v>
      </c>
    </row>
    <row r="31" spans="1:14" x14ac:dyDescent="0.25">
      <c r="A31" t="s">
        <v>60</v>
      </c>
      <c r="B31" t="s">
        <v>13</v>
      </c>
      <c r="C31" t="s">
        <v>14</v>
      </c>
      <c r="D31" t="s">
        <v>22</v>
      </c>
      <c r="E31" t="s">
        <v>26</v>
      </c>
      <c r="F31" t="s">
        <v>17</v>
      </c>
      <c r="G31" t="s">
        <v>1036</v>
      </c>
      <c r="H31" t="s">
        <v>1043</v>
      </c>
      <c r="I31" s="1">
        <v>43539</v>
      </c>
      <c r="J31" t="s">
        <v>1045</v>
      </c>
      <c r="K31" s="5">
        <v>0.65</v>
      </c>
      <c r="L31" t="s">
        <v>24</v>
      </c>
      <c r="M31">
        <v>11.2005</v>
      </c>
      <c r="N31">
        <v>7.4</v>
      </c>
    </row>
    <row r="32" spans="1:14" x14ac:dyDescent="0.25">
      <c r="A32" t="s">
        <v>61</v>
      </c>
      <c r="B32" t="s">
        <v>37</v>
      </c>
      <c r="C32" t="s">
        <v>38</v>
      </c>
      <c r="D32" t="s">
        <v>22</v>
      </c>
      <c r="E32" t="s">
        <v>26</v>
      </c>
      <c r="F32" t="s">
        <v>41</v>
      </c>
      <c r="G32" t="s">
        <v>1034</v>
      </c>
      <c r="H32" t="s">
        <v>1042</v>
      </c>
      <c r="I32" s="1">
        <v>43521</v>
      </c>
      <c r="J32" t="s">
        <v>1046</v>
      </c>
      <c r="K32" s="5">
        <v>0.81874999999999998</v>
      </c>
      <c r="L32" t="s">
        <v>28</v>
      </c>
      <c r="M32">
        <v>23.532499999999999</v>
      </c>
      <c r="N32">
        <v>4.8</v>
      </c>
    </row>
    <row r="33" spans="1:14" x14ac:dyDescent="0.25">
      <c r="A33" t="s">
        <v>62</v>
      </c>
      <c r="B33" t="s">
        <v>37</v>
      </c>
      <c r="C33" t="s">
        <v>38</v>
      </c>
      <c r="D33" t="s">
        <v>15</v>
      </c>
      <c r="E33" t="s">
        <v>26</v>
      </c>
      <c r="F33" t="s">
        <v>31</v>
      </c>
      <c r="G33" t="s">
        <v>1037</v>
      </c>
      <c r="H33" t="s">
        <v>1041</v>
      </c>
      <c r="I33" s="1">
        <v>43493</v>
      </c>
      <c r="J33" t="s">
        <v>1045</v>
      </c>
      <c r="K33" s="5">
        <v>0.52986111111111112</v>
      </c>
      <c r="L33" t="s">
        <v>24</v>
      </c>
      <c r="M33">
        <v>35.131500000000003</v>
      </c>
      <c r="N33">
        <v>4.5</v>
      </c>
    </row>
    <row r="34" spans="1:14" x14ac:dyDescent="0.25">
      <c r="A34" t="s">
        <v>63</v>
      </c>
      <c r="B34" t="s">
        <v>37</v>
      </c>
      <c r="C34" t="s">
        <v>38</v>
      </c>
      <c r="D34" t="s">
        <v>22</v>
      </c>
      <c r="E34" t="s">
        <v>26</v>
      </c>
      <c r="F34" t="s">
        <v>31</v>
      </c>
      <c r="G34" t="s">
        <v>1034</v>
      </c>
      <c r="H34" t="s">
        <v>1041</v>
      </c>
      <c r="I34" s="1">
        <v>43475</v>
      </c>
      <c r="J34" t="s">
        <v>1045</v>
      </c>
      <c r="K34" s="5">
        <v>0.61736111111111114</v>
      </c>
      <c r="L34" t="s">
        <v>24</v>
      </c>
      <c r="M34">
        <v>33.512</v>
      </c>
      <c r="N34">
        <v>5.0999999999999996</v>
      </c>
    </row>
    <row r="35" spans="1:14" x14ac:dyDescent="0.25">
      <c r="A35" t="s">
        <v>64</v>
      </c>
      <c r="B35" t="s">
        <v>13</v>
      </c>
      <c r="C35" t="s">
        <v>14</v>
      </c>
      <c r="D35" t="s">
        <v>22</v>
      </c>
      <c r="E35" t="s">
        <v>26</v>
      </c>
      <c r="F35" t="s">
        <v>17</v>
      </c>
      <c r="G35" t="s">
        <v>1036</v>
      </c>
      <c r="H35" t="s">
        <v>1043</v>
      </c>
      <c r="I35" s="1">
        <v>43539</v>
      </c>
      <c r="J35" t="s">
        <v>1044</v>
      </c>
      <c r="K35" s="5">
        <v>0.42499999999999999</v>
      </c>
      <c r="L35" t="s">
        <v>28</v>
      </c>
      <c r="M35">
        <v>9.6579999999999995</v>
      </c>
      <c r="N35">
        <v>5.0999999999999996</v>
      </c>
    </row>
    <row r="36" spans="1:14" x14ac:dyDescent="0.25">
      <c r="A36" t="s">
        <v>65</v>
      </c>
      <c r="B36" t="s">
        <v>20</v>
      </c>
      <c r="C36" t="s">
        <v>21</v>
      </c>
      <c r="D36" t="s">
        <v>15</v>
      </c>
      <c r="E36" t="s">
        <v>16</v>
      </c>
      <c r="F36" t="s">
        <v>39</v>
      </c>
      <c r="G36" t="s">
        <v>1038</v>
      </c>
      <c r="H36" t="s">
        <v>1042</v>
      </c>
      <c r="I36" s="1">
        <v>43502</v>
      </c>
      <c r="J36" t="s">
        <v>1044</v>
      </c>
      <c r="K36" s="5">
        <v>0.4458333333333333</v>
      </c>
      <c r="L36" t="s">
        <v>18</v>
      </c>
      <c r="M36">
        <v>19.884</v>
      </c>
      <c r="N36">
        <v>7.5</v>
      </c>
    </row>
    <row r="37" spans="1:14" x14ac:dyDescent="0.25">
      <c r="A37" t="s">
        <v>66</v>
      </c>
      <c r="B37" t="s">
        <v>20</v>
      </c>
      <c r="C37" t="s">
        <v>21</v>
      </c>
      <c r="D37" t="s">
        <v>15</v>
      </c>
      <c r="E37" t="s">
        <v>16</v>
      </c>
      <c r="F37" t="s">
        <v>31</v>
      </c>
      <c r="G37" t="s">
        <v>1034</v>
      </c>
      <c r="H37" t="s">
        <v>1041</v>
      </c>
      <c r="I37" s="1">
        <v>43472</v>
      </c>
      <c r="J37" t="s">
        <v>1045</v>
      </c>
      <c r="K37" s="5">
        <v>0.51944444444444449</v>
      </c>
      <c r="L37" t="s">
        <v>18</v>
      </c>
      <c r="M37">
        <v>3.4060000000000001</v>
      </c>
      <c r="N37">
        <v>6.8</v>
      </c>
    </row>
    <row r="38" spans="1:14" x14ac:dyDescent="0.25">
      <c r="A38" t="s">
        <v>67</v>
      </c>
      <c r="B38" t="s">
        <v>13</v>
      </c>
      <c r="C38" t="s">
        <v>14</v>
      </c>
      <c r="D38" t="s">
        <v>15</v>
      </c>
      <c r="E38" t="s">
        <v>26</v>
      </c>
      <c r="F38" t="s">
        <v>31</v>
      </c>
      <c r="G38" t="s">
        <v>1036</v>
      </c>
      <c r="H38" t="s">
        <v>1043</v>
      </c>
      <c r="I38" s="1">
        <v>43534</v>
      </c>
      <c r="J38" t="s">
        <v>1046</v>
      </c>
      <c r="K38" s="5">
        <v>0.80208333333333337</v>
      </c>
      <c r="L38" t="s">
        <v>18</v>
      </c>
      <c r="M38">
        <v>15.654999999999999</v>
      </c>
      <c r="N38">
        <v>7</v>
      </c>
    </row>
    <row r="39" spans="1:14" x14ac:dyDescent="0.25">
      <c r="A39" t="s">
        <v>68</v>
      </c>
      <c r="B39" t="s">
        <v>13</v>
      </c>
      <c r="C39" t="s">
        <v>14</v>
      </c>
      <c r="D39" t="s">
        <v>22</v>
      </c>
      <c r="E39" t="s">
        <v>16</v>
      </c>
      <c r="F39" t="s">
        <v>23</v>
      </c>
      <c r="G39" t="s">
        <v>1035</v>
      </c>
      <c r="H39" t="s">
        <v>1041</v>
      </c>
      <c r="I39" s="1">
        <v>43480</v>
      </c>
      <c r="J39" t="s">
        <v>1046</v>
      </c>
      <c r="K39" s="5">
        <v>0.72013888888888899</v>
      </c>
      <c r="L39" t="s">
        <v>18</v>
      </c>
      <c r="M39">
        <v>27.396000000000001</v>
      </c>
      <c r="N39">
        <v>4.7</v>
      </c>
    </row>
    <row r="40" spans="1:14" x14ac:dyDescent="0.25">
      <c r="A40" t="s">
        <v>69</v>
      </c>
      <c r="B40" t="s">
        <v>20</v>
      </c>
      <c r="C40" t="s">
        <v>21</v>
      </c>
      <c r="D40" t="s">
        <v>22</v>
      </c>
      <c r="E40" t="s">
        <v>16</v>
      </c>
      <c r="F40" t="s">
        <v>17</v>
      </c>
      <c r="G40" t="s">
        <v>1038</v>
      </c>
      <c r="H40" t="s">
        <v>1043</v>
      </c>
      <c r="I40" s="1">
        <v>43547</v>
      </c>
      <c r="J40" t="s">
        <v>1045</v>
      </c>
      <c r="K40" s="5">
        <v>0.55833333333333335</v>
      </c>
      <c r="L40" t="s">
        <v>18</v>
      </c>
      <c r="M40">
        <v>21.968</v>
      </c>
      <c r="N40">
        <v>7.6</v>
      </c>
    </row>
    <row r="41" spans="1:14" x14ac:dyDescent="0.25">
      <c r="A41" t="s">
        <v>70</v>
      </c>
      <c r="B41" t="s">
        <v>37</v>
      </c>
      <c r="C41" t="s">
        <v>38</v>
      </c>
      <c r="D41" t="s">
        <v>15</v>
      </c>
      <c r="E41" t="s">
        <v>26</v>
      </c>
      <c r="F41" t="s">
        <v>27</v>
      </c>
      <c r="G41" t="s">
        <v>1035</v>
      </c>
      <c r="H41" t="s">
        <v>1043</v>
      </c>
      <c r="I41" s="1">
        <v>43527</v>
      </c>
      <c r="J41" t="s">
        <v>1045</v>
      </c>
      <c r="K41" s="5">
        <v>0.54236111111111118</v>
      </c>
      <c r="L41" t="s">
        <v>24</v>
      </c>
      <c r="M41">
        <v>12.048</v>
      </c>
      <c r="N41">
        <v>7.7</v>
      </c>
    </row>
    <row r="42" spans="1:14" x14ac:dyDescent="0.25">
      <c r="A42" t="s">
        <v>71</v>
      </c>
      <c r="B42" t="s">
        <v>37</v>
      </c>
      <c r="C42" t="s">
        <v>38</v>
      </c>
      <c r="D42" t="s">
        <v>15</v>
      </c>
      <c r="E42" t="s">
        <v>16</v>
      </c>
      <c r="F42" t="s">
        <v>27</v>
      </c>
      <c r="G42" t="s">
        <v>1035</v>
      </c>
      <c r="H42" t="s">
        <v>1041</v>
      </c>
      <c r="I42" s="1">
        <v>43482</v>
      </c>
      <c r="J42" t="s">
        <v>1046</v>
      </c>
      <c r="K42" s="5">
        <v>0.78125</v>
      </c>
      <c r="L42" t="s">
        <v>18</v>
      </c>
      <c r="M42">
        <v>4.3360000000000003</v>
      </c>
      <c r="N42">
        <v>7.9</v>
      </c>
    </row>
    <row r="43" spans="1:14" x14ac:dyDescent="0.25">
      <c r="A43" t="s">
        <v>72</v>
      </c>
      <c r="B43" t="s">
        <v>20</v>
      </c>
      <c r="C43" t="s">
        <v>21</v>
      </c>
      <c r="D43" t="s">
        <v>15</v>
      </c>
      <c r="E43" t="s">
        <v>26</v>
      </c>
      <c r="F43" t="s">
        <v>27</v>
      </c>
      <c r="G43" t="s">
        <v>1038</v>
      </c>
      <c r="H43" t="s">
        <v>1042</v>
      </c>
      <c r="I43" s="1">
        <v>43498</v>
      </c>
      <c r="J43" t="s">
        <v>1044</v>
      </c>
      <c r="K43" s="5">
        <v>0.42430555555555555</v>
      </c>
      <c r="L43" t="s">
        <v>24</v>
      </c>
      <c r="M43">
        <v>5.6109999999999998</v>
      </c>
      <c r="N43">
        <v>6.3</v>
      </c>
    </row>
    <row r="44" spans="1:14" x14ac:dyDescent="0.25">
      <c r="A44" t="s">
        <v>73</v>
      </c>
      <c r="B44" t="s">
        <v>37</v>
      </c>
      <c r="C44" t="s">
        <v>38</v>
      </c>
      <c r="D44" t="s">
        <v>15</v>
      </c>
      <c r="E44" t="s">
        <v>16</v>
      </c>
      <c r="F44" t="s">
        <v>31</v>
      </c>
      <c r="G44" t="s">
        <v>1038</v>
      </c>
      <c r="H44" t="s">
        <v>1042</v>
      </c>
      <c r="I44" s="1">
        <v>43504</v>
      </c>
      <c r="J44" t="s">
        <v>1045</v>
      </c>
      <c r="K44" s="5">
        <v>0.54375000000000007</v>
      </c>
      <c r="L44" t="s">
        <v>24</v>
      </c>
      <c r="M44">
        <v>20.736000000000001</v>
      </c>
      <c r="N44">
        <v>5.6</v>
      </c>
    </row>
    <row r="45" spans="1:14" x14ac:dyDescent="0.25">
      <c r="A45" t="s">
        <v>74</v>
      </c>
      <c r="B45" t="s">
        <v>20</v>
      </c>
      <c r="C45" t="s">
        <v>21</v>
      </c>
      <c r="D45" t="s">
        <v>15</v>
      </c>
      <c r="E45" t="s">
        <v>16</v>
      </c>
      <c r="F45" t="s">
        <v>39</v>
      </c>
      <c r="G45" t="s">
        <v>1035</v>
      </c>
      <c r="H45" t="s">
        <v>1043</v>
      </c>
      <c r="I45" s="1">
        <v>43528</v>
      </c>
      <c r="J45" t="s">
        <v>1046</v>
      </c>
      <c r="K45" s="5">
        <v>0.86041666666666661</v>
      </c>
      <c r="L45" t="s">
        <v>24</v>
      </c>
      <c r="M45">
        <v>39.479999999999997</v>
      </c>
      <c r="N45">
        <v>7.6</v>
      </c>
    </row>
    <row r="46" spans="1:14" x14ac:dyDescent="0.25">
      <c r="A46" t="s">
        <v>75</v>
      </c>
      <c r="B46" t="s">
        <v>20</v>
      </c>
      <c r="C46" t="s">
        <v>21</v>
      </c>
      <c r="D46" t="s">
        <v>15</v>
      </c>
      <c r="E46" t="s">
        <v>26</v>
      </c>
      <c r="F46" t="s">
        <v>17</v>
      </c>
      <c r="G46" t="s">
        <v>1037</v>
      </c>
      <c r="H46" t="s">
        <v>1043</v>
      </c>
      <c r="I46" s="1">
        <v>43540</v>
      </c>
      <c r="J46" t="s">
        <v>1046</v>
      </c>
      <c r="K46" s="5">
        <v>0.82430555555555562</v>
      </c>
      <c r="L46" t="s">
        <v>24</v>
      </c>
      <c r="M46">
        <v>1.5369999999999999</v>
      </c>
      <c r="N46">
        <v>7.2</v>
      </c>
    </row>
    <row r="47" spans="1:14" x14ac:dyDescent="0.25">
      <c r="A47" t="s">
        <v>76</v>
      </c>
      <c r="B47" t="s">
        <v>37</v>
      </c>
      <c r="C47" t="s">
        <v>38</v>
      </c>
      <c r="D47" t="s">
        <v>15</v>
      </c>
      <c r="E47" t="s">
        <v>16</v>
      </c>
      <c r="F47" t="s">
        <v>23</v>
      </c>
      <c r="G47" t="s">
        <v>1036</v>
      </c>
      <c r="H47" t="s">
        <v>1043</v>
      </c>
      <c r="I47" s="1">
        <v>43533</v>
      </c>
      <c r="J47" t="s">
        <v>1046</v>
      </c>
      <c r="K47" s="5">
        <v>0.75</v>
      </c>
      <c r="L47" t="s">
        <v>24</v>
      </c>
      <c r="M47">
        <v>18.792000000000002</v>
      </c>
      <c r="N47">
        <v>9.5</v>
      </c>
    </row>
    <row r="48" spans="1:14" x14ac:dyDescent="0.25">
      <c r="A48" t="s">
        <v>77</v>
      </c>
      <c r="B48" t="s">
        <v>37</v>
      </c>
      <c r="C48" t="s">
        <v>38</v>
      </c>
      <c r="D48" t="s">
        <v>15</v>
      </c>
      <c r="E48" t="s">
        <v>26</v>
      </c>
      <c r="F48" t="s">
        <v>17</v>
      </c>
      <c r="G48" t="s">
        <v>1034</v>
      </c>
      <c r="H48" t="s">
        <v>1042</v>
      </c>
      <c r="I48" s="1">
        <v>43523</v>
      </c>
      <c r="J48" t="s">
        <v>1046</v>
      </c>
      <c r="K48" s="5">
        <v>0.72499999999999998</v>
      </c>
      <c r="L48" t="s">
        <v>28</v>
      </c>
      <c r="M48">
        <v>25.5105</v>
      </c>
      <c r="N48">
        <v>8.4</v>
      </c>
    </row>
    <row r="49" spans="1:14" x14ac:dyDescent="0.25">
      <c r="A49" t="s">
        <v>78</v>
      </c>
      <c r="B49" t="s">
        <v>37</v>
      </c>
      <c r="C49" t="s">
        <v>38</v>
      </c>
      <c r="D49" t="s">
        <v>15</v>
      </c>
      <c r="E49" t="s">
        <v>16</v>
      </c>
      <c r="F49" t="s">
        <v>39</v>
      </c>
      <c r="G49" t="s">
        <v>1038</v>
      </c>
      <c r="H49" t="s">
        <v>1042</v>
      </c>
      <c r="I49" s="1">
        <v>43502</v>
      </c>
      <c r="J49" t="s">
        <v>1045</v>
      </c>
      <c r="K49" s="5">
        <v>0.65763888888888888</v>
      </c>
      <c r="L49" t="s">
        <v>18</v>
      </c>
      <c r="M49">
        <v>9.0045000000000002</v>
      </c>
      <c r="N49">
        <v>4.0999999999999996</v>
      </c>
    </row>
    <row r="50" spans="1:14" x14ac:dyDescent="0.25">
      <c r="A50" t="s">
        <v>79</v>
      </c>
      <c r="B50" t="s">
        <v>37</v>
      </c>
      <c r="C50" t="s">
        <v>38</v>
      </c>
      <c r="D50" t="s">
        <v>15</v>
      </c>
      <c r="E50" t="s">
        <v>26</v>
      </c>
      <c r="F50" t="s">
        <v>23</v>
      </c>
      <c r="G50" t="s">
        <v>1039</v>
      </c>
      <c r="H50" t="s">
        <v>1042</v>
      </c>
      <c r="I50" s="1">
        <v>43506</v>
      </c>
      <c r="J50" t="s">
        <v>1045</v>
      </c>
      <c r="K50" s="5">
        <v>0.53125</v>
      </c>
      <c r="L50" t="s">
        <v>28</v>
      </c>
      <c r="M50">
        <v>5.6790000000000003</v>
      </c>
      <c r="N50">
        <v>8.1</v>
      </c>
    </row>
    <row r="51" spans="1:14" x14ac:dyDescent="0.25">
      <c r="A51" t="s">
        <v>80</v>
      </c>
      <c r="B51" t="s">
        <v>20</v>
      </c>
      <c r="C51" t="s">
        <v>21</v>
      </c>
      <c r="D51" t="s">
        <v>15</v>
      </c>
      <c r="E51" t="s">
        <v>16</v>
      </c>
      <c r="F51" t="s">
        <v>41</v>
      </c>
      <c r="G51" t="s">
        <v>1037</v>
      </c>
      <c r="H51" t="s">
        <v>1043</v>
      </c>
      <c r="I51" s="1">
        <v>43543</v>
      </c>
      <c r="J51" t="s">
        <v>1046</v>
      </c>
      <c r="K51" s="5">
        <v>0.71388888888888891</v>
      </c>
      <c r="L51" t="s">
        <v>18</v>
      </c>
      <c r="M51">
        <v>41.314999999999998</v>
      </c>
      <c r="N51">
        <v>7.9</v>
      </c>
    </row>
    <row r="52" spans="1:14" x14ac:dyDescent="0.25">
      <c r="A52" t="s">
        <v>81</v>
      </c>
      <c r="B52" t="s">
        <v>20</v>
      </c>
      <c r="C52" t="s">
        <v>21</v>
      </c>
      <c r="D52" t="s">
        <v>15</v>
      </c>
      <c r="E52" t="s">
        <v>26</v>
      </c>
      <c r="F52" t="s">
        <v>39</v>
      </c>
      <c r="G52" t="s">
        <v>1038</v>
      </c>
      <c r="H52" t="s">
        <v>1042</v>
      </c>
      <c r="I52" s="1">
        <v>43499</v>
      </c>
      <c r="J52" t="s">
        <v>1044</v>
      </c>
      <c r="K52" s="5">
        <v>0.42986111111111108</v>
      </c>
      <c r="L52" t="s">
        <v>24</v>
      </c>
      <c r="M52">
        <v>31.99</v>
      </c>
      <c r="N52">
        <v>9.5</v>
      </c>
    </row>
    <row r="53" spans="1:14" x14ac:dyDescent="0.25">
      <c r="A53" t="s">
        <v>82</v>
      </c>
      <c r="B53" t="s">
        <v>13</v>
      </c>
      <c r="C53" t="s">
        <v>14</v>
      </c>
      <c r="D53" t="s">
        <v>15</v>
      </c>
      <c r="E53" t="s">
        <v>16</v>
      </c>
      <c r="F53" t="s">
        <v>39</v>
      </c>
      <c r="G53" t="s">
        <v>1039</v>
      </c>
      <c r="H53" t="s">
        <v>1042</v>
      </c>
      <c r="I53" s="1">
        <v>43506</v>
      </c>
      <c r="J53" t="s">
        <v>1045</v>
      </c>
      <c r="K53" s="5">
        <v>0.63194444444444442</v>
      </c>
      <c r="L53" t="s">
        <v>24</v>
      </c>
      <c r="M53">
        <v>11.147500000000001</v>
      </c>
      <c r="N53">
        <v>8.5</v>
      </c>
    </row>
    <row r="54" spans="1:14" x14ac:dyDescent="0.25">
      <c r="A54" t="s">
        <v>83</v>
      </c>
      <c r="B54" t="s">
        <v>37</v>
      </c>
      <c r="C54" t="s">
        <v>38</v>
      </c>
      <c r="D54" t="s">
        <v>15</v>
      </c>
      <c r="E54" t="s">
        <v>16</v>
      </c>
      <c r="F54" t="s">
        <v>41</v>
      </c>
      <c r="G54" t="s">
        <v>1037</v>
      </c>
      <c r="H54" t="s">
        <v>1043</v>
      </c>
      <c r="I54" s="1">
        <v>43546</v>
      </c>
      <c r="J54" t="s">
        <v>1045</v>
      </c>
      <c r="K54" s="5">
        <v>0.61249999999999993</v>
      </c>
      <c r="L54" t="s">
        <v>18</v>
      </c>
      <c r="M54">
        <v>3.5739999999999998</v>
      </c>
      <c r="N54">
        <v>6.5</v>
      </c>
    </row>
    <row r="55" spans="1:14" x14ac:dyDescent="0.25">
      <c r="A55" t="s">
        <v>84</v>
      </c>
      <c r="B55" t="s">
        <v>20</v>
      </c>
      <c r="C55" t="s">
        <v>21</v>
      </c>
      <c r="D55" t="s">
        <v>15</v>
      </c>
      <c r="E55" t="s">
        <v>26</v>
      </c>
      <c r="F55" t="s">
        <v>41</v>
      </c>
      <c r="G55" t="s">
        <v>1036</v>
      </c>
      <c r="H55" t="s">
        <v>1041</v>
      </c>
      <c r="I55" s="1">
        <v>43490</v>
      </c>
      <c r="J55" t="s">
        <v>1045</v>
      </c>
      <c r="K55" s="5">
        <v>0.65694444444444444</v>
      </c>
      <c r="L55" t="s">
        <v>28</v>
      </c>
      <c r="M55">
        <v>0.77149999999999996</v>
      </c>
      <c r="N55">
        <v>6.1</v>
      </c>
    </row>
    <row r="56" spans="1:14" x14ac:dyDescent="0.25">
      <c r="A56" t="s">
        <v>85</v>
      </c>
      <c r="B56" t="s">
        <v>37</v>
      </c>
      <c r="C56" t="s">
        <v>38</v>
      </c>
      <c r="D56" t="s">
        <v>22</v>
      </c>
      <c r="E56" t="s">
        <v>26</v>
      </c>
      <c r="F56" t="s">
        <v>27</v>
      </c>
      <c r="G56" t="s">
        <v>1035</v>
      </c>
      <c r="H56" t="s">
        <v>1043</v>
      </c>
      <c r="I56" s="1">
        <v>43531</v>
      </c>
      <c r="J56" t="s">
        <v>1044</v>
      </c>
      <c r="K56" s="5">
        <v>0.49236111111111108</v>
      </c>
      <c r="L56" t="s">
        <v>18</v>
      </c>
      <c r="M56">
        <v>1.6160000000000001</v>
      </c>
      <c r="N56">
        <v>6.5</v>
      </c>
    </row>
    <row r="57" spans="1:14" x14ac:dyDescent="0.25">
      <c r="A57" t="s">
        <v>86</v>
      </c>
      <c r="B57" t="s">
        <v>20</v>
      </c>
      <c r="C57" t="s">
        <v>21</v>
      </c>
      <c r="D57" t="s">
        <v>22</v>
      </c>
      <c r="E57" t="s">
        <v>16</v>
      </c>
      <c r="F57" t="s">
        <v>23</v>
      </c>
      <c r="G57" t="s">
        <v>1034</v>
      </c>
      <c r="H57" t="s">
        <v>1042</v>
      </c>
      <c r="I57" s="1">
        <v>43524</v>
      </c>
      <c r="J57" t="s">
        <v>1046</v>
      </c>
      <c r="K57" s="5">
        <v>0.79236111111111107</v>
      </c>
      <c r="L57" t="s">
        <v>24</v>
      </c>
      <c r="M57">
        <v>34.392000000000003</v>
      </c>
      <c r="N57">
        <v>8.1999999999999993</v>
      </c>
    </row>
    <row r="58" spans="1:14" x14ac:dyDescent="0.25">
      <c r="A58" t="s">
        <v>87</v>
      </c>
      <c r="B58" t="s">
        <v>13</v>
      </c>
      <c r="C58" t="s">
        <v>14</v>
      </c>
      <c r="D58" t="s">
        <v>15</v>
      </c>
      <c r="E58" t="s">
        <v>26</v>
      </c>
      <c r="F58" t="s">
        <v>27</v>
      </c>
      <c r="G58" t="s">
        <v>1038</v>
      </c>
      <c r="H58" t="s">
        <v>1043</v>
      </c>
      <c r="I58" s="1">
        <v>43551</v>
      </c>
      <c r="J58" t="s">
        <v>1044</v>
      </c>
      <c r="K58" s="5">
        <v>0.47638888888888892</v>
      </c>
      <c r="L58" t="s">
        <v>24</v>
      </c>
      <c r="M58">
        <v>4.4340000000000002</v>
      </c>
      <c r="N58">
        <v>5.8</v>
      </c>
    </row>
    <row r="59" spans="1:14" x14ac:dyDescent="0.25">
      <c r="A59" t="s">
        <v>88</v>
      </c>
      <c r="B59" t="s">
        <v>13</v>
      </c>
      <c r="C59" t="s">
        <v>14</v>
      </c>
      <c r="D59" t="s">
        <v>22</v>
      </c>
      <c r="E59" t="s">
        <v>26</v>
      </c>
      <c r="F59" t="s">
        <v>17</v>
      </c>
      <c r="G59" t="s">
        <v>1038</v>
      </c>
      <c r="H59" t="s">
        <v>1042</v>
      </c>
      <c r="I59" s="1">
        <v>43503</v>
      </c>
      <c r="J59" t="s">
        <v>1044</v>
      </c>
      <c r="K59" s="5">
        <v>0.4777777777777778</v>
      </c>
      <c r="L59" t="s">
        <v>18</v>
      </c>
      <c r="M59">
        <v>35.840000000000003</v>
      </c>
      <c r="N59">
        <v>6.6</v>
      </c>
    </row>
    <row r="60" spans="1:14" x14ac:dyDescent="0.25">
      <c r="A60" t="s">
        <v>89</v>
      </c>
      <c r="B60" t="s">
        <v>13</v>
      </c>
      <c r="C60" t="s">
        <v>14</v>
      </c>
      <c r="D60" t="s">
        <v>15</v>
      </c>
      <c r="E60" t="s">
        <v>16</v>
      </c>
      <c r="F60" t="s">
        <v>27</v>
      </c>
      <c r="G60" t="s">
        <v>1036</v>
      </c>
      <c r="H60" t="s">
        <v>1041</v>
      </c>
      <c r="I60" s="1">
        <v>43485</v>
      </c>
      <c r="J60" t="s">
        <v>1045</v>
      </c>
      <c r="K60" s="5">
        <v>0.66319444444444442</v>
      </c>
      <c r="L60" t="s">
        <v>24</v>
      </c>
      <c r="M60">
        <v>36.174999999999997</v>
      </c>
      <c r="N60">
        <v>5.4</v>
      </c>
    </row>
    <row r="61" spans="1:14" x14ac:dyDescent="0.25">
      <c r="A61" t="s">
        <v>90</v>
      </c>
      <c r="B61" t="s">
        <v>20</v>
      </c>
      <c r="C61" t="s">
        <v>21</v>
      </c>
      <c r="D61" t="s">
        <v>22</v>
      </c>
      <c r="E61" t="s">
        <v>26</v>
      </c>
      <c r="F61" t="s">
        <v>23</v>
      </c>
      <c r="G61" t="s">
        <v>1036</v>
      </c>
      <c r="H61" t="s">
        <v>1043</v>
      </c>
      <c r="I61" s="1">
        <v>43536</v>
      </c>
      <c r="J61" t="s">
        <v>1046</v>
      </c>
      <c r="K61" s="5">
        <v>0.85833333333333339</v>
      </c>
      <c r="L61" t="s">
        <v>24</v>
      </c>
      <c r="M61">
        <v>9.1829999999999998</v>
      </c>
      <c r="N61">
        <v>9.3000000000000007</v>
      </c>
    </row>
    <row r="62" spans="1:14" x14ac:dyDescent="0.25">
      <c r="A62" t="s">
        <v>91</v>
      </c>
      <c r="B62" t="s">
        <v>20</v>
      </c>
      <c r="C62" t="s">
        <v>21</v>
      </c>
      <c r="D62" t="s">
        <v>15</v>
      </c>
      <c r="E62" t="s">
        <v>16</v>
      </c>
      <c r="F62" t="s">
        <v>31</v>
      </c>
      <c r="G62" t="s">
        <v>1039</v>
      </c>
      <c r="H62" t="s">
        <v>1042</v>
      </c>
      <c r="I62" s="1">
        <v>43511</v>
      </c>
      <c r="J62" t="s">
        <v>1046</v>
      </c>
      <c r="K62" s="5">
        <v>0.74097222222222225</v>
      </c>
      <c r="L62" t="s">
        <v>28</v>
      </c>
      <c r="M62">
        <v>3.7109999999999999</v>
      </c>
      <c r="N62">
        <v>10</v>
      </c>
    </row>
    <row r="63" spans="1:14" x14ac:dyDescent="0.25">
      <c r="A63" t="s">
        <v>92</v>
      </c>
      <c r="B63" t="s">
        <v>20</v>
      </c>
      <c r="C63" t="s">
        <v>21</v>
      </c>
      <c r="D63" t="s">
        <v>22</v>
      </c>
      <c r="E63" t="s">
        <v>26</v>
      </c>
      <c r="F63" t="s">
        <v>27</v>
      </c>
      <c r="G63" t="s">
        <v>1034</v>
      </c>
      <c r="H63" t="s">
        <v>1042</v>
      </c>
      <c r="I63" s="1">
        <v>43520</v>
      </c>
      <c r="J63" t="s">
        <v>1044</v>
      </c>
      <c r="K63" s="5">
        <v>0.4548611111111111</v>
      </c>
      <c r="L63" t="s">
        <v>18</v>
      </c>
      <c r="M63">
        <v>16.719000000000001</v>
      </c>
      <c r="N63">
        <v>7</v>
      </c>
    </row>
    <row r="64" spans="1:14" x14ac:dyDescent="0.25">
      <c r="A64" t="s">
        <v>93</v>
      </c>
      <c r="B64" t="s">
        <v>37</v>
      </c>
      <c r="C64" t="s">
        <v>38</v>
      </c>
      <c r="D64" t="s">
        <v>15</v>
      </c>
      <c r="E64" t="s">
        <v>16</v>
      </c>
      <c r="F64" t="s">
        <v>31</v>
      </c>
      <c r="G64" t="s">
        <v>1038</v>
      </c>
      <c r="H64" t="s">
        <v>1042</v>
      </c>
      <c r="I64" s="1">
        <v>43499</v>
      </c>
      <c r="J64" t="s">
        <v>1045</v>
      </c>
      <c r="K64" s="5">
        <v>0.56944444444444442</v>
      </c>
      <c r="L64" t="s">
        <v>18</v>
      </c>
      <c r="M64">
        <v>24.781500000000001</v>
      </c>
      <c r="N64">
        <v>10</v>
      </c>
    </row>
    <row r="65" spans="1:14" x14ac:dyDescent="0.25">
      <c r="A65" t="s">
        <v>94</v>
      </c>
      <c r="B65" t="s">
        <v>13</v>
      </c>
      <c r="C65" t="s">
        <v>14</v>
      </c>
      <c r="D65" t="s">
        <v>15</v>
      </c>
      <c r="E65" t="s">
        <v>26</v>
      </c>
      <c r="F65" t="s">
        <v>31</v>
      </c>
      <c r="G65" t="s">
        <v>1035</v>
      </c>
      <c r="H65" t="s">
        <v>1043</v>
      </c>
      <c r="I65" s="1">
        <v>43530</v>
      </c>
      <c r="J65" t="s">
        <v>1045</v>
      </c>
      <c r="K65" s="5">
        <v>0.51874999999999993</v>
      </c>
      <c r="L65" t="s">
        <v>28</v>
      </c>
      <c r="M65">
        <v>7.9050000000000002</v>
      </c>
      <c r="N65">
        <v>8.6</v>
      </c>
    </row>
    <row r="66" spans="1:14" x14ac:dyDescent="0.25">
      <c r="A66" t="s">
        <v>95</v>
      </c>
      <c r="B66" t="s">
        <v>37</v>
      </c>
      <c r="C66" t="s">
        <v>38</v>
      </c>
      <c r="D66" t="s">
        <v>15</v>
      </c>
      <c r="E66" t="s">
        <v>26</v>
      </c>
      <c r="F66" t="s">
        <v>17</v>
      </c>
      <c r="G66" t="s">
        <v>1039</v>
      </c>
      <c r="H66" t="s">
        <v>1042</v>
      </c>
      <c r="I66" s="1">
        <v>43510</v>
      </c>
      <c r="J66" t="s">
        <v>1045</v>
      </c>
      <c r="K66" s="5">
        <v>0.60763888888888895</v>
      </c>
      <c r="L66" t="s">
        <v>24</v>
      </c>
      <c r="M66">
        <v>15.148</v>
      </c>
      <c r="N66">
        <v>7.6</v>
      </c>
    </row>
    <row r="67" spans="1:14" x14ac:dyDescent="0.25">
      <c r="A67" t="s">
        <v>96</v>
      </c>
      <c r="B67" t="s">
        <v>13</v>
      </c>
      <c r="C67" t="s">
        <v>14</v>
      </c>
      <c r="D67" t="s">
        <v>15</v>
      </c>
      <c r="E67" t="s">
        <v>26</v>
      </c>
      <c r="F67" t="s">
        <v>17</v>
      </c>
      <c r="G67" t="s">
        <v>1036</v>
      </c>
      <c r="H67" t="s">
        <v>1043</v>
      </c>
      <c r="I67" s="1">
        <v>43537</v>
      </c>
      <c r="J67" t="s">
        <v>1046</v>
      </c>
      <c r="K67" s="5">
        <v>0.69444444444444453</v>
      </c>
      <c r="L67" t="s">
        <v>24</v>
      </c>
      <c r="M67">
        <v>7.9349999999999996</v>
      </c>
      <c r="N67">
        <v>5.8</v>
      </c>
    </row>
    <row r="68" spans="1:14" x14ac:dyDescent="0.25">
      <c r="A68" t="s">
        <v>97</v>
      </c>
      <c r="B68" t="s">
        <v>20</v>
      </c>
      <c r="C68" t="s">
        <v>21</v>
      </c>
      <c r="D68" t="s">
        <v>22</v>
      </c>
      <c r="E68" t="s">
        <v>16</v>
      </c>
      <c r="F68" t="s">
        <v>17</v>
      </c>
      <c r="G68" t="s">
        <v>1039</v>
      </c>
      <c r="H68" t="s">
        <v>1042</v>
      </c>
      <c r="I68" s="1">
        <v>43506</v>
      </c>
      <c r="J68" t="s">
        <v>1045</v>
      </c>
      <c r="K68" s="5">
        <v>0.65486111111111112</v>
      </c>
      <c r="L68" t="s">
        <v>18</v>
      </c>
      <c r="M68">
        <v>3.347</v>
      </c>
      <c r="N68">
        <v>6.7</v>
      </c>
    </row>
    <row r="69" spans="1:14" x14ac:dyDescent="0.25">
      <c r="A69" t="s">
        <v>98</v>
      </c>
      <c r="B69" t="s">
        <v>37</v>
      </c>
      <c r="C69" t="s">
        <v>38</v>
      </c>
      <c r="D69" t="s">
        <v>15</v>
      </c>
      <c r="E69" t="s">
        <v>16</v>
      </c>
      <c r="F69" t="s">
        <v>41</v>
      </c>
      <c r="G69" t="s">
        <v>1034</v>
      </c>
      <c r="H69" t="s">
        <v>1041</v>
      </c>
      <c r="I69" s="1">
        <v>43472</v>
      </c>
      <c r="J69" t="s">
        <v>1045</v>
      </c>
      <c r="K69" s="5">
        <v>0.62569444444444444</v>
      </c>
      <c r="L69" t="s">
        <v>18</v>
      </c>
      <c r="M69">
        <v>29.283000000000001</v>
      </c>
      <c r="N69">
        <v>9.9</v>
      </c>
    </row>
    <row r="70" spans="1:14" x14ac:dyDescent="0.25">
      <c r="A70" t="s">
        <v>99</v>
      </c>
      <c r="B70" t="s">
        <v>13</v>
      </c>
      <c r="C70" t="s">
        <v>14</v>
      </c>
      <c r="D70" t="s">
        <v>22</v>
      </c>
      <c r="E70" t="s">
        <v>26</v>
      </c>
      <c r="F70" t="s">
        <v>31</v>
      </c>
      <c r="G70" t="s">
        <v>1036</v>
      </c>
      <c r="H70" t="s">
        <v>1041</v>
      </c>
      <c r="I70" s="1">
        <v>43489</v>
      </c>
      <c r="J70" t="s">
        <v>1044</v>
      </c>
      <c r="K70" s="5">
        <v>0.41944444444444445</v>
      </c>
      <c r="L70" t="s">
        <v>24</v>
      </c>
      <c r="M70">
        <v>39.384999999999998</v>
      </c>
      <c r="N70">
        <v>6.4</v>
      </c>
    </row>
    <row r="71" spans="1:14" x14ac:dyDescent="0.25">
      <c r="A71" t="s">
        <v>100</v>
      </c>
      <c r="B71" t="s">
        <v>13</v>
      </c>
      <c r="C71" t="s">
        <v>14</v>
      </c>
      <c r="D71" t="s">
        <v>15</v>
      </c>
      <c r="E71" t="s">
        <v>16</v>
      </c>
      <c r="F71" t="s">
        <v>17</v>
      </c>
      <c r="G71" t="s">
        <v>1038</v>
      </c>
      <c r="H71" t="s">
        <v>1042</v>
      </c>
      <c r="I71" s="1">
        <v>43498</v>
      </c>
      <c r="J71" t="s">
        <v>1046</v>
      </c>
      <c r="K71" s="5">
        <v>0.78472222222222221</v>
      </c>
      <c r="L71" t="s">
        <v>24</v>
      </c>
      <c r="M71">
        <v>0.91649999999999998</v>
      </c>
      <c r="N71">
        <v>4.3</v>
      </c>
    </row>
    <row r="72" spans="1:14" x14ac:dyDescent="0.25">
      <c r="A72" t="s">
        <v>101</v>
      </c>
      <c r="B72" t="s">
        <v>20</v>
      </c>
      <c r="C72" t="s">
        <v>21</v>
      </c>
      <c r="D72" t="s">
        <v>22</v>
      </c>
      <c r="E72" t="s">
        <v>26</v>
      </c>
      <c r="F72" t="s">
        <v>39</v>
      </c>
      <c r="G72" t="s">
        <v>1034</v>
      </c>
      <c r="H72" t="s">
        <v>1041</v>
      </c>
      <c r="I72" s="1">
        <v>43471</v>
      </c>
      <c r="J72" t="s">
        <v>1045</v>
      </c>
      <c r="K72" s="5">
        <v>0.53194444444444444</v>
      </c>
      <c r="L72" t="s">
        <v>28</v>
      </c>
      <c r="M72">
        <v>44.74</v>
      </c>
      <c r="N72">
        <v>9.6</v>
      </c>
    </row>
    <row r="73" spans="1:14" x14ac:dyDescent="0.25">
      <c r="A73" t="s">
        <v>102</v>
      </c>
      <c r="B73" t="s">
        <v>20</v>
      </c>
      <c r="C73" t="s">
        <v>21</v>
      </c>
      <c r="D73" t="s">
        <v>22</v>
      </c>
      <c r="E73" t="s">
        <v>26</v>
      </c>
      <c r="F73" t="s">
        <v>41</v>
      </c>
      <c r="G73" t="s">
        <v>1039</v>
      </c>
      <c r="H73" t="s">
        <v>1042</v>
      </c>
      <c r="I73" s="1">
        <v>43507</v>
      </c>
      <c r="J73" t="s">
        <v>1046</v>
      </c>
      <c r="K73" s="5">
        <v>0.67986111111111114</v>
      </c>
      <c r="L73" t="s">
        <v>24</v>
      </c>
      <c r="M73">
        <v>31.06</v>
      </c>
      <c r="N73">
        <v>5.9</v>
      </c>
    </row>
    <row r="74" spans="1:14" x14ac:dyDescent="0.25">
      <c r="A74" t="s">
        <v>103</v>
      </c>
      <c r="B74" t="s">
        <v>37</v>
      </c>
      <c r="C74" t="s">
        <v>38</v>
      </c>
      <c r="D74" t="s">
        <v>15</v>
      </c>
      <c r="E74" t="s">
        <v>16</v>
      </c>
      <c r="F74" t="s">
        <v>39</v>
      </c>
      <c r="G74" t="s">
        <v>1035</v>
      </c>
      <c r="H74" t="s">
        <v>1043</v>
      </c>
      <c r="I74" s="1">
        <v>43529</v>
      </c>
      <c r="J74" t="s">
        <v>1046</v>
      </c>
      <c r="K74" s="5">
        <v>0.76180555555555562</v>
      </c>
      <c r="L74" t="s">
        <v>18</v>
      </c>
      <c r="M74">
        <v>7.2779999999999996</v>
      </c>
      <c r="N74">
        <v>4</v>
      </c>
    </row>
    <row r="75" spans="1:14" x14ac:dyDescent="0.25">
      <c r="A75" t="s">
        <v>104</v>
      </c>
      <c r="B75" t="s">
        <v>20</v>
      </c>
      <c r="C75" t="s">
        <v>21</v>
      </c>
      <c r="D75" t="s">
        <v>22</v>
      </c>
      <c r="E75" t="s">
        <v>16</v>
      </c>
      <c r="F75" t="s">
        <v>23</v>
      </c>
      <c r="G75" t="s">
        <v>1036</v>
      </c>
      <c r="H75" t="s">
        <v>1043</v>
      </c>
      <c r="I75" s="1">
        <v>43533</v>
      </c>
      <c r="J75" t="s">
        <v>1046</v>
      </c>
      <c r="K75" s="5">
        <v>0.76458333333333339</v>
      </c>
      <c r="L75" t="s">
        <v>24</v>
      </c>
      <c r="M75">
        <v>22.773</v>
      </c>
      <c r="N75">
        <v>8.6999999999999993</v>
      </c>
    </row>
    <row r="76" spans="1:14" x14ac:dyDescent="0.25">
      <c r="A76" t="s">
        <v>105</v>
      </c>
      <c r="B76" t="s">
        <v>13</v>
      </c>
      <c r="C76" t="s">
        <v>14</v>
      </c>
      <c r="D76" t="s">
        <v>22</v>
      </c>
      <c r="E76" t="s">
        <v>26</v>
      </c>
      <c r="F76" t="s">
        <v>27</v>
      </c>
      <c r="G76" t="s">
        <v>1036</v>
      </c>
      <c r="H76" t="s">
        <v>1041</v>
      </c>
      <c r="I76" s="1">
        <v>43487</v>
      </c>
      <c r="J76" t="s">
        <v>1044</v>
      </c>
      <c r="K76" s="5">
        <v>0.4548611111111111</v>
      </c>
      <c r="L76" t="s">
        <v>18</v>
      </c>
      <c r="M76">
        <v>33.601500000000001</v>
      </c>
      <c r="N76">
        <v>9.4</v>
      </c>
    </row>
    <row r="77" spans="1:14" x14ac:dyDescent="0.25">
      <c r="A77" t="s">
        <v>106</v>
      </c>
      <c r="B77" t="s">
        <v>20</v>
      </c>
      <c r="C77" t="s">
        <v>21</v>
      </c>
      <c r="D77" t="s">
        <v>22</v>
      </c>
      <c r="E77" t="s">
        <v>16</v>
      </c>
      <c r="F77" t="s">
        <v>23</v>
      </c>
      <c r="G77" t="s">
        <v>1035</v>
      </c>
      <c r="H77" t="s">
        <v>1041</v>
      </c>
      <c r="I77" s="1">
        <v>43478</v>
      </c>
      <c r="J77" t="s">
        <v>1046</v>
      </c>
      <c r="K77" s="5">
        <v>0.71111111111111114</v>
      </c>
      <c r="L77" t="s">
        <v>28</v>
      </c>
      <c r="M77">
        <v>20.824999999999999</v>
      </c>
      <c r="N77">
        <v>5.4</v>
      </c>
    </row>
    <row r="78" spans="1:14" x14ac:dyDescent="0.25">
      <c r="A78" t="s">
        <v>107</v>
      </c>
      <c r="B78" t="s">
        <v>20</v>
      </c>
      <c r="C78" t="s">
        <v>21</v>
      </c>
      <c r="D78" t="s">
        <v>15</v>
      </c>
      <c r="E78" t="s">
        <v>26</v>
      </c>
      <c r="F78" t="s">
        <v>41</v>
      </c>
      <c r="G78" t="s">
        <v>1034</v>
      </c>
      <c r="H78" t="s">
        <v>1041</v>
      </c>
      <c r="I78" s="1">
        <v>43474</v>
      </c>
      <c r="J78" t="s">
        <v>1045</v>
      </c>
      <c r="K78" s="5">
        <v>0.59722222222222221</v>
      </c>
      <c r="L78" t="s">
        <v>28</v>
      </c>
      <c r="M78">
        <v>22.068000000000001</v>
      </c>
      <c r="N78">
        <v>8.6</v>
      </c>
    </row>
    <row r="79" spans="1:14" x14ac:dyDescent="0.25">
      <c r="A79" t="s">
        <v>108</v>
      </c>
      <c r="B79" t="s">
        <v>13</v>
      </c>
      <c r="C79" t="s">
        <v>14</v>
      </c>
      <c r="D79" t="s">
        <v>15</v>
      </c>
      <c r="E79" t="s">
        <v>16</v>
      </c>
      <c r="F79" t="s">
        <v>41</v>
      </c>
      <c r="G79" t="s">
        <v>1035</v>
      </c>
      <c r="H79" t="s">
        <v>1041</v>
      </c>
      <c r="I79" s="1">
        <v>43477</v>
      </c>
      <c r="J79" t="s">
        <v>1045</v>
      </c>
      <c r="K79" s="5">
        <v>0.65833333333333333</v>
      </c>
      <c r="L79" t="s">
        <v>28</v>
      </c>
      <c r="M79">
        <v>9.0045000000000002</v>
      </c>
      <c r="N79">
        <v>5.7</v>
      </c>
    </row>
    <row r="80" spans="1:14" x14ac:dyDescent="0.25">
      <c r="A80" t="s">
        <v>109</v>
      </c>
      <c r="B80" t="s">
        <v>20</v>
      </c>
      <c r="C80" t="s">
        <v>21</v>
      </c>
      <c r="D80" t="s">
        <v>15</v>
      </c>
      <c r="E80" t="s">
        <v>16</v>
      </c>
      <c r="F80" t="s">
        <v>39</v>
      </c>
      <c r="G80" t="s">
        <v>1035</v>
      </c>
      <c r="H80" t="s">
        <v>1043</v>
      </c>
      <c r="I80" s="1">
        <v>43529</v>
      </c>
      <c r="J80" t="s">
        <v>1046</v>
      </c>
      <c r="K80" s="5">
        <v>0.68333333333333324</v>
      </c>
      <c r="L80" t="s">
        <v>18</v>
      </c>
      <c r="M80">
        <v>39.155000000000001</v>
      </c>
      <c r="N80">
        <v>6.6</v>
      </c>
    </row>
    <row r="81" spans="1:14" x14ac:dyDescent="0.25">
      <c r="A81" t="s">
        <v>110</v>
      </c>
      <c r="B81" t="s">
        <v>20</v>
      </c>
      <c r="C81" t="s">
        <v>21</v>
      </c>
      <c r="D81" t="s">
        <v>22</v>
      </c>
      <c r="E81" t="s">
        <v>16</v>
      </c>
      <c r="F81" t="s">
        <v>17</v>
      </c>
      <c r="G81" t="s">
        <v>1036</v>
      </c>
      <c r="H81" t="s">
        <v>1041</v>
      </c>
      <c r="I81" s="1">
        <v>43487</v>
      </c>
      <c r="J81" t="s">
        <v>1046</v>
      </c>
      <c r="K81" s="5">
        <v>0.78888888888888886</v>
      </c>
      <c r="L81" t="s">
        <v>24</v>
      </c>
      <c r="M81">
        <v>5.0949999999999998</v>
      </c>
      <c r="N81">
        <v>6</v>
      </c>
    </row>
    <row r="82" spans="1:14" x14ac:dyDescent="0.25">
      <c r="A82" t="s">
        <v>111</v>
      </c>
      <c r="B82" t="s">
        <v>20</v>
      </c>
      <c r="C82" t="s">
        <v>21</v>
      </c>
      <c r="D82" t="s">
        <v>22</v>
      </c>
      <c r="E82" t="s">
        <v>16</v>
      </c>
      <c r="F82" t="s">
        <v>17</v>
      </c>
      <c r="G82" t="s">
        <v>1036</v>
      </c>
      <c r="H82" t="s">
        <v>1041</v>
      </c>
      <c r="I82" s="1">
        <v>43486</v>
      </c>
      <c r="J82" t="s">
        <v>1045</v>
      </c>
      <c r="K82" s="5">
        <v>0.61249999999999993</v>
      </c>
      <c r="L82" t="s">
        <v>28</v>
      </c>
      <c r="M82">
        <v>29.757000000000001</v>
      </c>
      <c r="N82">
        <v>5.5</v>
      </c>
    </row>
    <row r="83" spans="1:14" x14ac:dyDescent="0.25">
      <c r="A83" t="s">
        <v>112</v>
      </c>
      <c r="B83" t="s">
        <v>37</v>
      </c>
      <c r="C83" t="s">
        <v>38</v>
      </c>
      <c r="D83" t="s">
        <v>22</v>
      </c>
      <c r="E83" t="s">
        <v>16</v>
      </c>
      <c r="F83" t="s">
        <v>39</v>
      </c>
      <c r="G83" t="s">
        <v>1037</v>
      </c>
      <c r="H83" t="s">
        <v>1041</v>
      </c>
      <c r="I83" s="1">
        <v>43491</v>
      </c>
      <c r="J83" t="s">
        <v>1046</v>
      </c>
      <c r="K83" s="5">
        <v>0.8305555555555556</v>
      </c>
      <c r="L83" t="s">
        <v>18</v>
      </c>
      <c r="M83">
        <v>14.502000000000001</v>
      </c>
      <c r="N83">
        <v>6.4</v>
      </c>
    </row>
    <row r="84" spans="1:14" x14ac:dyDescent="0.25">
      <c r="A84" t="s">
        <v>113</v>
      </c>
      <c r="B84" t="s">
        <v>20</v>
      </c>
      <c r="C84" t="s">
        <v>21</v>
      </c>
      <c r="D84" t="s">
        <v>22</v>
      </c>
      <c r="E84" t="s">
        <v>26</v>
      </c>
      <c r="F84" t="s">
        <v>39</v>
      </c>
      <c r="G84" t="s">
        <v>1036</v>
      </c>
      <c r="H84" t="s">
        <v>1041</v>
      </c>
      <c r="I84" s="1">
        <v>43488</v>
      </c>
      <c r="J84" t="s">
        <v>1046</v>
      </c>
      <c r="K84" s="5">
        <v>0.77569444444444446</v>
      </c>
      <c r="L84" t="s">
        <v>18</v>
      </c>
      <c r="M84">
        <v>7.7</v>
      </c>
      <c r="N84">
        <v>6.6</v>
      </c>
    </row>
    <row r="85" spans="1:14" x14ac:dyDescent="0.25">
      <c r="A85" t="s">
        <v>114</v>
      </c>
      <c r="B85" t="s">
        <v>20</v>
      </c>
      <c r="C85" t="s">
        <v>21</v>
      </c>
      <c r="D85" t="s">
        <v>15</v>
      </c>
      <c r="E85" t="s">
        <v>16</v>
      </c>
      <c r="F85" t="s">
        <v>39</v>
      </c>
      <c r="G85" t="s">
        <v>1034</v>
      </c>
      <c r="H85" t="s">
        <v>1042</v>
      </c>
      <c r="I85" s="1">
        <v>43519</v>
      </c>
      <c r="J85" t="s">
        <v>1046</v>
      </c>
      <c r="K85" s="5">
        <v>0.78125</v>
      </c>
      <c r="L85" t="s">
        <v>28</v>
      </c>
      <c r="M85">
        <v>16.071999999999999</v>
      </c>
      <c r="N85">
        <v>8.3000000000000007</v>
      </c>
    </row>
    <row r="86" spans="1:14" x14ac:dyDescent="0.25">
      <c r="A86" t="s">
        <v>115</v>
      </c>
      <c r="B86" t="s">
        <v>20</v>
      </c>
      <c r="C86" t="s">
        <v>21</v>
      </c>
      <c r="D86" t="s">
        <v>15</v>
      </c>
      <c r="E86" t="s">
        <v>26</v>
      </c>
      <c r="F86" t="s">
        <v>31</v>
      </c>
      <c r="G86" t="s">
        <v>1036</v>
      </c>
      <c r="H86" t="s">
        <v>1043</v>
      </c>
      <c r="I86" s="1">
        <v>43533</v>
      </c>
      <c r="J86" t="s">
        <v>1044</v>
      </c>
      <c r="K86" s="5">
        <v>0.4284722222222222</v>
      </c>
      <c r="L86" t="s">
        <v>24</v>
      </c>
      <c r="M86">
        <v>12.227499999999999</v>
      </c>
      <c r="N86">
        <v>6.6</v>
      </c>
    </row>
    <row r="87" spans="1:14" x14ac:dyDescent="0.25">
      <c r="A87" t="s">
        <v>116</v>
      </c>
      <c r="B87" t="s">
        <v>20</v>
      </c>
      <c r="C87" t="s">
        <v>21</v>
      </c>
      <c r="D87" t="s">
        <v>22</v>
      </c>
      <c r="E87" t="s">
        <v>16</v>
      </c>
      <c r="F87" t="s">
        <v>31</v>
      </c>
      <c r="G87" t="s">
        <v>1035</v>
      </c>
      <c r="H87" t="s">
        <v>1043</v>
      </c>
      <c r="I87" s="1">
        <v>43529</v>
      </c>
      <c r="J87" t="s">
        <v>1045</v>
      </c>
      <c r="K87" s="5">
        <v>0.60486111111111118</v>
      </c>
      <c r="L87" t="s">
        <v>18</v>
      </c>
      <c r="M87">
        <v>29.071000000000002</v>
      </c>
      <c r="N87">
        <v>4</v>
      </c>
    </row>
    <row r="88" spans="1:14" x14ac:dyDescent="0.25">
      <c r="A88" t="s">
        <v>117</v>
      </c>
      <c r="B88" t="s">
        <v>20</v>
      </c>
      <c r="C88" t="s">
        <v>21</v>
      </c>
      <c r="D88" t="s">
        <v>22</v>
      </c>
      <c r="E88" t="s">
        <v>26</v>
      </c>
      <c r="F88" t="s">
        <v>41</v>
      </c>
      <c r="G88" t="s">
        <v>1038</v>
      </c>
      <c r="H88" t="s">
        <v>1043</v>
      </c>
      <c r="I88" s="1">
        <v>43549</v>
      </c>
      <c r="J88" t="s">
        <v>1044</v>
      </c>
      <c r="K88" s="5">
        <v>0.43263888888888885</v>
      </c>
      <c r="L88" t="s">
        <v>24</v>
      </c>
      <c r="M88">
        <v>19.13</v>
      </c>
      <c r="N88">
        <v>9.9</v>
      </c>
    </row>
    <row r="89" spans="1:14" x14ac:dyDescent="0.25">
      <c r="A89" t="s">
        <v>118</v>
      </c>
      <c r="B89" t="s">
        <v>13</v>
      </c>
      <c r="C89" t="s">
        <v>14</v>
      </c>
      <c r="D89" t="s">
        <v>15</v>
      </c>
      <c r="E89" t="s">
        <v>26</v>
      </c>
      <c r="F89" t="s">
        <v>39</v>
      </c>
      <c r="G89" t="s">
        <v>1038</v>
      </c>
      <c r="H89" t="s">
        <v>1043</v>
      </c>
      <c r="I89" s="1">
        <v>43551</v>
      </c>
      <c r="J89" t="s">
        <v>1046</v>
      </c>
      <c r="K89" s="5">
        <v>0.85763888888888884</v>
      </c>
      <c r="L89" t="s">
        <v>28</v>
      </c>
      <c r="M89">
        <v>17.283000000000001</v>
      </c>
      <c r="N89">
        <v>7.3</v>
      </c>
    </row>
    <row r="90" spans="1:14" x14ac:dyDescent="0.25">
      <c r="A90" t="s">
        <v>119</v>
      </c>
      <c r="B90" t="s">
        <v>13</v>
      </c>
      <c r="C90" t="s">
        <v>14</v>
      </c>
      <c r="D90" t="s">
        <v>22</v>
      </c>
      <c r="E90" t="s">
        <v>26</v>
      </c>
      <c r="F90" t="s">
        <v>31</v>
      </c>
      <c r="G90" t="s">
        <v>1040</v>
      </c>
      <c r="H90" t="s">
        <v>1041</v>
      </c>
      <c r="I90" s="1">
        <v>43467</v>
      </c>
      <c r="J90" t="s">
        <v>1046</v>
      </c>
      <c r="K90" s="5">
        <v>0.70624999999999993</v>
      </c>
      <c r="L90" t="s">
        <v>24</v>
      </c>
      <c r="M90">
        <v>2.1234999999999999</v>
      </c>
      <c r="N90">
        <v>5.7</v>
      </c>
    </row>
    <row r="91" spans="1:14" x14ac:dyDescent="0.25">
      <c r="A91" t="s">
        <v>120</v>
      </c>
      <c r="B91" t="s">
        <v>37</v>
      </c>
      <c r="C91" t="s">
        <v>38</v>
      </c>
      <c r="D91" t="s">
        <v>22</v>
      </c>
      <c r="E91" t="s">
        <v>16</v>
      </c>
      <c r="F91" t="s">
        <v>17</v>
      </c>
      <c r="G91" t="s">
        <v>1034</v>
      </c>
      <c r="H91" t="s">
        <v>1042</v>
      </c>
      <c r="I91" s="1">
        <v>43523</v>
      </c>
      <c r="J91" t="s">
        <v>1046</v>
      </c>
      <c r="K91" s="5">
        <v>0.74652777777777779</v>
      </c>
      <c r="L91" t="s">
        <v>24</v>
      </c>
      <c r="M91">
        <v>23.097000000000001</v>
      </c>
      <c r="N91">
        <v>6.1</v>
      </c>
    </row>
    <row r="92" spans="1:14" x14ac:dyDescent="0.25">
      <c r="A92" t="s">
        <v>121</v>
      </c>
      <c r="B92" t="s">
        <v>20</v>
      </c>
      <c r="C92" t="s">
        <v>21</v>
      </c>
      <c r="D92" t="s">
        <v>15</v>
      </c>
      <c r="E92" t="s">
        <v>16</v>
      </c>
      <c r="F92" t="s">
        <v>27</v>
      </c>
      <c r="G92" t="s">
        <v>1036</v>
      </c>
      <c r="H92" t="s">
        <v>1041</v>
      </c>
      <c r="I92" s="1">
        <v>43488</v>
      </c>
      <c r="J92" t="s">
        <v>1044</v>
      </c>
      <c r="K92" s="5">
        <v>0.43402777777777773</v>
      </c>
      <c r="L92" t="s">
        <v>24</v>
      </c>
      <c r="M92">
        <v>9.4760000000000009</v>
      </c>
      <c r="N92">
        <v>7.1</v>
      </c>
    </row>
    <row r="93" spans="1:14" x14ac:dyDescent="0.25">
      <c r="A93" t="s">
        <v>122</v>
      </c>
      <c r="B93" t="s">
        <v>20</v>
      </c>
      <c r="C93" t="s">
        <v>21</v>
      </c>
      <c r="D93" t="s">
        <v>22</v>
      </c>
      <c r="E93" t="s">
        <v>16</v>
      </c>
      <c r="F93" t="s">
        <v>31</v>
      </c>
      <c r="G93" t="s">
        <v>1037</v>
      </c>
      <c r="H93" t="s">
        <v>1041</v>
      </c>
      <c r="I93" s="1">
        <v>43491</v>
      </c>
      <c r="J93" t="s">
        <v>1046</v>
      </c>
      <c r="K93" s="5">
        <v>0.82916666666666661</v>
      </c>
      <c r="L93" t="s">
        <v>18</v>
      </c>
      <c r="M93">
        <v>22.43</v>
      </c>
      <c r="N93">
        <v>8.1999999999999993</v>
      </c>
    </row>
    <row r="94" spans="1:14" x14ac:dyDescent="0.25">
      <c r="A94" t="s">
        <v>123</v>
      </c>
      <c r="B94" t="s">
        <v>13</v>
      </c>
      <c r="C94" t="s">
        <v>14</v>
      </c>
      <c r="D94" t="s">
        <v>15</v>
      </c>
      <c r="E94" t="s">
        <v>16</v>
      </c>
      <c r="F94" t="s">
        <v>31</v>
      </c>
      <c r="G94" t="s">
        <v>1034</v>
      </c>
      <c r="H94" t="s">
        <v>1041</v>
      </c>
      <c r="I94" s="1">
        <v>43475</v>
      </c>
      <c r="J94" t="s">
        <v>1046</v>
      </c>
      <c r="K94" s="5">
        <v>0.6958333333333333</v>
      </c>
      <c r="L94" t="s">
        <v>18</v>
      </c>
      <c r="M94">
        <v>7.6929999999999996</v>
      </c>
      <c r="N94">
        <v>5.0999999999999996</v>
      </c>
    </row>
    <row r="95" spans="1:14" x14ac:dyDescent="0.25">
      <c r="A95" t="s">
        <v>124</v>
      </c>
      <c r="B95" t="s">
        <v>37</v>
      </c>
      <c r="C95" t="s">
        <v>38</v>
      </c>
      <c r="D95" t="s">
        <v>15</v>
      </c>
      <c r="E95" t="s">
        <v>26</v>
      </c>
      <c r="F95" t="s">
        <v>17</v>
      </c>
      <c r="G95" t="s">
        <v>1036</v>
      </c>
      <c r="H95" t="s">
        <v>1043</v>
      </c>
      <c r="I95" s="1">
        <v>43536</v>
      </c>
      <c r="J95" t="s">
        <v>1045</v>
      </c>
      <c r="K95" s="5">
        <v>0.50624999999999998</v>
      </c>
      <c r="L95" t="s">
        <v>28</v>
      </c>
      <c r="M95">
        <v>28.962</v>
      </c>
      <c r="N95">
        <v>8.6</v>
      </c>
    </row>
    <row r="96" spans="1:14" x14ac:dyDescent="0.25">
      <c r="A96" t="s">
        <v>125</v>
      </c>
      <c r="B96" t="s">
        <v>20</v>
      </c>
      <c r="C96" t="s">
        <v>21</v>
      </c>
      <c r="D96" t="s">
        <v>22</v>
      </c>
      <c r="E96" t="s">
        <v>26</v>
      </c>
      <c r="F96" t="s">
        <v>17</v>
      </c>
      <c r="G96" t="s">
        <v>1038</v>
      </c>
      <c r="H96" t="s">
        <v>1042</v>
      </c>
      <c r="I96" s="1">
        <v>43502</v>
      </c>
      <c r="J96" t="s">
        <v>1046</v>
      </c>
      <c r="K96" s="5">
        <v>0.83680555555555547</v>
      </c>
      <c r="L96" t="s">
        <v>28</v>
      </c>
      <c r="M96">
        <v>4.4874999999999998</v>
      </c>
      <c r="N96">
        <v>6.6</v>
      </c>
    </row>
    <row r="97" spans="1:14" x14ac:dyDescent="0.25">
      <c r="A97" t="s">
        <v>126</v>
      </c>
      <c r="B97" t="s">
        <v>13</v>
      </c>
      <c r="C97" t="s">
        <v>14</v>
      </c>
      <c r="D97" t="s">
        <v>22</v>
      </c>
      <c r="E97" t="s">
        <v>26</v>
      </c>
      <c r="F97" t="s">
        <v>23</v>
      </c>
      <c r="G97" t="s">
        <v>1035</v>
      </c>
      <c r="H97" t="s">
        <v>1043</v>
      </c>
      <c r="I97" s="1">
        <v>43532</v>
      </c>
      <c r="J97" t="s">
        <v>1046</v>
      </c>
      <c r="K97" s="5">
        <v>0.85972222222222217</v>
      </c>
      <c r="L97" t="s">
        <v>18</v>
      </c>
      <c r="M97">
        <v>4.8579999999999997</v>
      </c>
      <c r="N97">
        <v>7.2</v>
      </c>
    </row>
    <row r="98" spans="1:14" x14ac:dyDescent="0.25">
      <c r="A98" t="s">
        <v>127</v>
      </c>
      <c r="B98" t="s">
        <v>37</v>
      </c>
      <c r="C98" t="s">
        <v>38</v>
      </c>
      <c r="D98" t="s">
        <v>22</v>
      </c>
      <c r="E98" t="s">
        <v>26</v>
      </c>
      <c r="F98" t="s">
        <v>17</v>
      </c>
      <c r="G98" t="s">
        <v>1038</v>
      </c>
      <c r="H98" t="s">
        <v>1043</v>
      </c>
      <c r="I98" s="1">
        <v>43553</v>
      </c>
      <c r="J98" t="s">
        <v>1044</v>
      </c>
      <c r="K98" s="5">
        <v>0.43402777777777773</v>
      </c>
      <c r="L98" t="s">
        <v>18</v>
      </c>
      <c r="M98">
        <v>43.935000000000002</v>
      </c>
      <c r="N98">
        <v>5.0999999999999996</v>
      </c>
    </row>
    <row r="99" spans="1:14" x14ac:dyDescent="0.25">
      <c r="A99" t="s">
        <v>128</v>
      </c>
      <c r="B99" t="s">
        <v>20</v>
      </c>
      <c r="C99" t="s">
        <v>21</v>
      </c>
      <c r="D99" t="s">
        <v>22</v>
      </c>
      <c r="E99" t="s">
        <v>16</v>
      </c>
      <c r="F99" t="s">
        <v>23</v>
      </c>
      <c r="G99" t="s">
        <v>1039</v>
      </c>
      <c r="H99" t="s">
        <v>1042</v>
      </c>
      <c r="I99" s="1">
        <v>43505</v>
      </c>
      <c r="J99" t="s">
        <v>1045</v>
      </c>
      <c r="K99" s="5">
        <v>0.5493055555555556</v>
      </c>
      <c r="L99" t="s">
        <v>24</v>
      </c>
      <c r="M99">
        <v>3.7349999999999999</v>
      </c>
      <c r="N99">
        <v>4.0999999999999996</v>
      </c>
    </row>
    <row r="100" spans="1:14" x14ac:dyDescent="0.25">
      <c r="A100" t="s">
        <v>129</v>
      </c>
      <c r="B100" t="s">
        <v>13</v>
      </c>
      <c r="C100" t="s">
        <v>14</v>
      </c>
      <c r="D100" t="s">
        <v>22</v>
      </c>
      <c r="E100" t="s">
        <v>26</v>
      </c>
      <c r="F100" t="s">
        <v>39</v>
      </c>
      <c r="G100" t="s">
        <v>1038</v>
      </c>
      <c r="H100" t="s">
        <v>1043</v>
      </c>
      <c r="I100" s="1">
        <v>43547</v>
      </c>
      <c r="J100" t="s">
        <v>1044</v>
      </c>
      <c r="K100" s="5">
        <v>0.42777777777777781</v>
      </c>
      <c r="L100" t="s">
        <v>18</v>
      </c>
      <c r="M100">
        <v>7.9124999999999996</v>
      </c>
      <c r="N100">
        <v>9.3000000000000007</v>
      </c>
    </row>
    <row r="101" spans="1:14" x14ac:dyDescent="0.25">
      <c r="A101" t="s">
        <v>130</v>
      </c>
      <c r="B101" t="s">
        <v>37</v>
      </c>
      <c r="C101" t="s">
        <v>38</v>
      </c>
      <c r="D101" t="s">
        <v>22</v>
      </c>
      <c r="E101" t="s">
        <v>26</v>
      </c>
      <c r="F101" t="s">
        <v>27</v>
      </c>
      <c r="G101" t="s">
        <v>1035</v>
      </c>
      <c r="H101" t="s">
        <v>1043</v>
      </c>
      <c r="I101" s="1">
        <v>43529</v>
      </c>
      <c r="J101" t="s">
        <v>1046</v>
      </c>
      <c r="K101" s="5">
        <v>0.7597222222222223</v>
      </c>
      <c r="L101" t="s">
        <v>24</v>
      </c>
      <c r="M101">
        <v>24.81</v>
      </c>
      <c r="N101">
        <v>7.4</v>
      </c>
    </row>
    <row r="102" spans="1:14" x14ac:dyDescent="0.25">
      <c r="A102" t="s">
        <v>131</v>
      </c>
      <c r="B102" t="s">
        <v>20</v>
      </c>
      <c r="C102" t="s">
        <v>21</v>
      </c>
      <c r="D102" t="s">
        <v>15</v>
      </c>
      <c r="E102" t="s">
        <v>26</v>
      </c>
      <c r="F102" t="s">
        <v>41</v>
      </c>
      <c r="G102" t="s">
        <v>1038</v>
      </c>
      <c r="H102" t="s">
        <v>1043</v>
      </c>
      <c r="I102" s="1">
        <v>43550</v>
      </c>
      <c r="J102" t="s">
        <v>1046</v>
      </c>
      <c r="K102" s="5">
        <v>0.80555555555555547</v>
      </c>
      <c r="L102" t="s">
        <v>24</v>
      </c>
      <c r="M102">
        <v>2.4355000000000002</v>
      </c>
      <c r="N102">
        <v>4.0999999999999996</v>
      </c>
    </row>
    <row r="103" spans="1:14" x14ac:dyDescent="0.25">
      <c r="A103" t="s">
        <v>132</v>
      </c>
      <c r="B103" t="s">
        <v>20</v>
      </c>
      <c r="C103" t="s">
        <v>21</v>
      </c>
      <c r="D103" t="s">
        <v>22</v>
      </c>
      <c r="E103" t="s">
        <v>26</v>
      </c>
      <c r="F103" t="s">
        <v>41</v>
      </c>
      <c r="G103" t="s">
        <v>1034</v>
      </c>
      <c r="H103" t="s">
        <v>1043</v>
      </c>
      <c r="I103" s="1">
        <v>43525</v>
      </c>
      <c r="J103" t="s">
        <v>1045</v>
      </c>
      <c r="K103" s="5">
        <v>0.55694444444444446</v>
      </c>
      <c r="L103" t="s">
        <v>24</v>
      </c>
      <c r="M103">
        <v>35.347499999999997</v>
      </c>
      <c r="N103">
        <v>7.2</v>
      </c>
    </row>
    <row r="104" spans="1:14" x14ac:dyDescent="0.25">
      <c r="A104" t="s">
        <v>133</v>
      </c>
      <c r="B104" t="s">
        <v>20</v>
      </c>
      <c r="C104" t="s">
        <v>21</v>
      </c>
      <c r="D104" t="s">
        <v>22</v>
      </c>
      <c r="E104" t="s">
        <v>16</v>
      </c>
      <c r="F104" t="s">
        <v>23</v>
      </c>
      <c r="G104" t="s">
        <v>1037</v>
      </c>
      <c r="H104" t="s">
        <v>1042</v>
      </c>
      <c r="I104" s="1">
        <v>43497</v>
      </c>
      <c r="J104" t="s">
        <v>1044</v>
      </c>
      <c r="K104" s="5">
        <v>0.4770833333333333</v>
      </c>
      <c r="L104" t="s">
        <v>24</v>
      </c>
      <c r="M104">
        <v>10.381500000000001</v>
      </c>
      <c r="N104">
        <v>4.9000000000000004</v>
      </c>
    </row>
    <row r="105" spans="1:14" x14ac:dyDescent="0.25">
      <c r="A105" t="s">
        <v>134</v>
      </c>
      <c r="B105" t="s">
        <v>13</v>
      </c>
      <c r="C105" t="s">
        <v>14</v>
      </c>
      <c r="D105" t="s">
        <v>22</v>
      </c>
      <c r="E105" t="s">
        <v>26</v>
      </c>
      <c r="F105" t="s">
        <v>39</v>
      </c>
      <c r="G105" t="s">
        <v>1038</v>
      </c>
      <c r="H105" t="s">
        <v>1043</v>
      </c>
      <c r="I105" s="1">
        <v>43552</v>
      </c>
      <c r="J105" t="s">
        <v>1046</v>
      </c>
      <c r="K105" s="5">
        <v>0.6972222222222223</v>
      </c>
      <c r="L105" t="s">
        <v>24</v>
      </c>
      <c r="M105">
        <v>17.478000000000002</v>
      </c>
      <c r="N105">
        <v>9.9</v>
      </c>
    </row>
    <row r="106" spans="1:14" x14ac:dyDescent="0.25">
      <c r="A106" t="s">
        <v>135</v>
      </c>
      <c r="B106" t="s">
        <v>37</v>
      </c>
      <c r="C106" t="s">
        <v>38</v>
      </c>
      <c r="D106" t="s">
        <v>22</v>
      </c>
      <c r="E106" t="s">
        <v>26</v>
      </c>
      <c r="F106" t="s">
        <v>17</v>
      </c>
      <c r="G106" t="s">
        <v>1037</v>
      </c>
      <c r="H106" t="s">
        <v>1043</v>
      </c>
      <c r="I106" s="1">
        <v>43543</v>
      </c>
      <c r="J106" t="s">
        <v>1046</v>
      </c>
      <c r="K106" s="5">
        <v>0.7631944444444444</v>
      </c>
      <c r="L106" t="s">
        <v>24</v>
      </c>
      <c r="M106">
        <v>10.6225</v>
      </c>
      <c r="N106">
        <v>8</v>
      </c>
    </row>
    <row r="107" spans="1:14" x14ac:dyDescent="0.25">
      <c r="A107" t="s">
        <v>136</v>
      </c>
      <c r="B107" t="s">
        <v>13</v>
      </c>
      <c r="C107" t="s">
        <v>14</v>
      </c>
      <c r="D107" t="s">
        <v>15</v>
      </c>
      <c r="E107" t="s">
        <v>26</v>
      </c>
      <c r="F107" t="s">
        <v>23</v>
      </c>
      <c r="G107" t="s">
        <v>1035</v>
      </c>
      <c r="H107" t="s">
        <v>1041</v>
      </c>
      <c r="I107" s="1">
        <v>43477</v>
      </c>
      <c r="J107" t="s">
        <v>1045</v>
      </c>
      <c r="K107" s="5">
        <v>0.61805555555555558</v>
      </c>
      <c r="L107" t="s">
        <v>18</v>
      </c>
      <c r="M107">
        <v>44.335000000000001</v>
      </c>
      <c r="N107">
        <v>7.3</v>
      </c>
    </row>
    <row r="108" spans="1:14" x14ac:dyDescent="0.25">
      <c r="A108" t="s">
        <v>137</v>
      </c>
      <c r="B108" t="s">
        <v>20</v>
      </c>
      <c r="C108" t="s">
        <v>21</v>
      </c>
      <c r="D108" t="s">
        <v>22</v>
      </c>
      <c r="E108" t="s">
        <v>26</v>
      </c>
      <c r="F108" t="s">
        <v>41</v>
      </c>
      <c r="G108" t="s">
        <v>1034</v>
      </c>
      <c r="H108" t="s">
        <v>1041</v>
      </c>
      <c r="I108" s="1">
        <v>43470</v>
      </c>
      <c r="J108" t="s">
        <v>1046</v>
      </c>
      <c r="K108" s="5">
        <v>0.87083333333333324</v>
      </c>
      <c r="L108" t="s">
        <v>28</v>
      </c>
      <c r="M108">
        <v>8.2140000000000004</v>
      </c>
      <c r="N108">
        <v>7.9</v>
      </c>
    </row>
    <row r="109" spans="1:14" x14ac:dyDescent="0.25">
      <c r="A109" t="s">
        <v>138</v>
      </c>
      <c r="B109" t="s">
        <v>13</v>
      </c>
      <c r="C109" t="s">
        <v>14</v>
      </c>
      <c r="D109" t="s">
        <v>22</v>
      </c>
      <c r="E109" t="s">
        <v>26</v>
      </c>
      <c r="F109" t="s">
        <v>31</v>
      </c>
      <c r="G109" t="s">
        <v>1037</v>
      </c>
      <c r="H109" t="s">
        <v>1043</v>
      </c>
      <c r="I109" s="1">
        <v>43546</v>
      </c>
      <c r="J109" t="s">
        <v>1046</v>
      </c>
      <c r="K109" s="5">
        <v>0.84652777777777777</v>
      </c>
      <c r="L109" t="s">
        <v>24</v>
      </c>
      <c r="M109">
        <v>18.638999999999999</v>
      </c>
      <c r="N109">
        <v>7.4</v>
      </c>
    </row>
    <row r="110" spans="1:14" x14ac:dyDescent="0.25">
      <c r="A110" t="s">
        <v>139</v>
      </c>
      <c r="B110" t="s">
        <v>20</v>
      </c>
      <c r="C110" t="s">
        <v>21</v>
      </c>
      <c r="D110" t="s">
        <v>22</v>
      </c>
      <c r="E110" t="s">
        <v>16</v>
      </c>
      <c r="F110" t="s">
        <v>39</v>
      </c>
      <c r="G110" t="s">
        <v>1038</v>
      </c>
      <c r="H110" t="s">
        <v>1043</v>
      </c>
      <c r="I110" s="1">
        <v>43548</v>
      </c>
      <c r="J110" t="s">
        <v>1044</v>
      </c>
      <c r="K110" s="5">
        <v>0.4465277777777778</v>
      </c>
      <c r="L110" t="s">
        <v>24</v>
      </c>
      <c r="M110">
        <v>15.291</v>
      </c>
      <c r="N110">
        <v>4.2</v>
      </c>
    </row>
    <row r="111" spans="1:14" x14ac:dyDescent="0.25">
      <c r="A111" t="s">
        <v>140</v>
      </c>
      <c r="B111" t="s">
        <v>20</v>
      </c>
      <c r="C111" t="s">
        <v>21</v>
      </c>
      <c r="D111" t="s">
        <v>15</v>
      </c>
      <c r="E111" t="s">
        <v>26</v>
      </c>
      <c r="F111" t="s">
        <v>23</v>
      </c>
      <c r="G111" t="s">
        <v>1035</v>
      </c>
      <c r="H111" t="s">
        <v>1043</v>
      </c>
      <c r="I111" s="1">
        <v>43527</v>
      </c>
      <c r="J111" t="s">
        <v>1045</v>
      </c>
      <c r="K111" s="5">
        <v>0.60416666666666663</v>
      </c>
      <c r="L111" t="s">
        <v>24</v>
      </c>
      <c r="M111">
        <v>40.984999999999999</v>
      </c>
      <c r="N111">
        <v>9.1999999999999993</v>
      </c>
    </row>
    <row r="112" spans="1:14" x14ac:dyDescent="0.25">
      <c r="A112" t="s">
        <v>141</v>
      </c>
      <c r="B112" t="s">
        <v>37</v>
      </c>
      <c r="C112" t="s">
        <v>38</v>
      </c>
      <c r="D112" t="s">
        <v>15</v>
      </c>
      <c r="E112" t="s">
        <v>16</v>
      </c>
      <c r="F112" t="s">
        <v>31</v>
      </c>
      <c r="G112" t="s">
        <v>1038</v>
      </c>
      <c r="H112" t="s">
        <v>1042</v>
      </c>
      <c r="I112" s="1">
        <v>43501</v>
      </c>
      <c r="J112" t="s">
        <v>1044</v>
      </c>
      <c r="K112" s="5">
        <v>0.48055555555555557</v>
      </c>
      <c r="L112" t="s">
        <v>18</v>
      </c>
      <c r="M112">
        <v>1.649</v>
      </c>
      <c r="N112">
        <v>4.5999999999999996</v>
      </c>
    </row>
    <row r="113" spans="1:14" x14ac:dyDescent="0.25">
      <c r="A113" t="s">
        <v>142</v>
      </c>
      <c r="B113" t="s">
        <v>20</v>
      </c>
      <c r="C113" t="s">
        <v>21</v>
      </c>
      <c r="D113" t="s">
        <v>15</v>
      </c>
      <c r="E113" t="s">
        <v>16</v>
      </c>
      <c r="F113" t="s">
        <v>17</v>
      </c>
      <c r="G113" t="s">
        <v>1038</v>
      </c>
      <c r="H113" t="s">
        <v>1042</v>
      </c>
      <c r="I113" s="1">
        <v>43501</v>
      </c>
      <c r="J113" t="s">
        <v>1044</v>
      </c>
      <c r="K113" s="5">
        <v>0.44513888888888892</v>
      </c>
      <c r="L113" t="s">
        <v>28</v>
      </c>
      <c r="M113">
        <v>14.7315</v>
      </c>
      <c r="N113">
        <v>7.8</v>
      </c>
    </row>
    <row r="114" spans="1:14" x14ac:dyDescent="0.25">
      <c r="A114" t="s">
        <v>143</v>
      </c>
      <c r="B114" t="s">
        <v>37</v>
      </c>
      <c r="C114" t="s">
        <v>38</v>
      </c>
      <c r="D114" t="s">
        <v>22</v>
      </c>
      <c r="E114" t="s">
        <v>16</v>
      </c>
      <c r="F114" t="s">
        <v>41</v>
      </c>
      <c r="G114" t="s">
        <v>1039</v>
      </c>
      <c r="H114" t="s">
        <v>1042</v>
      </c>
      <c r="I114" s="1">
        <v>43511</v>
      </c>
      <c r="J114" t="s">
        <v>1045</v>
      </c>
      <c r="K114" s="5">
        <v>0.53055555555555556</v>
      </c>
      <c r="L114" t="s">
        <v>24</v>
      </c>
      <c r="M114">
        <v>25.494</v>
      </c>
      <c r="N114">
        <v>8.4</v>
      </c>
    </row>
    <row r="115" spans="1:14" x14ac:dyDescent="0.25">
      <c r="A115" t="s">
        <v>144</v>
      </c>
      <c r="B115" t="s">
        <v>13</v>
      </c>
      <c r="C115" t="s">
        <v>14</v>
      </c>
      <c r="D115" t="s">
        <v>15</v>
      </c>
      <c r="E115" t="s">
        <v>26</v>
      </c>
      <c r="F115" t="s">
        <v>27</v>
      </c>
      <c r="G115" t="s">
        <v>1036</v>
      </c>
      <c r="H115" t="s">
        <v>1041</v>
      </c>
      <c r="I115" s="1">
        <v>43484</v>
      </c>
      <c r="J115" t="s">
        <v>1046</v>
      </c>
      <c r="K115" s="5">
        <v>0.83819444444444446</v>
      </c>
      <c r="L115" t="s">
        <v>18</v>
      </c>
      <c r="M115">
        <v>26.131499999999999</v>
      </c>
      <c r="N115">
        <v>4.3</v>
      </c>
    </row>
    <row r="116" spans="1:14" x14ac:dyDescent="0.25">
      <c r="A116" t="s">
        <v>145</v>
      </c>
      <c r="B116" t="s">
        <v>20</v>
      </c>
      <c r="C116" t="s">
        <v>21</v>
      </c>
      <c r="D116" t="s">
        <v>15</v>
      </c>
      <c r="E116" t="s">
        <v>16</v>
      </c>
      <c r="F116" t="s">
        <v>27</v>
      </c>
      <c r="G116" t="s">
        <v>1037</v>
      </c>
      <c r="H116" t="s">
        <v>1042</v>
      </c>
      <c r="I116" s="1">
        <v>43497</v>
      </c>
      <c r="J116" t="s">
        <v>1046</v>
      </c>
      <c r="K116" s="5">
        <v>0.85486111111111107</v>
      </c>
      <c r="L116" t="s">
        <v>28</v>
      </c>
      <c r="M116">
        <v>36.355499999999999</v>
      </c>
      <c r="N116">
        <v>9.5</v>
      </c>
    </row>
    <row r="117" spans="1:14" x14ac:dyDescent="0.25">
      <c r="A117" t="s">
        <v>146</v>
      </c>
      <c r="B117" t="s">
        <v>20</v>
      </c>
      <c r="C117" t="s">
        <v>21</v>
      </c>
      <c r="D117" t="s">
        <v>22</v>
      </c>
      <c r="E117" t="s">
        <v>16</v>
      </c>
      <c r="F117" t="s">
        <v>41</v>
      </c>
      <c r="G117" t="s">
        <v>1035</v>
      </c>
      <c r="H117" t="s">
        <v>1043</v>
      </c>
      <c r="I117" s="1">
        <v>43526</v>
      </c>
      <c r="J117" t="s">
        <v>1045</v>
      </c>
      <c r="K117" s="5">
        <v>0.54236111111111118</v>
      </c>
      <c r="L117" t="s">
        <v>28</v>
      </c>
      <c r="M117">
        <v>4.0529999999999999</v>
      </c>
      <c r="N117">
        <v>7.1</v>
      </c>
    </row>
    <row r="118" spans="1:14" x14ac:dyDescent="0.25">
      <c r="A118" t="s">
        <v>147</v>
      </c>
      <c r="B118" t="s">
        <v>37</v>
      </c>
      <c r="C118" t="s">
        <v>38</v>
      </c>
      <c r="D118" t="s">
        <v>15</v>
      </c>
      <c r="E118" t="s">
        <v>26</v>
      </c>
      <c r="F118" t="s">
        <v>41</v>
      </c>
      <c r="G118" t="s">
        <v>1035</v>
      </c>
      <c r="H118" t="s">
        <v>1043</v>
      </c>
      <c r="I118" s="1">
        <v>43529</v>
      </c>
      <c r="J118" t="s">
        <v>1045</v>
      </c>
      <c r="K118" s="5">
        <v>0.52013888888888882</v>
      </c>
      <c r="L118" t="s">
        <v>18</v>
      </c>
      <c r="M118">
        <v>5.4850000000000003</v>
      </c>
      <c r="N118">
        <v>5.3</v>
      </c>
    </row>
    <row r="119" spans="1:14" x14ac:dyDescent="0.25">
      <c r="A119" t="s">
        <v>148</v>
      </c>
      <c r="B119" t="s">
        <v>37</v>
      </c>
      <c r="C119" t="s">
        <v>38</v>
      </c>
      <c r="D119" t="s">
        <v>15</v>
      </c>
      <c r="E119" t="s">
        <v>26</v>
      </c>
      <c r="F119" t="s">
        <v>41</v>
      </c>
      <c r="G119" t="s">
        <v>1035</v>
      </c>
      <c r="H119" t="s">
        <v>1041</v>
      </c>
      <c r="I119" s="1">
        <v>43481</v>
      </c>
      <c r="J119" t="s">
        <v>1045</v>
      </c>
      <c r="K119" s="5">
        <v>0.6430555555555556</v>
      </c>
      <c r="L119" t="s">
        <v>18</v>
      </c>
      <c r="M119">
        <v>2.5680000000000001</v>
      </c>
      <c r="N119">
        <v>5.2</v>
      </c>
    </row>
    <row r="120" spans="1:14" x14ac:dyDescent="0.25">
      <c r="A120" t="s">
        <v>149</v>
      </c>
      <c r="B120" t="s">
        <v>13</v>
      </c>
      <c r="C120" t="s">
        <v>14</v>
      </c>
      <c r="D120" t="s">
        <v>22</v>
      </c>
      <c r="E120" t="s">
        <v>16</v>
      </c>
      <c r="F120" t="s">
        <v>39</v>
      </c>
      <c r="G120" t="s">
        <v>1038</v>
      </c>
      <c r="H120" t="s">
        <v>1042</v>
      </c>
      <c r="I120" s="1">
        <v>43498</v>
      </c>
      <c r="J120" t="s">
        <v>1046</v>
      </c>
      <c r="K120" s="5">
        <v>0.8666666666666667</v>
      </c>
      <c r="L120" t="s">
        <v>18</v>
      </c>
      <c r="M120">
        <v>5.48</v>
      </c>
      <c r="N120">
        <v>6</v>
      </c>
    </row>
    <row r="121" spans="1:14" x14ac:dyDescent="0.25">
      <c r="A121" t="s">
        <v>150</v>
      </c>
      <c r="B121" t="s">
        <v>37</v>
      </c>
      <c r="C121" t="s">
        <v>38</v>
      </c>
      <c r="D121" t="s">
        <v>22</v>
      </c>
      <c r="E121" t="s">
        <v>26</v>
      </c>
      <c r="F121" t="s">
        <v>27</v>
      </c>
      <c r="G121" t="s">
        <v>1036</v>
      </c>
      <c r="H121" t="s">
        <v>1041</v>
      </c>
      <c r="I121" s="1">
        <v>43485</v>
      </c>
      <c r="J121" t="s">
        <v>1046</v>
      </c>
      <c r="K121" s="5">
        <v>0.85972222222222217</v>
      </c>
      <c r="L121" t="s">
        <v>18</v>
      </c>
      <c r="M121">
        <v>5.3440000000000003</v>
      </c>
      <c r="N121">
        <v>4.0999999999999996</v>
      </c>
    </row>
    <row r="122" spans="1:14" x14ac:dyDescent="0.25">
      <c r="A122" t="s">
        <v>151</v>
      </c>
      <c r="B122" t="s">
        <v>13</v>
      </c>
      <c r="C122" t="s">
        <v>14</v>
      </c>
      <c r="D122" t="s">
        <v>22</v>
      </c>
      <c r="E122" t="s">
        <v>16</v>
      </c>
      <c r="F122" t="s">
        <v>23</v>
      </c>
      <c r="G122" t="s">
        <v>1039</v>
      </c>
      <c r="H122" t="s">
        <v>1042</v>
      </c>
      <c r="I122" s="1">
        <v>43510</v>
      </c>
      <c r="J122" t="s">
        <v>1046</v>
      </c>
      <c r="K122" s="5">
        <v>0.7104166666666667</v>
      </c>
      <c r="L122" t="s">
        <v>28</v>
      </c>
      <c r="M122">
        <v>39.823999999999998</v>
      </c>
      <c r="N122">
        <v>5.2</v>
      </c>
    </row>
    <row r="123" spans="1:14" x14ac:dyDescent="0.25">
      <c r="A123" t="s">
        <v>152</v>
      </c>
      <c r="B123" t="s">
        <v>20</v>
      </c>
      <c r="C123" t="s">
        <v>21</v>
      </c>
      <c r="D123" t="s">
        <v>15</v>
      </c>
      <c r="E123" t="s">
        <v>26</v>
      </c>
      <c r="F123" t="s">
        <v>31</v>
      </c>
      <c r="G123" t="s">
        <v>1035</v>
      </c>
      <c r="H123" t="s">
        <v>1041</v>
      </c>
      <c r="I123" s="1">
        <v>43477</v>
      </c>
      <c r="J123" t="s">
        <v>1045</v>
      </c>
      <c r="K123" s="5">
        <v>0.50138888888888888</v>
      </c>
      <c r="L123" t="s">
        <v>28</v>
      </c>
      <c r="M123">
        <v>19.992000000000001</v>
      </c>
      <c r="N123">
        <v>6.5</v>
      </c>
    </row>
    <row r="124" spans="1:14" x14ac:dyDescent="0.25">
      <c r="A124" t="s">
        <v>153</v>
      </c>
      <c r="B124" t="s">
        <v>37</v>
      </c>
      <c r="C124" t="s">
        <v>38</v>
      </c>
      <c r="D124" t="s">
        <v>15</v>
      </c>
      <c r="E124" t="s">
        <v>26</v>
      </c>
      <c r="F124" t="s">
        <v>31</v>
      </c>
      <c r="G124" t="s">
        <v>1036</v>
      </c>
      <c r="H124" t="s">
        <v>1043</v>
      </c>
      <c r="I124" s="1">
        <v>43533</v>
      </c>
      <c r="J124" t="s">
        <v>1046</v>
      </c>
      <c r="K124" s="5">
        <v>0.72638888888888886</v>
      </c>
      <c r="L124" t="s">
        <v>28</v>
      </c>
      <c r="M124">
        <v>44.981999999999999</v>
      </c>
      <c r="N124">
        <v>4.2</v>
      </c>
    </row>
    <row r="125" spans="1:14" x14ac:dyDescent="0.25">
      <c r="A125" t="s">
        <v>154</v>
      </c>
      <c r="B125" t="s">
        <v>20</v>
      </c>
      <c r="C125" t="s">
        <v>21</v>
      </c>
      <c r="D125" t="s">
        <v>15</v>
      </c>
      <c r="E125" t="s">
        <v>26</v>
      </c>
      <c r="F125" t="s">
        <v>27</v>
      </c>
      <c r="G125" t="s">
        <v>1036</v>
      </c>
      <c r="H125" t="s">
        <v>1043</v>
      </c>
      <c r="I125" s="1">
        <v>43537</v>
      </c>
      <c r="J125" t="s">
        <v>1046</v>
      </c>
      <c r="K125" s="5">
        <v>0.82777777777777783</v>
      </c>
      <c r="L125" t="s">
        <v>28</v>
      </c>
      <c r="M125">
        <v>25.564</v>
      </c>
      <c r="N125">
        <v>4.5999999999999996</v>
      </c>
    </row>
    <row r="126" spans="1:14" x14ac:dyDescent="0.25">
      <c r="A126" t="s">
        <v>155</v>
      </c>
      <c r="B126" t="s">
        <v>37</v>
      </c>
      <c r="C126" t="s">
        <v>38</v>
      </c>
      <c r="D126" t="s">
        <v>15</v>
      </c>
      <c r="E126" t="s">
        <v>16</v>
      </c>
      <c r="F126" t="s">
        <v>41</v>
      </c>
      <c r="G126" t="s">
        <v>1036</v>
      </c>
      <c r="H126" t="s">
        <v>1043</v>
      </c>
      <c r="I126" s="1">
        <v>43533</v>
      </c>
      <c r="J126" t="s">
        <v>1045</v>
      </c>
      <c r="K126" s="5">
        <v>0.62291666666666667</v>
      </c>
      <c r="L126" t="s">
        <v>18</v>
      </c>
      <c r="M126">
        <v>22.588000000000001</v>
      </c>
      <c r="N126">
        <v>7.3</v>
      </c>
    </row>
    <row r="127" spans="1:14" x14ac:dyDescent="0.25">
      <c r="A127" t="s">
        <v>156</v>
      </c>
      <c r="B127" t="s">
        <v>13</v>
      </c>
      <c r="C127" t="s">
        <v>14</v>
      </c>
      <c r="D127" t="s">
        <v>22</v>
      </c>
      <c r="E127" t="s">
        <v>16</v>
      </c>
      <c r="F127" t="s">
        <v>27</v>
      </c>
      <c r="G127" t="s">
        <v>1036</v>
      </c>
      <c r="H127" t="s">
        <v>1043</v>
      </c>
      <c r="I127" s="1">
        <v>43534</v>
      </c>
      <c r="J127" t="s">
        <v>1046</v>
      </c>
      <c r="K127" s="5">
        <v>0.78055555555555556</v>
      </c>
      <c r="L127" t="s">
        <v>28</v>
      </c>
      <c r="M127">
        <v>32.791499999999999</v>
      </c>
      <c r="N127">
        <v>4.5</v>
      </c>
    </row>
    <row r="128" spans="1:14" x14ac:dyDescent="0.25">
      <c r="A128" t="s">
        <v>157</v>
      </c>
      <c r="B128" t="s">
        <v>13</v>
      </c>
      <c r="C128" t="s">
        <v>14</v>
      </c>
      <c r="D128" t="s">
        <v>22</v>
      </c>
      <c r="E128" t="s">
        <v>16</v>
      </c>
      <c r="F128" t="s">
        <v>31</v>
      </c>
      <c r="G128" t="s">
        <v>1037</v>
      </c>
      <c r="H128" t="s">
        <v>1041</v>
      </c>
      <c r="I128" s="1">
        <v>43492</v>
      </c>
      <c r="J128" t="s">
        <v>1045</v>
      </c>
      <c r="K128" s="5">
        <v>0.55972222222222223</v>
      </c>
      <c r="L128" t="s">
        <v>24</v>
      </c>
      <c r="M128">
        <v>8.0625</v>
      </c>
      <c r="N128">
        <v>9</v>
      </c>
    </row>
    <row r="129" spans="1:14" x14ac:dyDescent="0.25">
      <c r="A129" t="s">
        <v>158</v>
      </c>
      <c r="B129" t="s">
        <v>20</v>
      </c>
      <c r="C129" t="s">
        <v>21</v>
      </c>
      <c r="D129" t="s">
        <v>22</v>
      </c>
      <c r="E129" t="s">
        <v>16</v>
      </c>
      <c r="F129" t="s">
        <v>41</v>
      </c>
      <c r="G129" t="s">
        <v>1034</v>
      </c>
      <c r="H129" t="s">
        <v>1041</v>
      </c>
      <c r="I129" s="1">
        <v>43473</v>
      </c>
      <c r="J129" t="s">
        <v>1046</v>
      </c>
      <c r="K129" s="5">
        <v>0.67847222222222225</v>
      </c>
      <c r="L129" t="s">
        <v>28</v>
      </c>
      <c r="M129">
        <v>14.278499999999999</v>
      </c>
      <c r="N129">
        <v>5.9</v>
      </c>
    </row>
    <row r="130" spans="1:14" x14ac:dyDescent="0.25">
      <c r="A130" t="s">
        <v>159</v>
      </c>
      <c r="B130" t="s">
        <v>20</v>
      </c>
      <c r="C130" t="s">
        <v>21</v>
      </c>
      <c r="D130" t="s">
        <v>15</v>
      </c>
      <c r="E130" t="s">
        <v>16</v>
      </c>
      <c r="F130" t="s">
        <v>39</v>
      </c>
      <c r="G130" t="s">
        <v>1034</v>
      </c>
      <c r="H130" t="s">
        <v>1041</v>
      </c>
      <c r="I130" s="1">
        <v>43473</v>
      </c>
      <c r="J130" t="s">
        <v>1045</v>
      </c>
      <c r="K130" s="5">
        <v>0.6645833333333333</v>
      </c>
      <c r="L130" t="s">
        <v>18</v>
      </c>
      <c r="M130">
        <v>27.416</v>
      </c>
      <c r="N130">
        <v>8.5</v>
      </c>
    </row>
    <row r="131" spans="1:14" x14ac:dyDescent="0.25">
      <c r="A131" t="s">
        <v>160</v>
      </c>
      <c r="B131" t="s">
        <v>37</v>
      </c>
      <c r="C131" t="s">
        <v>38</v>
      </c>
      <c r="D131" t="s">
        <v>22</v>
      </c>
      <c r="E131" t="s">
        <v>16</v>
      </c>
      <c r="F131" t="s">
        <v>31</v>
      </c>
      <c r="G131" t="s">
        <v>1038</v>
      </c>
      <c r="H131" t="s">
        <v>1042</v>
      </c>
      <c r="I131" s="1">
        <v>43504</v>
      </c>
      <c r="J131" t="s">
        <v>1044</v>
      </c>
      <c r="K131" s="5">
        <v>0.46875</v>
      </c>
      <c r="L131" t="s">
        <v>18</v>
      </c>
      <c r="M131">
        <v>40.625999999999998</v>
      </c>
      <c r="N131">
        <v>7.2</v>
      </c>
    </row>
    <row r="132" spans="1:14" x14ac:dyDescent="0.25">
      <c r="A132" t="s">
        <v>161</v>
      </c>
      <c r="B132" t="s">
        <v>37</v>
      </c>
      <c r="C132" t="s">
        <v>38</v>
      </c>
      <c r="D132" t="s">
        <v>22</v>
      </c>
      <c r="E132" t="s">
        <v>16</v>
      </c>
      <c r="F132" t="s">
        <v>41</v>
      </c>
      <c r="G132" t="s">
        <v>1036</v>
      </c>
      <c r="H132" t="s">
        <v>1041</v>
      </c>
      <c r="I132" s="1">
        <v>43490</v>
      </c>
      <c r="J132" t="s">
        <v>1045</v>
      </c>
      <c r="K132" s="5">
        <v>0.5541666666666667</v>
      </c>
      <c r="L132" t="s">
        <v>24</v>
      </c>
      <c r="M132">
        <v>13.867000000000001</v>
      </c>
      <c r="N132">
        <v>7.5</v>
      </c>
    </row>
    <row r="133" spans="1:14" x14ac:dyDescent="0.25">
      <c r="A133" t="s">
        <v>162</v>
      </c>
      <c r="B133" t="s">
        <v>13</v>
      </c>
      <c r="C133" t="s">
        <v>14</v>
      </c>
      <c r="D133" t="s">
        <v>15</v>
      </c>
      <c r="E133" t="s">
        <v>16</v>
      </c>
      <c r="F133" t="s">
        <v>31</v>
      </c>
      <c r="G133" t="s">
        <v>1035</v>
      </c>
      <c r="H133" t="s">
        <v>1043</v>
      </c>
      <c r="I133" s="1">
        <v>43530</v>
      </c>
      <c r="J133" t="s">
        <v>1046</v>
      </c>
      <c r="K133" s="5">
        <v>0.8569444444444444</v>
      </c>
      <c r="L133" t="s">
        <v>24</v>
      </c>
      <c r="M133">
        <v>27.638999999999999</v>
      </c>
      <c r="N133">
        <v>8.3000000000000007</v>
      </c>
    </row>
    <row r="134" spans="1:14" x14ac:dyDescent="0.25">
      <c r="A134" t="s">
        <v>163</v>
      </c>
      <c r="B134" t="s">
        <v>37</v>
      </c>
      <c r="C134" t="s">
        <v>38</v>
      </c>
      <c r="D134" t="s">
        <v>22</v>
      </c>
      <c r="E134" t="s">
        <v>16</v>
      </c>
      <c r="F134" t="s">
        <v>31</v>
      </c>
      <c r="G134" t="s">
        <v>1039</v>
      </c>
      <c r="H134" t="s">
        <v>1042</v>
      </c>
      <c r="I134" s="1">
        <v>43506</v>
      </c>
      <c r="J134" t="s">
        <v>1046</v>
      </c>
      <c r="K134" s="5">
        <v>0.77500000000000002</v>
      </c>
      <c r="L134" t="s">
        <v>24</v>
      </c>
      <c r="M134">
        <v>6.968</v>
      </c>
      <c r="N134">
        <v>7.4</v>
      </c>
    </row>
    <row r="135" spans="1:14" x14ac:dyDescent="0.25">
      <c r="A135" t="s">
        <v>164</v>
      </c>
      <c r="B135" t="s">
        <v>37</v>
      </c>
      <c r="C135" t="s">
        <v>38</v>
      </c>
      <c r="D135" t="s">
        <v>15</v>
      </c>
      <c r="E135" t="s">
        <v>26</v>
      </c>
      <c r="F135" t="s">
        <v>23</v>
      </c>
      <c r="G135" t="s">
        <v>1040</v>
      </c>
      <c r="H135" t="s">
        <v>1042</v>
      </c>
      <c r="I135" s="1">
        <v>43513</v>
      </c>
      <c r="J135" t="s">
        <v>1045</v>
      </c>
      <c r="K135" s="5">
        <v>0.61111111111111105</v>
      </c>
      <c r="L135" t="s">
        <v>28</v>
      </c>
      <c r="M135">
        <v>26.234999999999999</v>
      </c>
      <c r="N135">
        <v>8.8000000000000007</v>
      </c>
    </row>
    <row r="136" spans="1:14" x14ac:dyDescent="0.25">
      <c r="A136" t="s">
        <v>165</v>
      </c>
      <c r="B136" t="s">
        <v>20</v>
      </c>
      <c r="C136" t="s">
        <v>21</v>
      </c>
      <c r="D136" t="s">
        <v>22</v>
      </c>
      <c r="E136" t="s">
        <v>16</v>
      </c>
      <c r="F136" t="s">
        <v>17</v>
      </c>
      <c r="G136" t="s">
        <v>1035</v>
      </c>
      <c r="H136" t="s">
        <v>1043</v>
      </c>
      <c r="I136" s="1">
        <v>43532</v>
      </c>
      <c r="J136" t="s">
        <v>1046</v>
      </c>
      <c r="K136" s="5">
        <v>0.69652777777777775</v>
      </c>
      <c r="L136" t="s">
        <v>18</v>
      </c>
      <c r="M136">
        <v>24.39</v>
      </c>
      <c r="N136">
        <v>5.3</v>
      </c>
    </row>
    <row r="137" spans="1:14" x14ac:dyDescent="0.25">
      <c r="A137" t="s">
        <v>166</v>
      </c>
      <c r="B137" t="s">
        <v>20</v>
      </c>
      <c r="C137" t="s">
        <v>21</v>
      </c>
      <c r="D137" t="s">
        <v>22</v>
      </c>
      <c r="E137" t="s">
        <v>26</v>
      </c>
      <c r="F137" t="s">
        <v>41</v>
      </c>
      <c r="G137" t="s">
        <v>1040</v>
      </c>
      <c r="H137" t="s">
        <v>1042</v>
      </c>
      <c r="I137" s="1">
        <v>43514</v>
      </c>
      <c r="J137" t="s">
        <v>1046</v>
      </c>
      <c r="K137" s="5">
        <v>0.81874999999999998</v>
      </c>
      <c r="L137" t="s">
        <v>24</v>
      </c>
      <c r="M137">
        <v>13.532999999999999</v>
      </c>
      <c r="N137">
        <v>6.2</v>
      </c>
    </row>
    <row r="138" spans="1:14" x14ac:dyDescent="0.25">
      <c r="A138" t="s">
        <v>167</v>
      </c>
      <c r="B138" t="s">
        <v>13</v>
      </c>
      <c r="C138" t="s">
        <v>14</v>
      </c>
      <c r="D138" t="s">
        <v>22</v>
      </c>
      <c r="E138" t="s">
        <v>16</v>
      </c>
      <c r="F138" t="s">
        <v>23</v>
      </c>
      <c r="G138" t="s">
        <v>1035</v>
      </c>
      <c r="H138" t="s">
        <v>1041</v>
      </c>
      <c r="I138" s="1">
        <v>43483</v>
      </c>
      <c r="J138" t="s">
        <v>1046</v>
      </c>
      <c r="K138" s="5">
        <v>0.87430555555555556</v>
      </c>
      <c r="L138" t="s">
        <v>28</v>
      </c>
      <c r="M138">
        <v>6.5774999999999997</v>
      </c>
      <c r="N138">
        <v>8.8000000000000007</v>
      </c>
    </row>
    <row r="139" spans="1:14" x14ac:dyDescent="0.25">
      <c r="A139" t="s">
        <v>168</v>
      </c>
      <c r="B139" t="s">
        <v>13</v>
      </c>
      <c r="C139" t="s">
        <v>14</v>
      </c>
      <c r="D139" t="s">
        <v>15</v>
      </c>
      <c r="E139" t="s">
        <v>16</v>
      </c>
      <c r="F139" t="s">
        <v>27</v>
      </c>
      <c r="G139" t="s">
        <v>1040</v>
      </c>
      <c r="H139" t="s">
        <v>1042</v>
      </c>
      <c r="I139" s="1">
        <v>43514</v>
      </c>
      <c r="J139" t="s">
        <v>1045</v>
      </c>
      <c r="K139" s="5">
        <v>0.65208333333333335</v>
      </c>
      <c r="L139" t="s">
        <v>24</v>
      </c>
      <c r="M139">
        <v>10.326000000000001</v>
      </c>
      <c r="N139">
        <v>9.8000000000000007</v>
      </c>
    </row>
    <row r="140" spans="1:14" x14ac:dyDescent="0.25">
      <c r="A140" t="s">
        <v>169</v>
      </c>
      <c r="B140" t="s">
        <v>37</v>
      </c>
      <c r="C140" t="s">
        <v>38</v>
      </c>
      <c r="D140" t="s">
        <v>22</v>
      </c>
      <c r="E140" t="s">
        <v>26</v>
      </c>
      <c r="F140" t="s">
        <v>31</v>
      </c>
      <c r="G140" t="s">
        <v>1040</v>
      </c>
      <c r="H140" t="s">
        <v>1042</v>
      </c>
      <c r="I140" s="1">
        <v>43512</v>
      </c>
      <c r="J140" t="s">
        <v>1045</v>
      </c>
      <c r="K140" s="5">
        <v>0.51458333333333328</v>
      </c>
      <c r="L140" t="s">
        <v>24</v>
      </c>
      <c r="M140">
        <v>25.954999999999998</v>
      </c>
      <c r="N140">
        <v>8.1999999999999993</v>
      </c>
    </row>
    <row r="141" spans="1:14" x14ac:dyDescent="0.25">
      <c r="A141" t="s">
        <v>170</v>
      </c>
      <c r="B141" t="s">
        <v>13</v>
      </c>
      <c r="C141" t="s">
        <v>14</v>
      </c>
      <c r="D141" t="s">
        <v>22</v>
      </c>
      <c r="E141" t="s">
        <v>26</v>
      </c>
      <c r="F141" t="s">
        <v>31</v>
      </c>
      <c r="G141" t="s">
        <v>1037</v>
      </c>
      <c r="H141" t="s">
        <v>1043</v>
      </c>
      <c r="I141" s="1">
        <v>43540</v>
      </c>
      <c r="J141" t="s">
        <v>1046</v>
      </c>
      <c r="K141" s="5">
        <v>0.80902777777777779</v>
      </c>
      <c r="L141" t="s">
        <v>18</v>
      </c>
      <c r="M141">
        <v>29</v>
      </c>
      <c r="N141">
        <v>9.1999999999999993</v>
      </c>
    </row>
    <row r="142" spans="1:14" x14ac:dyDescent="0.25">
      <c r="A142" t="s">
        <v>171</v>
      </c>
      <c r="B142" t="s">
        <v>20</v>
      </c>
      <c r="C142" t="s">
        <v>21</v>
      </c>
      <c r="D142" t="s">
        <v>15</v>
      </c>
      <c r="E142" t="s">
        <v>16</v>
      </c>
      <c r="F142" t="s">
        <v>31</v>
      </c>
      <c r="G142" t="s">
        <v>1036</v>
      </c>
      <c r="H142" t="s">
        <v>1041</v>
      </c>
      <c r="I142" s="1">
        <v>43488</v>
      </c>
      <c r="J142" t="s">
        <v>1045</v>
      </c>
      <c r="K142" s="5">
        <v>0.54166666666666663</v>
      </c>
      <c r="L142" t="s">
        <v>28</v>
      </c>
      <c r="M142">
        <v>44.9</v>
      </c>
      <c r="N142">
        <v>5.4</v>
      </c>
    </row>
    <row r="143" spans="1:14" x14ac:dyDescent="0.25">
      <c r="A143" t="s">
        <v>172</v>
      </c>
      <c r="B143" t="s">
        <v>20</v>
      </c>
      <c r="C143" t="s">
        <v>21</v>
      </c>
      <c r="D143" t="s">
        <v>15</v>
      </c>
      <c r="E143" t="s">
        <v>26</v>
      </c>
      <c r="F143" t="s">
        <v>17</v>
      </c>
      <c r="G143" t="s">
        <v>1036</v>
      </c>
      <c r="H143" t="s">
        <v>1041</v>
      </c>
      <c r="I143" s="1">
        <v>43490</v>
      </c>
      <c r="J143" t="s">
        <v>1045</v>
      </c>
      <c r="K143" s="5">
        <v>0.57500000000000007</v>
      </c>
      <c r="L143" t="s">
        <v>24</v>
      </c>
      <c r="M143">
        <v>45.25</v>
      </c>
      <c r="N143">
        <v>8.1</v>
      </c>
    </row>
    <row r="144" spans="1:14" x14ac:dyDescent="0.25">
      <c r="A144" t="s">
        <v>173</v>
      </c>
      <c r="B144" t="s">
        <v>20</v>
      </c>
      <c r="C144" t="s">
        <v>21</v>
      </c>
      <c r="D144" t="s">
        <v>15</v>
      </c>
      <c r="E144" t="s">
        <v>16</v>
      </c>
      <c r="F144" t="s">
        <v>17</v>
      </c>
      <c r="G144" t="s">
        <v>1038</v>
      </c>
      <c r="H144" t="s">
        <v>1042</v>
      </c>
      <c r="I144" s="1">
        <v>43501</v>
      </c>
      <c r="J144" t="s">
        <v>1046</v>
      </c>
      <c r="K144" s="5">
        <v>0.83124999999999993</v>
      </c>
      <c r="L144" t="s">
        <v>24</v>
      </c>
      <c r="M144">
        <v>34.299999999999997</v>
      </c>
      <c r="N144">
        <v>9.1</v>
      </c>
    </row>
    <row r="145" spans="1:14" x14ac:dyDescent="0.25">
      <c r="A145" t="s">
        <v>174</v>
      </c>
      <c r="B145" t="s">
        <v>20</v>
      </c>
      <c r="C145" t="s">
        <v>21</v>
      </c>
      <c r="D145" t="s">
        <v>15</v>
      </c>
      <c r="E145" t="s">
        <v>16</v>
      </c>
      <c r="F145" t="s">
        <v>39</v>
      </c>
      <c r="G145" t="s">
        <v>1040</v>
      </c>
      <c r="H145" t="s">
        <v>1042</v>
      </c>
      <c r="I145" s="1">
        <v>43518</v>
      </c>
      <c r="J145" t="s">
        <v>1044</v>
      </c>
      <c r="K145" s="5">
        <v>0.44166666666666665</v>
      </c>
      <c r="L145" t="s">
        <v>28</v>
      </c>
      <c r="M145">
        <v>1.5205</v>
      </c>
      <c r="N145">
        <v>8.4</v>
      </c>
    </row>
    <row r="146" spans="1:14" x14ac:dyDescent="0.25">
      <c r="A146" t="s">
        <v>175</v>
      </c>
      <c r="B146" t="s">
        <v>13</v>
      </c>
      <c r="C146" t="s">
        <v>14</v>
      </c>
      <c r="D146" t="s">
        <v>22</v>
      </c>
      <c r="E146" t="s">
        <v>16</v>
      </c>
      <c r="F146" t="s">
        <v>27</v>
      </c>
      <c r="G146" t="s">
        <v>1036</v>
      </c>
      <c r="H146" t="s">
        <v>1041</v>
      </c>
      <c r="I146" s="1">
        <v>43486</v>
      </c>
      <c r="J146" t="s">
        <v>1046</v>
      </c>
      <c r="K146" s="5">
        <v>0.69236111111111109</v>
      </c>
      <c r="L146" t="s">
        <v>18</v>
      </c>
      <c r="M146">
        <v>23.385000000000002</v>
      </c>
      <c r="N146">
        <v>8</v>
      </c>
    </row>
    <row r="147" spans="1:14" x14ac:dyDescent="0.25">
      <c r="A147" t="s">
        <v>176</v>
      </c>
      <c r="B147" t="s">
        <v>20</v>
      </c>
      <c r="C147" t="s">
        <v>21</v>
      </c>
      <c r="D147" t="s">
        <v>22</v>
      </c>
      <c r="E147" t="s">
        <v>16</v>
      </c>
      <c r="F147" t="s">
        <v>17</v>
      </c>
      <c r="G147" t="s">
        <v>1035</v>
      </c>
      <c r="H147" t="s">
        <v>1043</v>
      </c>
      <c r="I147" s="1">
        <v>43532</v>
      </c>
      <c r="J147" t="s">
        <v>1046</v>
      </c>
      <c r="K147" s="5">
        <v>0.71597222222222223</v>
      </c>
      <c r="L147" t="s">
        <v>28</v>
      </c>
      <c r="M147">
        <v>13.878</v>
      </c>
      <c r="N147">
        <v>9.5</v>
      </c>
    </row>
    <row r="148" spans="1:14" x14ac:dyDescent="0.25">
      <c r="A148" t="s">
        <v>177</v>
      </c>
      <c r="B148" t="s">
        <v>13</v>
      </c>
      <c r="C148" t="s">
        <v>14</v>
      </c>
      <c r="D148" t="s">
        <v>15</v>
      </c>
      <c r="E148" t="s">
        <v>16</v>
      </c>
      <c r="F148" t="s">
        <v>41</v>
      </c>
      <c r="G148" t="s">
        <v>1039</v>
      </c>
      <c r="H148" t="s">
        <v>1042</v>
      </c>
      <c r="I148" s="1">
        <v>43506</v>
      </c>
      <c r="J148" t="s">
        <v>1045</v>
      </c>
      <c r="K148" s="5">
        <v>0.51944444444444449</v>
      </c>
      <c r="L148" t="s">
        <v>18</v>
      </c>
      <c r="M148">
        <v>15.07</v>
      </c>
      <c r="N148">
        <v>9.1999999999999993</v>
      </c>
    </row>
    <row r="149" spans="1:14" x14ac:dyDescent="0.25">
      <c r="A149" t="s">
        <v>178</v>
      </c>
      <c r="B149" t="s">
        <v>20</v>
      </c>
      <c r="C149" t="s">
        <v>21</v>
      </c>
      <c r="D149" t="s">
        <v>22</v>
      </c>
      <c r="E149" t="s">
        <v>26</v>
      </c>
      <c r="F149" t="s">
        <v>17</v>
      </c>
      <c r="G149" t="s">
        <v>1037</v>
      </c>
      <c r="H149" t="s">
        <v>1043</v>
      </c>
      <c r="I149" s="1">
        <v>43543</v>
      </c>
      <c r="J149" t="s">
        <v>1045</v>
      </c>
      <c r="K149" s="5">
        <v>0.53194444444444444</v>
      </c>
      <c r="L149" t="s">
        <v>28</v>
      </c>
      <c r="M149">
        <v>13.228</v>
      </c>
      <c r="N149">
        <v>5.6</v>
      </c>
    </row>
    <row r="150" spans="1:14" x14ac:dyDescent="0.25">
      <c r="A150" t="s">
        <v>179</v>
      </c>
      <c r="B150" t="s">
        <v>37</v>
      </c>
      <c r="C150" t="s">
        <v>38</v>
      </c>
      <c r="D150" t="s">
        <v>15</v>
      </c>
      <c r="E150" t="s">
        <v>26</v>
      </c>
      <c r="F150" t="s">
        <v>27</v>
      </c>
      <c r="G150" t="s">
        <v>1035</v>
      </c>
      <c r="H150" t="s">
        <v>1043</v>
      </c>
      <c r="I150" s="1">
        <v>43530</v>
      </c>
      <c r="J150" t="s">
        <v>1045</v>
      </c>
      <c r="K150" s="5">
        <v>0.62986111111111109</v>
      </c>
      <c r="L150" t="s">
        <v>28</v>
      </c>
      <c r="M150">
        <v>28.744</v>
      </c>
      <c r="N150">
        <v>6.2</v>
      </c>
    </row>
    <row r="151" spans="1:14" x14ac:dyDescent="0.25">
      <c r="A151" t="s">
        <v>180</v>
      </c>
      <c r="B151" t="s">
        <v>13</v>
      </c>
      <c r="C151" t="s">
        <v>14</v>
      </c>
      <c r="D151" t="s">
        <v>22</v>
      </c>
      <c r="E151" t="s">
        <v>26</v>
      </c>
      <c r="F151" t="s">
        <v>17</v>
      </c>
      <c r="G151" t="s">
        <v>1038</v>
      </c>
      <c r="H151" t="s">
        <v>1043</v>
      </c>
      <c r="I151" s="1">
        <v>43551</v>
      </c>
      <c r="J151" t="s">
        <v>1045</v>
      </c>
      <c r="K151" s="5">
        <v>0.57500000000000007</v>
      </c>
      <c r="L151" t="s">
        <v>28</v>
      </c>
      <c r="M151">
        <v>12.984</v>
      </c>
      <c r="N151">
        <v>4.9000000000000004</v>
      </c>
    </row>
    <row r="152" spans="1:14" x14ac:dyDescent="0.25">
      <c r="A152" t="s">
        <v>181</v>
      </c>
      <c r="B152" t="s">
        <v>37</v>
      </c>
      <c r="C152" t="s">
        <v>38</v>
      </c>
      <c r="D152" t="s">
        <v>15</v>
      </c>
      <c r="E152" t="s">
        <v>16</v>
      </c>
      <c r="F152" t="s">
        <v>41</v>
      </c>
      <c r="G152" t="s">
        <v>1038</v>
      </c>
      <c r="H152" t="s">
        <v>1043</v>
      </c>
      <c r="I152" s="1">
        <v>43547</v>
      </c>
      <c r="J152" t="s">
        <v>1046</v>
      </c>
      <c r="K152" s="5">
        <v>0.80555555555555547</v>
      </c>
      <c r="L152" t="s">
        <v>28</v>
      </c>
      <c r="M152">
        <v>18.308</v>
      </c>
      <c r="N152">
        <v>4.8</v>
      </c>
    </row>
    <row r="153" spans="1:14" x14ac:dyDescent="0.25">
      <c r="A153" t="s">
        <v>182</v>
      </c>
      <c r="B153" t="s">
        <v>20</v>
      </c>
      <c r="C153" t="s">
        <v>21</v>
      </c>
      <c r="D153" t="s">
        <v>15</v>
      </c>
      <c r="E153" t="s">
        <v>26</v>
      </c>
      <c r="F153" t="s">
        <v>31</v>
      </c>
      <c r="G153" t="s">
        <v>1036</v>
      </c>
      <c r="H153" t="s">
        <v>1043</v>
      </c>
      <c r="I153" s="1">
        <v>43535</v>
      </c>
      <c r="J153" t="s">
        <v>1046</v>
      </c>
      <c r="K153" s="5">
        <v>0.67152777777777783</v>
      </c>
      <c r="L153" t="s">
        <v>28</v>
      </c>
      <c r="M153">
        <v>12.096</v>
      </c>
      <c r="N153">
        <v>7.3</v>
      </c>
    </row>
    <row r="154" spans="1:14" x14ac:dyDescent="0.25">
      <c r="A154" t="s">
        <v>183</v>
      </c>
      <c r="B154" t="s">
        <v>13</v>
      </c>
      <c r="C154" t="s">
        <v>14</v>
      </c>
      <c r="D154" t="s">
        <v>22</v>
      </c>
      <c r="E154" t="s">
        <v>26</v>
      </c>
      <c r="F154" t="s">
        <v>41</v>
      </c>
      <c r="G154" t="s">
        <v>1037</v>
      </c>
      <c r="H154" t="s">
        <v>1041</v>
      </c>
      <c r="I154" s="1">
        <v>43494</v>
      </c>
      <c r="J154" t="s">
        <v>1044</v>
      </c>
      <c r="K154" s="5">
        <v>0.49722222222222223</v>
      </c>
      <c r="L154" t="s">
        <v>28</v>
      </c>
      <c r="M154">
        <v>37.457999999999998</v>
      </c>
      <c r="N154">
        <v>7.4</v>
      </c>
    </row>
    <row r="155" spans="1:14" x14ac:dyDescent="0.25">
      <c r="A155" t="s">
        <v>184</v>
      </c>
      <c r="B155" t="s">
        <v>20</v>
      </c>
      <c r="C155" t="s">
        <v>21</v>
      </c>
      <c r="D155" t="s">
        <v>22</v>
      </c>
      <c r="E155" t="s">
        <v>16</v>
      </c>
      <c r="F155" t="s">
        <v>39</v>
      </c>
      <c r="G155" t="s">
        <v>1038</v>
      </c>
      <c r="H155" t="s">
        <v>1042</v>
      </c>
      <c r="I155" s="1">
        <v>43503</v>
      </c>
      <c r="J155" t="s">
        <v>1046</v>
      </c>
      <c r="K155" s="5">
        <v>0.76597222222222217</v>
      </c>
      <c r="L155" t="s">
        <v>18</v>
      </c>
      <c r="M155">
        <v>4.944</v>
      </c>
      <c r="N155">
        <v>9.9</v>
      </c>
    </row>
    <row r="156" spans="1:14" x14ac:dyDescent="0.25">
      <c r="A156" t="s">
        <v>185</v>
      </c>
      <c r="B156" t="s">
        <v>20</v>
      </c>
      <c r="C156" t="s">
        <v>21</v>
      </c>
      <c r="D156" t="s">
        <v>22</v>
      </c>
      <c r="E156" t="s">
        <v>16</v>
      </c>
      <c r="F156" t="s">
        <v>31</v>
      </c>
      <c r="G156" t="s">
        <v>1037</v>
      </c>
      <c r="H156" t="s">
        <v>1041</v>
      </c>
      <c r="I156" s="1">
        <v>43493</v>
      </c>
      <c r="J156" t="s">
        <v>1045</v>
      </c>
      <c r="K156" s="5">
        <v>0.54513888888888895</v>
      </c>
      <c r="L156" t="s">
        <v>24</v>
      </c>
      <c r="M156">
        <v>32.387999999999998</v>
      </c>
      <c r="N156">
        <v>9.3000000000000007</v>
      </c>
    </row>
    <row r="157" spans="1:14" x14ac:dyDescent="0.25">
      <c r="A157" t="s">
        <v>186</v>
      </c>
      <c r="B157" t="s">
        <v>13</v>
      </c>
      <c r="C157" t="s">
        <v>14</v>
      </c>
      <c r="D157" t="s">
        <v>15</v>
      </c>
      <c r="E157" t="s">
        <v>26</v>
      </c>
      <c r="F157" t="s">
        <v>39</v>
      </c>
      <c r="G157" t="s">
        <v>1040</v>
      </c>
      <c r="H157" t="s">
        <v>1042</v>
      </c>
      <c r="I157" s="1">
        <v>43516</v>
      </c>
      <c r="J157" t="s">
        <v>1045</v>
      </c>
      <c r="K157" s="5">
        <v>0.66319444444444442</v>
      </c>
      <c r="L157" t="s">
        <v>28</v>
      </c>
      <c r="M157">
        <v>23.072500000000002</v>
      </c>
      <c r="N157">
        <v>9</v>
      </c>
    </row>
    <row r="158" spans="1:14" x14ac:dyDescent="0.25">
      <c r="A158" t="s">
        <v>187</v>
      </c>
      <c r="B158" t="s">
        <v>37</v>
      </c>
      <c r="C158" t="s">
        <v>38</v>
      </c>
      <c r="D158" t="s">
        <v>15</v>
      </c>
      <c r="E158" t="s">
        <v>26</v>
      </c>
      <c r="F158" t="s">
        <v>23</v>
      </c>
      <c r="G158" t="s">
        <v>1040</v>
      </c>
      <c r="H158" t="s">
        <v>1041</v>
      </c>
      <c r="I158" s="1">
        <v>43469</v>
      </c>
      <c r="J158" t="s">
        <v>1046</v>
      </c>
      <c r="K158" s="5">
        <v>0.81944444444444453</v>
      </c>
      <c r="L158" t="s">
        <v>24</v>
      </c>
      <c r="M158">
        <v>3.6084999999999998</v>
      </c>
      <c r="N158">
        <v>6.1</v>
      </c>
    </row>
    <row r="159" spans="1:14" x14ac:dyDescent="0.25">
      <c r="A159" t="s">
        <v>188</v>
      </c>
      <c r="B159" t="s">
        <v>37</v>
      </c>
      <c r="C159" t="s">
        <v>38</v>
      </c>
      <c r="D159" t="s">
        <v>22</v>
      </c>
      <c r="E159" t="s">
        <v>26</v>
      </c>
      <c r="F159" t="s">
        <v>27</v>
      </c>
      <c r="G159" t="s">
        <v>1035</v>
      </c>
      <c r="H159" t="s">
        <v>1043</v>
      </c>
      <c r="I159" s="1">
        <v>43531</v>
      </c>
      <c r="J159" t="s">
        <v>1045</v>
      </c>
      <c r="K159" s="5">
        <v>0.58194444444444449</v>
      </c>
      <c r="L159" t="s">
        <v>18</v>
      </c>
      <c r="M159">
        <v>12.57</v>
      </c>
      <c r="N159">
        <v>9.6999999999999993</v>
      </c>
    </row>
    <row r="160" spans="1:14" x14ac:dyDescent="0.25">
      <c r="A160" t="s">
        <v>189</v>
      </c>
      <c r="B160" t="s">
        <v>37</v>
      </c>
      <c r="C160" t="s">
        <v>38</v>
      </c>
      <c r="D160" t="s">
        <v>15</v>
      </c>
      <c r="E160" t="s">
        <v>26</v>
      </c>
      <c r="F160" t="s">
        <v>17</v>
      </c>
      <c r="G160" t="s">
        <v>1039</v>
      </c>
      <c r="H160" t="s">
        <v>1043</v>
      </c>
      <c r="I160" s="1">
        <v>43554</v>
      </c>
      <c r="J160" t="s">
        <v>1045</v>
      </c>
      <c r="K160" s="5">
        <v>0.61319444444444449</v>
      </c>
      <c r="L160" t="s">
        <v>18</v>
      </c>
      <c r="M160">
        <v>43.749000000000002</v>
      </c>
      <c r="N160">
        <v>6</v>
      </c>
    </row>
    <row r="161" spans="1:14" x14ac:dyDescent="0.25">
      <c r="A161" t="s">
        <v>190</v>
      </c>
      <c r="B161" t="s">
        <v>37</v>
      </c>
      <c r="C161" t="s">
        <v>38</v>
      </c>
      <c r="D161" t="s">
        <v>22</v>
      </c>
      <c r="E161" t="s">
        <v>26</v>
      </c>
      <c r="F161" t="s">
        <v>31</v>
      </c>
      <c r="G161" t="s">
        <v>1038</v>
      </c>
      <c r="H161" t="s">
        <v>1043</v>
      </c>
      <c r="I161" s="1">
        <v>43551</v>
      </c>
      <c r="J161" t="s">
        <v>1046</v>
      </c>
      <c r="K161" s="5">
        <v>0.8041666666666667</v>
      </c>
      <c r="L161" t="s">
        <v>18</v>
      </c>
      <c r="M161">
        <v>28.016999999999999</v>
      </c>
      <c r="N161">
        <v>10</v>
      </c>
    </row>
    <row r="162" spans="1:14" x14ac:dyDescent="0.25">
      <c r="A162" t="s">
        <v>191</v>
      </c>
      <c r="B162" t="s">
        <v>20</v>
      </c>
      <c r="C162" t="s">
        <v>21</v>
      </c>
      <c r="D162" t="s">
        <v>22</v>
      </c>
      <c r="E162" t="s">
        <v>16</v>
      </c>
      <c r="F162" t="s">
        <v>39</v>
      </c>
      <c r="G162" t="s">
        <v>1036</v>
      </c>
      <c r="H162" t="s">
        <v>1041</v>
      </c>
      <c r="I162" s="1">
        <v>43484</v>
      </c>
      <c r="J162" t="s">
        <v>1046</v>
      </c>
      <c r="K162" s="5">
        <v>0.81874999999999998</v>
      </c>
      <c r="L162" t="s">
        <v>28</v>
      </c>
      <c r="M162">
        <v>17.271999999999998</v>
      </c>
      <c r="N162">
        <v>8.3000000000000007</v>
      </c>
    </row>
    <row r="163" spans="1:14" x14ac:dyDescent="0.25">
      <c r="A163" t="s">
        <v>192</v>
      </c>
      <c r="B163" t="s">
        <v>13</v>
      </c>
      <c r="C163" t="s">
        <v>14</v>
      </c>
      <c r="D163" t="s">
        <v>22</v>
      </c>
      <c r="E163" t="s">
        <v>26</v>
      </c>
      <c r="F163" t="s">
        <v>31</v>
      </c>
      <c r="G163" t="s">
        <v>1034</v>
      </c>
      <c r="H163" t="s">
        <v>1042</v>
      </c>
      <c r="I163" s="1">
        <v>43521</v>
      </c>
      <c r="J163" t="s">
        <v>1046</v>
      </c>
      <c r="K163" s="5">
        <v>0.68125000000000002</v>
      </c>
      <c r="L163" t="s">
        <v>24</v>
      </c>
      <c r="M163">
        <v>3.1844999999999999</v>
      </c>
      <c r="N163">
        <v>6</v>
      </c>
    </row>
    <row r="164" spans="1:14" x14ac:dyDescent="0.25">
      <c r="A164" t="s">
        <v>193</v>
      </c>
      <c r="B164" t="s">
        <v>13</v>
      </c>
      <c r="C164" t="s">
        <v>14</v>
      </c>
      <c r="D164" t="s">
        <v>22</v>
      </c>
      <c r="E164" t="s">
        <v>26</v>
      </c>
      <c r="F164" t="s">
        <v>39</v>
      </c>
      <c r="G164" t="s">
        <v>1036</v>
      </c>
      <c r="H164" t="s">
        <v>1043</v>
      </c>
      <c r="I164" s="1">
        <v>43537</v>
      </c>
      <c r="J164" t="s">
        <v>1046</v>
      </c>
      <c r="K164" s="5">
        <v>0.8222222222222223</v>
      </c>
      <c r="L164" t="s">
        <v>28</v>
      </c>
      <c r="M164">
        <v>16.026499999999999</v>
      </c>
      <c r="N164">
        <v>7</v>
      </c>
    </row>
    <row r="165" spans="1:14" x14ac:dyDescent="0.25">
      <c r="A165" t="s">
        <v>194</v>
      </c>
      <c r="B165" t="s">
        <v>20</v>
      </c>
      <c r="C165" t="s">
        <v>21</v>
      </c>
      <c r="D165" t="s">
        <v>22</v>
      </c>
      <c r="E165" t="s">
        <v>26</v>
      </c>
      <c r="F165" t="s">
        <v>31</v>
      </c>
      <c r="G165" t="s">
        <v>1037</v>
      </c>
      <c r="H165" t="s">
        <v>1041</v>
      </c>
      <c r="I165" s="1">
        <v>43495</v>
      </c>
      <c r="J165" t="s">
        <v>1046</v>
      </c>
      <c r="K165" s="5">
        <v>0.8208333333333333</v>
      </c>
      <c r="L165" t="s">
        <v>18</v>
      </c>
      <c r="M165">
        <v>7.64</v>
      </c>
      <c r="N165">
        <v>6.5</v>
      </c>
    </row>
    <row r="166" spans="1:14" x14ac:dyDescent="0.25">
      <c r="A166" t="s">
        <v>195</v>
      </c>
      <c r="B166" t="s">
        <v>37</v>
      </c>
      <c r="C166" t="s">
        <v>38</v>
      </c>
      <c r="D166" t="s">
        <v>22</v>
      </c>
      <c r="E166" t="s">
        <v>26</v>
      </c>
      <c r="F166" t="s">
        <v>39</v>
      </c>
      <c r="G166" t="s">
        <v>1040</v>
      </c>
      <c r="H166" t="s">
        <v>1042</v>
      </c>
      <c r="I166" s="1">
        <v>43516</v>
      </c>
      <c r="J166" t="s">
        <v>1045</v>
      </c>
      <c r="K166" s="5">
        <v>0.64166666666666672</v>
      </c>
      <c r="L166" t="s">
        <v>28</v>
      </c>
      <c r="M166">
        <v>19.95</v>
      </c>
      <c r="N166">
        <v>5.9</v>
      </c>
    </row>
    <row r="167" spans="1:14" x14ac:dyDescent="0.25">
      <c r="A167" t="s">
        <v>196</v>
      </c>
      <c r="B167" t="s">
        <v>37</v>
      </c>
      <c r="C167" t="s">
        <v>38</v>
      </c>
      <c r="D167" t="s">
        <v>15</v>
      </c>
      <c r="E167" t="s">
        <v>26</v>
      </c>
      <c r="F167" t="s">
        <v>17</v>
      </c>
      <c r="G167" t="s">
        <v>1034</v>
      </c>
      <c r="H167" t="s">
        <v>1042</v>
      </c>
      <c r="I167" s="1">
        <v>43521</v>
      </c>
      <c r="J167" t="s">
        <v>1045</v>
      </c>
      <c r="K167" s="5">
        <v>0.59166666666666667</v>
      </c>
      <c r="L167" t="s">
        <v>18</v>
      </c>
      <c r="M167">
        <v>17.027999999999999</v>
      </c>
      <c r="N167">
        <v>5.6</v>
      </c>
    </row>
    <row r="168" spans="1:14" x14ac:dyDescent="0.25">
      <c r="A168" t="s">
        <v>197</v>
      </c>
      <c r="B168" t="s">
        <v>20</v>
      </c>
      <c r="C168" t="s">
        <v>21</v>
      </c>
      <c r="D168" t="s">
        <v>22</v>
      </c>
      <c r="E168" t="s">
        <v>26</v>
      </c>
      <c r="F168" t="s">
        <v>27</v>
      </c>
      <c r="G168" t="s">
        <v>1035</v>
      </c>
      <c r="H168" t="s">
        <v>1041</v>
      </c>
      <c r="I168" s="1">
        <v>43481</v>
      </c>
      <c r="J168" t="s">
        <v>1045</v>
      </c>
      <c r="K168" s="5">
        <v>0.56388888888888888</v>
      </c>
      <c r="L168" t="s">
        <v>24</v>
      </c>
      <c r="M168">
        <v>47.79</v>
      </c>
      <c r="N168">
        <v>4.8</v>
      </c>
    </row>
    <row r="169" spans="1:14" x14ac:dyDescent="0.25">
      <c r="A169" t="s">
        <v>198</v>
      </c>
      <c r="B169" t="s">
        <v>13</v>
      </c>
      <c r="C169" t="s">
        <v>14</v>
      </c>
      <c r="D169" t="s">
        <v>22</v>
      </c>
      <c r="E169" t="s">
        <v>26</v>
      </c>
      <c r="F169" t="s">
        <v>41</v>
      </c>
      <c r="G169" t="s">
        <v>1038</v>
      </c>
      <c r="H169" t="s">
        <v>1042</v>
      </c>
      <c r="I169" s="1">
        <v>43504</v>
      </c>
      <c r="J169" t="s">
        <v>1046</v>
      </c>
      <c r="K169" s="5">
        <v>0.68055555555555547</v>
      </c>
      <c r="L169" t="s">
        <v>28</v>
      </c>
      <c r="M169">
        <v>49.49</v>
      </c>
      <c r="N169">
        <v>8.6999999999999993</v>
      </c>
    </row>
    <row r="170" spans="1:14" x14ac:dyDescent="0.25">
      <c r="A170" t="s">
        <v>199</v>
      </c>
      <c r="B170" t="s">
        <v>13</v>
      </c>
      <c r="C170" t="s">
        <v>14</v>
      </c>
      <c r="D170" t="s">
        <v>22</v>
      </c>
      <c r="E170" t="s">
        <v>26</v>
      </c>
      <c r="F170" t="s">
        <v>39</v>
      </c>
      <c r="G170" t="s">
        <v>1036</v>
      </c>
      <c r="H170" t="s">
        <v>1041</v>
      </c>
      <c r="I170" s="1">
        <v>43484</v>
      </c>
      <c r="J170" t="s">
        <v>1046</v>
      </c>
      <c r="K170" s="5">
        <v>0.68819444444444444</v>
      </c>
      <c r="L170" t="s">
        <v>24</v>
      </c>
      <c r="M170">
        <v>15.384</v>
      </c>
      <c r="N170">
        <v>6.5</v>
      </c>
    </row>
    <row r="171" spans="1:14" x14ac:dyDescent="0.25">
      <c r="A171" t="s">
        <v>200</v>
      </c>
      <c r="B171" t="s">
        <v>13</v>
      </c>
      <c r="C171" t="s">
        <v>14</v>
      </c>
      <c r="D171" t="s">
        <v>15</v>
      </c>
      <c r="E171" t="s">
        <v>26</v>
      </c>
      <c r="F171" t="s">
        <v>31</v>
      </c>
      <c r="G171" t="s">
        <v>1037</v>
      </c>
      <c r="H171" t="s">
        <v>1042</v>
      </c>
      <c r="I171" s="1">
        <v>43497</v>
      </c>
      <c r="J171" t="s">
        <v>1045</v>
      </c>
      <c r="K171" s="5">
        <v>0.63194444444444442</v>
      </c>
      <c r="L171" t="s">
        <v>28</v>
      </c>
      <c r="M171">
        <v>24.332000000000001</v>
      </c>
      <c r="N171">
        <v>8.5</v>
      </c>
    </row>
    <row r="172" spans="1:14" x14ac:dyDescent="0.25">
      <c r="A172" t="s">
        <v>201</v>
      </c>
      <c r="B172" t="s">
        <v>13</v>
      </c>
      <c r="C172" t="s">
        <v>14</v>
      </c>
      <c r="D172" t="s">
        <v>22</v>
      </c>
      <c r="E172" t="s">
        <v>26</v>
      </c>
      <c r="F172" t="s">
        <v>17</v>
      </c>
      <c r="G172" t="s">
        <v>1040</v>
      </c>
      <c r="H172" t="s">
        <v>1041</v>
      </c>
      <c r="I172" s="1">
        <v>43468</v>
      </c>
      <c r="J172" t="s">
        <v>1044</v>
      </c>
      <c r="K172" s="5">
        <v>0.48333333333333334</v>
      </c>
      <c r="L172" t="s">
        <v>18</v>
      </c>
      <c r="M172">
        <v>17.502500000000001</v>
      </c>
      <c r="N172">
        <v>5.5</v>
      </c>
    </row>
    <row r="173" spans="1:14" x14ac:dyDescent="0.25">
      <c r="A173" t="s">
        <v>202</v>
      </c>
      <c r="B173" t="s">
        <v>37</v>
      </c>
      <c r="C173" t="s">
        <v>38</v>
      </c>
      <c r="D173" t="s">
        <v>15</v>
      </c>
      <c r="E173" t="s">
        <v>26</v>
      </c>
      <c r="F173" t="s">
        <v>39</v>
      </c>
      <c r="G173" t="s">
        <v>1037</v>
      </c>
      <c r="H173" t="s">
        <v>1041</v>
      </c>
      <c r="I173" s="1">
        <v>43491</v>
      </c>
      <c r="J173" t="s">
        <v>1045</v>
      </c>
      <c r="K173" s="5">
        <v>0.53125</v>
      </c>
      <c r="L173" t="s">
        <v>28</v>
      </c>
      <c r="M173">
        <v>20.012499999999999</v>
      </c>
      <c r="N173">
        <v>9.4</v>
      </c>
    </row>
    <row r="174" spans="1:14" x14ac:dyDescent="0.25">
      <c r="A174" t="s">
        <v>203</v>
      </c>
      <c r="B174" t="s">
        <v>20</v>
      </c>
      <c r="C174" t="s">
        <v>21</v>
      </c>
      <c r="D174" t="s">
        <v>22</v>
      </c>
      <c r="E174" t="s">
        <v>26</v>
      </c>
      <c r="F174" t="s">
        <v>23</v>
      </c>
      <c r="G174" t="s">
        <v>1035</v>
      </c>
      <c r="H174" t="s">
        <v>1043</v>
      </c>
      <c r="I174" s="1">
        <v>43527</v>
      </c>
      <c r="J174" t="s">
        <v>1046</v>
      </c>
      <c r="K174" s="5">
        <v>0.80347222222222225</v>
      </c>
      <c r="L174" t="s">
        <v>24</v>
      </c>
      <c r="M174">
        <v>8.34</v>
      </c>
      <c r="N174">
        <v>6.3</v>
      </c>
    </row>
    <row r="175" spans="1:14" x14ac:dyDescent="0.25">
      <c r="A175" t="s">
        <v>204</v>
      </c>
      <c r="B175" t="s">
        <v>37</v>
      </c>
      <c r="C175" t="s">
        <v>38</v>
      </c>
      <c r="D175" t="s">
        <v>15</v>
      </c>
      <c r="E175" t="s">
        <v>26</v>
      </c>
      <c r="F175" t="s">
        <v>23</v>
      </c>
      <c r="G175" t="s">
        <v>1036</v>
      </c>
      <c r="H175" t="s">
        <v>1041</v>
      </c>
      <c r="I175" s="1">
        <v>43484</v>
      </c>
      <c r="J175" t="s">
        <v>1046</v>
      </c>
      <c r="K175" s="5">
        <v>0.7319444444444444</v>
      </c>
      <c r="L175" t="s">
        <v>28</v>
      </c>
      <c r="M175">
        <v>15.867000000000001</v>
      </c>
      <c r="N175">
        <v>9.8000000000000007</v>
      </c>
    </row>
    <row r="176" spans="1:14" x14ac:dyDescent="0.25">
      <c r="A176" t="s">
        <v>205</v>
      </c>
      <c r="B176" t="s">
        <v>37</v>
      </c>
      <c r="C176" t="s">
        <v>38</v>
      </c>
      <c r="D176" t="s">
        <v>22</v>
      </c>
      <c r="E176" t="s">
        <v>26</v>
      </c>
      <c r="F176" t="s">
        <v>39</v>
      </c>
      <c r="G176" t="s">
        <v>1035</v>
      </c>
      <c r="H176" t="s">
        <v>1041</v>
      </c>
      <c r="I176" s="1">
        <v>43483</v>
      </c>
      <c r="J176" t="s">
        <v>1045</v>
      </c>
      <c r="K176" s="5">
        <v>0.50277777777777777</v>
      </c>
      <c r="L176" t="s">
        <v>18</v>
      </c>
      <c r="M176">
        <v>7.9160000000000004</v>
      </c>
      <c r="N176">
        <v>8.6999999999999993</v>
      </c>
    </row>
    <row r="177" spans="1:14" x14ac:dyDescent="0.25">
      <c r="A177" t="s">
        <v>206</v>
      </c>
      <c r="B177" t="s">
        <v>13</v>
      </c>
      <c r="C177" t="s">
        <v>14</v>
      </c>
      <c r="D177" t="s">
        <v>15</v>
      </c>
      <c r="E177" t="s">
        <v>26</v>
      </c>
      <c r="F177" t="s">
        <v>27</v>
      </c>
      <c r="G177" t="s">
        <v>1037</v>
      </c>
      <c r="H177" t="s">
        <v>1043</v>
      </c>
      <c r="I177" s="1">
        <v>43545</v>
      </c>
      <c r="J177" t="s">
        <v>1046</v>
      </c>
      <c r="K177" s="5">
        <v>0.68125000000000002</v>
      </c>
      <c r="L177" t="s">
        <v>18</v>
      </c>
      <c r="M177">
        <v>15.228</v>
      </c>
      <c r="N177">
        <v>8.8000000000000007</v>
      </c>
    </row>
    <row r="178" spans="1:14" x14ac:dyDescent="0.25">
      <c r="A178" t="s">
        <v>207</v>
      </c>
      <c r="B178" t="s">
        <v>13</v>
      </c>
      <c r="C178" t="s">
        <v>14</v>
      </c>
      <c r="D178" t="s">
        <v>15</v>
      </c>
      <c r="E178" t="s">
        <v>26</v>
      </c>
      <c r="F178" t="s">
        <v>39</v>
      </c>
      <c r="G178" t="s">
        <v>1035</v>
      </c>
      <c r="H178" t="s">
        <v>1043</v>
      </c>
      <c r="I178" s="1">
        <v>43527</v>
      </c>
      <c r="J178" t="s">
        <v>1046</v>
      </c>
      <c r="K178" s="5">
        <v>0.7090277777777777</v>
      </c>
      <c r="L178" t="s">
        <v>28</v>
      </c>
      <c r="M178">
        <v>8.8680000000000003</v>
      </c>
      <c r="N178">
        <v>9.6</v>
      </c>
    </row>
    <row r="179" spans="1:14" x14ac:dyDescent="0.25">
      <c r="A179" t="s">
        <v>208</v>
      </c>
      <c r="B179" t="s">
        <v>20</v>
      </c>
      <c r="C179" t="s">
        <v>21</v>
      </c>
      <c r="D179" t="s">
        <v>22</v>
      </c>
      <c r="E179" t="s">
        <v>16</v>
      </c>
      <c r="F179" t="s">
        <v>41</v>
      </c>
      <c r="G179" t="s">
        <v>1039</v>
      </c>
      <c r="H179" t="s">
        <v>1042</v>
      </c>
      <c r="I179" s="1">
        <v>43509</v>
      </c>
      <c r="J179" t="s">
        <v>1044</v>
      </c>
      <c r="K179" s="5">
        <v>0.4513888888888889</v>
      </c>
      <c r="L179" t="s">
        <v>28</v>
      </c>
      <c r="M179">
        <v>7.8784999999999998</v>
      </c>
      <c r="N179">
        <v>4.8</v>
      </c>
    </row>
    <row r="180" spans="1:14" x14ac:dyDescent="0.25">
      <c r="A180" t="s">
        <v>209</v>
      </c>
      <c r="B180" t="s">
        <v>13</v>
      </c>
      <c r="C180" t="s">
        <v>14</v>
      </c>
      <c r="D180" t="s">
        <v>22</v>
      </c>
      <c r="E180" t="s">
        <v>26</v>
      </c>
      <c r="F180" t="s">
        <v>39</v>
      </c>
      <c r="G180" t="s">
        <v>1038</v>
      </c>
      <c r="H180" t="s">
        <v>1043</v>
      </c>
      <c r="I180" s="1">
        <v>43547</v>
      </c>
      <c r="J180" t="s">
        <v>1046</v>
      </c>
      <c r="K180" s="5">
        <v>0.8027777777777777</v>
      </c>
      <c r="L180" t="s">
        <v>18</v>
      </c>
      <c r="M180">
        <v>22.164000000000001</v>
      </c>
      <c r="N180">
        <v>4.4000000000000004</v>
      </c>
    </row>
    <row r="181" spans="1:14" x14ac:dyDescent="0.25">
      <c r="A181" t="s">
        <v>210</v>
      </c>
      <c r="B181" t="s">
        <v>20</v>
      </c>
      <c r="C181" t="s">
        <v>21</v>
      </c>
      <c r="D181" t="s">
        <v>15</v>
      </c>
      <c r="E181" t="s">
        <v>26</v>
      </c>
      <c r="F181" t="s">
        <v>17</v>
      </c>
      <c r="G181" t="s">
        <v>1037</v>
      </c>
      <c r="H181" t="s">
        <v>1041</v>
      </c>
      <c r="I181" s="1">
        <v>43493</v>
      </c>
      <c r="J181" t="s">
        <v>1046</v>
      </c>
      <c r="K181" s="5">
        <v>0.69930555555555562</v>
      </c>
      <c r="L181" t="s">
        <v>18</v>
      </c>
      <c r="M181">
        <v>13.02</v>
      </c>
      <c r="N181">
        <v>9.9</v>
      </c>
    </row>
    <row r="182" spans="1:14" x14ac:dyDescent="0.25">
      <c r="A182" t="s">
        <v>211</v>
      </c>
      <c r="B182" t="s">
        <v>20</v>
      </c>
      <c r="C182" t="s">
        <v>21</v>
      </c>
      <c r="D182" t="s">
        <v>22</v>
      </c>
      <c r="E182" t="s">
        <v>26</v>
      </c>
      <c r="F182" t="s">
        <v>41</v>
      </c>
      <c r="G182" t="s">
        <v>1039</v>
      </c>
      <c r="H182" t="s">
        <v>1042</v>
      </c>
      <c r="I182" s="1">
        <v>43505</v>
      </c>
      <c r="J182" t="s">
        <v>1044</v>
      </c>
      <c r="K182" s="5">
        <v>0.41666666666666669</v>
      </c>
      <c r="L182" t="s">
        <v>24</v>
      </c>
      <c r="M182">
        <v>22.491</v>
      </c>
      <c r="N182">
        <v>5.7</v>
      </c>
    </row>
    <row r="183" spans="1:14" x14ac:dyDescent="0.25">
      <c r="A183" t="s">
        <v>212</v>
      </c>
      <c r="B183" t="s">
        <v>20</v>
      </c>
      <c r="C183" t="s">
        <v>21</v>
      </c>
      <c r="D183" t="s">
        <v>15</v>
      </c>
      <c r="E183" t="s">
        <v>26</v>
      </c>
      <c r="F183" t="s">
        <v>39</v>
      </c>
      <c r="G183" t="s">
        <v>1036</v>
      </c>
      <c r="H183" t="s">
        <v>1041</v>
      </c>
      <c r="I183" s="1">
        <v>43488</v>
      </c>
      <c r="J183" t="s">
        <v>1044</v>
      </c>
      <c r="K183" s="5">
        <v>0.49374999999999997</v>
      </c>
      <c r="L183" t="s">
        <v>24</v>
      </c>
      <c r="M183">
        <v>15.388</v>
      </c>
      <c r="N183">
        <v>7.7</v>
      </c>
    </row>
    <row r="184" spans="1:14" x14ac:dyDescent="0.25">
      <c r="A184" t="s">
        <v>213</v>
      </c>
      <c r="B184" t="s">
        <v>13</v>
      </c>
      <c r="C184" t="s">
        <v>14</v>
      </c>
      <c r="D184" t="s">
        <v>15</v>
      </c>
      <c r="E184" t="s">
        <v>26</v>
      </c>
      <c r="F184" t="s">
        <v>31</v>
      </c>
      <c r="G184" t="s">
        <v>1038</v>
      </c>
      <c r="H184" t="s">
        <v>1043</v>
      </c>
      <c r="I184" s="1">
        <v>43547</v>
      </c>
      <c r="J184" t="s">
        <v>1044</v>
      </c>
      <c r="K184" s="5">
        <v>0.4548611111111111</v>
      </c>
      <c r="L184" t="s">
        <v>18</v>
      </c>
      <c r="M184">
        <v>7.75</v>
      </c>
      <c r="N184">
        <v>8</v>
      </c>
    </row>
    <row r="185" spans="1:14" x14ac:dyDescent="0.25">
      <c r="A185" t="s">
        <v>214</v>
      </c>
      <c r="B185" t="s">
        <v>20</v>
      </c>
      <c r="C185" t="s">
        <v>21</v>
      </c>
      <c r="D185" t="s">
        <v>22</v>
      </c>
      <c r="E185" t="s">
        <v>26</v>
      </c>
      <c r="F185" t="s">
        <v>17</v>
      </c>
      <c r="G185" t="s">
        <v>1036</v>
      </c>
      <c r="H185" t="s">
        <v>1041</v>
      </c>
      <c r="I185" s="1">
        <v>43490</v>
      </c>
      <c r="J185" t="s">
        <v>1045</v>
      </c>
      <c r="K185" s="5">
        <v>0.625</v>
      </c>
      <c r="L185" t="s">
        <v>18</v>
      </c>
      <c r="M185">
        <v>13.724</v>
      </c>
      <c r="N185">
        <v>5.7</v>
      </c>
    </row>
    <row r="186" spans="1:14" x14ac:dyDescent="0.25">
      <c r="A186" t="s">
        <v>215</v>
      </c>
      <c r="B186" t="s">
        <v>13</v>
      </c>
      <c r="C186" t="s">
        <v>14</v>
      </c>
      <c r="D186" t="s">
        <v>22</v>
      </c>
      <c r="E186" t="s">
        <v>16</v>
      </c>
      <c r="F186" t="s">
        <v>31</v>
      </c>
      <c r="G186" t="s">
        <v>1035</v>
      </c>
      <c r="H186" t="s">
        <v>1043</v>
      </c>
      <c r="I186" s="1">
        <v>43528</v>
      </c>
      <c r="J186" t="s">
        <v>1044</v>
      </c>
      <c r="K186" s="5">
        <v>0.47152777777777777</v>
      </c>
      <c r="L186" t="s">
        <v>28</v>
      </c>
      <c r="M186">
        <v>4.319</v>
      </c>
      <c r="N186">
        <v>6.7</v>
      </c>
    </row>
    <row r="187" spans="1:14" x14ac:dyDescent="0.25">
      <c r="A187" t="s">
        <v>216</v>
      </c>
      <c r="B187" t="s">
        <v>37</v>
      </c>
      <c r="C187" t="s">
        <v>38</v>
      </c>
      <c r="D187" t="s">
        <v>15</v>
      </c>
      <c r="E187" t="s">
        <v>26</v>
      </c>
      <c r="F187" t="s">
        <v>39</v>
      </c>
      <c r="G187" t="s">
        <v>1035</v>
      </c>
      <c r="H187" t="s">
        <v>1043</v>
      </c>
      <c r="I187" s="1">
        <v>43529</v>
      </c>
      <c r="J187" t="s">
        <v>1046</v>
      </c>
      <c r="K187" s="5">
        <v>0.82361111111111107</v>
      </c>
      <c r="L187" t="s">
        <v>18</v>
      </c>
      <c r="M187">
        <v>2.7120000000000002</v>
      </c>
      <c r="N187">
        <v>8</v>
      </c>
    </row>
    <row r="188" spans="1:14" x14ac:dyDescent="0.25">
      <c r="A188" t="s">
        <v>217</v>
      </c>
      <c r="B188" t="s">
        <v>37</v>
      </c>
      <c r="C188" t="s">
        <v>38</v>
      </c>
      <c r="D188" t="s">
        <v>15</v>
      </c>
      <c r="E188" t="s">
        <v>16</v>
      </c>
      <c r="F188" t="s">
        <v>27</v>
      </c>
      <c r="G188" t="s">
        <v>1035</v>
      </c>
      <c r="H188" t="s">
        <v>1043</v>
      </c>
      <c r="I188" s="1">
        <v>43527</v>
      </c>
      <c r="J188" t="s">
        <v>1046</v>
      </c>
      <c r="K188" s="5">
        <v>0.79166666666666663</v>
      </c>
      <c r="L188" t="s">
        <v>18</v>
      </c>
      <c r="M188">
        <v>37.795999999999999</v>
      </c>
      <c r="N188">
        <v>7.5</v>
      </c>
    </row>
    <row r="189" spans="1:14" x14ac:dyDescent="0.25">
      <c r="A189" t="s">
        <v>218</v>
      </c>
      <c r="B189" t="s">
        <v>37</v>
      </c>
      <c r="C189" t="s">
        <v>38</v>
      </c>
      <c r="D189" t="s">
        <v>15</v>
      </c>
      <c r="E189" t="s">
        <v>26</v>
      </c>
      <c r="F189" t="s">
        <v>27</v>
      </c>
      <c r="G189" t="s">
        <v>1038</v>
      </c>
      <c r="H189" t="s">
        <v>1042</v>
      </c>
      <c r="I189" s="1">
        <v>43504</v>
      </c>
      <c r="J189" t="s">
        <v>1044</v>
      </c>
      <c r="K189" s="5">
        <v>0.45347222222222222</v>
      </c>
      <c r="L189" t="s">
        <v>24</v>
      </c>
      <c r="M189">
        <v>9.2940000000000005</v>
      </c>
      <c r="N189">
        <v>7</v>
      </c>
    </row>
    <row r="190" spans="1:14" x14ac:dyDescent="0.25">
      <c r="A190" t="s">
        <v>219</v>
      </c>
      <c r="B190" t="s">
        <v>13</v>
      </c>
      <c r="C190" t="s">
        <v>14</v>
      </c>
      <c r="D190" t="s">
        <v>22</v>
      </c>
      <c r="E190" t="s">
        <v>26</v>
      </c>
      <c r="F190" t="s">
        <v>27</v>
      </c>
      <c r="G190" t="s">
        <v>1039</v>
      </c>
      <c r="H190" t="s">
        <v>1042</v>
      </c>
      <c r="I190" s="1">
        <v>43506</v>
      </c>
      <c r="J190" t="s">
        <v>1045</v>
      </c>
      <c r="K190" s="5">
        <v>0.53472222222222221</v>
      </c>
      <c r="L190" t="s">
        <v>18</v>
      </c>
      <c r="M190">
        <v>3.7035</v>
      </c>
      <c r="N190">
        <v>9.9</v>
      </c>
    </row>
    <row r="191" spans="1:14" x14ac:dyDescent="0.25">
      <c r="A191" t="s">
        <v>220</v>
      </c>
      <c r="B191" t="s">
        <v>20</v>
      </c>
      <c r="C191" t="s">
        <v>21</v>
      </c>
      <c r="D191" t="s">
        <v>22</v>
      </c>
      <c r="E191" t="s">
        <v>16</v>
      </c>
      <c r="F191" t="s">
        <v>27</v>
      </c>
      <c r="G191" t="s">
        <v>1037</v>
      </c>
      <c r="H191" t="s">
        <v>1041</v>
      </c>
      <c r="I191" s="1">
        <v>43493</v>
      </c>
      <c r="J191" t="s">
        <v>1046</v>
      </c>
      <c r="K191" s="5">
        <v>0.86805555555555547</v>
      </c>
      <c r="L191" t="s">
        <v>28</v>
      </c>
      <c r="M191">
        <v>13.962</v>
      </c>
      <c r="N191">
        <v>5.9</v>
      </c>
    </row>
    <row r="192" spans="1:14" x14ac:dyDescent="0.25">
      <c r="A192" t="s">
        <v>221</v>
      </c>
      <c r="B192" t="s">
        <v>37</v>
      </c>
      <c r="C192" t="s">
        <v>38</v>
      </c>
      <c r="D192" t="s">
        <v>22</v>
      </c>
      <c r="E192" t="s">
        <v>16</v>
      </c>
      <c r="F192" t="s">
        <v>27</v>
      </c>
      <c r="G192" t="s">
        <v>1039</v>
      </c>
      <c r="H192" t="s">
        <v>1042</v>
      </c>
      <c r="I192" s="1">
        <v>43507</v>
      </c>
      <c r="J192" t="s">
        <v>1044</v>
      </c>
      <c r="K192" s="5">
        <v>0.44375000000000003</v>
      </c>
      <c r="L192" t="s">
        <v>28</v>
      </c>
      <c r="M192">
        <v>11.555999999999999</v>
      </c>
      <c r="N192">
        <v>7.2</v>
      </c>
    </row>
    <row r="193" spans="1:14" x14ac:dyDescent="0.25">
      <c r="A193" t="s">
        <v>222</v>
      </c>
      <c r="B193" t="s">
        <v>37</v>
      </c>
      <c r="C193" t="s">
        <v>38</v>
      </c>
      <c r="D193" t="s">
        <v>22</v>
      </c>
      <c r="E193" t="s">
        <v>16</v>
      </c>
      <c r="F193" t="s">
        <v>41</v>
      </c>
      <c r="G193" t="s">
        <v>1035</v>
      </c>
      <c r="H193" t="s">
        <v>1041</v>
      </c>
      <c r="I193" s="1">
        <v>43480</v>
      </c>
      <c r="J193" t="s">
        <v>1045</v>
      </c>
      <c r="K193" s="5">
        <v>0.57013888888888886</v>
      </c>
      <c r="L193" t="s">
        <v>18</v>
      </c>
      <c r="M193">
        <v>7.3520000000000003</v>
      </c>
      <c r="N193">
        <v>4.5999999999999996</v>
      </c>
    </row>
    <row r="194" spans="1:14" x14ac:dyDescent="0.25">
      <c r="A194" t="s">
        <v>223</v>
      </c>
      <c r="B194" t="s">
        <v>20</v>
      </c>
      <c r="C194" t="s">
        <v>21</v>
      </c>
      <c r="D194" t="s">
        <v>22</v>
      </c>
      <c r="E194" t="s">
        <v>16</v>
      </c>
      <c r="F194" t="s">
        <v>39</v>
      </c>
      <c r="G194" t="s">
        <v>1037</v>
      </c>
      <c r="H194" t="s">
        <v>1043</v>
      </c>
      <c r="I194" s="1">
        <v>43540</v>
      </c>
      <c r="J194" t="s">
        <v>1046</v>
      </c>
      <c r="K194" s="5">
        <v>0.79722222222222217</v>
      </c>
      <c r="L194" t="s">
        <v>24</v>
      </c>
      <c r="M194">
        <v>39.51</v>
      </c>
      <c r="N194">
        <v>9.1999999999999993</v>
      </c>
    </row>
    <row r="195" spans="1:14" x14ac:dyDescent="0.25">
      <c r="A195" t="s">
        <v>224</v>
      </c>
      <c r="B195" t="s">
        <v>37</v>
      </c>
      <c r="C195" t="s">
        <v>38</v>
      </c>
      <c r="D195" t="s">
        <v>22</v>
      </c>
      <c r="E195" t="s">
        <v>26</v>
      </c>
      <c r="F195" t="s">
        <v>27</v>
      </c>
      <c r="G195" t="s">
        <v>1037</v>
      </c>
      <c r="H195" t="s">
        <v>1041</v>
      </c>
      <c r="I195" s="1">
        <v>43491</v>
      </c>
      <c r="J195" t="s">
        <v>1046</v>
      </c>
      <c r="K195" s="5">
        <v>0.84930555555555554</v>
      </c>
      <c r="L195" t="s">
        <v>18</v>
      </c>
      <c r="M195">
        <v>5.1100000000000003</v>
      </c>
      <c r="N195">
        <v>5.7</v>
      </c>
    </row>
    <row r="196" spans="1:14" x14ac:dyDescent="0.25">
      <c r="A196" t="s">
        <v>225</v>
      </c>
      <c r="B196" t="s">
        <v>13</v>
      </c>
      <c r="C196" t="s">
        <v>14</v>
      </c>
      <c r="D196" t="s">
        <v>22</v>
      </c>
      <c r="E196" t="s">
        <v>26</v>
      </c>
      <c r="F196" t="s">
        <v>23</v>
      </c>
      <c r="G196" t="s">
        <v>1037</v>
      </c>
      <c r="H196" t="s">
        <v>1043</v>
      </c>
      <c r="I196" s="1">
        <v>43543</v>
      </c>
      <c r="J196" t="s">
        <v>1044</v>
      </c>
      <c r="K196" s="5">
        <v>0.47916666666666669</v>
      </c>
      <c r="L196" t="s">
        <v>28</v>
      </c>
      <c r="M196">
        <v>8.1775000000000002</v>
      </c>
      <c r="N196">
        <v>9.9</v>
      </c>
    </row>
    <row r="197" spans="1:14" x14ac:dyDescent="0.25">
      <c r="A197" t="s">
        <v>226</v>
      </c>
      <c r="B197" t="s">
        <v>20</v>
      </c>
      <c r="C197" t="s">
        <v>21</v>
      </c>
      <c r="D197" t="s">
        <v>15</v>
      </c>
      <c r="E197" t="s">
        <v>16</v>
      </c>
      <c r="F197" t="s">
        <v>41</v>
      </c>
      <c r="G197" t="s">
        <v>1035</v>
      </c>
      <c r="H197" t="s">
        <v>1041</v>
      </c>
      <c r="I197" s="1">
        <v>43478</v>
      </c>
      <c r="J197" t="s">
        <v>1046</v>
      </c>
      <c r="K197" s="5">
        <v>0.8125</v>
      </c>
      <c r="L197" t="s">
        <v>24</v>
      </c>
      <c r="M197">
        <v>3.7145000000000001</v>
      </c>
      <c r="N197">
        <v>5</v>
      </c>
    </row>
    <row r="198" spans="1:14" x14ac:dyDescent="0.25">
      <c r="A198" t="s">
        <v>227</v>
      </c>
      <c r="B198" t="s">
        <v>20</v>
      </c>
      <c r="C198" t="s">
        <v>21</v>
      </c>
      <c r="D198" t="s">
        <v>15</v>
      </c>
      <c r="E198" t="s">
        <v>26</v>
      </c>
      <c r="F198" t="s">
        <v>17</v>
      </c>
      <c r="G198" t="s">
        <v>1038</v>
      </c>
      <c r="H198" t="s">
        <v>1043</v>
      </c>
      <c r="I198" s="1">
        <v>43550</v>
      </c>
      <c r="J198" t="s">
        <v>1046</v>
      </c>
      <c r="K198" s="5">
        <v>0.75208333333333333</v>
      </c>
      <c r="L198" t="s">
        <v>24</v>
      </c>
      <c r="M198">
        <v>4.37</v>
      </c>
      <c r="N198">
        <v>4.9000000000000004</v>
      </c>
    </row>
    <row r="199" spans="1:14" x14ac:dyDescent="0.25">
      <c r="A199" t="s">
        <v>228</v>
      </c>
      <c r="B199" t="s">
        <v>13</v>
      </c>
      <c r="C199" t="s">
        <v>14</v>
      </c>
      <c r="D199" t="s">
        <v>22</v>
      </c>
      <c r="E199" t="s">
        <v>16</v>
      </c>
      <c r="F199" t="s">
        <v>27</v>
      </c>
      <c r="G199" t="s">
        <v>1038</v>
      </c>
      <c r="H199" t="s">
        <v>1043</v>
      </c>
      <c r="I199" s="1">
        <v>43547</v>
      </c>
      <c r="J199" t="s">
        <v>1044</v>
      </c>
      <c r="K199" s="5">
        <v>0.42569444444444443</v>
      </c>
      <c r="L199" t="s">
        <v>18</v>
      </c>
      <c r="M199">
        <v>1.2645</v>
      </c>
      <c r="N199">
        <v>6.1</v>
      </c>
    </row>
    <row r="200" spans="1:14" x14ac:dyDescent="0.25">
      <c r="A200" t="s">
        <v>229</v>
      </c>
      <c r="B200" t="s">
        <v>20</v>
      </c>
      <c r="C200" t="s">
        <v>21</v>
      </c>
      <c r="D200" t="s">
        <v>22</v>
      </c>
      <c r="E200" t="s">
        <v>26</v>
      </c>
      <c r="F200" t="s">
        <v>17</v>
      </c>
      <c r="G200" t="s">
        <v>1036</v>
      </c>
      <c r="H200" t="s">
        <v>1043</v>
      </c>
      <c r="I200" s="1">
        <v>43536</v>
      </c>
      <c r="J200" t="s">
        <v>1046</v>
      </c>
      <c r="K200" s="5">
        <v>0.83194444444444438</v>
      </c>
      <c r="L200" t="s">
        <v>28</v>
      </c>
      <c r="M200">
        <v>8.3000000000000007</v>
      </c>
      <c r="N200">
        <v>8.1999999999999993</v>
      </c>
    </row>
    <row r="201" spans="1:14" x14ac:dyDescent="0.25">
      <c r="A201" t="s">
        <v>230</v>
      </c>
      <c r="B201" t="s">
        <v>20</v>
      </c>
      <c r="C201" t="s">
        <v>21</v>
      </c>
      <c r="D201" t="s">
        <v>15</v>
      </c>
      <c r="E201" t="s">
        <v>16</v>
      </c>
      <c r="F201" t="s">
        <v>39</v>
      </c>
      <c r="G201" t="s">
        <v>1040</v>
      </c>
      <c r="H201" t="s">
        <v>1042</v>
      </c>
      <c r="I201" s="1">
        <v>43513</v>
      </c>
      <c r="J201" t="s">
        <v>1046</v>
      </c>
      <c r="K201" s="5">
        <v>0.83124999999999993</v>
      </c>
      <c r="L201" t="s">
        <v>28</v>
      </c>
      <c r="M201">
        <v>17.8475</v>
      </c>
      <c r="N201">
        <v>5.5</v>
      </c>
    </row>
    <row r="202" spans="1:14" x14ac:dyDescent="0.25">
      <c r="A202" t="s">
        <v>231</v>
      </c>
      <c r="B202" t="s">
        <v>20</v>
      </c>
      <c r="C202" t="s">
        <v>21</v>
      </c>
      <c r="D202" t="s">
        <v>15</v>
      </c>
      <c r="E202" t="s">
        <v>16</v>
      </c>
      <c r="F202" t="s">
        <v>31</v>
      </c>
      <c r="G202" t="s">
        <v>1037</v>
      </c>
      <c r="H202" t="s">
        <v>1041</v>
      </c>
      <c r="I202" s="1">
        <v>43494</v>
      </c>
      <c r="J202" t="s">
        <v>1044</v>
      </c>
      <c r="K202" s="5">
        <v>0.41736111111111113</v>
      </c>
      <c r="L202" t="s">
        <v>28</v>
      </c>
      <c r="M202">
        <v>5.7450000000000001</v>
      </c>
      <c r="N202">
        <v>6.8</v>
      </c>
    </row>
    <row r="203" spans="1:14" x14ac:dyDescent="0.25">
      <c r="A203" t="s">
        <v>232</v>
      </c>
      <c r="B203" t="s">
        <v>37</v>
      </c>
      <c r="C203" t="s">
        <v>38</v>
      </c>
      <c r="D203" t="s">
        <v>15</v>
      </c>
      <c r="E203" t="s">
        <v>16</v>
      </c>
      <c r="F203" t="s">
        <v>23</v>
      </c>
      <c r="G203" t="s">
        <v>1036</v>
      </c>
      <c r="H203" t="s">
        <v>1043</v>
      </c>
      <c r="I203" s="1">
        <v>43539</v>
      </c>
      <c r="J203" t="s">
        <v>1044</v>
      </c>
      <c r="K203" s="5">
        <v>0.49791666666666662</v>
      </c>
      <c r="L203" t="s">
        <v>24</v>
      </c>
      <c r="M203">
        <v>11.497999999999999</v>
      </c>
      <c r="N203">
        <v>6.6</v>
      </c>
    </row>
    <row r="204" spans="1:14" x14ac:dyDescent="0.25">
      <c r="A204" t="s">
        <v>233</v>
      </c>
      <c r="B204" t="s">
        <v>20</v>
      </c>
      <c r="C204" t="s">
        <v>21</v>
      </c>
      <c r="D204" t="s">
        <v>22</v>
      </c>
      <c r="E204" t="s">
        <v>26</v>
      </c>
      <c r="F204" t="s">
        <v>23</v>
      </c>
      <c r="G204" t="s">
        <v>1035</v>
      </c>
      <c r="H204" t="s">
        <v>1041</v>
      </c>
      <c r="I204" s="1">
        <v>43479</v>
      </c>
      <c r="J204" t="s">
        <v>1044</v>
      </c>
      <c r="K204" s="5">
        <v>0.41805555555555557</v>
      </c>
      <c r="L204" t="s">
        <v>24</v>
      </c>
      <c r="M204">
        <v>21.493500000000001</v>
      </c>
      <c r="N204">
        <v>9.8000000000000007</v>
      </c>
    </row>
    <row r="205" spans="1:14" x14ac:dyDescent="0.25">
      <c r="A205" t="s">
        <v>234</v>
      </c>
      <c r="B205" t="s">
        <v>37</v>
      </c>
      <c r="C205" t="s">
        <v>38</v>
      </c>
      <c r="D205" t="s">
        <v>15</v>
      </c>
      <c r="E205" t="s">
        <v>26</v>
      </c>
      <c r="F205" t="s">
        <v>17</v>
      </c>
      <c r="G205" t="s">
        <v>1038</v>
      </c>
      <c r="H205" t="s">
        <v>1042</v>
      </c>
      <c r="I205" s="1">
        <v>43502</v>
      </c>
      <c r="J205" t="s">
        <v>1045</v>
      </c>
      <c r="K205" s="5">
        <v>0.61875000000000002</v>
      </c>
      <c r="L205" t="s">
        <v>18</v>
      </c>
      <c r="M205">
        <v>12.95</v>
      </c>
      <c r="N205">
        <v>8.6999999999999993</v>
      </c>
    </row>
    <row r="206" spans="1:14" x14ac:dyDescent="0.25">
      <c r="A206" t="s">
        <v>235</v>
      </c>
      <c r="B206" t="s">
        <v>37</v>
      </c>
      <c r="C206" t="s">
        <v>38</v>
      </c>
      <c r="D206" t="s">
        <v>15</v>
      </c>
      <c r="E206" t="s">
        <v>26</v>
      </c>
      <c r="F206" t="s">
        <v>27</v>
      </c>
      <c r="G206" t="s">
        <v>1039</v>
      </c>
      <c r="H206" t="s">
        <v>1042</v>
      </c>
      <c r="I206" s="1">
        <v>43511</v>
      </c>
      <c r="J206" t="s">
        <v>1045</v>
      </c>
      <c r="K206" s="5">
        <v>0.52916666666666667</v>
      </c>
      <c r="L206" t="s">
        <v>28</v>
      </c>
      <c r="M206">
        <v>4.4424999999999999</v>
      </c>
      <c r="N206">
        <v>5.4</v>
      </c>
    </row>
    <row r="207" spans="1:14" x14ac:dyDescent="0.25">
      <c r="A207" t="s">
        <v>236</v>
      </c>
      <c r="B207" t="s">
        <v>13</v>
      </c>
      <c r="C207" t="s">
        <v>14</v>
      </c>
      <c r="D207" t="s">
        <v>22</v>
      </c>
      <c r="E207" t="s">
        <v>16</v>
      </c>
      <c r="F207" t="s">
        <v>17</v>
      </c>
      <c r="G207" t="s">
        <v>1040</v>
      </c>
      <c r="H207" t="s">
        <v>1041</v>
      </c>
      <c r="I207" s="1">
        <v>43468</v>
      </c>
      <c r="J207" t="s">
        <v>1045</v>
      </c>
      <c r="K207" s="5">
        <v>0.50138888888888888</v>
      </c>
      <c r="L207" t="s">
        <v>18</v>
      </c>
      <c r="M207">
        <v>10.3635</v>
      </c>
      <c r="N207">
        <v>7.9</v>
      </c>
    </row>
    <row r="208" spans="1:14" x14ac:dyDescent="0.25">
      <c r="A208" t="s">
        <v>237</v>
      </c>
      <c r="B208" t="s">
        <v>20</v>
      </c>
      <c r="C208" t="s">
        <v>21</v>
      </c>
      <c r="D208" t="s">
        <v>15</v>
      </c>
      <c r="E208" t="s">
        <v>16</v>
      </c>
      <c r="F208" t="s">
        <v>23</v>
      </c>
      <c r="G208" t="s">
        <v>1040</v>
      </c>
      <c r="H208" t="s">
        <v>1041</v>
      </c>
      <c r="I208" s="1">
        <v>43469</v>
      </c>
      <c r="J208" t="s">
        <v>1046</v>
      </c>
      <c r="K208" s="5">
        <v>0.7631944444444444</v>
      </c>
      <c r="L208" t="s">
        <v>28</v>
      </c>
      <c r="M208">
        <v>29.9925</v>
      </c>
      <c r="N208">
        <v>9.6999999999999993</v>
      </c>
    </row>
    <row r="209" spans="1:14" x14ac:dyDescent="0.25">
      <c r="A209" t="s">
        <v>238</v>
      </c>
      <c r="B209" t="s">
        <v>20</v>
      </c>
      <c r="C209" t="s">
        <v>21</v>
      </c>
      <c r="D209" t="s">
        <v>15</v>
      </c>
      <c r="E209" t="s">
        <v>16</v>
      </c>
      <c r="F209" t="s">
        <v>27</v>
      </c>
      <c r="G209" t="s">
        <v>1037</v>
      </c>
      <c r="H209" t="s">
        <v>1043</v>
      </c>
      <c r="I209" s="1">
        <v>43542</v>
      </c>
      <c r="J209" t="s">
        <v>1046</v>
      </c>
      <c r="K209" s="5">
        <v>0.73472222222222217</v>
      </c>
      <c r="L209" t="s">
        <v>18</v>
      </c>
      <c r="M209">
        <v>14.265000000000001</v>
      </c>
      <c r="N209">
        <v>7.8</v>
      </c>
    </row>
    <row r="210" spans="1:14" x14ac:dyDescent="0.25">
      <c r="A210" t="s">
        <v>239</v>
      </c>
      <c r="B210" t="s">
        <v>37</v>
      </c>
      <c r="C210" t="s">
        <v>38</v>
      </c>
      <c r="D210" t="s">
        <v>22</v>
      </c>
      <c r="E210" t="s">
        <v>16</v>
      </c>
      <c r="F210" t="s">
        <v>41</v>
      </c>
      <c r="G210" t="s">
        <v>1038</v>
      </c>
      <c r="H210" t="s">
        <v>1043</v>
      </c>
      <c r="I210" s="1">
        <v>43552</v>
      </c>
      <c r="J210" t="s">
        <v>1045</v>
      </c>
      <c r="K210" s="5">
        <v>0.57013888888888886</v>
      </c>
      <c r="L210" t="s">
        <v>18</v>
      </c>
      <c r="M210">
        <v>4.5555000000000003</v>
      </c>
      <c r="N210">
        <v>5.0999999999999996</v>
      </c>
    </row>
    <row r="211" spans="1:14" x14ac:dyDescent="0.25">
      <c r="A211" t="s">
        <v>240</v>
      </c>
      <c r="B211" t="s">
        <v>37</v>
      </c>
      <c r="C211" t="s">
        <v>38</v>
      </c>
      <c r="D211" t="s">
        <v>22</v>
      </c>
      <c r="E211" t="s">
        <v>16</v>
      </c>
      <c r="F211" t="s">
        <v>23</v>
      </c>
      <c r="G211" t="s">
        <v>1035</v>
      </c>
      <c r="H211" t="s">
        <v>1043</v>
      </c>
      <c r="I211" s="1">
        <v>43526</v>
      </c>
      <c r="J211" t="s">
        <v>1046</v>
      </c>
      <c r="K211" s="5">
        <v>0.8208333333333333</v>
      </c>
      <c r="L211" t="s">
        <v>28</v>
      </c>
      <c r="M211">
        <v>44.878500000000003</v>
      </c>
      <c r="N211">
        <v>6.5</v>
      </c>
    </row>
    <row r="212" spans="1:14" x14ac:dyDescent="0.25">
      <c r="A212" t="s">
        <v>241</v>
      </c>
      <c r="B212" t="s">
        <v>13</v>
      </c>
      <c r="C212" t="s">
        <v>14</v>
      </c>
      <c r="D212" t="s">
        <v>22</v>
      </c>
      <c r="E212" t="s">
        <v>26</v>
      </c>
      <c r="F212" t="s">
        <v>23</v>
      </c>
      <c r="G212" t="s">
        <v>1036</v>
      </c>
      <c r="H212" t="s">
        <v>1041</v>
      </c>
      <c r="I212" s="1">
        <v>43490</v>
      </c>
      <c r="J212" t="s">
        <v>1046</v>
      </c>
      <c r="K212" s="5">
        <v>0.85</v>
      </c>
      <c r="L212" t="s">
        <v>18</v>
      </c>
      <c r="M212">
        <v>11.8035</v>
      </c>
      <c r="N212">
        <v>5.9</v>
      </c>
    </row>
    <row r="213" spans="1:14" x14ac:dyDescent="0.25">
      <c r="A213" t="s">
        <v>242</v>
      </c>
      <c r="B213" t="s">
        <v>20</v>
      </c>
      <c r="C213" t="s">
        <v>21</v>
      </c>
      <c r="D213" t="s">
        <v>22</v>
      </c>
      <c r="E213" t="s">
        <v>16</v>
      </c>
      <c r="F213" t="s">
        <v>39</v>
      </c>
      <c r="G213" t="s">
        <v>1035</v>
      </c>
      <c r="H213" t="s">
        <v>1041</v>
      </c>
      <c r="I213" s="1">
        <v>43481</v>
      </c>
      <c r="J213" t="s">
        <v>1046</v>
      </c>
      <c r="K213" s="5">
        <v>0.75555555555555554</v>
      </c>
      <c r="L213" t="s">
        <v>24</v>
      </c>
      <c r="M213">
        <v>41.966999999999999</v>
      </c>
      <c r="N213">
        <v>8.8000000000000007</v>
      </c>
    </row>
    <row r="214" spans="1:14" x14ac:dyDescent="0.25">
      <c r="A214" t="s">
        <v>243</v>
      </c>
      <c r="B214" t="s">
        <v>37</v>
      </c>
      <c r="C214" t="s">
        <v>38</v>
      </c>
      <c r="D214" t="s">
        <v>22</v>
      </c>
      <c r="E214" t="s">
        <v>26</v>
      </c>
      <c r="F214" t="s">
        <v>27</v>
      </c>
      <c r="G214" t="s">
        <v>1037</v>
      </c>
      <c r="H214" t="s">
        <v>1043</v>
      </c>
      <c r="I214" s="1">
        <v>43544</v>
      </c>
      <c r="J214" t="s">
        <v>1046</v>
      </c>
      <c r="K214" s="5">
        <v>0.80347222222222225</v>
      </c>
      <c r="L214" t="s">
        <v>18</v>
      </c>
      <c r="M214">
        <v>23.09</v>
      </c>
      <c r="N214">
        <v>4.9000000000000004</v>
      </c>
    </row>
    <row r="215" spans="1:14" x14ac:dyDescent="0.25">
      <c r="A215" t="s">
        <v>244</v>
      </c>
      <c r="B215" t="s">
        <v>37</v>
      </c>
      <c r="C215" t="s">
        <v>38</v>
      </c>
      <c r="D215" t="s">
        <v>22</v>
      </c>
      <c r="E215" t="s">
        <v>26</v>
      </c>
      <c r="F215" t="s">
        <v>31</v>
      </c>
      <c r="G215" t="s">
        <v>1040</v>
      </c>
      <c r="H215" t="s">
        <v>1041</v>
      </c>
      <c r="I215" s="1">
        <v>43469</v>
      </c>
      <c r="J215" t="s">
        <v>1045</v>
      </c>
      <c r="K215" s="5">
        <v>0.55833333333333335</v>
      </c>
      <c r="L215" t="s">
        <v>28</v>
      </c>
      <c r="M215">
        <v>6.9630000000000001</v>
      </c>
      <c r="N215">
        <v>4.4000000000000004</v>
      </c>
    </row>
    <row r="216" spans="1:14" x14ac:dyDescent="0.25">
      <c r="A216" t="s">
        <v>245</v>
      </c>
      <c r="B216" t="s">
        <v>37</v>
      </c>
      <c r="C216" t="s">
        <v>38</v>
      </c>
      <c r="D216" t="s">
        <v>15</v>
      </c>
      <c r="E216" t="s">
        <v>16</v>
      </c>
      <c r="F216" t="s">
        <v>31</v>
      </c>
      <c r="G216" t="s">
        <v>1036</v>
      </c>
      <c r="H216" t="s">
        <v>1043</v>
      </c>
      <c r="I216" s="1">
        <v>43535</v>
      </c>
      <c r="J216" t="s">
        <v>1045</v>
      </c>
      <c r="K216" s="5">
        <v>0.66180555555555554</v>
      </c>
      <c r="L216" t="s">
        <v>24</v>
      </c>
      <c r="M216">
        <v>10.3635</v>
      </c>
      <c r="N216">
        <v>6.5</v>
      </c>
    </row>
    <row r="217" spans="1:14" x14ac:dyDescent="0.25">
      <c r="A217" t="s">
        <v>246</v>
      </c>
      <c r="B217" t="s">
        <v>13</v>
      </c>
      <c r="C217" t="s">
        <v>14</v>
      </c>
      <c r="D217" t="s">
        <v>22</v>
      </c>
      <c r="E217" t="s">
        <v>26</v>
      </c>
      <c r="F217" t="s">
        <v>27</v>
      </c>
      <c r="G217" t="s">
        <v>1037</v>
      </c>
      <c r="H217" t="s">
        <v>1043</v>
      </c>
      <c r="I217" s="1">
        <v>43546</v>
      </c>
      <c r="J217" t="s">
        <v>1045</v>
      </c>
      <c r="K217" s="5">
        <v>0.62847222222222221</v>
      </c>
      <c r="L217" t="s">
        <v>28</v>
      </c>
      <c r="M217">
        <v>0.91400000000000003</v>
      </c>
      <c r="N217">
        <v>8.3000000000000007</v>
      </c>
    </row>
    <row r="218" spans="1:14" x14ac:dyDescent="0.25">
      <c r="A218" t="s">
        <v>247</v>
      </c>
      <c r="B218" t="s">
        <v>37</v>
      </c>
      <c r="C218" t="s">
        <v>38</v>
      </c>
      <c r="D218" t="s">
        <v>22</v>
      </c>
      <c r="E218" t="s">
        <v>16</v>
      </c>
      <c r="F218" t="s">
        <v>31</v>
      </c>
      <c r="G218" t="s">
        <v>1038</v>
      </c>
      <c r="H218" t="s">
        <v>1043</v>
      </c>
      <c r="I218" s="1">
        <v>43548</v>
      </c>
      <c r="J218" t="s">
        <v>1046</v>
      </c>
      <c r="K218" s="5">
        <v>0.76874999999999993</v>
      </c>
      <c r="L218" t="s">
        <v>24</v>
      </c>
      <c r="M218">
        <v>6.1924999999999999</v>
      </c>
      <c r="N218">
        <v>8.5</v>
      </c>
    </row>
    <row r="219" spans="1:14" x14ac:dyDescent="0.25">
      <c r="A219" t="s">
        <v>248</v>
      </c>
      <c r="B219" t="s">
        <v>13</v>
      </c>
      <c r="C219" t="s">
        <v>14</v>
      </c>
      <c r="D219" t="s">
        <v>15</v>
      </c>
      <c r="E219" t="s">
        <v>16</v>
      </c>
      <c r="F219" t="s">
        <v>23</v>
      </c>
      <c r="G219" t="s">
        <v>1040</v>
      </c>
      <c r="H219" t="s">
        <v>1042</v>
      </c>
      <c r="I219" s="1">
        <v>43517</v>
      </c>
      <c r="J219" t="s">
        <v>1046</v>
      </c>
      <c r="K219" s="5">
        <v>0.70486111111111116</v>
      </c>
      <c r="L219" t="s">
        <v>24</v>
      </c>
      <c r="M219">
        <v>14.196</v>
      </c>
      <c r="N219">
        <v>5.5</v>
      </c>
    </row>
    <row r="220" spans="1:14" x14ac:dyDescent="0.25">
      <c r="A220" t="s">
        <v>249</v>
      </c>
      <c r="B220" t="s">
        <v>37</v>
      </c>
      <c r="C220" t="s">
        <v>38</v>
      </c>
      <c r="D220" t="s">
        <v>22</v>
      </c>
      <c r="E220" t="s">
        <v>26</v>
      </c>
      <c r="F220" t="s">
        <v>41</v>
      </c>
      <c r="G220" t="s">
        <v>1039</v>
      </c>
      <c r="H220" t="s">
        <v>1042</v>
      </c>
      <c r="I220" s="1">
        <v>43508</v>
      </c>
      <c r="J220" t="s">
        <v>1045</v>
      </c>
      <c r="K220" s="5">
        <v>0.54027777777777775</v>
      </c>
      <c r="L220" t="s">
        <v>18</v>
      </c>
      <c r="M220">
        <v>37.948</v>
      </c>
      <c r="N220">
        <v>8.6999999999999993</v>
      </c>
    </row>
    <row r="221" spans="1:14" x14ac:dyDescent="0.25">
      <c r="A221" t="s">
        <v>250</v>
      </c>
      <c r="B221" t="s">
        <v>37</v>
      </c>
      <c r="C221" t="s">
        <v>38</v>
      </c>
      <c r="D221" t="s">
        <v>22</v>
      </c>
      <c r="E221" t="s">
        <v>16</v>
      </c>
      <c r="F221" t="s">
        <v>39</v>
      </c>
      <c r="G221" t="s">
        <v>1036</v>
      </c>
      <c r="H221" t="s">
        <v>1043</v>
      </c>
      <c r="I221" s="1">
        <v>43534</v>
      </c>
      <c r="J221" t="s">
        <v>1046</v>
      </c>
      <c r="K221" s="5">
        <v>0.7909722222222223</v>
      </c>
      <c r="L221" t="s">
        <v>28</v>
      </c>
      <c r="M221">
        <v>8.6010000000000009</v>
      </c>
      <c r="N221">
        <v>7.9</v>
      </c>
    </row>
    <row r="222" spans="1:14" x14ac:dyDescent="0.25">
      <c r="A222" t="s">
        <v>251</v>
      </c>
      <c r="B222" t="s">
        <v>37</v>
      </c>
      <c r="C222" t="s">
        <v>38</v>
      </c>
      <c r="D222" t="s">
        <v>22</v>
      </c>
      <c r="E222" t="s">
        <v>26</v>
      </c>
      <c r="F222" t="s">
        <v>23</v>
      </c>
      <c r="G222" t="s">
        <v>1037</v>
      </c>
      <c r="H222" t="s">
        <v>1041</v>
      </c>
      <c r="I222" s="1">
        <v>43496</v>
      </c>
      <c r="J222" t="s">
        <v>1045</v>
      </c>
      <c r="K222" s="5">
        <v>0.57222222222222219</v>
      </c>
      <c r="L222" t="s">
        <v>18</v>
      </c>
      <c r="M222">
        <v>13.605</v>
      </c>
      <c r="N222">
        <v>6.1</v>
      </c>
    </row>
    <row r="223" spans="1:14" x14ac:dyDescent="0.25">
      <c r="A223" t="s">
        <v>252</v>
      </c>
      <c r="B223" t="s">
        <v>37</v>
      </c>
      <c r="C223" t="s">
        <v>38</v>
      </c>
      <c r="D223" t="s">
        <v>22</v>
      </c>
      <c r="E223" t="s">
        <v>26</v>
      </c>
      <c r="F223" t="s">
        <v>39</v>
      </c>
      <c r="G223" t="s">
        <v>1035</v>
      </c>
      <c r="H223" t="s">
        <v>1043</v>
      </c>
      <c r="I223" s="1">
        <v>43530</v>
      </c>
      <c r="J223" t="s">
        <v>1045</v>
      </c>
      <c r="K223" s="5">
        <v>0.57361111111111118</v>
      </c>
      <c r="L223" t="s">
        <v>18</v>
      </c>
      <c r="M223">
        <v>21.728000000000002</v>
      </c>
      <c r="N223">
        <v>5.4</v>
      </c>
    </row>
    <row r="224" spans="1:14" x14ac:dyDescent="0.25">
      <c r="A224" t="s">
        <v>253</v>
      </c>
      <c r="B224" t="s">
        <v>20</v>
      </c>
      <c r="C224" t="s">
        <v>21</v>
      </c>
      <c r="D224" t="s">
        <v>22</v>
      </c>
      <c r="E224" t="s">
        <v>26</v>
      </c>
      <c r="F224" t="s">
        <v>23</v>
      </c>
      <c r="G224" t="s">
        <v>1040</v>
      </c>
      <c r="H224" t="s">
        <v>1042</v>
      </c>
      <c r="I224" s="1">
        <v>43513</v>
      </c>
      <c r="J224" t="s">
        <v>1046</v>
      </c>
      <c r="K224" s="5">
        <v>0.75416666666666676</v>
      </c>
      <c r="L224" t="s">
        <v>24</v>
      </c>
      <c r="M224">
        <v>2.9525000000000001</v>
      </c>
      <c r="N224">
        <v>9.4</v>
      </c>
    </row>
    <row r="225" spans="1:14" x14ac:dyDescent="0.25">
      <c r="A225" t="s">
        <v>254</v>
      </c>
      <c r="B225" t="s">
        <v>20</v>
      </c>
      <c r="C225" t="s">
        <v>21</v>
      </c>
      <c r="D225" t="s">
        <v>15</v>
      </c>
      <c r="E225" t="s">
        <v>16</v>
      </c>
      <c r="F225" t="s">
        <v>41</v>
      </c>
      <c r="G225" t="s">
        <v>1040</v>
      </c>
      <c r="H225" t="s">
        <v>1042</v>
      </c>
      <c r="I225" s="1">
        <v>43517</v>
      </c>
      <c r="J225" t="s">
        <v>1045</v>
      </c>
      <c r="K225" s="5">
        <v>0.52638888888888891</v>
      </c>
      <c r="L225" t="s">
        <v>24</v>
      </c>
      <c r="M225">
        <v>0.627</v>
      </c>
      <c r="N225">
        <v>8.1999999999999993</v>
      </c>
    </row>
    <row r="226" spans="1:14" x14ac:dyDescent="0.25">
      <c r="A226" t="s">
        <v>255</v>
      </c>
      <c r="B226" t="s">
        <v>13</v>
      </c>
      <c r="C226" t="s">
        <v>14</v>
      </c>
      <c r="D226" t="s">
        <v>22</v>
      </c>
      <c r="E226" t="s">
        <v>26</v>
      </c>
      <c r="F226" t="s">
        <v>39</v>
      </c>
      <c r="G226" t="s">
        <v>1037</v>
      </c>
      <c r="H226" t="s">
        <v>1043</v>
      </c>
      <c r="I226" s="1">
        <v>43544</v>
      </c>
      <c r="J226" t="s">
        <v>1045</v>
      </c>
      <c r="K226" s="5">
        <v>0.66388888888888886</v>
      </c>
      <c r="L226" t="s">
        <v>24</v>
      </c>
      <c r="M226">
        <v>4.3250000000000002</v>
      </c>
      <c r="N226">
        <v>6.2</v>
      </c>
    </row>
    <row r="227" spans="1:14" x14ac:dyDescent="0.25">
      <c r="A227" t="s">
        <v>256</v>
      </c>
      <c r="B227" t="s">
        <v>20</v>
      </c>
      <c r="C227" t="s">
        <v>21</v>
      </c>
      <c r="D227" t="s">
        <v>15</v>
      </c>
      <c r="E227" t="s">
        <v>16</v>
      </c>
      <c r="F227" t="s">
        <v>31</v>
      </c>
      <c r="G227" t="s">
        <v>1034</v>
      </c>
      <c r="H227" t="s">
        <v>1041</v>
      </c>
      <c r="I227" s="1">
        <v>43476</v>
      </c>
      <c r="J227" t="s">
        <v>1045</v>
      </c>
      <c r="K227" s="5">
        <v>0.60347222222222219</v>
      </c>
      <c r="L227" t="s">
        <v>28</v>
      </c>
      <c r="M227">
        <v>8.7159999999999993</v>
      </c>
      <c r="N227">
        <v>9.6999999999999993</v>
      </c>
    </row>
    <row r="228" spans="1:14" x14ac:dyDescent="0.25">
      <c r="A228" t="s">
        <v>257</v>
      </c>
      <c r="B228" t="s">
        <v>37</v>
      </c>
      <c r="C228" t="s">
        <v>38</v>
      </c>
      <c r="D228" t="s">
        <v>15</v>
      </c>
      <c r="E228" t="s">
        <v>26</v>
      </c>
      <c r="F228" t="s">
        <v>17</v>
      </c>
      <c r="G228" t="s">
        <v>1037</v>
      </c>
      <c r="H228" t="s">
        <v>1041</v>
      </c>
      <c r="I228" s="1">
        <v>43491</v>
      </c>
      <c r="J228" t="s">
        <v>1046</v>
      </c>
      <c r="K228" s="5">
        <v>0.80138888888888893</v>
      </c>
      <c r="L228" t="s">
        <v>18</v>
      </c>
      <c r="M228">
        <v>31.2165</v>
      </c>
      <c r="N228">
        <v>4</v>
      </c>
    </row>
    <row r="229" spans="1:14" x14ac:dyDescent="0.25">
      <c r="A229" t="s">
        <v>258</v>
      </c>
      <c r="B229" t="s">
        <v>20</v>
      </c>
      <c r="C229" t="s">
        <v>21</v>
      </c>
      <c r="D229" t="s">
        <v>15</v>
      </c>
      <c r="E229" t="s">
        <v>26</v>
      </c>
      <c r="F229" t="s">
        <v>23</v>
      </c>
      <c r="G229" t="s">
        <v>1037</v>
      </c>
      <c r="H229" t="s">
        <v>1041</v>
      </c>
      <c r="I229" s="1">
        <v>43496</v>
      </c>
      <c r="J229" t="s">
        <v>1046</v>
      </c>
      <c r="K229" s="5">
        <v>0.68333333333333324</v>
      </c>
      <c r="L229" t="s">
        <v>18</v>
      </c>
      <c r="M229">
        <v>7.4119999999999999</v>
      </c>
      <c r="N229">
        <v>9.6999999999999993</v>
      </c>
    </row>
    <row r="230" spans="1:14" x14ac:dyDescent="0.25">
      <c r="A230" t="s">
        <v>259</v>
      </c>
      <c r="B230" t="s">
        <v>37</v>
      </c>
      <c r="C230" t="s">
        <v>38</v>
      </c>
      <c r="D230" t="s">
        <v>15</v>
      </c>
      <c r="E230" t="s">
        <v>16</v>
      </c>
      <c r="F230" t="s">
        <v>23</v>
      </c>
      <c r="G230" t="s">
        <v>1034</v>
      </c>
      <c r="H230" t="s">
        <v>1042</v>
      </c>
      <c r="I230" s="1">
        <v>43522</v>
      </c>
      <c r="J230" t="s">
        <v>1044</v>
      </c>
      <c r="K230" s="5">
        <v>0.45277777777777778</v>
      </c>
      <c r="L230" t="s">
        <v>24</v>
      </c>
      <c r="M230">
        <v>27.21</v>
      </c>
      <c r="N230">
        <v>5.3</v>
      </c>
    </row>
    <row r="231" spans="1:14" x14ac:dyDescent="0.25">
      <c r="A231" t="s">
        <v>260</v>
      </c>
      <c r="B231" t="s">
        <v>13</v>
      </c>
      <c r="C231" t="s">
        <v>14</v>
      </c>
      <c r="D231" t="s">
        <v>22</v>
      </c>
      <c r="E231" t="s">
        <v>16</v>
      </c>
      <c r="F231" t="s">
        <v>27</v>
      </c>
      <c r="G231" t="s">
        <v>1036</v>
      </c>
      <c r="H231" t="s">
        <v>1043</v>
      </c>
      <c r="I231" s="1">
        <v>43535</v>
      </c>
      <c r="J231" t="s">
        <v>1045</v>
      </c>
      <c r="K231" s="5">
        <v>0.53819444444444442</v>
      </c>
      <c r="L231" t="s">
        <v>18</v>
      </c>
      <c r="M231">
        <v>25.367999999999999</v>
      </c>
      <c r="N231">
        <v>7.4</v>
      </c>
    </row>
    <row r="232" spans="1:14" x14ac:dyDescent="0.25">
      <c r="A232" t="s">
        <v>261</v>
      </c>
      <c r="B232" t="s">
        <v>37</v>
      </c>
      <c r="C232" t="s">
        <v>38</v>
      </c>
      <c r="D232" t="s">
        <v>22</v>
      </c>
      <c r="E232" t="s">
        <v>16</v>
      </c>
      <c r="F232" t="s">
        <v>41</v>
      </c>
      <c r="G232" t="s">
        <v>1037</v>
      </c>
      <c r="H232" t="s">
        <v>1041</v>
      </c>
      <c r="I232" s="1">
        <v>43491</v>
      </c>
      <c r="J232" t="s">
        <v>1046</v>
      </c>
      <c r="K232" s="5">
        <v>0.81111111111111101</v>
      </c>
      <c r="L232" t="s">
        <v>24</v>
      </c>
      <c r="M232">
        <v>8.1370000000000005</v>
      </c>
      <c r="N232">
        <v>6.5</v>
      </c>
    </row>
    <row r="233" spans="1:14" x14ac:dyDescent="0.25">
      <c r="A233" t="s">
        <v>262</v>
      </c>
      <c r="B233" t="s">
        <v>37</v>
      </c>
      <c r="C233" t="s">
        <v>38</v>
      </c>
      <c r="D233" t="s">
        <v>15</v>
      </c>
      <c r="E233" t="s">
        <v>16</v>
      </c>
      <c r="F233" t="s">
        <v>23</v>
      </c>
      <c r="G233" t="s">
        <v>1036</v>
      </c>
      <c r="H233" t="s">
        <v>1043</v>
      </c>
      <c r="I233" s="1">
        <v>43536</v>
      </c>
      <c r="J233" t="s">
        <v>1045</v>
      </c>
      <c r="K233" s="5">
        <v>0.57777777777777783</v>
      </c>
      <c r="L233" t="s">
        <v>28</v>
      </c>
      <c r="M233">
        <v>1.5885</v>
      </c>
      <c r="N233">
        <v>8.6999999999999993</v>
      </c>
    </row>
    <row r="234" spans="1:14" x14ac:dyDescent="0.25">
      <c r="A234" t="s">
        <v>263</v>
      </c>
      <c r="B234" t="s">
        <v>37</v>
      </c>
      <c r="C234" t="s">
        <v>38</v>
      </c>
      <c r="D234" t="s">
        <v>22</v>
      </c>
      <c r="E234" t="s">
        <v>16</v>
      </c>
      <c r="F234" t="s">
        <v>17</v>
      </c>
      <c r="G234" t="s">
        <v>1039</v>
      </c>
      <c r="H234" t="s">
        <v>1042</v>
      </c>
      <c r="I234" s="1">
        <v>43507</v>
      </c>
      <c r="J234" t="s">
        <v>1044</v>
      </c>
      <c r="K234" s="5">
        <v>0.45416666666666666</v>
      </c>
      <c r="L234" t="s">
        <v>24</v>
      </c>
      <c r="M234">
        <v>37.840499999999999</v>
      </c>
      <c r="N234">
        <v>8</v>
      </c>
    </row>
    <row r="235" spans="1:14" x14ac:dyDescent="0.25">
      <c r="A235" t="s">
        <v>264</v>
      </c>
      <c r="B235" t="s">
        <v>37</v>
      </c>
      <c r="C235" t="s">
        <v>38</v>
      </c>
      <c r="D235" t="s">
        <v>15</v>
      </c>
      <c r="E235" t="s">
        <v>26</v>
      </c>
      <c r="F235" t="s">
        <v>41</v>
      </c>
      <c r="G235" t="s">
        <v>1040</v>
      </c>
      <c r="H235" t="s">
        <v>1042</v>
      </c>
      <c r="I235" s="1">
        <v>43517</v>
      </c>
      <c r="J235" t="s">
        <v>1046</v>
      </c>
      <c r="K235" s="5">
        <v>0.7715277777777777</v>
      </c>
      <c r="L235" t="s">
        <v>24</v>
      </c>
      <c r="M235">
        <v>14.763999999999999</v>
      </c>
      <c r="N235">
        <v>6.7</v>
      </c>
    </row>
    <row r="236" spans="1:14" x14ac:dyDescent="0.25">
      <c r="A236" t="s">
        <v>265</v>
      </c>
      <c r="B236" t="s">
        <v>13</v>
      </c>
      <c r="C236" t="s">
        <v>14</v>
      </c>
      <c r="D236" t="s">
        <v>15</v>
      </c>
      <c r="E236" t="s">
        <v>26</v>
      </c>
      <c r="F236" t="s">
        <v>17</v>
      </c>
      <c r="G236" t="s">
        <v>1036</v>
      </c>
      <c r="H236" t="s">
        <v>1043</v>
      </c>
      <c r="I236" s="1">
        <v>43533</v>
      </c>
      <c r="J236" t="s">
        <v>1046</v>
      </c>
      <c r="K236" s="5">
        <v>0.76666666666666661</v>
      </c>
      <c r="L236" t="s">
        <v>18</v>
      </c>
      <c r="M236">
        <v>25.97</v>
      </c>
      <c r="N236">
        <v>6.5</v>
      </c>
    </row>
    <row r="237" spans="1:14" x14ac:dyDescent="0.25">
      <c r="A237" t="s">
        <v>266</v>
      </c>
      <c r="B237" t="s">
        <v>13</v>
      </c>
      <c r="C237" t="s">
        <v>14</v>
      </c>
      <c r="D237" t="s">
        <v>22</v>
      </c>
      <c r="E237" t="s">
        <v>16</v>
      </c>
      <c r="F237" t="s">
        <v>31</v>
      </c>
      <c r="G237" t="s">
        <v>1036</v>
      </c>
      <c r="H237" t="s">
        <v>1041</v>
      </c>
      <c r="I237" s="1">
        <v>43485</v>
      </c>
      <c r="J237" t="s">
        <v>1046</v>
      </c>
      <c r="K237" s="5">
        <v>0.75624999999999998</v>
      </c>
      <c r="L237" t="s">
        <v>18</v>
      </c>
      <c r="M237">
        <v>9.3140000000000001</v>
      </c>
      <c r="N237">
        <v>4.0999999999999996</v>
      </c>
    </row>
    <row r="238" spans="1:14" x14ac:dyDescent="0.25">
      <c r="A238" t="s">
        <v>267</v>
      </c>
      <c r="B238" t="s">
        <v>20</v>
      </c>
      <c r="C238" t="s">
        <v>21</v>
      </c>
      <c r="D238" t="s">
        <v>22</v>
      </c>
      <c r="E238" t="s">
        <v>26</v>
      </c>
      <c r="F238" t="s">
        <v>17</v>
      </c>
      <c r="G238" t="s">
        <v>1037</v>
      </c>
      <c r="H238" t="s">
        <v>1041</v>
      </c>
      <c r="I238" s="1">
        <v>43493</v>
      </c>
      <c r="J238" t="s">
        <v>1045</v>
      </c>
      <c r="K238" s="5">
        <v>0.63611111111111118</v>
      </c>
      <c r="L238" t="s">
        <v>28</v>
      </c>
      <c r="M238">
        <v>4.3525</v>
      </c>
      <c r="N238">
        <v>4.9000000000000004</v>
      </c>
    </row>
    <row r="239" spans="1:14" x14ac:dyDescent="0.25">
      <c r="A239" t="s">
        <v>268</v>
      </c>
      <c r="B239" t="s">
        <v>20</v>
      </c>
      <c r="C239" t="s">
        <v>21</v>
      </c>
      <c r="D239" t="s">
        <v>15</v>
      </c>
      <c r="E239" t="s">
        <v>16</v>
      </c>
      <c r="F239" t="s">
        <v>41</v>
      </c>
      <c r="G239" t="s">
        <v>1035</v>
      </c>
      <c r="H239" t="s">
        <v>1043</v>
      </c>
      <c r="I239" s="1">
        <v>43529</v>
      </c>
      <c r="J239" t="s">
        <v>1046</v>
      </c>
      <c r="K239" s="5">
        <v>0.71319444444444446</v>
      </c>
      <c r="L239" t="s">
        <v>28</v>
      </c>
      <c r="M239">
        <v>11.055</v>
      </c>
      <c r="N239">
        <v>8.6</v>
      </c>
    </row>
    <row r="240" spans="1:14" x14ac:dyDescent="0.25">
      <c r="A240" t="s">
        <v>269</v>
      </c>
      <c r="B240" t="s">
        <v>37</v>
      </c>
      <c r="C240" t="s">
        <v>38</v>
      </c>
      <c r="D240" t="s">
        <v>15</v>
      </c>
      <c r="E240" t="s">
        <v>16</v>
      </c>
      <c r="F240" t="s">
        <v>23</v>
      </c>
      <c r="G240" t="s">
        <v>1035</v>
      </c>
      <c r="H240" t="s">
        <v>1043</v>
      </c>
      <c r="I240" s="1">
        <v>43526</v>
      </c>
      <c r="J240" t="s">
        <v>1046</v>
      </c>
      <c r="K240" s="5">
        <v>0.80972222222222223</v>
      </c>
      <c r="L240" t="s">
        <v>24</v>
      </c>
      <c r="M240">
        <v>3.3050000000000002</v>
      </c>
      <c r="N240">
        <v>4.3</v>
      </c>
    </row>
    <row r="241" spans="1:14" x14ac:dyDescent="0.25">
      <c r="A241" t="s">
        <v>270</v>
      </c>
      <c r="B241" t="s">
        <v>13</v>
      </c>
      <c r="C241" t="s">
        <v>14</v>
      </c>
      <c r="D241" t="s">
        <v>22</v>
      </c>
      <c r="E241" t="s">
        <v>26</v>
      </c>
      <c r="F241" t="s">
        <v>41</v>
      </c>
      <c r="G241" t="s">
        <v>1034</v>
      </c>
      <c r="H241" t="s">
        <v>1041</v>
      </c>
      <c r="I241" s="1">
        <v>43476</v>
      </c>
      <c r="J241" t="s">
        <v>1044</v>
      </c>
      <c r="K241" s="5">
        <v>0.47222222222222227</v>
      </c>
      <c r="L241" t="s">
        <v>18</v>
      </c>
      <c r="M241">
        <v>4.4844999999999997</v>
      </c>
      <c r="N241">
        <v>4.9000000000000004</v>
      </c>
    </row>
    <row r="242" spans="1:14" x14ac:dyDescent="0.25">
      <c r="A242" t="s">
        <v>271</v>
      </c>
      <c r="B242" t="s">
        <v>13</v>
      </c>
      <c r="C242" t="s">
        <v>14</v>
      </c>
      <c r="D242" t="s">
        <v>22</v>
      </c>
      <c r="E242" t="s">
        <v>26</v>
      </c>
      <c r="F242" t="s">
        <v>39</v>
      </c>
      <c r="G242" t="s">
        <v>1034</v>
      </c>
      <c r="H242" t="s">
        <v>1041</v>
      </c>
      <c r="I242" s="1">
        <v>43476</v>
      </c>
      <c r="J242" t="s">
        <v>1046</v>
      </c>
      <c r="K242" s="5">
        <v>0.7006944444444444</v>
      </c>
      <c r="L242" t="s">
        <v>28</v>
      </c>
      <c r="M242">
        <v>11.223000000000001</v>
      </c>
      <c r="N242">
        <v>5.6</v>
      </c>
    </row>
    <row r="243" spans="1:14" x14ac:dyDescent="0.25">
      <c r="A243" t="s">
        <v>272</v>
      </c>
      <c r="B243" t="s">
        <v>13</v>
      </c>
      <c r="C243" t="s">
        <v>14</v>
      </c>
      <c r="D243" t="s">
        <v>22</v>
      </c>
      <c r="E243" t="s">
        <v>26</v>
      </c>
      <c r="F243" t="s">
        <v>17</v>
      </c>
      <c r="G243" t="s">
        <v>1036</v>
      </c>
      <c r="H243" t="s">
        <v>1043</v>
      </c>
      <c r="I243" s="1">
        <v>43535</v>
      </c>
      <c r="J243" t="s">
        <v>1045</v>
      </c>
      <c r="K243" s="5">
        <v>0.50069444444444444</v>
      </c>
      <c r="L243" t="s">
        <v>28</v>
      </c>
      <c r="M243">
        <v>5.9770000000000003</v>
      </c>
      <c r="N243">
        <v>5.8</v>
      </c>
    </row>
    <row r="244" spans="1:14" x14ac:dyDescent="0.25">
      <c r="A244" t="s">
        <v>273</v>
      </c>
      <c r="B244" t="s">
        <v>20</v>
      </c>
      <c r="C244" t="s">
        <v>21</v>
      </c>
      <c r="D244" t="s">
        <v>15</v>
      </c>
      <c r="E244" t="s">
        <v>26</v>
      </c>
      <c r="F244" t="s">
        <v>41</v>
      </c>
      <c r="G244" t="s">
        <v>1034</v>
      </c>
      <c r="H244" t="s">
        <v>1042</v>
      </c>
      <c r="I244" s="1">
        <v>43524</v>
      </c>
      <c r="J244" t="s">
        <v>1046</v>
      </c>
      <c r="K244" s="5">
        <v>0.77569444444444446</v>
      </c>
      <c r="L244" t="s">
        <v>28</v>
      </c>
      <c r="M244">
        <v>9.32</v>
      </c>
      <c r="N244">
        <v>6</v>
      </c>
    </row>
    <row r="245" spans="1:14" x14ac:dyDescent="0.25">
      <c r="A245" t="s">
        <v>274</v>
      </c>
      <c r="B245" t="s">
        <v>13</v>
      </c>
      <c r="C245" t="s">
        <v>14</v>
      </c>
      <c r="D245" t="s">
        <v>15</v>
      </c>
      <c r="E245" t="s">
        <v>26</v>
      </c>
      <c r="F245" t="s">
        <v>27</v>
      </c>
      <c r="G245" t="s">
        <v>1034</v>
      </c>
      <c r="H245" t="s">
        <v>1041</v>
      </c>
      <c r="I245" s="1">
        <v>43470</v>
      </c>
      <c r="J245" t="s">
        <v>1044</v>
      </c>
      <c r="K245" s="5">
        <v>0.47569444444444442</v>
      </c>
      <c r="L245" t="s">
        <v>24</v>
      </c>
      <c r="M245">
        <v>12.53</v>
      </c>
      <c r="N245">
        <v>4.2</v>
      </c>
    </row>
    <row r="246" spans="1:14" x14ac:dyDescent="0.25">
      <c r="A246" t="s">
        <v>275</v>
      </c>
      <c r="B246" t="s">
        <v>37</v>
      </c>
      <c r="C246" t="s">
        <v>38</v>
      </c>
      <c r="D246" t="s">
        <v>22</v>
      </c>
      <c r="E246" t="s">
        <v>26</v>
      </c>
      <c r="F246" t="s">
        <v>27</v>
      </c>
      <c r="G246" t="s">
        <v>1038</v>
      </c>
      <c r="H246" t="s">
        <v>1042</v>
      </c>
      <c r="I246" s="1">
        <v>43498</v>
      </c>
      <c r="J246" t="s">
        <v>1046</v>
      </c>
      <c r="K246" s="5">
        <v>0.77916666666666667</v>
      </c>
      <c r="L246" t="s">
        <v>28</v>
      </c>
      <c r="M246">
        <v>37.548000000000002</v>
      </c>
      <c r="N246">
        <v>8.3000000000000007</v>
      </c>
    </row>
    <row r="247" spans="1:14" x14ac:dyDescent="0.25">
      <c r="A247" t="s">
        <v>276</v>
      </c>
      <c r="B247" t="s">
        <v>13</v>
      </c>
      <c r="C247" t="s">
        <v>14</v>
      </c>
      <c r="D247" t="s">
        <v>15</v>
      </c>
      <c r="E247" t="s">
        <v>26</v>
      </c>
      <c r="F247" t="s">
        <v>27</v>
      </c>
      <c r="G247" t="s">
        <v>1040</v>
      </c>
      <c r="H247" t="s">
        <v>1041</v>
      </c>
      <c r="I247" s="1">
        <v>43466</v>
      </c>
      <c r="J247" t="s">
        <v>1045</v>
      </c>
      <c r="K247" s="5">
        <v>0.61597222222222225</v>
      </c>
      <c r="L247" t="s">
        <v>24</v>
      </c>
      <c r="M247">
        <v>19.036000000000001</v>
      </c>
      <c r="N247">
        <v>5.7</v>
      </c>
    </row>
    <row r="248" spans="1:14" x14ac:dyDescent="0.25">
      <c r="A248" t="s">
        <v>277</v>
      </c>
      <c r="B248" t="s">
        <v>37</v>
      </c>
      <c r="C248" t="s">
        <v>38</v>
      </c>
      <c r="D248" t="s">
        <v>15</v>
      </c>
      <c r="E248" t="s">
        <v>16</v>
      </c>
      <c r="F248" t="s">
        <v>23</v>
      </c>
      <c r="G248" t="s">
        <v>1039</v>
      </c>
      <c r="H248" t="s">
        <v>1042</v>
      </c>
      <c r="I248" s="1">
        <v>43505</v>
      </c>
      <c r="J248" t="s">
        <v>1046</v>
      </c>
      <c r="K248" s="5">
        <v>0.82152777777777775</v>
      </c>
      <c r="L248" t="s">
        <v>24</v>
      </c>
      <c r="M248">
        <v>12.21</v>
      </c>
      <c r="N248">
        <v>4.8</v>
      </c>
    </row>
    <row r="249" spans="1:14" x14ac:dyDescent="0.25">
      <c r="A249" t="s">
        <v>278</v>
      </c>
      <c r="B249" t="s">
        <v>13</v>
      </c>
      <c r="C249" t="s">
        <v>14</v>
      </c>
      <c r="D249" t="s">
        <v>15</v>
      </c>
      <c r="E249" t="s">
        <v>26</v>
      </c>
      <c r="F249" t="s">
        <v>41</v>
      </c>
      <c r="G249" t="s">
        <v>1036</v>
      </c>
      <c r="H249" t="s">
        <v>1041</v>
      </c>
      <c r="I249" s="1">
        <v>43488</v>
      </c>
      <c r="J249" t="s">
        <v>1045</v>
      </c>
      <c r="K249" s="5">
        <v>0.58611111111111114</v>
      </c>
      <c r="L249" t="s">
        <v>18</v>
      </c>
      <c r="M249">
        <v>4.4850000000000003</v>
      </c>
      <c r="N249">
        <v>6.8</v>
      </c>
    </row>
    <row r="250" spans="1:14" x14ac:dyDescent="0.25">
      <c r="A250" t="s">
        <v>279</v>
      </c>
      <c r="B250" t="s">
        <v>13</v>
      </c>
      <c r="C250" t="s">
        <v>14</v>
      </c>
      <c r="D250" t="s">
        <v>15</v>
      </c>
      <c r="E250" t="s">
        <v>26</v>
      </c>
      <c r="F250" t="s">
        <v>23</v>
      </c>
      <c r="G250" t="s">
        <v>1034</v>
      </c>
      <c r="H250" t="s">
        <v>1041</v>
      </c>
      <c r="I250" s="1">
        <v>43472</v>
      </c>
      <c r="J250" t="s">
        <v>1046</v>
      </c>
      <c r="K250" s="5">
        <v>0.6743055555555556</v>
      </c>
      <c r="L250" t="s">
        <v>28</v>
      </c>
      <c r="M250">
        <v>15.544</v>
      </c>
      <c r="N250">
        <v>8.8000000000000007</v>
      </c>
    </row>
    <row r="251" spans="1:14" x14ac:dyDescent="0.25">
      <c r="A251" t="s">
        <v>280</v>
      </c>
      <c r="B251" t="s">
        <v>37</v>
      </c>
      <c r="C251" t="s">
        <v>38</v>
      </c>
      <c r="D251" t="s">
        <v>22</v>
      </c>
      <c r="E251" t="s">
        <v>26</v>
      </c>
      <c r="F251" t="s">
        <v>39</v>
      </c>
      <c r="G251" t="s">
        <v>1035</v>
      </c>
      <c r="H251" t="s">
        <v>1041</v>
      </c>
      <c r="I251" s="1">
        <v>43479</v>
      </c>
      <c r="J251" t="s">
        <v>1046</v>
      </c>
      <c r="K251" s="5">
        <v>0.79583333333333339</v>
      </c>
      <c r="L251" t="s">
        <v>28</v>
      </c>
      <c r="M251">
        <v>25.571000000000002</v>
      </c>
      <c r="N251">
        <v>4.2</v>
      </c>
    </row>
    <row r="252" spans="1:14" x14ac:dyDescent="0.25">
      <c r="A252" t="s">
        <v>281</v>
      </c>
      <c r="B252" t="s">
        <v>37</v>
      </c>
      <c r="C252" t="s">
        <v>38</v>
      </c>
      <c r="D252" t="s">
        <v>15</v>
      </c>
      <c r="E252" t="s">
        <v>26</v>
      </c>
      <c r="F252" t="s">
        <v>39</v>
      </c>
      <c r="G252" t="s">
        <v>1038</v>
      </c>
      <c r="H252" t="s">
        <v>1042</v>
      </c>
      <c r="I252" s="1">
        <v>43498</v>
      </c>
      <c r="J252" t="s">
        <v>1045</v>
      </c>
      <c r="K252" s="5">
        <v>0.64861111111111114</v>
      </c>
      <c r="L252" t="s">
        <v>18</v>
      </c>
      <c r="M252">
        <v>20.947500000000002</v>
      </c>
      <c r="N252">
        <v>6.4</v>
      </c>
    </row>
    <row r="253" spans="1:14" x14ac:dyDescent="0.25">
      <c r="A253" t="s">
        <v>282</v>
      </c>
      <c r="B253" t="s">
        <v>20</v>
      </c>
      <c r="C253" t="s">
        <v>21</v>
      </c>
      <c r="D253" t="s">
        <v>15</v>
      </c>
      <c r="E253" t="s">
        <v>26</v>
      </c>
      <c r="F253" t="s">
        <v>41</v>
      </c>
      <c r="G253" t="s">
        <v>1037</v>
      </c>
      <c r="H253" t="s">
        <v>1043</v>
      </c>
      <c r="I253" s="1">
        <v>43541</v>
      </c>
      <c r="J253" t="s">
        <v>1046</v>
      </c>
      <c r="K253" s="5">
        <v>0.79583333333333339</v>
      </c>
      <c r="L253" t="s">
        <v>28</v>
      </c>
      <c r="M253">
        <v>17.594999999999999</v>
      </c>
      <c r="N253">
        <v>8.4</v>
      </c>
    </row>
    <row r="254" spans="1:14" x14ac:dyDescent="0.25">
      <c r="A254" t="s">
        <v>283</v>
      </c>
      <c r="B254" t="s">
        <v>20</v>
      </c>
      <c r="C254" t="s">
        <v>21</v>
      </c>
      <c r="D254" t="s">
        <v>22</v>
      </c>
      <c r="E254" t="s">
        <v>16</v>
      </c>
      <c r="F254" t="s">
        <v>31</v>
      </c>
      <c r="G254" t="s">
        <v>1035</v>
      </c>
      <c r="H254" t="s">
        <v>1043</v>
      </c>
      <c r="I254" s="1">
        <v>43526</v>
      </c>
      <c r="J254" t="s">
        <v>1046</v>
      </c>
      <c r="K254" s="5">
        <v>0.8222222222222223</v>
      </c>
      <c r="L254" t="s">
        <v>28</v>
      </c>
      <c r="M254">
        <v>1.4390000000000001</v>
      </c>
      <c r="N254">
        <v>7.2</v>
      </c>
    </row>
    <row r="255" spans="1:14" x14ac:dyDescent="0.25">
      <c r="A255" t="s">
        <v>284</v>
      </c>
      <c r="B255" t="s">
        <v>13</v>
      </c>
      <c r="C255" t="s">
        <v>14</v>
      </c>
      <c r="D255" t="s">
        <v>22</v>
      </c>
      <c r="E255" t="s">
        <v>26</v>
      </c>
      <c r="F255" t="s">
        <v>27</v>
      </c>
      <c r="G255" t="s">
        <v>1037</v>
      </c>
      <c r="H255" t="s">
        <v>1043</v>
      </c>
      <c r="I255" s="1">
        <v>43540</v>
      </c>
      <c r="J255" t="s">
        <v>1044</v>
      </c>
      <c r="K255" s="5">
        <v>0.47361111111111115</v>
      </c>
      <c r="L255" t="s">
        <v>24</v>
      </c>
      <c r="M255">
        <v>4.75</v>
      </c>
      <c r="N255">
        <v>5.2</v>
      </c>
    </row>
    <row r="256" spans="1:14" x14ac:dyDescent="0.25">
      <c r="A256" t="s">
        <v>285</v>
      </c>
      <c r="B256" t="s">
        <v>13</v>
      </c>
      <c r="C256" t="s">
        <v>14</v>
      </c>
      <c r="D256" t="s">
        <v>15</v>
      </c>
      <c r="E256" t="s">
        <v>26</v>
      </c>
      <c r="F256" t="s">
        <v>27</v>
      </c>
      <c r="G256" t="s">
        <v>1034</v>
      </c>
      <c r="H256" t="s">
        <v>1041</v>
      </c>
      <c r="I256" s="1">
        <v>43471</v>
      </c>
      <c r="J256" t="s">
        <v>1044</v>
      </c>
      <c r="K256" s="5">
        <v>0.47430555555555554</v>
      </c>
      <c r="L256" t="s">
        <v>24</v>
      </c>
      <c r="M256">
        <v>23.56</v>
      </c>
      <c r="N256">
        <v>8.9</v>
      </c>
    </row>
    <row r="257" spans="1:14" x14ac:dyDescent="0.25">
      <c r="A257" t="s">
        <v>286</v>
      </c>
      <c r="B257" t="s">
        <v>37</v>
      </c>
      <c r="C257" t="s">
        <v>38</v>
      </c>
      <c r="D257" t="s">
        <v>15</v>
      </c>
      <c r="E257" t="s">
        <v>26</v>
      </c>
      <c r="F257" t="s">
        <v>41</v>
      </c>
      <c r="G257" t="s">
        <v>1037</v>
      </c>
      <c r="H257" t="s">
        <v>1041</v>
      </c>
      <c r="I257" s="1">
        <v>43494</v>
      </c>
      <c r="J257" t="s">
        <v>1045</v>
      </c>
      <c r="K257" s="5">
        <v>0.59166666666666667</v>
      </c>
      <c r="L257" t="s">
        <v>24</v>
      </c>
      <c r="M257">
        <v>6.524</v>
      </c>
      <c r="N257">
        <v>9</v>
      </c>
    </row>
    <row r="258" spans="1:14" x14ac:dyDescent="0.25">
      <c r="A258" t="s">
        <v>287</v>
      </c>
      <c r="B258" t="s">
        <v>13</v>
      </c>
      <c r="C258" t="s">
        <v>14</v>
      </c>
      <c r="D258" t="s">
        <v>15</v>
      </c>
      <c r="E258" t="s">
        <v>26</v>
      </c>
      <c r="F258" t="s">
        <v>23</v>
      </c>
      <c r="G258" t="s">
        <v>1037</v>
      </c>
      <c r="H258" t="s">
        <v>1041</v>
      </c>
      <c r="I258" s="1">
        <v>43496</v>
      </c>
      <c r="J258" t="s">
        <v>1044</v>
      </c>
      <c r="K258" s="5">
        <v>0.44861111111111113</v>
      </c>
      <c r="L258" t="s">
        <v>28</v>
      </c>
      <c r="M258">
        <v>3.3174999999999999</v>
      </c>
      <c r="N258">
        <v>9.6999999999999993</v>
      </c>
    </row>
    <row r="259" spans="1:14" x14ac:dyDescent="0.25">
      <c r="A259" t="s">
        <v>288</v>
      </c>
      <c r="B259" t="s">
        <v>13</v>
      </c>
      <c r="C259" t="s">
        <v>14</v>
      </c>
      <c r="D259" t="s">
        <v>15</v>
      </c>
      <c r="E259" t="s">
        <v>26</v>
      </c>
      <c r="F259" t="s">
        <v>27</v>
      </c>
      <c r="G259" t="s">
        <v>1038</v>
      </c>
      <c r="H259" t="s">
        <v>1042</v>
      </c>
      <c r="I259" s="1">
        <v>43501</v>
      </c>
      <c r="J259" t="s">
        <v>1044</v>
      </c>
      <c r="K259" s="5">
        <v>0.42777777777777781</v>
      </c>
      <c r="L259" t="s">
        <v>18</v>
      </c>
      <c r="M259">
        <v>7.7729999999999997</v>
      </c>
      <c r="N259">
        <v>8.6999999999999993</v>
      </c>
    </row>
    <row r="260" spans="1:14" x14ac:dyDescent="0.25">
      <c r="A260" t="s">
        <v>289</v>
      </c>
      <c r="B260" t="s">
        <v>13</v>
      </c>
      <c r="C260" t="s">
        <v>14</v>
      </c>
      <c r="D260" t="s">
        <v>15</v>
      </c>
      <c r="E260" t="s">
        <v>26</v>
      </c>
      <c r="F260" t="s">
        <v>23</v>
      </c>
      <c r="G260" t="s">
        <v>1039</v>
      </c>
      <c r="H260" t="s">
        <v>1042</v>
      </c>
      <c r="I260" s="1">
        <v>43509</v>
      </c>
      <c r="J260" t="s">
        <v>1045</v>
      </c>
      <c r="K260" s="5">
        <v>0.52638888888888891</v>
      </c>
      <c r="L260" t="s">
        <v>18</v>
      </c>
      <c r="M260">
        <v>6.45</v>
      </c>
      <c r="N260">
        <v>6.5</v>
      </c>
    </row>
    <row r="261" spans="1:14" x14ac:dyDescent="0.25">
      <c r="A261" t="s">
        <v>290</v>
      </c>
      <c r="B261" t="s">
        <v>20</v>
      </c>
      <c r="C261" t="s">
        <v>21</v>
      </c>
      <c r="D261" t="s">
        <v>15</v>
      </c>
      <c r="E261" t="s">
        <v>26</v>
      </c>
      <c r="F261" t="s">
        <v>23</v>
      </c>
      <c r="G261" t="s">
        <v>1038</v>
      </c>
      <c r="H261" t="s">
        <v>1042</v>
      </c>
      <c r="I261" s="1">
        <v>43503</v>
      </c>
      <c r="J261" t="s">
        <v>1045</v>
      </c>
      <c r="K261" s="5">
        <v>0.54513888888888895</v>
      </c>
      <c r="L261" t="s">
        <v>28</v>
      </c>
      <c r="M261">
        <v>13.188000000000001</v>
      </c>
      <c r="N261">
        <v>6.9</v>
      </c>
    </row>
    <row r="262" spans="1:14" x14ac:dyDescent="0.25">
      <c r="A262" t="s">
        <v>291</v>
      </c>
      <c r="B262" t="s">
        <v>13</v>
      </c>
      <c r="C262" t="s">
        <v>14</v>
      </c>
      <c r="D262" t="s">
        <v>22</v>
      </c>
      <c r="E262" t="s">
        <v>16</v>
      </c>
      <c r="F262" t="s">
        <v>23</v>
      </c>
      <c r="G262" t="s">
        <v>1037</v>
      </c>
      <c r="H262" t="s">
        <v>1043</v>
      </c>
      <c r="I262" s="1">
        <v>43543</v>
      </c>
      <c r="J262" t="s">
        <v>1045</v>
      </c>
      <c r="K262" s="5">
        <v>0.55902777777777779</v>
      </c>
      <c r="L262" t="s">
        <v>18</v>
      </c>
      <c r="M262">
        <v>33.777000000000001</v>
      </c>
      <c r="N262">
        <v>6.2</v>
      </c>
    </row>
    <row r="263" spans="1:14" x14ac:dyDescent="0.25">
      <c r="A263" t="s">
        <v>292</v>
      </c>
      <c r="B263" t="s">
        <v>20</v>
      </c>
      <c r="C263" t="s">
        <v>21</v>
      </c>
      <c r="D263" t="s">
        <v>22</v>
      </c>
      <c r="E263" t="s">
        <v>16</v>
      </c>
      <c r="F263" t="s">
        <v>41</v>
      </c>
      <c r="G263" t="s">
        <v>1035</v>
      </c>
      <c r="H263" t="s">
        <v>1043</v>
      </c>
      <c r="I263" s="1">
        <v>43531</v>
      </c>
      <c r="J263" t="s">
        <v>1045</v>
      </c>
      <c r="K263" s="5">
        <v>0.62013888888888891</v>
      </c>
      <c r="L263" t="s">
        <v>18</v>
      </c>
      <c r="M263">
        <v>3.29</v>
      </c>
      <c r="N263">
        <v>5.6</v>
      </c>
    </row>
    <row r="264" spans="1:14" x14ac:dyDescent="0.25">
      <c r="A264" t="s">
        <v>293</v>
      </c>
      <c r="B264" t="s">
        <v>37</v>
      </c>
      <c r="C264" t="s">
        <v>38</v>
      </c>
      <c r="D264" t="s">
        <v>15</v>
      </c>
      <c r="E264" t="s">
        <v>16</v>
      </c>
      <c r="F264" t="s">
        <v>41</v>
      </c>
      <c r="G264" t="s">
        <v>1036</v>
      </c>
      <c r="H264" t="s">
        <v>1043</v>
      </c>
      <c r="I264" s="1">
        <v>43537</v>
      </c>
      <c r="J264" t="s">
        <v>1046</v>
      </c>
      <c r="K264" s="5">
        <v>0.80694444444444446</v>
      </c>
      <c r="L264" t="s">
        <v>24</v>
      </c>
      <c r="M264">
        <v>7.66</v>
      </c>
      <c r="N264">
        <v>5.7</v>
      </c>
    </row>
    <row r="265" spans="1:14" x14ac:dyDescent="0.25">
      <c r="A265" t="s">
        <v>294</v>
      </c>
      <c r="B265" t="s">
        <v>13</v>
      </c>
      <c r="C265" t="s">
        <v>14</v>
      </c>
      <c r="D265" t="s">
        <v>15</v>
      </c>
      <c r="E265" t="s">
        <v>16</v>
      </c>
      <c r="F265" t="s">
        <v>31</v>
      </c>
      <c r="G265" t="s">
        <v>1039</v>
      </c>
      <c r="H265" t="s">
        <v>1042</v>
      </c>
      <c r="I265" s="1">
        <v>43505</v>
      </c>
      <c r="J265" t="s">
        <v>1044</v>
      </c>
      <c r="K265" s="5">
        <v>0.45833333333333331</v>
      </c>
      <c r="L265" t="s">
        <v>24</v>
      </c>
      <c r="M265">
        <v>11.12</v>
      </c>
      <c r="N265">
        <v>4.2</v>
      </c>
    </row>
    <row r="266" spans="1:14" x14ac:dyDescent="0.25">
      <c r="A266" t="s">
        <v>295</v>
      </c>
      <c r="B266" t="s">
        <v>37</v>
      </c>
      <c r="C266" t="s">
        <v>38</v>
      </c>
      <c r="D266" t="s">
        <v>22</v>
      </c>
      <c r="E266" t="s">
        <v>26</v>
      </c>
      <c r="F266" t="s">
        <v>31</v>
      </c>
      <c r="G266" t="s">
        <v>1034</v>
      </c>
      <c r="H266" t="s">
        <v>1042</v>
      </c>
      <c r="I266" s="1">
        <v>43522</v>
      </c>
      <c r="J266" t="s">
        <v>1046</v>
      </c>
      <c r="K266" s="5">
        <v>0.80833333333333324</v>
      </c>
      <c r="L266" t="s">
        <v>18</v>
      </c>
      <c r="M266">
        <v>2.7225000000000001</v>
      </c>
      <c r="N266">
        <v>7.9</v>
      </c>
    </row>
    <row r="267" spans="1:14" x14ac:dyDescent="0.25">
      <c r="A267" t="s">
        <v>296</v>
      </c>
      <c r="B267" t="s">
        <v>13</v>
      </c>
      <c r="C267" t="s">
        <v>14</v>
      </c>
      <c r="D267" t="s">
        <v>15</v>
      </c>
      <c r="E267" t="s">
        <v>16</v>
      </c>
      <c r="F267" t="s">
        <v>31</v>
      </c>
      <c r="G267" t="s">
        <v>1036</v>
      </c>
      <c r="H267" t="s">
        <v>1043</v>
      </c>
      <c r="I267" s="1">
        <v>43536</v>
      </c>
      <c r="J267" t="s">
        <v>1045</v>
      </c>
      <c r="K267" s="5">
        <v>0.52986111111111112</v>
      </c>
      <c r="L267" t="s">
        <v>28</v>
      </c>
      <c r="M267">
        <v>34.44</v>
      </c>
      <c r="N267">
        <v>8.6999999999999993</v>
      </c>
    </row>
    <row r="268" spans="1:14" x14ac:dyDescent="0.25">
      <c r="A268" t="s">
        <v>297</v>
      </c>
      <c r="B268" t="s">
        <v>20</v>
      </c>
      <c r="C268" t="s">
        <v>21</v>
      </c>
      <c r="D268" t="s">
        <v>22</v>
      </c>
      <c r="E268" t="s">
        <v>26</v>
      </c>
      <c r="F268" t="s">
        <v>27</v>
      </c>
      <c r="G268" t="s">
        <v>1036</v>
      </c>
      <c r="H268" t="s">
        <v>1043</v>
      </c>
      <c r="I268" s="1">
        <v>43538</v>
      </c>
      <c r="J268" t="s">
        <v>1046</v>
      </c>
      <c r="K268" s="5">
        <v>0.72361111111111109</v>
      </c>
      <c r="L268" t="s">
        <v>28</v>
      </c>
      <c r="M268">
        <v>7.0940000000000003</v>
      </c>
      <c r="N268">
        <v>6.9</v>
      </c>
    </row>
    <row r="269" spans="1:14" x14ac:dyDescent="0.25">
      <c r="A269" t="s">
        <v>298</v>
      </c>
      <c r="B269" t="s">
        <v>37</v>
      </c>
      <c r="C269" t="s">
        <v>38</v>
      </c>
      <c r="D269" t="s">
        <v>15</v>
      </c>
      <c r="E269" t="s">
        <v>16</v>
      </c>
      <c r="F269" t="s">
        <v>39</v>
      </c>
      <c r="G269" t="s">
        <v>1034</v>
      </c>
      <c r="H269" t="s">
        <v>1041</v>
      </c>
      <c r="I269" s="1">
        <v>43473</v>
      </c>
      <c r="J269" t="s">
        <v>1046</v>
      </c>
      <c r="K269" s="5">
        <v>0.87152777777777779</v>
      </c>
      <c r="L269" t="s">
        <v>24</v>
      </c>
      <c r="M269">
        <v>37.299999999999997</v>
      </c>
      <c r="N269">
        <v>9.5</v>
      </c>
    </row>
    <row r="270" spans="1:14" x14ac:dyDescent="0.25">
      <c r="A270" t="s">
        <v>299</v>
      </c>
      <c r="B270" t="s">
        <v>13</v>
      </c>
      <c r="C270" t="s">
        <v>14</v>
      </c>
      <c r="D270" t="s">
        <v>15</v>
      </c>
      <c r="E270" t="s">
        <v>26</v>
      </c>
      <c r="F270" t="s">
        <v>27</v>
      </c>
      <c r="G270" t="s">
        <v>1034</v>
      </c>
      <c r="H270" t="s">
        <v>1041</v>
      </c>
      <c r="I270" s="1">
        <v>43470</v>
      </c>
      <c r="J270" t="s">
        <v>1046</v>
      </c>
      <c r="K270" s="5">
        <v>0.67013888888888884</v>
      </c>
      <c r="L270" t="s">
        <v>28</v>
      </c>
      <c r="M270">
        <v>14.148</v>
      </c>
      <c r="N270">
        <v>4.4000000000000004</v>
      </c>
    </row>
    <row r="271" spans="1:14" x14ac:dyDescent="0.25">
      <c r="A271" t="s">
        <v>300</v>
      </c>
      <c r="B271" t="s">
        <v>13</v>
      </c>
      <c r="C271" t="s">
        <v>14</v>
      </c>
      <c r="D271" t="s">
        <v>15</v>
      </c>
      <c r="E271" t="s">
        <v>16</v>
      </c>
      <c r="F271" t="s">
        <v>27</v>
      </c>
      <c r="G271" t="s">
        <v>1040</v>
      </c>
      <c r="H271" t="s">
        <v>1041</v>
      </c>
      <c r="I271" s="1">
        <v>43469</v>
      </c>
      <c r="J271" t="s">
        <v>1045</v>
      </c>
      <c r="K271" s="5">
        <v>0.56527777777777777</v>
      </c>
      <c r="L271" t="s">
        <v>18</v>
      </c>
      <c r="M271">
        <v>17.77</v>
      </c>
      <c r="N271">
        <v>7</v>
      </c>
    </row>
    <row r="272" spans="1:14" x14ac:dyDescent="0.25">
      <c r="A272" t="s">
        <v>301</v>
      </c>
      <c r="B272" t="s">
        <v>37</v>
      </c>
      <c r="C272" t="s">
        <v>38</v>
      </c>
      <c r="D272" t="s">
        <v>22</v>
      </c>
      <c r="E272" t="s">
        <v>16</v>
      </c>
      <c r="F272" t="s">
        <v>31</v>
      </c>
      <c r="G272" t="s">
        <v>1035</v>
      </c>
      <c r="H272" t="s">
        <v>1043</v>
      </c>
      <c r="I272" s="1">
        <v>43530</v>
      </c>
      <c r="J272" t="s">
        <v>1046</v>
      </c>
      <c r="K272" s="5">
        <v>0.75902777777777775</v>
      </c>
      <c r="L272" t="s">
        <v>18</v>
      </c>
      <c r="M272">
        <v>16.857500000000002</v>
      </c>
      <c r="N272">
        <v>6.3</v>
      </c>
    </row>
    <row r="273" spans="1:14" x14ac:dyDescent="0.25">
      <c r="A273" t="s">
        <v>302</v>
      </c>
      <c r="B273" t="s">
        <v>20</v>
      </c>
      <c r="C273" t="s">
        <v>21</v>
      </c>
      <c r="D273" t="s">
        <v>15</v>
      </c>
      <c r="E273" t="s">
        <v>16</v>
      </c>
      <c r="F273" t="s">
        <v>17</v>
      </c>
      <c r="G273" t="s">
        <v>1040</v>
      </c>
      <c r="H273" t="s">
        <v>1041</v>
      </c>
      <c r="I273" s="1">
        <v>43468</v>
      </c>
      <c r="J273" t="s">
        <v>1046</v>
      </c>
      <c r="K273" s="5">
        <v>0.80347222222222225</v>
      </c>
      <c r="L273" t="s">
        <v>24</v>
      </c>
      <c r="M273">
        <v>2.1120000000000001</v>
      </c>
      <c r="N273">
        <v>9.6999999999999993</v>
      </c>
    </row>
    <row r="274" spans="1:14" x14ac:dyDescent="0.25">
      <c r="A274" t="s">
        <v>303</v>
      </c>
      <c r="B274" t="s">
        <v>13</v>
      </c>
      <c r="C274" t="s">
        <v>14</v>
      </c>
      <c r="D274" t="s">
        <v>15</v>
      </c>
      <c r="E274" t="s">
        <v>16</v>
      </c>
      <c r="F274" t="s">
        <v>27</v>
      </c>
      <c r="G274" t="s">
        <v>1034</v>
      </c>
      <c r="H274" t="s">
        <v>1041</v>
      </c>
      <c r="I274" s="1">
        <v>43472</v>
      </c>
      <c r="J274" t="s">
        <v>1044</v>
      </c>
      <c r="K274" s="5">
        <v>0.48888888888888887</v>
      </c>
      <c r="L274" t="s">
        <v>28</v>
      </c>
      <c r="M274">
        <v>9.6929999999999996</v>
      </c>
      <c r="N274">
        <v>8.8000000000000007</v>
      </c>
    </row>
    <row r="275" spans="1:14" x14ac:dyDescent="0.25">
      <c r="A275" t="s">
        <v>304</v>
      </c>
      <c r="B275" t="s">
        <v>13</v>
      </c>
      <c r="C275" t="s">
        <v>14</v>
      </c>
      <c r="D275" t="s">
        <v>22</v>
      </c>
      <c r="E275" t="s">
        <v>16</v>
      </c>
      <c r="F275" t="s">
        <v>27</v>
      </c>
      <c r="G275" t="s">
        <v>1037</v>
      </c>
      <c r="H275" t="s">
        <v>1041</v>
      </c>
      <c r="I275" s="1">
        <v>43492</v>
      </c>
      <c r="J275" t="s">
        <v>1045</v>
      </c>
      <c r="K275" s="5">
        <v>0.66041666666666665</v>
      </c>
      <c r="L275" t="s">
        <v>24</v>
      </c>
      <c r="M275">
        <v>1.2030000000000001</v>
      </c>
      <c r="N275">
        <v>5.0999999999999996</v>
      </c>
    </row>
    <row r="276" spans="1:14" x14ac:dyDescent="0.25">
      <c r="A276" t="s">
        <v>305</v>
      </c>
      <c r="B276" t="s">
        <v>37</v>
      </c>
      <c r="C276" t="s">
        <v>38</v>
      </c>
      <c r="D276" t="s">
        <v>22</v>
      </c>
      <c r="E276" t="s">
        <v>16</v>
      </c>
      <c r="F276" t="s">
        <v>17</v>
      </c>
      <c r="G276" t="s">
        <v>1034</v>
      </c>
      <c r="H276" t="s">
        <v>1042</v>
      </c>
      <c r="I276" s="1">
        <v>43522</v>
      </c>
      <c r="J276" t="s">
        <v>1046</v>
      </c>
      <c r="K276" s="5">
        <v>0.70277777777777783</v>
      </c>
      <c r="L276" t="s">
        <v>18</v>
      </c>
      <c r="M276">
        <v>29.913</v>
      </c>
      <c r="N276">
        <v>7.9</v>
      </c>
    </row>
    <row r="277" spans="1:14" x14ac:dyDescent="0.25">
      <c r="A277" t="s">
        <v>306</v>
      </c>
      <c r="B277" t="s">
        <v>37</v>
      </c>
      <c r="C277" t="s">
        <v>38</v>
      </c>
      <c r="D277" t="s">
        <v>22</v>
      </c>
      <c r="E277" t="s">
        <v>26</v>
      </c>
      <c r="F277" t="s">
        <v>41</v>
      </c>
      <c r="G277" t="s">
        <v>1034</v>
      </c>
      <c r="H277" t="s">
        <v>1041</v>
      </c>
      <c r="I277" s="1">
        <v>43472</v>
      </c>
      <c r="J277" t="s">
        <v>1046</v>
      </c>
      <c r="K277" s="5">
        <v>0.86944444444444446</v>
      </c>
      <c r="L277" t="s">
        <v>24</v>
      </c>
      <c r="M277">
        <v>16.7895</v>
      </c>
      <c r="N277">
        <v>6.2</v>
      </c>
    </row>
    <row r="278" spans="1:14" x14ac:dyDescent="0.25">
      <c r="A278" t="s">
        <v>307</v>
      </c>
      <c r="B278" t="s">
        <v>20</v>
      </c>
      <c r="C278" t="s">
        <v>21</v>
      </c>
      <c r="D278" t="s">
        <v>15</v>
      </c>
      <c r="E278" t="s">
        <v>16</v>
      </c>
      <c r="F278" t="s">
        <v>27</v>
      </c>
      <c r="G278" t="s">
        <v>1034</v>
      </c>
      <c r="H278" t="s">
        <v>1041</v>
      </c>
      <c r="I278" s="1">
        <v>43472</v>
      </c>
      <c r="J278" t="s">
        <v>1046</v>
      </c>
      <c r="K278" s="5">
        <v>0.73333333333333339</v>
      </c>
      <c r="L278" t="s">
        <v>24</v>
      </c>
      <c r="M278">
        <v>10.91</v>
      </c>
      <c r="N278">
        <v>7.1</v>
      </c>
    </row>
    <row r="279" spans="1:14" x14ac:dyDescent="0.25">
      <c r="A279" t="s">
        <v>308</v>
      </c>
      <c r="B279" t="s">
        <v>20</v>
      </c>
      <c r="C279" t="s">
        <v>21</v>
      </c>
      <c r="D279" t="s">
        <v>22</v>
      </c>
      <c r="E279" t="s">
        <v>16</v>
      </c>
      <c r="F279" t="s">
        <v>41</v>
      </c>
      <c r="G279" t="s">
        <v>1038</v>
      </c>
      <c r="H279" t="s">
        <v>1042</v>
      </c>
      <c r="I279" s="1">
        <v>43498</v>
      </c>
      <c r="J279" t="s">
        <v>1045</v>
      </c>
      <c r="K279" s="5">
        <v>0.55763888888888891</v>
      </c>
      <c r="L279" t="s">
        <v>18</v>
      </c>
      <c r="M279">
        <v>19.084</v>
      </c>
      <c r="N279">
        <v>6.4</v>
      </c>
    </row>
    <row r="280" spans="1:14" x14ac:dyDescent="0.25">
      <c r="A280" t="s">
        <v>309</v>
      </c>
      <c r="B280" t="s">
        <v>20</v>
      </c>
      <c r="C280" t="s">
        <v>21</v>
      </c>
      <c r="D280" t="s">
        <v>15</v>
      </c>
      <c r="E280" t="s">
        <v>26</v>
      </c>
      <c r="F280" t="s">
        <v>41</v>
      </c>
      <c r="G280" t="s">
        <v>1037</v>
      </c>
      <c r="H280" t="s">
        <v>1043</v>
      </c>
      <c r="I280" s="1">
        <v>43544</v>
      </c>
      <c r="J280" t="s">
        <v>1046</v>
      </c>
      <c r="K280" s="5">
        <v>0.68611111111111101</v>
      </c>
      <c r="L280" t="s">
        <v>24</v>
      </c>
      <c r="M280">
        <v>35.494999999999997</v>
      </c>
      <c r="N280">
        <v>5.7</v>
      </c>
    </row>
    <row r="281" spans="1:14" x14ac:dyDescent="0.25">
      <c r="A281" t="s">
        <v>310</v>
      </c>
      <c r="B281" t="s">
        <v>13</v>
      </c>
      <c r="C281" t="s">
        <v>14</v>
      </c>
      <c r="D281" t="s">
        <v>15</v>
      </c>
      <c r="E281" t="s">
        <v>26</v>
      </c>
      <c r="F281" t="s">
        <v>31</v>
      </c>
      <c r="G281" t="s">
        <v>1037</v>
      </c>
      <c r="H281" t="s">
        <v>1043</v>
      </c>
      <c r="I281" s="1">
        <v>43544</v>
      </c>
      <c r="J281" t="s">
        <v>1046</v>
      </c>
      <c r="K281" s="5">
        <v>0.83124999999999993</v>
      </c>
      <c r="L281" t="s">
        <v>28</v>
      </c>
      <c r="M281">
        <v>22.01</v>
      </c>
      <c r="N281">
        <v>9.6</v>
      </c>
    </row>
    <row r="282" spans="1:14" x14ac:dyDescent="0.25">
      <c r="A282" t="s">
        <v>311</v>
      </c>
      <c r="B282" t="s">
        <v>13</v>
      </c>
      <c r="C282" t="s">
        <v>14</v>
      </c>
      <c r="D282" t="s">
        <v>22</v>
      </c>
      <c r="E282" t="s">
        <v>16</v>
      </c>
      <c r="F282" t="s">
        <v>27</v>
      </c>
      <c r="G282" t="s">
        <v>1039</v>
      </c>
      <c r="H282" t="s">
        <v>1042</v>
      </c>
      <c r="I282" s="1">
        <v>43511</v>
      </c>
      <c r="J282" t="s">
        <v>1046</v>
      </c>
      <c r="K282" s="5">
        <v>0.7090277777777777</v>
      </c>
      <c r="L282" t="s">
        <v>28</v>
      </c>
      <c r="M282">
        <v>27.984000000000002</v>
      </c>
      <c r="N282">
        <v>6.4</v>
      </c>
    </row>
    <row r="283" spans="1:14" x14ac:dyDescent="0.25">
      <c r="A283" t="s">
        <v>312</v>
      </c>
      <c r="B283" t="s">
        <v>20</v>
      </c>
      <c r="C283" t="s">
        <v>21</v>
      </c>
      <c r="D283" t="s">
        <v>22</v>
      </c>
      <c r="E283" t="s">
        <v>26</v>
      </c>
      <c r="F283" t="s">
        <v>27</v>
      </c>
      <c r="G283" t="s">
        <v>1035</v>
      </c>
      <c r="H283" t="s">
        <v>1043</v>
      </c>
      <c r="I283" s="1">
        <v>43530</v>
      </c>
      <c r="J283" t="s">
        <v>1045</v>
      </c>
      <c r="K283" s="5">
        <v>0.56180555555555556</v>
      </c>
      <c r="L283" t="s">
        <v>28</v>
      </c>
      <c r="M283">
        <v>1.85</v>
      </c>
      <c r="N283">
        <v>7.9</v>
      </c>
    </row>
    <row r="284" spans="1:14" x14ac:dyDescent="0.25">
      <c r="A284" t="s">
        <v>313</v>
      </c>
      <c r="B284" t="s">
        <v>13</v>
      </c>
      <c r="C284" t="s">
        <v>14</v>
      </c>
      <c r="D284" t="s">
        <v>22</v>
      </c>
      <c r="E284" t="s">
        <v>16</v>
      </c>
      <c r="F284" t="s">
        <v>31</v>
      </c>
      <c r="G284" t="s">
        <v>1034</v>
      </c>
      <c r="H284" t="s">
        <v>1041</v>
      </c>
      <c r="I284" s="1">
        <v>43471</v>
      </c>
      <c r="J284" t="s">
        <v>1044</v>
      </c>
      <c r="K284" s="5">
        <v>0.46458333333333335</v>
      </c>
      <c r="L284" t="s">
        <v>24</v>
      </c>
      <c r="M284">
        <v>0.76700000000000002</v>
      </c>
      <c r="N284">
        <v>6.5</v>
      </c>
    </row>
    <row r="285" spans="1:14" x14ac:dyDescent="0.25">
      <c r="A285" t="s">
        <v>314</v>
      </c>
      <c r="B285" t="s">
        <v>13</v>
      </c>
      <c r="C285" t="s">
        <v>14</v>
      </c>
      <c r="D285" t="s">
        <v>15</v>
      </c>
      <c r="E285" t="s">
        <v>26</v>
      </c>
      <c r="F285" t="s">
        <v>17</v>
      </c>
      <c r="G285" t="s">
        <v>1035</v>
      </c>
      <c r="H285" t="s">
        <v>1043</v>
      </c>
      <c r="I285" s="1">
        <v>43528</v>
      </c>
      <c r="J285" t="s">
        <v>1045</v>
      </c>
      <c r="K285" s="5">
        <v>0.62638888888888888</v>
      </c>
      <c r="L285" t="s">
        <v>18</v>
      </c>
      <c r="M285">
        <v>29.949000000000002</v>
      </c>
      <c r="N285">
        <v>8.5</v>
      </c>
    </row>
    <row r="286" spans="1:14" x14ac:dyDescent="0.25">
      <c r="A286" t="s">
        <v>315</v>
      </c>
      <c r="B286" t="s">
        <v>13</v>
      </c>
      <c r="C286" t="s">
        <v>14</v>
      </c>
      <c r="D286" t="s">
        <v>15</v>
      </c>
      <c r="E286" t="s">
        <v>16</v>
      </c>
      <c r="F286" t="s">
        <v>17</v>
      </c>
      <c r="G286" t="s">
        <v>1036</v>
      </c>
      <c r="H286" t="s">
        <v>1043</v>
      </c>
      <c r="I286" s="1">
        <v>43536</v>
      </c>
      <c r="J286" t="s">
        <v>1045</v>
      </c>
      <c r="K286" s="5">
        <v>0.59791666666666665</v>
      </c>
      <c r="L286" t="s">
        <v>24</v>
      </c>
      <c r="M286">
        <v>9.5340000000000007</v>
      </c>
      <c r="N286">
        <v>9.1</v>
      </c>
    </row>
    <row r="287" spans="1:14" x14ac:dyDescent="0.25">
      <c r="A287" t="s">
        <v>316</v>
      </c>
      <c r="B287" t="s">
        <v>37</v>
      </c>
      <c r="C287" t="s">
        <v>38</v>
      </c>
      <c r="D287" t="s">
        <v>22</v>
      </c>
      <c r="E287" t="s">
        <v>26</v>
      </c>
      <c r="F287" t="s">
        <v>17</v>
      </c>
      <c r="G287" t="s">
        <v>1040</v>
      </c>
      <c r="H287" t="s">
        <v>1042</v>
      </c>
      <c r="I287" s="1">
        <v>43516</v>
      </c>
      <c r="J287" t="s">
        <v>1046</v>
      </c>
      <c r="K287" s="5">
        <v>0.75069444444444444</v>
      </c>
      <c r="L287" t="s">
        <v>24</v>
      </c>
      <c r="M287">
        <v>16.670000000000002</v>
      </c>
      <c r="N287">
        <v>7.6</v>
      </c>
    </row>
    <row r="288" spans="1:14" x14ac:dyDescent="0.25">
      <c r="A288" t="s">
        <v>317</v>
      </c>
      <c r="B288" t="s">
        <v>20</v>
      </c>
      <c r="C288" t="s">
        <v>21</v>
      </c>
      <c r="D288" t="s">
        <v>15</v>
      </c>
      <c r="E288" t="s">
        <v>26</v>
      </c>
      <c r="F288" t="s">
        <v>27</v>
      </c>
      <c r="G288" t="s">
        <v>1038</v>
      </c>
      <c r="H288" t="s">
        <v>1043</v>
      </c>
      <c r="I288" s="1">
        <v>43548</v>
      </c>
      <c r="J288" t="s">
        <v>1045</v>
      </c>
      <c r="K288" s="5">
        <v>0.61736111111111114</v>
      </c>
      <c r="L288" t="s">
        <v>24</v>
      </c>
      <c r="M288">
        <v>3.7429999999999999</v>
      </c>
      <c r="N288">
        <v>6.9</v>
      </c>
    </row>
    <row r="289" spans="1:14" x14ac:dyDescent="0.25">
      <c r="A289" t="s">
        <v>318</v>
      </c>
      <c r="B289" t="s">
        <v>20</v>
      </c>
      <c r="C289" t="s">
        <v>21</v>
      </c>
      <c r="D289" t="s">
        <v>22</v>
      </c>
      <c r="E289" t="s">
        <v>16</v>
      </c>
      <c r="F289" t="s">
        <v>31</v>
      </c>
      <c r="G289" t="s">
        <v>1037</v>
      </c>
      <c r="H289" t="s">
        <v>1041</v>
      </c>
      <c r="I289" s="1">
        <v>43496</v>
      </c>
      <c r="J289" t="s">
        <v>1045</v>
      </c>
      <c r="K289" s="5">
        <v>0.50138888888888888</v>
      </c>
      <c r="L289" t="s">
        <v>24</v>
      </c>
      <c r="M289">
        <v>10.6875</v>
      </c>
      <c r="N289">
        <v>9.5</v>
      </c>
    </row>
    <row r="290" spans="1:14" x14ac:dyDescent="0.25">
      <c r="A290" t="s">
        <v>319</v>
      </c>
      <c r="B290" t="s">
        <v>37</v>
      </c>
      <c r="C290" t="s">
        <v>38</v>
      </c>
      <c r="D290" t="s">
        <v>22</v>
      </c>
      <c r="E290" t="s">
        <v>16</v>
      </c>
      <c r="F290" t="s">
        <v>39</v>
      </c>
      <c r="G290" t="s">
        <v>1036</v>
      </c>
      <c r="H290" t="s">
        <v>1041</v>
      </c>
      <c r="I290" s="1">
        <v>43490</v>
      </c>
      <c r="J290" t="s">
        <v>1045</v>
      </c>
      <c r="K290" s="5">
        <v>0.5625</v>
      </c>
      <c r="L290" t="s">
        <v>28</v>
      </c>
      <c r="M290">
        <v>16.9785</v>
      </c>
      <c r="N290">
        <v>5.2</v>
      </c>
    </row>
    <row r="291" spans="1:14" x14ac:dyDescent="0.25">
      <c r="A291" t="s">
        <v>320</v>
      </c>
      <c r="B291" t="s">
        <v>13</v>
      </c>
      <c r="C291" t="s">
        <v>14</v>
      </c>
      <c r="D291" t="s">
        <v>15</v>
      </c>
      <c r="E291" t="s">
        <v>16</v>
      </c>
      <c r="F291" t="s">
        <v>27</v>
      </c>
      <c r="G291" t="s">
        <v>1038</v>
      </c>
      <c r="H291" t="s">
        <v>1042</v>
      </c>
      <c r="I291" s="1">
        <v>43499</v>
      </c>
      <c r="J291" t="s">
        <v>1045</v>
      </c>
      <c r="K291" s="5">
        <v>0.60972222222222217</v>
      </c>
      <c r="L291" t="s">
        <v>24</v>
      </c>
      <c r="M291">
        <v>33.207999999999998</v>
      </c>
      <c r="N291">
        <v>4.2</v>
      </c>
    </row>
    <row r="292" spans="1:14" x14ac:dyDescent="0.25">
      <c r="A292" t="s">
        <v>321</v>
      </c>
      <c r="B292" t="s">
        <v>37</v>
      </c>
      <c r="C292" t="s">
        <v>38</v>
      </c>
      <c r="D292" t="s">
        <v>15</v>
      </c>
      <c r="E292" t="s">
        <v>26</v>
      </c>
      <c r="F292" t="s">
        <v>23</v>
      </c>
      <c r="G292" t="s">
        <v>1036</v>
      </c>
      <c r="H292" t="s">
        <v>1041</v>
      </c>
      <c r="I292" s="1">
        <v>43489</v>
      </c>
      <c r="J292" t="s">
        <v>1046</v>
      </c>
      <c r="K292" s="5">
        <v>0.73402777777777783</v>
      </c>
      <c r="L292" t="s">
        <v>28</v>
      </c>
      <c r="M292">
        <v>20.149999999999999</v>
      </c>
      <c r="N292">
        <v>7</v>
      </c>
    </row>
    <row r="293" spans="1:14" x14ac:dyDescent="0.25">
      <c r="A293" t="s">
        <v>322</v>
      </c>
      <c r="B293" t="s">
        <v>20</v>
      </c>
      <c r="C293" t="s">
        <v>21</v>
      </c>
      <c r="D293" t="s">
        <v>22</v>
      </c>
      <c r="E293" t="s">
        <v>26</v>
      </c>
      <c r="F293" t="s">
        <v>23</v>
      </c>
      <c r="G293" t="s">
        <v>1036</v>
      </c>
      <c r="H293" t="s">
        <v>1043</v>
      </c>
      <c r="I293" s="1">
        <v>43538</v>
      </c>
      <c r="J293" t="s">
        <v>1046</v>
      </c>
      <c r="K293" s="5">
        <v>0.72222222222222221</v>
      </c>
      <c r="L293" t="s">
        <v>18</v>
      </c>
      <c r="M293">
        <v>9.7475000000000005</v>
      </c>
      <c r="N293">
        <v>6</v>
      </c>
    </row>
    <row r="294" spans="1:14" x14ac:dyDescent="0.25">
      <c r="A294" t="s">
        <v>323</v>
      </c>
      <c r="B294" t="s">
        <v>13</v>
      </c>
      <c r="C294" t="s">
        <v>14</v>
      </c>
      <c r="D294" t="s">
        <v>15</v>
      </c>
      <c r="E294" t="s">
        <v>16</v>
      </c>
      <c r="F294" t="s">
        <v>23</v>
      </c>
      <c r="G294" t="s">
        <v>1040</v>
      </c>
      <c r="H294" t="s">
        <v>1042</v>
      </c>
      <c r="I294" s="1">
        <v>43514</v>
      </c>
      <c r="J294" t="s">
        <v>1046</v>
      </c>
      <c r="K294" s="5">
        <v>0.8534722222222223</v>
      </c>
      <c r="L294" t="s">
        <v>24</v>
      </c>
      <c r="M294">
        <v>3.1240000000000001</v>
      </c>
      <c r="N294">
        <v>4.7</v>
      </c>
    </row>
    <row r="295" spans="1:14" x14ac:dyDescent="0.25">
      <c r="A295" t="s">
        <v>324</v>
      </c>
      <c r="B295" t="s">
        <v>13</v>
      </c>
      <c r="C295" t="s">
        <v>14</v>
      </c>
      <c r="D295" t="s">
        <v>15</v>
      </c>
      <c r="E295" t="s">
        <v>16</v>
      </c>
      <c r="F295" t="s">
        <v>39</v>
      </c>
      <c r="G295" t="s">
        <v>1036</v>
      </c>
      <c r="H295" t="s">
        <v>1041</v>
      </c>
      <c r="I295" s="1">
        <v>43486</v>
      </c>
      <c r="J295" t="s">
        <v>1044</v>
      </c>
      <c r="K295" s="5">
        <v>0.41666666666666669</v>
      </c>
      <c r="L295" t="s">
        <v>24</v>
      </c>
      <c r="M295">
        <v>3.6360000000000001</v>
      </c>
      <c r="N295">
        <v>7.1</v>
      </c>
    </row>
    <row r="296" spans="1:14" x14ac:dyDescent="0.25">
      <c r="A296" t="s">
        <v>325</v>
      </c>
      <c r="B296" t="s">
        <v>37</v>
      </c>
      <c r="C296" t="s">
        <v>38</v>
      </c>
      <c r="D296" t="s">
        <v>22</v>
      </c>
      <c r="E296" t="s">
        <v>26</v>
      </c>
      <c r="F296" t="s">
        <v>17</v>
      </c>
      <c r="G296" t="s">
        <v>1036</v>
      </c>
      <c r="H296" t="s">
        <v>1043</v>
      </c>
      <c r="I296" s="1">
        <v>43537</v>
      </c>
      <c r="J296" t="s">
        <v>1044</v>
      </c>
      <c r="K296" s="5">
        <v>0.49027777777777781</v>
      </c>
      <c r="L296" t="s">
        <v>18</v>
      </c>
      <c r="M296">
        <v>9.0549999999999997</v>
      </c>
      <c r="N296">
        <v>5.9</v>
      </c>
    </row>
    <row r="297" spans="1:14" x14ac:dyDescent="0.25">
      <c r="A297" t="s">
        <v>326</v>
      </c>
      <c r="B297" t="s">
        <v>20</v>
      </c>
      <c r="C297" t="s">
        <v>21</v>
      </c>
      <c r="D297" t="s">
        <v>15</v>
      </c>
      <c r="E297" t="s">
        <v>16</v>
      </c>
      <c r="F297" t="s">
        <v>23</v>
      </c>
      <c r="G297" t="s">
        <v>1035</v>
      </c>
      <c r="H297" t="s">
        <v>1043</v>
      </c>
      <c r="I297" s="1">
        <v>43527</v>
      </c>
      <c r="J297" t="s">
        <v>1045</v>
      </c>
      <c r="K297" s="5">
        <v>0.5708333333333333</v>
      </c>
      <c r="L297" t="s">
        <v>24</v>
      </c>
      <c r="M297">
        <v>12.98</v>
      </c>
      <c r="N297">
        <v>7.5</v>
      </c>
    </row>
    <row r="298" spans="1:14" x14ac:dyDescent="0.25">
      <c r="A298" t="s">
        <v>327</v>
      </c>
      <c r="B298" t="s">
        <v>20</v>
      </c>
      <c r="C298" t="s">
        <v>21</v>
      </c>
      <c r="D298" t="s">
        <v>22</v>
      </c>
      <c r="E298" t="s">
        <v>26</v>
      </c>
      <c r="F298" t="s">
        <v>23</v>
      </c>
      <c r="G298" t="s">
        <v>1038</v>
      </c>
      <c r="H298" t="s">
        <v>1043</v>
      </c>
      <c r="I298" s="1">
        <v>43553</v>
      </c>
      <c r="J298" t="s">
        <v>1045</v>
      </c>
      <c r="K298" s="5">
        <v>0.61388888888888882</v>
      </c>
      <c r="L298" t="s">
        <v>24</v>
      </c>
      <c r="M298">
        <v>5.7679999999999998</v>
      </c>
      <c r="N298">
        <v>6.4</v>
      </c>
    </row>
    <row r="299" spans="1:14" x14ac:dyDescent="0.25">
      <c r="A299" t="s">
        <v>328</v>
      </c>
      <c r="B299" t="s">
        <v>13</v>
      </c>
      <c r="C299" t="s">
        <v>14</v>
      </c>
      <c r="D299" t="s">
        <v>15</v>
      </c>
      <c r="E299" t="s">
        <v>26</v>
      </c>
      <c r="F299" t="s">
        <v>27</v>
      </c>
      <c r="G299" t="s">
        <v>1034</v>
      </c>
      <c r="H299" t="s">
        <v>1041</v>
      </c>
      <c r="I299" s="1">
        <v>43475</v>
      </c>
      <c r="J299" t="s">
        <v>1045</v>
      </c>
      <c r="K299" s="5">
        <v>0.59444444444444444</v>
      </c>
      <c r="L299" t="s">
        <v>18</v>
      </c>
      <c r="M299">
        <v>23.513999999999999</v>
      </c>
      <c r="N299">
        <v>5.8</v>
      </c>
    </row>
    <row r="300" spans="1:14" x14ac:dyDescent="0.25">
      <c r="A300" t="s">
        <v>329</v>
      </c>
      <c r="B300" t="s">
        <v>13</v>
      </c>
      <c r="C300" t="s">
        <v>14</v>
      </c>
      <c r="D300" t="s">
        <v>15</v>
      </c>
      <c r="E300" t="s">
        <v>26</v>
      </c>
      <c r="F300" t="s">
        <v>27</v>
      </c>
      <c r="G300" t="s">
        <v>1036</v>
      </c>
      <c r="H300" t="s">
        <v>1041</v>
      </c>
      <c r="I300" s="1">
        <v>43490</v>
      </c>
      <c r="J300" t="s">
        <v>1045</v>
      </c>
      <c r="K300" s="5">
        <v>0.66249999999999998</v>
      </c>
      <c r="L300" t="s">
        <v>24</v>
      </c>
      <c r="M300">
        <v>12.002000000000001</v>
      </c>
      <c r="N300">
        <v>4.5</v>
      </c>
    </row>
    <row r="301" spans="1:14" x14ac:dyDescent="0.25">
      <c r="A301" t="s">
        <v>330</v>
      </c>
      <c r="B301" t="s">
        <v>20</v>
      </c>
      <c r="C301" t="s">
        <v>21</v>
      </c>
      <c r="D301" t="s">
        <v>15</v>
      </c>
      <c r="E301" t="s">
        <v>16</v>
      </c>
      <c r="F301" t="s">
        <v>27</v>
      </c>
      <c r="G301" t="s">
        <v>1036</v>
      </c>
      <c r="H301" t="s">
        <v>1041</v>
      </c>
      <c r="I301" s="1">
        <v>43484</v>
      </c>
      <c r="J301" t="s">
        <v>1044</v>
      </c>
      <c r="K301" s="5">
        <v>0.43124999999999997</v>
      </c>
      <c r="L301" t="s">
        <v>24</v>
      </c>
      <c r="M301">
        <v>4.4305000000000003</v>
      </c>
      <c r="N301">
        <v>7.7</v>
      </c>
    </row>
    <row r="302" spans="1:14" x14ac:dyDescent="0.25">
      <c r="A302" t="s">
        <v>331</v>
      </c>
      <c r="B302" t="s">
        <v>20</v>
      </c>
      <c r="C302" t="s">
        <v>21</v>
      </c>
      <c r="D302" t="s">
        <v>22</v>
      </c>
      <c r="E302" t="s">
        <v>26</v>
      </c>
      <c r="F302" t="s">
        <v>41</v>
      </c>
      <c r="G302" t="s">
        <v>1040</v>
      </c>
      <c r="H302" t="s">
        <v>1041</v>
      </c>
      <c r="I302" s="1">
        <v>43467</v>
      </c>
      <c r="J302" t="s">
        <v>1046</v>
      </c>
      <c r="K302" s="5">
        <v>0.75624999999999998</v>
      </c>
      <c r="L302" t="s">
        <v>28</v>
      </c>
      <c r="M302">
        <v>9.9819999999999993</v>
      </c>
      <c r="N302">
        <v>6.7</v>
      </c>
    </row>
    <row r="303" spans="1:14" x14ac:dyDescent="0.25">
      <c r="A303" t="s">
        <v>332</v>
      </c>
      <c r="B303" t="s">
        <v>37</v>
      </c>
      <c r="C303" t="s">
        <v>38</v>
      </c>
      <c r="D303" t="s">
        <v>15</v>
      </c>
      <c r="E303" t="s">
        <v>26</v>
      </c>
      <c r="F303" t="s">
        <v>17</v>
      </c>
      <c r="G303" t="s">
        <v>1036</v>
      </c>
      <c r="H303" t="s">
        <v>1043</v>
      </c>
      <c r="I303" s="1">
        <v>43536</v>
      </c>
      <c r="J303" t="s">
        <v>1046</v>
      </c>
      <c r="K303" s="5">
        <v>0.69861111111111107</v>
      </c>
      <c r="L303" t="s">
        <v>28</v>
      </c>
      <c r="M303">
        <v>1.9504999999999999</v>
      </c>
      <c r="N303">
        <v>4.7</v>
      </c>
    </row>
    <row r="304" spans="1:14" x14ac:dyDescent="0.25">
      <c r="A304" t="s">
        <v>333</v>
      </c>
      <c r="B304" t="s">
        <v>20</v>
      </c>
      <c r="C304" t="s">
        <v>21</v>
      </c>
      <c r="D304" t="s">
        <v>22</v>
      </c>
      <c r="E304" t="s">
        <v>26</v>
      </c>
      <c r="F304" t="s">
        <v>39</v>
      </c>
      <c r="G304" t="s">
        <v>1034</v>
      </c>
      <c r="H304" t="s">
        <v>1042</v>
      </c>
      <c r="I304" s="1">
        <v>43521</v>
      </c>
      <c r="J304" t="s">
        <v>1045</v>
      </c>
      <c r="K304" s="5">
        <v>0.64652777777777781</v>
      </c>
      <c r="L304" t="s">
        <v>24</v>
      </c>
      <c r="M304">
        <v>2.4304999999999999</v>
      </c>
      <c r="N304">
        <v>4.4000000000000004</v>
      </c>
    </row>
    <row r="305" spans="1:14" x14ac:dyDescent="0.25">
      <c r="A305" t="s">
        <v>334</v>
      </c>
      <c r="B305" t="s">
        <v>13</v>
      </c>
      <c r="C305" t="s">
        <v>14</v>
      </c>
      <c r="D305" t="s">
        <v>22</v>
      </c>
      <c r="E305" t="s">
        <v>16</v>
      </c>
      <c r="F305" t="s">
        <v>23</v>
      </c>
      <c r="G305" t="s">
        <v>1037</v>
      </c>
      <c r="H305" t="s">
        <v>1043</v>
      </c>
      <c r="I305" s="1">
        <v>43542</v>
      </c>
      <c r="J305" t="s">
        <v>1046</v>
      </c>
      <c r="K305" s="5">
        <v>0.71875</v>
      </c>
      <c r="L305" t="s">
        <v>28</v>
      </c>
      <c r="M305">
        <v>10.238</v>
      </c>
      <c r="N305">
        <v>4.7</v>
      </c>
    </row>
    <row r="306" spans="1:14" x14ac:dyDescent="0.25">
      <c r="A306" t="s">
        <v>335</v>
      </c>
      <c r="B306" t="s">
        <v>37</v>
      </c>
      <c r="C306" t="s">
        <v>38</v>
      </c>
      <c r="D306" t="s">
        <v>22</v>
      </c>
      <c r="E306" t="s">
        <v>16</v>
      </c>
      <c r="F306" t="s">
        <v>23</v>
      </c>
      <c r="G306" t="s">
        <v>1034</v>
      </c>
      <c r="H306" t="s">
        <v>1042</v>
      </c>
      <c r="I306" s="1">
        <v>43519</v>
      </c>
      <c r="J306" t="s">
        <v>1045</v>
      </c>
      <c r="K306" s="5">
        <v>0.52013888888888882</v>
      </c>
      <c r="L306" t="s">
        <v>24</v>
      </c>
      <c r="M306">
        <v>5.984</v>
      </c>
      <c r="N306">
        <v>8.6</v>
      </c>
    </row>
    <row r="307" spans="1:14" x14ac:dyDescent="0.25">
      <c r="A307" t="s">
        <v>336</v>
      </c>
      <c r="B307" t="s">
        <v>13</v>
      </c>
      <c r="C307" t="s">
        <v>14</v>
      </c>
      <c r="D307" t="s">
        <v>15</v>
      </c>
      <c r="E307" t="s">
        <v>26</v>
      </c>
      <c r="F307" t="s">
        <v>23</v>
      </c>
      <c r="G307" t="s">
        <v>1038</v>
      </c>
      <c r="H307" t="s">
        <v>1043</v>
      </c>
      <c r="I307" s="1">
        <v>43550</v>
      </c>
      <c r="J307" t="s">
        <v>1046</v>
      </c>
      <c r="K307" s="5">
        <v>0.84305555555555556</v>
      </c>
      <c r="L307" t="s">
        <v>18</v>
      </c>
      <c r="M307">
        <v>25.27</v>
      </c>
      <c r="N307">
        <v>4.3</v>
      </c>
    </row>
    <row r="308" spans="1:14" x14ac:dyDescent="0.25">
      <c r="A308" t="s">
        <v>337</v>
      </c>
      <c r="B308" t="s">
        <v>13</v>
      </c>
      <c r="C308" t="s">
        <v>14</v>
      </c>
      <c r="D308" t="s">
        <v>22</v>
      </c>
      <c r="E308" t="s">
        <v>16</v>
      </c>
      <c r="F308" t="s">
        <v>31</v>
      </c>
      <c r="G308" t="s">
        <v>1039</v>
      </c>
      <c r="H308" t="s">
        <v>1043</v>
      </c>
      <c r="I308" s="1">
        <v>43554</v>
      </c>
      <c r="J308" t="s">
        <v>1045</v>
      </c>
      <c r="K308" s="5">
        <v>0.55694444444444446</v>
      </c>
      <c r="L308" t="s">
        <v>24</v>
      </c>
      <c r="M308">
        <v>14.080500000000001</v>
      </c>
      <c r="N308">
        <v>9.6</v>
      </c>
    </row>
    <row r="309" spans="1:14" x14ac:dyDescent="0.25">
      <c r="A309" t="s">
        <v>338</v>
      </c>
      <c r="B309" t="s">
        <v>13</v>
      </c>
      <c r="C309" t="s">
        <v>14</v>
      </c>
      <c r="D309" t="s">
        <v>15</v>
      </c>
      <c r="E309" t="s">
        <v>16</v>
      </c>
      <c r="F309" t="s">
        <v>27</v>
      </c>
      <c r="G309" t="s">
        <v>1040</v>
      </c>
      <c r="H309" t="s">
        <v>1042</v>
      </c>
      <c r="I309" s="1">
        <v>43513</v>
      </c>
      <c r="J309" t="s">
        <v>1046</v>
      </c>
      <c r="K309" s="5">
        <v>0.71458333333333324</v>
      </c>
      <c r="L309" t="s">
        <v>24</v>
      </c>
      <c r="M309">
        <v>35.515999999999998</v>
      </c>
      <c r="N309">
        <v>4.0999999999999996</v>
      </c>
    </row>
    <row r="310" spans="1:14" x14ac:dyDescent="0.25">
      <c r="A310" t="s">
        <v>339</v>
      </c>
      <c r="B310" t="s">
        <v>13</v>
      </c>
      <c r="C310" t="s">
        <v>14</v>
      </c>
      <c r="D310" t="s">
        <v>15</v>
      </c>
      <c r="E310" t="s">
        <v>16</v>
      </c>
      <c r="F310" t="s">
        <v>23</v>
      </c>
      <c r="G310" t="s">
        <v>1037</v>
      </c>
      <c r="H310" t="s">
        <v>1043</v>
      </c>
      <c r="I310" s="1">
        <v>43545</v>
      </c>
      <c r="J310" t="s">
        <v>1044</v>
      </c>
      <c r="K310" s="5">
        <v>0.44444444444444442</v>
      </c>
      <c r="L310" t="s">
        <v>18</v>
      </c>
      <c r="M310">
        <v>3.972</v>
      </c>
      <c r="N310">
        <v>4.7</v>
      </c>
    </row>
    <row r="311" spans="1:14" x14ac:dyDescent="0.25">
      <c r="A311" t="s">
        <v>340</v>
      </c>
      <c r="B311" t="s">
        <v>13</v>
      </c>
      <c r="C311" t="s">
        <v>14</v>
      </c>
      <c r="D311" t="s">
        <v>22</v>
      </c>
      <c r="E311" t="s">
        <v>16</v>
      </c>
      <c r="F311" t="s">
        <v>41</v>
      </c>
      <c r="G311" t="s">
        <v>1035</v>
      </c>
      <c r="H311" t="s">
        <v>1043</v>
      </c>
      <c r="I311" s="1">
        <v>43529</v>
      </c>
      <c r="J311" t="s">
        <v>1046</v>
      </c>
      <c r="K311" s="5">
        <v>0.73819444444444438</v>
      </c>
      <c r="L311" t="s">
        <v>24</v>
      </c>
      <c r="M311">
        <v>8.1910000000000007</v>
      </c>
      <c r="N311">
        <v>7.8</v>
      </c>
    </row>
    <row r="312" spans="1:14" x14ac:dyDescent="0.25">
      <c r="A312" t="s">
        <v>341</v>
      </c>
      <c r="B312" t="s">
        <v>37</v>
      </c>
      <c r="C312" t="s">
        <v>38</v>
      </c>
      <c r="D312" t="s">
        <v>15</v>
      </c>
      <c r="E312" t="s">
        <v>26</v>
      </c>
      <c r="F312" t="s">
        <v>31</v>
      </c>
      <c r="G312" t="s">
        <v>1037</v>
      </c>
      <c r="H312" t="s">
        <v>1041</v>
      </c>
      <c r="I312" s="1">
        <v>43496</v>
      </c>
      <c r="J312" t="s">
        <v>1045</v>
      </c>
      <c r="K312" s="5">
        <v>0.58611111111111114</v>
      </c>
      <c r="L312" t="s">
        <v>24</v>
      </c>
      <c r="M312">
        <v>23.978999999999999</v>
      </c>
      <c r="N312">
        <v>5.5</v>
      </c>
    </row>
    <row r="313" spans="1:14" x14ac:dyDescent="0.25">
      <c r="A313" t="s">
        <v>342</v>
      </c>
      <c r="B313" t="s">
        <v>20</v>
      </c>
      <c r="C313" t="s">
        <v>21</v>
      </c>
      <c r="D313" t="s">
        <v>15</v>
      </c>
      <c r="E313" t="s">
        <v>26</v>
      </c>
      <c r="F313" t="s">
        <v>41</v>
      </c>
      <c r="G313" t="s">
        <v>1038</v>
      </c>
      <c r="H313" t="s">
        <v>1042</v>
      </c>
      <c r="I313" s="1">
        <v>43501</v>
      </c>
      <c r="J313" t="s">
        <v>1046</v>
      </c>
      <c r="K313" s="5">
        <v>0.79513888888888884</v>
      </c>
      <c r="L313" t="s">
        <v>18</v>
      </c>
      <c r="M313">
        <v>6.9329999999999998</v>
      </c>
      <c r="N313">
        <v>9.6999999999999993</v>
      </c>
    </row>
    <row r="314" spans="1:14" x14ac:dyDescent="0.25">
      <c r="A314" t="s">
        <v>343</v>
      </c>
      <c r="B314" t="s">
        <v>13</v>
      </c>
      <c r="C314" t="s">
        <v>14</v>
      </c>
      <c r="D314" t="s">
        <v>15</v>
      </c>
      <c r="E314" t="s">
        <v>16</v>
      </c>
      <c r="F314" t="s">
        <v>39</v>
      </c>
      <c r="G314" t="s">
        <v>1037</v>
      </c>
      <c r="H314" t="s">
        <v>1042</v>
      </c>
      <c r="I314" s="1">
        <v>43497</v>
      </c>
      <c r="J314" t="s">
        <v>1044</v>
      </c>
      <c r="K314" s="5">
        <v>0.42222222222222222</v>
      </c>
      <c r="L314" t="s">
        <v>28</v>
      </c>
      <c r="M314">
        <v>3.5575000000000001</v>
      </c>
      <c r="N314">
        <v>4.4000000000000004</v>
      </c>
    </row>
    <row r="315" spans="1:14" x14ac:dyDescent="0.25">
      <c r="A315" t="s">
        <v>344</v>
      </c>
      <c r="B315" t="s">
        <v>13</v>
      </c>
      <c r="C315" t="s">
        <v>14</v>
      </c>
      <c r="D315" t="s">
        <v>15</v>
      </c>
      <c r="E315" t="s">
        <v>16</v>
      </c>
      <c r="F315" t="s">
        <v>17</v>
      </c>
      <c r="G315" t="s">
        <v>1035</v>
      </c>
      <c r="H315" t="s">
        <v>1043</v>
      </c>
      <c r="I315" s="1">
        <v>43531</v>
      </c>
      <c r="J315" t="s">
        <v>1045</v>
      </c>
      <c r="K315" s="5">
        <v>0.54999999999999993</v>
      </c>
      <c r="L315" t="s">
        <v>24</v>
      </c>
      <c r="M315">
        <v>6.9974999999999996</v>
      </c>
      <c r="N315">
        <v>5</v>
      </c>
    </row>
    <row r="316" spans="1:14" x14ac:dyDescent="0.25">
      <c r="A316" t="s">
        <v>345</v>
      </c>
      <c r="B316" t="s">
        <v>20</v>
      </c>
      <c r="C316" t="s">
        <v>21</v>
      </c>
      <c r="D316" t="s">
        <v>15</v>
      </c>
      <c r="E316" t="s">
        <v>16</v>
      </c>
      <c r="F316" t="s">
        <v>23</v>
      </c>
      <c r="G316" t="s">
        <v>1039</v>
      </c>
      <c r="H316" t="s">
        <v>1042</v>
      </c>
      <c r="I316" s="1">
        <v>43506</v>
      </c>
      <c r="J316" t="s">
        <v>1046</v>
      </c>
      <c r="K316" s="5">
        <v>0.86875000000000002</v>
      </c>
      <c r="L316" t="s">
        <v>24</v>
      </c>
      <c r="M316">
        <v>39.064999999999998</v>
      </c>
      <c r="N316">
        <v>4.4000000000000004</v>
      </c>
    </row>
    <row r="317" spans="1:14" x14ac:dyDescent="0.25">
      <c r="A317" t="s">
        <v>346</v>
      </c>
      <c r="B317" t="s">
        <v>20</v>
      </c>
      <c r="C317" t="s">
        <v>21</v>
      </c>
      <c r="D317" t="s">
        <v>15</v>
      </c>
      <c r="E317" t="s">
        <v>26</v>
      </c>
      <c r="F317" t="s">
        <v>39</v>
      </c>
      <c r="G317" t="s">
        <v>1039</v>
      </c>
      <c r="H317" t="s">
        <v>1042</v>
      </c>
      <c r="I317" s="1">
        <v>43510</v>
      </c>
      <c r="J317" t="s">
        <v>1046</v>
      </c>
      <c r="K317" s="5">
        <v>0.7284722222222223</v>
      </c>
      <c r="L317" t="s">
        <v>24</v>
      </c>
      <c r="M317">
        <v>9.9369999999999994</v>
      </c>
      <c r="N317">
        <v>5.2</v>
      </c>
    </row>
    <row r="318" spans="1:14" x14ac:dyDescent="0.25">
      <c r="A318" t="s">
        <v>347</v>
      </c>
      <c r="B318" t="s">
        <v>20</v>
      </c>
      <c r="C318" t="s">
        <v>21</v>
      </c>
      <c r="D318" t="s">
        <v>15</v>
      </c>
      <c r="E318" t="s">
        <v>16</v>
      </c>
      <c r="F318" t="s">
        <v>39</v>
      </c>
      <c r="G318" t="s">
        <v>1039</v>
      </c>
      <c r="H318" t="s">
        <v>1042</v>
      </c>
      <c r="I318" s="1">
        <v>43505</v>
      </c>
      <c r="J318" t="s">
        <v>1044</v>
      </c>
      <c r="K318" s="5">
        <v>0.43402777777777773</v>
      </c>
      <c r="L318" t="s">
        <v>24</v>
      </c>
      <c r="M318">
        <v>3.1619999999999999</v>
      </c>
      <c r="N318">
        <v>7.3</v>
      </c>
    </row>
    <row r="319" spans="1:14" x14ac:dyDescent="0.25">
      <c r="A319" t="s">
        <v>348</v>
      </c>
      <c r="B319" t="s">
        <v>20</v>
      </c>
      <c r="C319" t="s">
        <v>21</v>
      </c>
      <c r="D319" t="s">
        <v>15</v>
      </c>
      <c r="E319" t="s">
        <v>26</v>
      </c>
      <c r="F319" t="s">
        <v>23</v>
      </c>
      <c r="G319" t="s">
        <v>1034</v>
      </c>
      <c r="H319" t="s">
        <v>1041</v>
      </c>
      <c r="I319" s="1">
        <v>43475</v>
      </c>
      <c r="J319" t="s">
        <v>1044</v>
      </c>
      <c r="K319" s="5">
        <v>0.48194444444444445</v>
      </c>
      <c r="L319" t="s">
        <v>24</v>
      </c>
      <c r="M319">
        <v>18.697500000000002</v>
      </c>
      <c r="N319">
        <v>4.9000000000000004</v>
      </c>
    </row>
    <row r="320" spans="1:14" x14ac:dyDescent="0.25">
      <c r="A320" t="s">
        <v>349</v>
      </c>
      <c r="B320" t="s">
        <v>20</v>
      </c>
      <c r="C320" t="s">
        <v>21</v>
      </c>
      <c r="D320" t="s">
        <v>15</v>
      </c>
      <c r="E320" t="s">
        <v>16</v>
      </c>
      <c r="F320" t="s">
        <v>17</v>
      </c>
      <c r="G320" t="s">
        <v>1036</v>
      </c>
      <c r="H320" t="s">
        <v>1043</v>
      </c>
      <c r="I320" s="1">
        <v>43535</v>
      </c>
      <c r="J320" t="s">
        <v>1046</v>
      </c>
      <c r="K320" s="5">
        <v>0.79027777777777775</v>
      </c>
      <c r="L320" t="s">
        <v>28</v>
      </c>
      <c r="M320">
        <v>10.384499999999999</v>
      </c>
      <c r="N320">
        <v>8.1</v>
      </c>
    </row>
    <row r="321" spans="1:14" x14ac:dyDescent="0.25">
      <c r="A321" t="s">
        <v>350</v>
      </c>
      <c r="B321" t="s">
        <v>20</v>
      </c>
      <c r="C321" t="s">
        <v>21</v>
      </c>
      <c r="D321" t="s">
        <v>15</v>
      </c>
      <c r="E321" t="s">
        <v>26</v>
      </c>
      <c r="F321" t="s">
        <v>17</v>
      </c>
      <c r="G321" t="s">
        <v>1040</v>
      </c>
      <c r="H321" t="s">
        <v>1042</v>
      </c>
      <c r="I321" s="1">
        <v>43514</v>
      </c>
      <c r="J321" t="s">
        <v>1046</v>
      </c>
      <c r="K321" s="5">
        <v>0.68611111111111101</v>
      </c>
      <c r="L321" t="s">
        <v>18</v>
      </c>
      <c r="M321">
        <v>8.8140000000000001</v>
      </c>
      <c r="N321">
        <v>8.4</v>
      </c>
    </row>
    <row r="322" spans="1:14" x14ac:dyDescent="0.25">
      <c r="A322" t="s">
        <v>351</v>
      </c>
      <c r="B322" t="s">
        <v>20</v>
      </c>
      <c r="C322" t="s">
        <v>21</v>
      </c>
      <c r="D322" t="s">
        <v>22</v>
      </c>
      <c r="E322" t="s">
        <v>16</v>
      </c>
      <c r="F322" t="s">
        <v>39</v>
      </c>
      <c r="G322" t="s">
        <v>1034</v>
      </c>
      <c r="H322" t="s">
        <v>1042</v>
      </c>
      <c r="I322" s="1">
        <v>43522</v>
      </c>
      <c r="J322" t="s">
        <v>1046</v>
      </c>
      <c r="K322" s="5">
        <v>0.85138888888888886</v>
      </c>
      <c r="L322" t="s">
        <v>24</v>
      </c>
      <c r="M322">
        <v>10.3185</v>
      </c>
      <c r="N322">
        <v>5.5</v>
      </c>
    </row>
    <row r="323" spans="1:14" x14ac:dyDescent="0.25">
      <c r="A323" t="s">
        <v>352</v>
      </c>
      <c r="B323" t="s">
        <v>20</v>
      </c>
      <c r="C323" t="s">
        <v>21</v>
      </c>
      <c r="D323" t="s">
        <v>22</v>
      </c>
      <c r="E323" t="s">
        <v>16</v>
      </c>
      <c r="F323" t="s">
        <v>17</v>
      </c>
      <c r="G323" t="s">
        <v>1035</v>
      </c>
      <c r="H323" t="s">
        <v>1041</v>
      </c>
      <c r="I323" s="1">
        <v>43483</v>
      </c>
      <c r="J323" t="s">
        <v>1045</v>
      </c>
      <c r="K323" s="5">
        <v>0.63055555555555554</v>
      </c>
      <c r="L323" t="s">
        <v>24</v>
      </c>
      <c r="M323">
        <v>1.9710000000000001</v>
      </c>
      <c r="N323">
        <v>8.4</v>
      </c>
    </row>
    <row r="324" spans="1:14" x14ac:dyDescent="0.25">
      <c r="A324" t="s">
        <v>353</v>
      </c>
      <c r="B324" t="s">
        <v>13</v>
      </c>
      <c r="C324" t="s">
        <v>14</v>
      </c>
      <c r="D324" t="s">
        <v>22</v>
      </c>
      <c r="E324" t="s">
        <v>26</v>
      </c>
      <c r="F324" t="s">
        <v>17</v>
      </c>
      <c r="G324" t="s">
        <v>1039</v>
      </c>
      <c r="H324" t="s">
        <v>1042</v>
      </c>
      <c r="I324" s="1">
        <v>43511</v>
      </c>
      <c r="J324" t="s">
        <v>1046</v>
      </c>
      <c r="K324" s="5">
        <v>0.75208333333333333</v>
      </c>
      <c r="L324" t="s">
        <v>18</v>
      </c>
      <c r="M324">
        <v>4.5780000000000003</v>
      </c>
      <c r="N324">
        <v>9.8000000000000007</v>
      </c>
    </row>
    <row r="325" spans="1:14" x14ac:dyDescent="0.25">
      <c r="A325" t="s">
        <v>354</v>
      </c>
      <c r="B325" t="s">
        <v>13</v>
      </c>
      <c r="C325" t="s">
        <v>14</v>
      </c>
      <c r="D325" t="s">
        <v>22</v>
      </c>
      <c r="E325" t="s">
        <v>16</v>
      </c>
      <c r="F325" t="s">
        <v>41</v>
      </c>
      <c r="G325" t="s">
        <v>1035</v>
      </c>
      <c r="H325" t="s">
        <v>1043</v>
      </c>
      <c r="I325" s="1">
        <v>43532</v>
      </c>
      <c r="J325" t="s">
        <v>1045</v>
      </c>
      <c r="K325" s="5">
        <v>0.55625000000000002</v>
      </c>
      <c r="L325" t="s">
        <v>24</v>
      </c>
      <c r="M325">
        <v>15.442500000000001</v>
      </c>
      <c r="N325">
        <v>6.7</v>
      </c>
    </row>
    <row r="326" spans="1:14" x14ac:dyDescent="0.25">
      <c r="A326" t="s">
        <v>355</v>
      </c>
      <c r="B326" t="s">
        <v>13</v>
      </c>
      <c r="C326" t="s">
        <v>14</v>
      </c>
      <c r="D326" t="s">
        <v>22</v>
      </c>
      <c r="E326" t="s">
        <v>26</v>
      </c>
      <c r="F326" t="s">
        <v>27</v>
      </c>
      <c r="G326" t="s">
        <v>1035</v>
      </c>
      <c r="H326" t="s">
        <v>1041</v>
      </c>
      <c r="I326" s="1">
        <v>43482</v>
      </c>
      <c r="J326" t="s">
        <v>1045</v>
      </c>
      <c r="K326" s="5">
        <v>0.53333333333333333</v>
      </c>
      <c r="L326" t="s">
        <v>28</v>
      </c>
      <c r="M326">
        <v>6.4560000000000004</v>
      </c>
      <c r="N326">
        <v>9.4</v>
      </c>
    </row>
    <row r="327" spans="1:14" x14ac:dyDescent="0.25">
      <c r="A327" t="s">
        <v>356</v>
      </c>
      <c r="B327" t="s">
        <v>37</v>
      </c>
      <c r="C327" t="s">
        <v>38</v>
      </c>
      <c r="D327" t="s">
        <v>22</v>
      </c>
      <c r="E327" t="s">
        <v>26</v>
      </c>
      <c r="F327" t="s">
        <v>31</v>
      </c>
      <c r="G327" t="s">
        <v>1036</v>
      </c>
      <c r="H327" t="s">
        <v>1043</v>
      </c>
      <c r="I327" s="1">
        <v>43536</v>
      </c>
      <c r="J327" t="s">
        <v>1046</v>
      </c>
      <c r="K327" s="5">
        <v>0.82847222222222217</v>
      </c>
      <c r="L327" t="s">
        <v>18</v>
      </c>
      <c r="M327">
        <v>19.547999999999998</v>
      </c>
      <c r="N327">
        <v>6.4</v>
      </c>
    </row>
    <row r="328" spans="1:14" x14ac:dyDescent="0.25">
      <c r="A328" t="s">
        <v>357</v>
      </c>
      <c r="B328" t="s">
        <v>13</v>
      </c>
      <c r="C328" t="s">
        <v>14</v>
      </c>
      <c r="D328" t="s">
        <v>15</v>
      </c>
      <c r="E328" t="s">
        <v>26</v>
      </c>
      <c r="F328" t="s">
        <v>39</v>
      </c>
      <c r="G328" t="s">
        <v>1036</v>
      </c>
      <c r="H328" t="s">
        <v>1043</v>
      </c>
      <c r="I328" s="1">
        <v>43533</v>
      </c>
      <c r="J328" t="s">
        <v>1046</v>
      </c>
      <c r="K328" s="5">
        <v>0.79791666666666661</v>
      </c>
      <c r="L328" t="s">
        <v>24</v>
      </c>
      <c r="M328">
        <v>24.945</v>
      </c>
      <c r="N328">
        <v>5.4</v>
      </c>
    </row>
    <row r="329" spans="1:14" x14ac:dyDescent="0.25">
      <c r="A329" t="s">
        <v>358</v>
      </c>
      <c r="B329" t="s">
        <v>20</v>
      </c>
      <c r="C329" t="s">
        <v>21</v>
      </c>
      <c r="D329" t="s">
        <v>15</v>
      </c>
      <c r="E329" t="s">
        <v>26</v>
      </c>
      <c r="F329" t="s">
        <v>39</v>
      </c>
      <c r="G329" t="s">
        <v>1036</v>
      </c>
      <c r="H329" t="s">
        <v>1043</v>
      </c>
      <c r="I329" s="1">
        <v>43536</v>
      </c>
      <c r="J329" t="s">
        <v>1046</v>
      </c>
      <c r="K329" s="5">
        <v>0.6875</v>
      </c>
      <c r="L329" t="s">
        <v>24</v>
      </c>
      <c r="M329">
        <v>18.852</v>
      </c>
      <c r="N329">
        <v>8.6</v>
      </c>
    </row>
    <row r="330" spans="1:14" x14ac:dyDescent="0.25">
      <c r="A330" t="s">
        <v>359</v>
      </c>
      <c r="B330" t="s">
        <v>37</v>
      </c>
      <c r="C330" t="s">
        <v>38</v>
      </c>
      <c r="D330" t="s">
        <v>15</v>
      </c>
      <c r="E330" t="s">
        <v>26</v>
      </c>
      <c r="F330" t="s">
        <v>17</v>
      </c>
      <c r="G330" t="s">
        <v>1036</v>
      </c>
      <c r="H330" t="s">
        <v>1041</v>
      </c>
      <c r="I330" s="1">
        <v>43490</v>
      </c>
      <c r="J330" t="s">
        <v>1044</v>
      </c>
      <c r="K330" s="5">
        <v>0.42430555555555555</v>
      </c>
      <c r="L330" t="s">
        <v>28</v>
      </c>
      <c r="M330">
        <v>10.226000000000001</v>
      </c>
      <c r="N330">
        <v>4</v>
      </c>
    </row>
    <row r="331" spans="1:14" x14ac:dyDescent="0.25">
      <c r="A331" t="s">
        <v>360</v>
      </c>
      <c r="B331" t="s">
        <v>13</v>
      </c>
      <c r="C331" t="s">
        <v>14</v>
      </c>
      <c r="D331" t="s">
        <v>15</v>
      </c>
      <c r="E331" t="s">
        <v>26</v>
      </c>
      <c r="F331" t="s">
        <v>23</v>
      </c>
      <c r="G331" t="s">
        <v>1038</v>
      </c>
      <c r="H331" t="s">
        <v>1043</v>
      </c>
      <c r="I331" s="1">
        <v>43549</v>
      </c>
      <c r="J331" t="s">
        <v>1045</v>
      </c>
      <c r="K331" s="5">
        <v>0.54652777777777783</v>
      </c>
      <c r="L331" t="s">
        <v>24</v>
      </c>
      <c r="M331">
        <v>7.2720000000000002</v>
      </c>
      <c r="N331">
        <v>7.6</v>
      </c>
    </row>
    <row r="332" spans="1:14" x14ac:dyDescent="0.25">
      <c r="A332" t="s">
        <v>361</v>
      </c>
      <c r="B332" t="s">
        <v>37</v>
      </c>
      <c r="C332" t="s">
        <v>38</v>
      </c>
      <c r="D332" t="s">
        <v>22</v>
      </c>
      <c r="E332" t="s">
        <v>26</v>
      </c>
      <c r="F332" t="s">
        <v>27</v>
      </c>
      <c r="G332" t="s">
        <v>1038</v>
      </c>
      <c r="H332" t="s">
        <v>1042</v>
      </c>
      <c r="I332" s="1">
        <v>43503</v>
      </c>
      <c r="J332" t="s">
        <v>1046</v>
      </c>
      <c r="K332" s="5">
        <v>0.78333333333333333</v>
      </c>
      <c r="L332" t="s">
        <v>24</v>
      </c>
      <c r="M332">
        <v>9.9090000000000007</v>
      </c>
      <c r="N332">
        <v>6.8</v>
      </c>
    </row>
    <row r="333" spans="1:14" x14ac:dyDescent="0.25">
      <c r="A333" t="s">
        <v>362</v>
      </c>
      <c r="B333" t="s">
        <v>13</v>
      </c>
      <c r="C333" t="s">
        <v>14</v>
      </c>
      <c r="D333" t="s">
        <v>22</v>
      </c>
      <c r="E333" t="s">
        <v>26</v>
      </c>
      <c r="F333" t="s">
        <v>39</v>
      </c>
      <c r="G333" t="s">
        <v>1040</v>
      </c>
      <c r="H333" t="s">
        <v>1042</v>
      </c>
      <c r="I333" s="1">
        <v>43513</v>
      </c>
      <c r="J333" t="s">
        <v>1046</v>
      </c>
      <c r="K333" s="5">
        <v>0.7270833333333333</v>
      </c>
      <c r="L333" t="s">
        <v>28</v>
      </c>
      <c r="M333">
        <v>4.9349999999999996</v>
      </c>
      <c r="N333">
        <v>9.1</v>
      </c>
    </row>
    <row r="334" spans="1:14" x14ac:dyDescent="0.25">
      <c r="A334" t="s">
        <v>363</v>
      </c>
      <c r="B334" t="s">
        <v>13</v>
      </c>
      <c r="C334" t="s">
        <v>14</v>
      </c>
      <c r="D334" t="s">
        <v>22</v>
      </c>
      <c r="E334" t="s">
        <v>26</v>
      </c>
      <c r="F334" t="s">
        <v>41</v>
      </c>
      <c r="G334" t="s">
        <v>1038</v>
      </c>
      <c r="H334" t="s">
        <v>1042</v>
      </c>
      <c r="I334" s="1">
        <v>43499</v>
      </c>
      <c r="J334" t="s">
        <v>1045</v>
      </c>
      <c r="K334" s="5">
        <v>0.66597222222222219</v>
      </c>
      <c r="L334" t="s">
        <v>24</v>
      </c>
      <c r="M334">
        <v>19.254999999999999</v>
      </c>
      <c r="N334">
        <v>5.5</v>
      </c>
    </row>
    <row r="335" spans="1:14" x14ac:dyDescent="0.25">
      <c r="A335" t="s">
        <v>364</v>
      </c>
      <c r="B335" t="s">
        <v>13</v>
      </c>
      <c r="C335" t="s">
        <v>14</v>
      </c>
      <c r="D335" t="s">
        <v>15</v>
      </c>
      <c r="E335" t="s">
        <v>26</v>
      </c>
      <c r="F335" t="s">
        <v>39</v>
      </c>
      <c r="G335" t="s">
        <v>1036</v>
      </c>
      <c r="H335" t="s">
        <v>1043</v>
      </c>
      <c r="I335" s="1">
        <v>43538</v>
      </c>
      <c r="J335" t="s">
        <v>1044</v>
      </c>
      <c r="K335" s="5">
        <v>0.47291666666666665</v>
      </c>
      <c r="L335" t="s">
        <v>28</v>
      </c>
      <c r="M335">
        <v>2.3479999999999999</v>
      </c>
      <c r="N335">
        <v>7.9</v>
      </c>
    </row>
    <row r="336" spans="1:14" x14ac:dyDescent="0.25">
      <c r="A336" t="s">
        <v>365</v>
      </c>
      <c r="B336" t="s">
        <v>20</v>
      </c>
      <c r="C336" t="s">
        <v>21</v>
      </c>
      <c r="D336" t="s">
        <v>15</v>
      </c>
      <c r="E336" t="s">
        <v>26</v>
      </c>
      <c r="F336" t="s">
        <v>31</v>
      </c>
      <c r="G336" t="s">
        <v>1038</v>
      </c>
      <c r="H336" t="s">
        <v>1043</v>
      </c>
      <c r="I336" s="1">
        <v>43548</v>
      </c>
      <c r="J336" t="s">
        <v>1045</v>
      </c>
      <c r="K336" s="5">
        <v>0.57500000000000007</v>
      </c>
      <c r="L336" t="s">
        <v>18</v>
      </c>
      <c r="M336">
        <v>3.6749999999999998</v>
      </c>
      <c r="N336">
        <v>8.5</v>
      </c>
    </row>
    <row r="337" spans="1:14" x14ac:dyDescent="0.25">
      <c r="A337" t="s">
        <v>366</v>
      </c>
      <c r="B337" t="s">
        <v>13</v>
      </c>
      <c r="C337" t="s">
        <v>14</v>
      </c>
      <c r="D337" t="s">
        <v>15</v>
      </c>
      <c r="E337" t="s">
        <v>16</v>
      </c>
      <c r="F337" t="s">
        <v>23</v>
      </c>
      <c r="G337" t="s">
        <v>1037</v>
      </c>
      <c r="H337" t="s">
        <v>1043</v>
      </c>
      <c r="I337" s="1">
        <v>43545</v>
      </c>
      <c r="J337" t="s">
        <v>1044</v>
      </c>
      <c r="K337" s="5">
        <v>0.4284722222222222</v>
      </c>
      <c r="L337" t="s">
        <v>28</v>
      </c>
      <c r="M337">
        <v>7.1124999999999998</v>
      </c>
      <c r="N337">
        <v>9.1</v>
      </c>
    </row>
    <row r="338" spans="1:14" x14ac:dyDescent="0.25">
      <c r="A338" t="s">
        <v>367</v>
      </c>
      <c r="B338" t="s">
        <v>13</v>
      </c>
      <c r="C338" t="s">
        <v>14</v>
      </c>
      <c r="D338" t="s">
        <v>22</v>
      </c>
      <c r="E338" t="s">
        <v>26</v>
      </c>
      <c r="F338" t="s">
        <v>41</v>
      </c>
      <c r="G338" t="s">
        <v>1037</v>
      </c>
      <c r="H338" t="s">
        <v>1043</v>
      </c>
      <c r="I338" s="1">
        <v>43543</v>
      </c>
      <c r="J338" t="s">
        <v>1045</v>
      </c>
      <c r="K338" s="5">
        <v>0.65902777777777777</v>
      </c>
      <c r="L338" t="s">
        <v>18</v>
      </c>
      <c r="M338">
        <v>34.380000000000003</v>
      </c>
      <c r="N338">
        <v>7.5</v>
      </c>
    </row>
    <row r="339" spans="1:14" x14ac:dyDescent="0.25">
      <c r="A339" t="s">
        <v>368</v>
      </c>
      <c r="B339" t="s">
        <v>37</v>
      </c>
      <c r="C339" t="s">
        <v>38</v>
      </c>
      <c r="D339" t="s">
        <v>22</v>
      </c>
      <c r="E339" t="s">
        <v>16</v>
      </c>
      <c r="F339" t="s">
        <v>31</v>
      </c>
      <c r="G339" t="s">
        <v>1034</v>
      </c>
      <c r="H339" t="s">
        <v>1042</v>
      </c>
      <c r="I339" s="1">
        <v>43520</v>
      </c>
      <c r="J339" t="s">
        <v>1045</v>
      </c>
      <c r="K339" s="5">
        <v>0.54305555555555551</v>
      </c>
      <c r="L339" t="s">
        <v>24</v>
      </c>
      <c r="M339">
        <v>17.385000000000002</v>
      </c>
      <c r="N339">
        <v>5.2</v>
      </c>
    </row>
    <row r="340" spans="1:14" x14ac:dyDescent="0.25">
      <c r="A340" t="s">
        <v>369</v>
      </c>
      <c r="B340" t="s">
        <v>20</v>
      </c>
      <c r="C340" t="s">
        <v>21</v>
      </c>
      <c r="D340" t="s">
        <v>22</v>
      </c>
      <c r="E340" t="s">
        <v>16</v>
      </c>
      <c r="F340" t="s">
        <v>23</v>
      </c>
      <c r="G340" t="s">
        <v>1038</v>
      </c>
      <c r="H340" t="s">
        <v>1043</v>
      </c>
      <c r="I340" s="1">
        <v>43552</v>
      </c>
      <c r="J340" t="s">
        <v>1045</v>
      </c>
      <c r="K340" s="5">
        <v>0.54027777777777775</v>
      </c>
      <c r="L340" t="s">
        <v>28</v>
      </c>
      <c r="M340">
        <v>7.1475</v>
      </c>
      <c r="N340">
        <v>9.5</v>
      </c>
    </row>
    <row r="341" spans="1:14" x14ac:dyDescent="0.25">
      <c r="A341" t="s">
        <v>370</v>
      </c>
      <c r="B341" t="s">
        <v>37</v>
      </c>
      <c r="C341" t="s">
        <v>38</v>
      </c>
      <c r="D341" t="s">
        <v>15</v>
      </c>
      <c r="E341" t="s">
        <v>16</v>
      </c>
      <c r="F341" t="s">
        <v>39</v>
      </c>
      <c r="G341" t="s">
        <v>1038</v>
      </c>
      <c r="H341" t="s">
        <v>1042</v>
      </c>
      <c r="I341" s="1">
        <v>43501</v>
      </c>
      <c r="J341" t="s">
        <v>1045</v>
      </c>
      <c r="K341" s="5">
        <v>0.6430555555555556</v>
      </c>
      <c r="L341" t="s">
        <v>28</v>
      </c>
      <c r="M341">
        <v>19.268999999999998</v>
      </c>
      <c r="N341">
        <v>8.9</v>
      </c>
    </row>
    <row r="342" spans="1:14" x14ac:dyDescent="0.25">
      <c r="A342" t="s">
        <v>371</v>
      </c>
      <c r="B342" t="s">
        <v>37</v>
      </c>
      <c r="C342" t="s">
        <v>38</v>
      </c>
      <c r="D342" t="s">
        <v>15</v>
      </c>
      <c r="E342" t="s">
        <v>26</v>
      </c>
      <c r="F342" t="s">
        <v>23</v>
      </c>
      <c r="G342" t="s">
        <v>1039</v>
      </c>
      <c r="H342" t="s">
        <v>1042</v>
      </c>
      <c r="I342" s="1">
        <v>43506</v>
      </c>
      <c r="J342" t="s">
        <v>1046</v>
      </c>
      <c r="K342" s="5">
        <v>0.76597222222222217</v>
      </c>
      <c r="L342" t="s">
        <v>28</v>
      </c>
      <c r="M342">
        <v>7.2134999999999998</v>
      </c>
      <c r="N342">
        <v>7.8</v>
      </c>
    </row>
    <row r="343" spans="1:14" x14ac:dyDescent="0.25">
      <c r="A343" t="s">
        <v>372</v>
      </c>
      <c r="B343" t="s">
        <v>37</v>
      </c>
      <c r="C343" t="s">
        <v>38</v>
      </c>
      <c r="D343" t="s">
        <v>15</v>
      </c>
      <c r="E343" t="s">
        <v>16</v>
      </c>
      <c r="F343" t="s">
        <v>17</v>
      </c>
      <c r="G343" t="s">
        <v>1035</v>
      </c>
      <c r="H343" t="s">
        <v>1043</v>
      </c>
      <c r="I343" s="1">
        <v>43529</v>
      </c>
      <c r="J343" t="s">
        <v>1046</v>
      </c>
      <c r="K343" s="5">
        <v>0.79583333333333339</v>
      </c>
      <c r="L343" t="s">
        <v>18</v>
      </c>
      <c r="M343">
        <v>19.589500000000001</v>
      </c>
      <c r="N343">
        <v>8.9</v>
      </c>
    </row>
    <row r="344" spans="1:14" x14ac:dyDescent="0.25">
      <c r="A344" t="s">
        <v>373</v>
      </c>
      <c r="B344" t="s">
        <v>37</v>
      </c>
      <c r="C344" t="s">
        <v>38</v>
      </c>
      <c r="D344" t="s">
        <v>15</v>
      </c>
      <c r="E344" t="s">
        <v>16</v>
      </c>
      <c r="F344" t="s">
        <v>17</v>
      </c>
      <c r="G344" t="s">
        <v>1039</v>
      </c>
      <c r="H344" t="s">
        <v>1042</v>
      </c>
      <c r="I344" s="1">
        <v>43511</v>
      </c>
      <c r="J344" t="s">
        <v>1046</v>
      </c>
      <c r="K344" s="5">
        <v>0.84791666666666676</v>
      </c>
      <c r="L344" t="s">
        <v>24</v>
      </c>
      <c r="M344">
        <v>26.914999999999999</v>
      </c>
      <c r="N344">
        <v>7.7</v>
      </c>
    </row>
    <row r="345" spans="1:14" x14ac:dyDescent="0.25">
      <c r="A345" t="s">
        <v>374</v>
      </c>
      <c r="B345" t="s">
        <v>20</v>
      </c>
      <c r="C345" t="s">
        <v>21</v>
      </c>
      <c r="D345" t="s">
        <v>22</v>
      </c>
      <c r="E345" t="s">
        <v>16</v>
      </c>
      <c r="F345" t="s">
        <v>39</v>
      </c>
      <c r="G345" t="s">
        <v>1037</v>
      </c>
      <c r="H345" t="s">
        <v>1041</v>
      </c>
      <c r="I345" s="1">
        <v>43495</v>
      </c>
      <c r="J345" t="s">
        <v>1046</v>
      </c>
      <c r="K345" s="5">
        <v>0.68333333333333324</v>
      </c>
      <c r="L345" t="s">
        <v>18</v>
      </c>
      <c r="M345">
        <v>24.2575</v>
      </c>
      <c r="N345">
        <v>9.3000000000000007</v>
      </c>
    </row>
    <row r="346" spans="1:14" x14ac:dyDescent="0.25">
      <c r="A346" t="s">
        <v>375</v>
      </c>
      <c r="B346" t="s">
        <v>13</v>
      </c>
      <c r="C346" t="s">
        <v>14</v>
      </c>
      <c r="D346" t="s">
        <v>22</v>
      </c>
      <c r="E346" t="s">
        <v>26</v>
      </c>
      <c r="F346" t="s">
        <v>31</v>
      </c>
      <c r="G346" t="s">
        <v>1039</v>
      </c>
      <c r="H346" t="s">
        <v>1042</v>
      </c>
      <c r="I346" s="1">
        <v>43510</v>
      </c>
      <c r="J346" t="s">
        <v>1045</v>
      </c>
      <c r="K346" s="5">
        <v>0.62777777777777777</v>
      </c>
      <c r="L346" t="s">
        <v>24</v>
      </c>
      <c r="M346">
        <v>6.6974999999999998</v>
      </c>
      <c r="N346">
        <v>6.2</v>
      </c>
    </row>
    <row r="347" spans="1:14" x14ac:dyDescent="0.25">
      <c r="A347" t="s">
        <v>376</v>
      </c>
      <c r="B347" t="s">
        <v>13</v>
      </c>
      <c r="C347" t="s">
        <v>14</v>
      </c>
      <c r="D347" t="s">
        <v>22</v>
      </c>
      <c r="E347" t="s">
        <v>16</v>
      </c>
      <c r="F347" t="s">
        <v>41</v>
      </c>
      <c r="G347" t="s">
        <v>1034</v>
      </c>
      <c r="H347" t="s">
        <v>1042</v>
      </c>
      <c r="I347" s="1">
        <v>43523</v>
      </c>
      <c r="J347" t="s">
        <v>1046</v>
      </c>
      <c r="K347" s="5">
        <v>0.67361111111111116</v>
      </c>
      <c r="L347" t="s">
        <v>18</v>
      </c>
      <c r="M347">
        <v>35.0685</v>
      </c>
      <c r="N347">
        <v>7.6</v>
      </c>
    </row>
    <row r="348" spans="1:14" x14ac:dyDescent="0.25">
      <c r="A348" t="s">
        <v>377</v>
      </c>
      <c r="B348" t="s">
        <v>13</v>
      </c>
      <c r="C348" t="s">
        <v>14</v>
      </c>
      <c r="D348" t="s">
        <v>15</v>
      </c>
      <c r="E348" t="s">
        <v>26</v>
      </c>
      <c r="F348" t="s">
        <v>23</v>
      </c>
      <c r="G348" t="s">
        <v>1038</v>
      </c>
      <c r="H348" t="s">
        <v>1042</v>
      </c>
      <c r="I348" s="1">
        <v>43500</v>
      </c>
      <c r="J348" t="s">
        <v>1045</v>
      </c>
      <c r="K348" s="5">
        <v>0.50972222222222219</v>
      </c>
      <c r="L348" t="s">
        <v>24</v>
      </c>
      <c r="M348">
        <v>3.5975000000000001</v>
      </c>
      <c r="N348">
        <v>7.3</v>
      </c>
    </row>
    <row r="349" spans="1:14" x14ac:dyDescent="0.25">
      <c r="A349" t="s">
        <v>378</v>
      </c>
      <c r="B349" t="s">
        <v>20</v>
      </c>
      <c r="C349" t="s">
        <v>21</v>
      </c>
      <c r="D349" t="s">
        <v>15</v>
      </c>
      <c r="E349" t="s">
        <v>16</v>
      </c>
      <c r="F349" t="s">
        <v>27</v>
      </c>
      <c r="G349" t="s">
        <v>1036</v>
      </c>
      <c r="H349" t="s">
        <v>1041</v>
      </c>
      <c r="I349" s="1">
        <v>43485</v>
      </c>
      <c r="J349" t="s">
        <v>1044</v>
      </c>
      <c r="K349" s="5">
        <v>0.42569444444444443</v>
      </c>
      <c r="L349" t="s">
        <v>24</v>
      </c>
      <c r="M349">
        <v>35.700000000000003</v>
      </c>
      <c r="N349">
        <v>4.7</v>
      </c>
    </row>
    <row r="350" spans="1:14" x14ac:dyDescent="0.25">
      <c r="A350" t="s">
        <v>379</v>
      </c>
      <c r="B350" t="s">
        <v>13</v>
      </c>
      <c r="C350" t="s">
        <v>14</v>
      </c>
      <c r="D350" t="s">
        <v>22</v>
      </c>
      <c r="E350" t="s">
        <v>26</v>
      </c>
      <c r="F350" t="s">
        <v>23</v>
      </c>
      <c r="G350" t="s">
        <v>1038</v>
      </c>
      <c r="H350" t="s">
        <v>1043</v>
      </c>
      <c r="I350" s="1">
        <v>43552</v>
      </c>
      <c r="J350" t="s">
        <v>1046</v>
      </c>
      <c r="K350" s="5">
        <v>0.73472222222222217</v>
      </c>
      <c r="L350" t="s">
        <v>24</v>
      </c>
      <c r="M350">
        <v>9.1069999999999993</v>
      </c>
      <c r="N350">
        <v>5.0999999999999996</v>
      </c>
    </row>
    <row r="351" spans="1:14" x14ac:dyDescent="0.25">
      <c r="A351" t="s">
        <v>380</v>
      </c>
      <c r="B351" t="s">
        <v>37</v>
      </c>
      <c r="C351" t="s">
        <v>38</v>
      </c>
      <c r="D351" t="s">
        <v>22</v>
      </c>
      <c r="E351" t="s">
        <v>16</v>
      </c>
      <c r="F351" t="s">
        <v>17</v>
      </c>
      <c r="G351" t="s">
        <v>1034</v>
      </c>
      <c r="H351" t="s">
        <v>1042</v>
      </c>
      <c r="I351" s="1">
        <v>43523</v>
      </c>
      <c r="J351" t="s">
        <v>1044</v>
      </c>
      <c r="K351" s="5">
        <v>0.46249999999999997</v>
      </c>
      <c r="L351" t="s">
        <v>28</v>
      </c>
      <c r="M351">
        <v>6.75</v>
      </c>
      <c r="N351">
        <v>4.8</v>
      </c>
    </row>
    <row r="352" spans="1:14" x14ac:dyDescent="0.25">
      <c r="A352" t="s">
        <v>381</v>
      </c>
      <c r="B352" t="s">
        <v>20</v>
      </c>
      <c r="C352" t="s">
        <v>21</v>
      </c>
      <c r="D352" t="s">
        <v>15</v>
      </c>
      <c r="E352" t="s">
        <v>16</v>
      </c>
      <c r="F352" t="s">
        <v>41</v>
      </c>
      <c r="G352" t="s">
        <v>1039</v>
      </c>
      <c r="H352" t="s">
        <v>1042</v>
      </c>
      <c r="I352" s="1">
        <v>43511</v>
      </c>
      <c r="J352" t="s">
        <v>1045</v>
      </c>
      <c r="K352" s="5">
        <v>0.62013888888888891</v>
      </c>
      <c r="L352" t="s">
        <v>28</v>
      </c>
      <c r="M352">
        <v>49.65</v>
      </c>
      <c r="N352">
        <v>6.6</v>
      </c>
    </row>
    <row r="353" spans="1:14" x14ac:dyDescent="0.25">
      <c r="A353" t="s">
        <v>382</v>
      </c>
      <c r="B353" t="s">
        <v>13</v>
      </c>
      <c r="C353" t="s">
        <v>14</v>
      </c>
      <c r="D353" t="s">
        <v>22</v>
      </c>
      <c r="E353" t="s">
        <v>26</v>
      </c>
      <c r="F353" t="s">
        <v>23</v>
      </c>
      <c r="G353" t="s">
        <v>1037</v>
      </c>
      <c r="H353" t="s">
        <v>1041</v>
      </c>
      <c r="I353" s="1">
        <v>43491</v>
      </c>
      <c r="J353" t="s">
        <v>1046</v>
      </c>
      <c r="K353" s="5">
        <v>0.76527777777777783</v>
      </c>
      <c r="L353" t="s">
        <v>24</v>
      </c>
      <c r="M353">
        <v>18.0915</v>
      </c>
      <c r="N353">
        <v>5.5</v>
      </c>
    </row>
    <row r="354" spans="1:14" x14ac:dyDescent="0.25">
      <c r="A354" t="s">
        <v>383</v>
      </c>
      <c r="B354" t="s">
        <v>37</v>
      </c>
      <c r="C354" t="s">
        <v>38</v>
      </c>
      <c r="D354" t="s">
        <v>15</v>
      </c>
      <c r="E354" t="s">
        <v>16</v>
      </c>
      <c r="F354" t="s">
        <v>41</v>
      </c>
      <c r="G354" t="s">
        <v>1036</v>
      </c>
      <c r="H354" t="s">
        <v>1043</v>
      </c>
      <c r="I354" s="1">
        <v>43538</v>
      </c>
      <c r="J354" t="s">
        <v>1046</v>
      </c>
      <c r="K354" s="5">
        <v>0.79305555555555562</v>
      </c>
      <c r="L354" t="s">
        <v>28</v>
      </c>
      <c r="M354">
        <v>19.1555</v>
      </c>
      <c r="N354">
        <v>8.5</v>
      </c>
    </row>
    <row r="355" spans="1:14" x14ac:dyDescent="0.25">
      <c r="A355" t="s">
        <v>384</v>
      </c>
      <c r="B355" t="s">
        <v>37</v>
      </c>
      <c r="C355" t="s">
        <v>38</v>
      </c>
      <c r="D355" t="s">
        <v>15</v>
      </c>
      <c r="E355" t="s">
        <v>26</v>
      </c>
      <c r="F355" t="s">
        <v>27</v>
      </c>
      <c r="G355" t="s">
        <v>1035</v>
      </c>
      <c r="H355" t="s">
        <v>1043</v>
      </c>
      <c r="I355" s="1">
        <v>43526</v>
      </c>
      <c r="J355" t="s">
        <v>1045</v>
      </c>
      <c r="K355" s="5">
        <v>0.59444444444444444</v>
      </c>
      <c r="L355" t="s">
        <v>24</v>
      </c>
      <c r="M355">
        <v>12.15</v>
      </c>
      <c r="N355">
        <v>4.8</v>
      </c>
    </row>
    <row r="356" spans="1:14" x14ac:dyDescent="0.25">
      <c r="A356" t="s">
        <v>385</v>
      </c>
      <c r="B356" t="s">
        <v>20</v>
      </c>
      <c r="C356" t="s">
        <v>21</v>
      </c>
      <c r="D356" t="s">
        <v>22</v>
      </c>
      <c r="E356" t="s">
        <v>16</v>
      </c>
      <c r="F356" t="s">
        <v>23</v>
      </c>
      <c r="G356" t="s">
        <v>1035</v>
      </c>
      <c r="H356" t="s">
        <v>1043</v>
      </c>
      <c r="I356" s="1">
        <v>43528</v>
      </c>
      <c r="J356" t="s">
        <v>1045</v>
      </c>
      <c r="K356" s="5">
        <v>0.65555555555555556</v>
      </c>
      <c r="L356" t="s">
        <v>24</v>
      </c>
      <c r="M356">
        <v>1.512</v>
      </c>
      <c r="N356">
        <v>8.4</v>
      </c>
    </row>
    <row r="357" spans="1:14" x14ac:dyDescent="0.25">
      <c r="A357" t="s">
        <v>386</v>
      </c>
      <c r="B357" t="s">
        <v>37</v>
      </c>
      <c r="C357" t="s">
        <v>38</v>
      </c>
      <c r="D357" t="s">
        <v>15</v>
      </c>
      <c r="E357" t="s">
        <v>16</v>
      </c>
      <c r="F357" t="s">
        <v>39</v>
      </c>
      <c r="G357" t="s">
        <v>1034</v>
      </c>
      <c r="H357" t="s">
        <v>1041</v>
      </c>
      <c r="I357" s="1">
        <v>43472</v>
      </c>
      <c r="J357" t="s">
        <v>1045</v>
      </c>
      <c r="K357" s="5">
        <v>0.51388888888888895</v>
      </c>
      <c r="L357" t="s">
        <v>28</v>
      </c>
      <c r="M357">
        <v>17.827999999999999</v>
      </c>
      <c r="N357">
        <v>7.8</v>
      </c>
    </row>
    <row r="358" spans="1:14" x14ac:dyDescent="0.25">
      <c r="A358" t="s">
        <v>387</v>
      </c>
      <c r="B358" t="s">
        <v>20</v>
      </c>
      <c r="C358" t="s">
        <v>21</v>
      </c>
      <c r="D358" t="s">
        <v>22</v>
      </c>
      <c r="E358" t="s">
        <v>16</v>
      </c>
      <c r="F358" t="s">
        <v>41</v>
      </c>
      <c r="G358" t="s">
        <v>1035</v>
      </c>
      <c r="H358" t="s">
        <v>1043</v>
      </c>
      <c r="I358" s="1">
        <v>43532</v>
      </c>
      <c r="J358" t="s">
        <v>1046</v>
      </c>
      <c r="K358" s="5">
        <v>0.8340277777777777</v>
      </c>
      <c r="L358" t="s">
        <v>28</v>
      </c>
      <c r="M358">
        <v>18.774999999999999</v>
      </c>
      <c r="N358">
        <v>9.3000000000000007</v>
      </c>
    </row>
    <row r="359" spans="1:14" x14ac:dyDescent="0.25">
      <c r="A359" t="s">
        <v>388</v>
      </c>
      <c r="B359" t="s">
        <v>20</v>
      </c>
      <c r="C359" t="s">
        <v>21</v>
      </c>
      <c r="D359" t="s">
        <v>22</v>
      </c>
      <c r="E359" t="s">
        <v>16</v>
      </c>
      <c r="F359" t="s">
        <v>31</v>
      </c>
      <c r="G359" t="s">
        <v>1034</v>
      </c>
      <c r="H359" t="s">
        <v>1041</v>
      </c>
      <c r="I359" s="1">
        <v>43474</v>
      </c>
      <c r="J359" t="s">
        <v>1045</v>
      </c>
      <c r="K359" s="5">
        <v>0.57291666666666663</v>
      </c>
      <c r="L359" t="s">
        <v>24</v>
      </c>
      <c r="M359">
        <v>47.72</v>
      </c>
      <c r="N359">
        <v>5.2</v>
      </c>
    </row>
    <row r="360" spans="1:14" x14ac:dyDescent="0.25">
      <c r="A360" t="s">
        <v>389</v>
      </c>
      <c r="B360" t="s">
        <v>37</v>
      </c>
      <c r="C360" t="s">
        <v>38</v>
      </c>
      <c r="D360" t="s">
        <v>22</v>
      </c>
      <c r="E360" t="s">
        <v>26</v>
      </c>
      <c r="F360" t="s">
        <v>23</v>
      </c>
      <c r="G360" t="s">
        <v>1034</v>
      </c>
      <c r="H360" t="s">
        <v>1043</v>
      </c>
      <c r="I360" s="1">
        <v>43525</v>
      </c>
      <c r="J360" t="s">
        <v>1045</v>
      </c>
      <c r="K360" s="5">
        <v>0.65277777777777779</v>
      </c>
      <c r="L360" t="s">
        <v>18</v>
      </c>
      <c r="M360">
        <v>4.125</v>
      </c>
      <c r="N360">
        <v>6.5</v>
      </c>
    </row>
    <row r="361" spans="1:14" x14ac:dyDescent="0.25">
      <c r="A361" t="s">
        <v>390</v>
      </c>
      <c r="B361" t="s">
        <v>37</v>
      </c>
      <c r="C361" t="s">
        <v>38</v>
      </c>
      <c r="D361" t="s">
        <v>22</v>
      </c>
      <c r="E361" t="s">
        <v>26</v>
      </c>
      <c r="F361" t="s">
        <v>31</v>
      </c>
      <c r="G361" t="s">
        <v>1037</v>
      </c>
      <c r="H361" t="s">
        <v>1043</v>
      </c>
      <c r="I361" s="1">
        <v>43540</v>
      </c>
      <c r="J361" t="s">
        <v>1046</v>
      </c>
      <c r="K361" s="5">
        <v>0.70694444444444438</v>
      </c>
      <c r="L361" t="s">
        <v>24</v>
      </c>
      <c r="M361">
        <v>3.7484999999999999</v>
      </c>
      <c r="N361">
        <v>5.6</v>
      </c>
    </row>
    <row r="362" spans="1:14" x14ac:dyDescent="0.25">
      <c r="A362" t="s">
        <v>391</v>
      </c>
      <c r="B362" t="s">
        <v>13</v>
      </c>
      <c r="C362" t="s">
        <v>14</v>
      </c>
      <c r="D362" t="s">
        <v>15</v>
      </c>
      <c r="E362" t="s">
        <v>26</v>
      </c>
      <c r="F362" t="s">
        <v>39</v>
      </c>
      <c r="G362" t="s">
        <v>1040</v>
      </c>
      <c r="H362" t="s">
        <v>1042</v>
      </c>
      <c r="I362" s="1">
        <v>43513</v>
      </c>
      <c r="J362" t="s">
        <v>1044</v>
      </c>
      <c r="K362" s="5">
        <v>0.46666666666666662</v>
      </c>
      <c r="L362" t="s">
        <v>28</v>
      </c>
      <c r="M362">
        <v>32.384</v>
      </c>
      <c r="N362">
        <v>7.4</v>
      </c>
    </row>
    <row r="363" spans="1:14" x14ac:dyDescent="0.25">
      <c r="A363" t="s">
        <v>392</v>
      </c>
      <c r="B363" t="s">
        <v>20</v>
      </c>
      <c r="C363" t="s">
        <v>21</v>
      </c>
      <c r="D363" t="s">
        <v>22</v>
      </c>
      <c r="E363" t="s">
        <v>16</v>
      </c>
      <c r="F363" t="s">
        <v>39</v>
      </c>
      <c r="G363" t="s">
        <v>1034</v>
      </c>
      <c r="H363" t="s">
        <v>1042</v>
      </c>
      <c r="I363" s="1">
        <v>43523</v>
      </c>
      <c r="J363" t="s">
        <v>1045</v>
      </c>
      <c r="K363" s="5">
        <v>0.6333333333333333</v>
      </c>
      <c r="L363" t="s">
        <v>24</v>
      </c>
      <c r="M363">
        <v>37.787999999999997</v>
      </c>
      <c r="N363">
        <v>9.1</v>
      </c>
    </row>
    <row r="364" spans="1:14" x14ac:dyDescent="0.25">
      <c r="A364" t="s">
        <v>393</v>
      </c>
      <c r="B364" t="s">
        <v>20</v>
      </c>
      <c r="C364" t="s">
        <v>21</v>
      </c>
      <c r="D364" t="s">
        <v>22</v>
      </c>
      <c r="E364" t="s">
        <v>26</v>
      </c>
      <c r="F364" t="s">
        <v>39</v>
      </c>
      <c r="G364" t="s">
        <v>1035</v>
      </c>
      <c r="H364" t="s">
        <v>1043</v>
      </c>
      <c r="I364" s="1">
        <v>43531</v>
      </c>
      <c r="J364" t="s">
        <v>1046</v>
      </c>
      <c r="K364" s="5">
        <v>0.85902777777777783</v>
      </c>
      <c r="L364" t="s">
        <v>18</v>
      </c>
      <c r="M364">
        <v>9.9789999999999992</v>
      </c>
      <c r="N364">
        <v>8</v>
      </c>
    </row>
    <row r="365" spans="1:14" x14ac:dyDescent="0.25">
      <c r="A365" t="s">
        <v>394</v>
      </c>
      <c r="B365" t="s">
        <v>13</v>
      </c>
      <c r="C365" t="s">
        <v>14</v>
      </c>
      <c r="D365" t="s">
        <v>22</v>
      </c>
      <c r="E365" t="s">
        <v>26</v>
      </c>
      <c r="F365" t="s">
        <v>27</v>
      </c>
      <c r="G365" t="s">
        <v>1036</v>
      </c>
      <c r="H365" t="s">
        <v>1041</v>
      </c>
      <c r="I365" s="1">
        <v>43486</v>
      </c>
      <c r="J365" t="s">
        <v>1046</v>
      </c>
      <c r="K365" s="5">
        <v>0.73888888888888893</v>
      </c>
      <c r="L365" t="s">
        <v>24</v>
      </c>
      <c r="M365">
        <v>21.966000000000001</v>
      </c>
      <c r="N365">
        <v>7.2</v>
      </c>
    </row>
    <row r="366" spans="1:14" x14ac:dyDescent="0.25">
      <c r="A366" t="s">
        <v>395</v>
      </c>
      <c r="B366" t="s">
        <v>20</v>
      </c>
      <c r="C366" t="s">
        <v>21</v>
      </c>
      <c r="D366" t="s">
        <v>22</v>
      </c>
      <c r="E366" t="s">
        <v>16</v>
      </c>
      <c r="F366" t="s">
        <v>39</v>
      </c>
      <c r="G366" t="s">
        <v>1040</v>
      </c>
      <c r="H366" t="s">
        <v>1042</v>
      </c>
      <c r="I366" s="1">
        <v>43515</v>
      </c>
      <c r="J366" t="s">
        <v>1046</v>
      </c>
      <c r="K366" s="5">
        <v>0.68263888888888891</v>
      </c>
      <c r="L366" t="s">
        <v>24</v>
      </c>
      <c r="M366">
        <v>8.2479999999999993</v>
      </c>
      <c r="N366">
        <v>7.1</v>
      </c>
    </row>
    <row r="367" spans="1:14" x14ac:dyDescent="0.25">
      <c r="A367" t="s">
        <v>396</v>
      </c>
      <c r="B367" t="s">
        <v>20</v>
      </c>
      <c r="C367" t="s">
        <v>21</v>
      </c>
      <c r="D367" t="s">
        <v>22</v>
      </c>
      <c r="E367" t="s">
        <v>16</v>
      </c>
      <c r="F367" t="s">
        <v>41</v>
      </c>
      <c r="G367" t="s">
        <v>1034</v>
      </c>
      <c r="H367" t="s">
        <v>1041</v>
      </c>
      <c r="I367" s="1">
        <v>43471</v>
      </c>
      <c r="J367" t="s">
        <v>1045</v>
      </c>
      <c r="K367" s="5">
        <v>0.5083333333333333</v>
      </c>
      <c r="L367" t="s">
        <v>24</v>
      </c>
      <c r="M367">
        <v>16.335999999999999</v>
      </c>
      <c r="N367">
        <v>9.1</v>
      </c>
    </row>
    <row r="368" spans="1:14" x14ac:dyDescent="0.25">
      <c r="A368" t="s">
        <v>397</v>
      </c>
      <c r="B368" t="s">
        <v>20</v>
      </c>
      <c r="C368" t="s">
        <v>21</v>
      </c>
      <c r="D368" t="s">
        <v>22</v>
      </c>
      <c r="E368" t="s">
        <v>16</v>
      </c>
      <c r="F368" t="s">
        <v>23</v>
      </c>
      <c r="G368" t="s">
        <v>1036</v>
      </c>
      <c r="H368" t="s">
        <v>1043</v>
      </c>
      <c r="I368" s="1">
        <v>43538</v>
      </c>
      <c r="J368" t="s">
        <v>1046</v>
      </c>
      <c r="K368" s="5">
        <v>0.81458333333333333</v>
      </c>
      <c r="L368" t="s">
        <v>24</v>
      </c>
      <c r="M368">
        <v>23.094000000000001</v>
      </c>
      <c r="N368">
        <v>5.6</v>
      </c>
    </row>
    <row r="369" spans="1:14" x14ac:dyDescent="0.25">
      <c r="A369" t="s">
        <v>398</v>
      </c>
      <c r="B369" t="s">
        <v>13</v>
      </c>
      <c r="C369" t="s">
        <v>14</v>
      </c>
      <c r="D369" t="s">
        <v>15</v>
      </c>
      <c r="E369" t="s">
        <v>26</v>
      </c>
      <c r="F369" t="s">
        <v>27</v>
      </c>
      <c r="G369" t="s">
        <v>1038</v>
      </c>
      <c r="H369" t="s">
        <v>1043</v>
      </c>
      <c r="I369" s="1">
        <v>43548</v>
      </c>
      <c r="J369" t="s">
        <v>1044</v>
      </c>
      <c r="K369" s="5">
        <v>0.4368055555555555</v>
      </c>
      <c r="L369" t="s">
        <v>24</v>
      </c>
      <c r="M369">
        <v>13.188000000000001</v>
      </c>
      <c r="N369">
        <v>6</v>
      </c>
    </row>
    <row r="370" spans="1:14" x14ac:dyDescent="0.25">
      <c r="A370" t="s">
        <v>399</v>
      </c>
      <c r="B370" t="s">
        <v>20</v>
      </c>
      <c r="C370" t="s">
        <v>21</v>
      </c>
      <c r="D370" t="s">
        <v>22</v>
      </c>
      <c r="E370" t="s">
        <v>16</v>
      </c>
      <c r="F370" t="s">
        <v>31</v>
      </c>
      <c r="G370" t="s">
        <v>1037</v>
      </c>
      <c r="H370" t="s">
        <v>1041</v>
      </c>
      <c r="I370" s="1">
        <v>43492</v>
      </c>
      <c r="J370" t="s">
        <v>1045</v>
      </c>
      <c r="K370" s="5">
        <v>0.60277777777777775</v>
      </c>
      <c r="L370" t="s">
        <v>24</v>
      </c>
      <c r="M370">
        <v>7.18</v>
      </c>
      <c r="N370">
        <v>5.4</v>
      </c>
    </row>
    <row r="371" spans="1:14" x14ac:dyDescent="0.25">
      <c r="A371" t="s">
        <v>400</v>
      </c>
      <c r="B371" t="s">
        <v>13</v>
      </c>
      <c r="C371" t="s">
        <v>14</v>
      </c>
      <c r="D371" t="s">
        <v>15</v>
      </c>
      <c r="E371" t="s">
        <v>26</v>
      </c>
      <c r="F371" t="s">
        <v>23</v>
      </c>
      <c r="G371" t="s">
        <v>1035</v>
      </c>
      <c r="H371" t="s">
        <v>1043</v>
      </c>
      <c r="I371" s="1">
        <v>43530</v>
      </c>
      <c r="J371" t="s">
        <v>1045</v>
      </c>
      <c r="K371" s="5">
        <v>0.53194444444444444</v>
      </c>
      <c r="L371" t="s">
        <v>28</v>
      </c>
      <c r="M371">
        <v>9.6750000000000007</v>
      </c>
      <c r="N371">
        <v>7.8</v>
      </c>
    </row>
    <row r="372" spans="1:14" x14ac:dyDescent="0.25">
      <c r="A372" t="s">
        <v>401</v>
      </c>
      <c r="B372" t="s">
        <v>37</v>
      </c>
      <c r="C372" t="s">
        <v>38</v>
      </c>
      <c r="D372" t="s">
        <v>15</v>
      </c>
      <c r="E372" t="s">
        <v>16</v>
      </c>
      <c r="F372" t="s">
        <v>23</v>
      </c>
      <c r="G372" t="s">
        <v>1038</v>
      </c>
      <c r="H372" t="s">
        <v>1042</v>
      </c>
      <c r="I372" s="1">
        <v>43498</v>
      </c>
      <c r="J372" t="s">
        <v>1046</v>
      </c>
      <c r="K372" s="5">
        <v>0.81944444444444453</v>
      </c>
      <c r="L372" t="s">
        <v>24</v>
      </c>
      <c r="M372">
        <v>9.1910000000000007</v>
      </c>
      <c r="N372">
        <v>9.9</v>
      </c>
    </row>
    <row r="373" spans="1:14" x14ac:dyDescent="0.25">
      <c r="A373" t="s">
        <v>402</v>
      </c>
      <c r="B373" t="s">
        <v>37</v>
      </c>
      <c r="C373" t="s">
        <v>38</v>
      </c>
      <c r="D373" t="s">
        <v>22</v>
      </c>
      <c r="E373" t="s">
        <v>16</v>
      </c>
      <c r="F373" t="s">
        <v>41</v>
      </c>
      <c r="G373" t="s">
        <v>1036</v>
      </c>
      <c r="H373" t="s">
        <v>1041</v>
      </c>
      <c r="I373" s="1">
        <v>43490</v>
      </c>
      <c r="J373" t="s">
        <v>1046</v>
      </c>
      <c r="K373" s="5">
        <v>0.81874999999999998</v>
      </c>
      <c r="L373" t="s">
        <v>28</v>
      </c>
      <c r="M373">
        <v>6.0960000000000001</v>
      </c>
      <c r="N373">
        <v>4.9000000000000004</v>
      </c>
    </row>
    <row r="374" spans="1:14" x14ac:dyDescent="0.25">
      <c r="A374" t="s">
        <v>403</v>
      </c>
      <c r="B374" t="s">
        <v>20</v>
      </c>
      <c r="C374" t="s">
        <v>21</v>
      </c>
      <c r="D374" t="s">
        <v>22</v>
      </c>
      <c r="E374" t="s">
        <v>16</v>
      </c>
      <c r="F374" t="s">
        <v>27</v>
      </c>
      <c r="G374" t="s">
        <v>1036</v>
      </c>
      <c r="H374" t="s">
        <v>1043</v>
      </c>
      <c r="I374" s="1">
        <v>43538</v>
      </c>
      <c r="J374" t="s">
        <v>1046</v>
      </c>
      <c r="K374" s="5">
        <v>0.74583333333333324</v>
      </c>
      <c r="L374" t="s">
        <v>18</v>
      </c>
      <c r="M374">
        <v>21.033000000000001</v>
      </c>
      <c r="N374">
        <v>5.2</v>
      </c>
    </row>
    <row r="375" spans="1:14" x14ac:dyDescent="0.25">
      <c r="A375" t="s">
        <v>404</v>
      </c>
      <c r="B375" t="s">
        <v>20</v>
      </c>
      <c r="C375" t="s">
        <v>21</v>
      </c>
      <c r="D375" t="s">
        <v>22</v>
      </c>
      <c r="E375" t="s">
        <v>26</v>
      </c>
      <c r="F375" t="s">
        <v>41</v>
      </c>
      <c r="G375" t="s">
        <v>1037</v>
      </c>
      <c r="H375" t="s">
        <v>1041</v>
      </c>
      <c r="I375" s="1">
        <v>43494</v>
      </c>
      <c r="J375" t="s">
        <v>1045</v>
      </c>
      <c r="K375" s="5">
        <v>0.51736111111111105</v>
      </c>
      <c r="L375" t="s">
        <v>24</v>
      </c>
      <c r="M375">
        <v>12.624000000000001</v>
      </c>
      <c r="N375">
        <v>8.9</v>
      </c>
    </row>
    <row r="376" spans="1:14" x14ac:dyDescent="0.25">
      <c r="A376" t="s">
        <v>405</v>
      </c>
      <c r="B376" t="s">
        <v>13</v>
      </c>
      <c r="C376" t="s">
        <v>14</v>
      </c>
      <c r="D376" t="s">
        <v>22</v>
      </c>
      <c r="E376" t="s">
        <v>16</v>
      </c>
      <c r="F376" t="s">
        <v>27</v>
      </c>
      <c r="G376" t="s">
        <v>1040</v>
      </c>
      <c r="H376" t="s">
        <v>1041</v>
      </c>
      <c r="I376" s="1">
        <v>43468</v>
      </c>
      <c r="J376" t="s">
        <v>1046</v>
      </c>
      <c r="K376" s="5">
        <v>0.69930555555555562</v>
      </c>
      <c r="L376" t="s">
        <v>28</v>
      </c>
      <c r="M376">
        <v>16.772500000000001</v>
      </c>
      <c r="N376">
        <v>9.1</v>
      </c>
    </row>
    <row r="377" spans="1:14" x14ac:dyDescent="0.25">
      <c r="A377" t="s">
        <v>406</v>
      </c>
      <c r="B377" t="s">
        <v>13</v>
      </c>
      <c r="C377" t="s">
        <v>14</v>
      </c>
      <c r="D377" t="s">
        <v>15</v>
      </c>
      <c r="E377" t="s">
        <v>16</v>
      </c>
      <c r="F377" t="s">
        <v>41</v>
      </c>
      <c r="G377" t="s">
        <v>1035</v>
      </c>
      <c r="H377" t="s">
        <v>1041</v>
      </c>
      <c r="I377" s="1">
        <v>43479</v>
      </c>
      <c r="J377" t="s">
        <v>1045</v>
      </c>
      <c r="K377" s="5">
        <v>0.53611111111111109</v>
      </c>
      <c r="L377" t="s">
        <v>18</v>
      </c>
      <c r="M377">
        <v>24.175000000000001</v>
      </c>
      <c r="N377">
        <v>7</v>
      </c>
    </row>
    <row r="378" spans="1:14" x14ac:dyDescent="0.25">
      <c r="A378" t="s">
        <v>407</v>
      </c>
      <c r="B378" t="s">
        <v>37</v>
      </c>
      <c r="C378" t="s">
        <v>38</v>
      </c>
      <c r="D378" t="s">
        <v>15</v>
      </c>
      <c r="E378" t="s">
        <v>16</v>
      </c>
      <c r="F378" t="s">
        <v>27</v>
      </c>
      <c r="G378" t="s">
        <v>1034</v>
      </c>
      <c r="H378" t="s">
        <v>1041</v>
      </c>
      <c r="I378" s="1">
        <v>43470</v>
      </c>
      <c r="J378" t="s">
        <v>1046</v>
      </c>
      <c r="K378" s="5">
        <v>0.82638888888888884</v>
      </c>
      <c r="L378" t="s">
        <v>28</v>
      </c>
      <c r="M378">
        <v>15.920999999999999</v>
      </c>
      <c r="N378">
        <v>9.6</v>
      </c>
    </row>
    <row r="379" spans="1:14" x14ac:dyDescent="0.25">
      <c r="A379" t="s">
        <v>408</v>
      </c>
      <c r="B379" t="s">
        <v>20</v>
      </c>
      <c r="C379" t="s">
        <v>21</v>
      </c>
      <c r="D379" t="s">
        <v>22</v>
      </c>
      <c r="E379" t="s">
        <v>26</v>
      </c>
      <c r="F379" t="s">
        <v>31</v>
      </c>
      <c r="G379" t="s">
        <v>1040</v>
      </c>
      <c r="H379" t="s">
        <v>1042</v>
      </c>
      <c r="I379" s="1">
        <v>43518</v>
      </c>
      <c r="J379" t="s">
        <v>1046</v>
      </c>
      <c r="K379" s="5">
        <v>0.76180555555555562</v>
      </c>
      <c r="L379" t="s">
        <v>18</v>
      </c>
      <c r="M379">
        <v>33.421500000000002</v>
      </c>
      <c r="N379">
        <v>8.6999999999999993</v>
      </c>
    </row>
    <row r="380" spans="1:14" x14ac:dyDescent="0.25">
      <c r="A380" t="s">
        <v>409</v>
      </c>
      <c r="B380" t="s">
        <v>20</v>
      </c>
      <c r="C380" t="s">
        <v>21</v>
      </c>
      <c r="D380" t="s">
        <v>15</v>
      </c>
      <c r="E380" t="s">
        <v>26</v>
      </c>
      <c r="F380" t="s">
        <v>41</v>
      </c>
      <c r="G380" t="s">
        <v>1038</v>
      </c>
      <c r="H380" t="s">
        <v>1042</v>
      </c>
      <c r="I380" s="1">
        <v>43502</v>
      </c>
      <c r="J380" t="s">
        <v>1046</v>
      </c>
      <c r="K380" s="5">
        <v>0.72222222222222221</v>
      </c>
      <c r="L380" t="s">
        <v>18</v>
      </c>
      <c r="M380">
        <v>19.396000000000001</v>
      </c>
      <c r="N380">
        <v>9.4</v>
      </c>
    </row>
    <row r="381" spans="1:14" x14ac:dyDescent="0.25">
      <c r="A381" t="s">
        <v>410</v>
      </c>
      <c r="B381" t="s">
        <v>37</v>
      </c>
      <c r="C381" t="s">
        <v>38</v>
      </c>
      <c r="D381" t="s">
        <v>22</v>
      </c>
      <c r="E381" t="s">
        <v>16</v>
      </c>
      <c r="F381" t="s">
        <v>23</v>
      </c>
      <c r="G381" t="s">
        <v>1037</v>
      </c>
      <c r="H381" t="s">
        <v>1041</v>
      </c>
      <c r="I381" s="1">
        <v>43495</v>
      </c>
      <c r="J381" t="s">
        <v>1045</v>
      </c>
      <c r="K381" s="5">
        <v>0.56388888888888888</v>
      </c>
      <c r="L381" t="s">
        <v>28</v>
      </c>
      <c r="M381">
        <v>4.7300000000000004</v>
      </c>
      <c r="N381">
        <v>4</v>
      </c>
    </row>
    <row r="382" spans="1:14" x14ac:dyDescent="0.25">
      <c r="A382" t="s">
        <v>411</v>
      </c>
      <c r="B382" t="s">
        <v>13</v>
      </c>
      <c r="C382" t="s">
        <v>14</v>
      </c>
      <c r="D382" t="s">
        <v>15</v>
      </c>
      <c r="E382" t="s">
        <v>26</v>
      </c>
      <c r="F382" t="s">
        <v>31</v>
      </c>
      <c r="G382" t="s">
        <v>1034</v>
      </c>
      <c r="H382" t="s">
        <v>1041</v>
      </c>
      <c r="I382" s="1">
        <v>43476</v>
      </c>
      <c r="J382" t="s">
        <v>1044</v>
      </c>
      <c r="K382" s="5">
        <v>0.44236111111111115</v>
      </c>
      <c r="L382" t="s">
        <v>28</v>
      </c>
      <c r="M382">
        <v>16.466000000000001</v>
      </c>
      <c r="N382">
        <v>7.5</v>
      </c>
    </row>
    <row r="383" spans="1:14" x14ac:dyDescent="0.25">
      <c r="A383" t="s">
        <v>412</v>
      </c>
      <c r="B383" t="s">
        <v>20</v>
      </c>
      <c r="C383" t="s">
        <v>21</v>
      </c>
      <c r="D383" t="s">
        <v>22</v>
      </c>
      <c r="E383" t="s">
        <v>16</v>
      </c>
      <c r="F383" t="s">
        <v>23</v>
      </c>
      <c r="G383" t="s">
        <v>1037</v>
      </c>
      <c r="H383" t="s">
        <v>1043</v>
      </c>
      <c r="I383" s="1">
        <v>43543</v>
      </c>
      <c r="J383" t="s">
        <v>1045</v>
      </c>
      <c r="K383" s="5">
        <v>0.60763888888888895</v>
      </c>
      <c r="L383" t="s">
        <v>24</v>
      </c>
      <c r="M383">
        <v>2.661</v>
      </c>
      <c r="N383">
        <v>4.2</v>
      </c>
    </row>
    <row r="384" spans="1:14" x14ac:dyDescent="0.25">
      <c r="A384" t="s">
        <v>413</v>
      </c>
      <c r="B384" t="s">
        <v>37</v>
      </c>
      <c r="C384" t="s">
        <v>38</v>
      </c>
      <c r="D384" t="s">
        <v>22</v>
      </c>
      <c r="E384" t="s">
        <v>16</v>
      </c>
      <c r="F384" t="s">
        <v>39</v>
      </c>
      <c r="G384" t="s">
        <v>1035</v>
      </c>
      <c r="H384" t="s">
        <v>1041</v>
      </c>
      <c r="I384" s="1">
        <v>43479</v>
      </c>
      <c r="J384" t="s">
        <v>1045</v>
      </c>
      <c r="K384" s="5">
        <v>0.50624999999999998</v>
      </c>
      <c r="L384" t="s">
        <v>24</v>
      </c>
      <c r="M384">
        <v>24.922499999999999</v>
      </c>
      <c r="N384">
        <v>9.9</v>
      </c>
    </row>
    <row r="385" spans="1:14" x14ac:dyDescent="0.25">
      <c r="A385" t="s">
        <v>414</v>
      </c>
      <c r="B385" t="s">
        <v>20</v>
      </c>
      <c r="C385" t="s">
        <v>21</v>
      </c>
      <c r="D385" t="s">
        <v>15</v>
      </c>
      <c r="E385" t="s">
        <v>16</v>
      </c>
      <c r="F385" t="s">
        <v>39</v>
      </c>
      <c r="G385" t="s">
        <v>1034</v>
      </c>
      <c r="H385" t="s">
        <v>1043</v>
      </c>
      <c r="I385" s="1">
        <v>43525</v>
      </c>
      <c r="J385" t="s">
        <v>1045</v>
      </c>
      <c r="K385" s="5">
        <v>0.64722222222222225</v>
      </c>
      <c r="L385" t="s">
        <v>18</v>
      </c>
      <c r="M385">
        <v>14.978</v>
      </c>
      <c r="N385">
        <v>4.2</v>
      </c>
    </row>
    <row r="386" spans="1:14" x14ac:dyDescent="0.25">
      <c r="A386" t="s">
        <v>415</v>
      </c>
      <c r="B386" t="s">
        <v>13</v>
      </c>
      <c r="C386" t="s">
        <v>14</v>
      </c>
      <c r="D386" t="s">
        <v>22</v>
      </c>
      <c r="E386" t="s">
        <v>16</v>
      </c>
      <c r="F386" t="s">
        <v>39</v>
      </c>
      <c r="G386" t="s">
        <v>1034</v>
      </c>
      <c r="H386" t="s">
        <v>1041</v>
      </c>
      <c r="I386" s="1">
        <v>43471</v>
      </c>
      <c r="J386" t="s">
        <v>1045</v>
      </c>
      <c r="K386" s="5">
        <v>0.58194444444444449</v>
      </c>
      <c r="L386" t="s">
        <v>18</v>
      </c>
      <c r="M386">
        <v>10.234999999999999</v>
      </c>
      <c r="N386">
        <v>9.9</v>
      </c>
    </row>
    <row r="387" spans="1:14" x14ac:dyDescent="0.25">
      <c r="A387" t="s">
        <v>416</v>
      </c>
      <c r="B387" t="s">
        <v>37</v>
      </c>
      <c r="C387" t="s">
        <v>38</v>
      </c>
      <c r="D387" t="s">
        <v>15</v>
      </c>
      <c r="E387" t="s">
        <v>26</v>
      </c>
      <c r="F387" t="s">
        <v>31</v>
      </c>
      <c r="G387" t="s">
        <v>1037</v>
      </c>
      <c r="H387" t="s">
        <v>1041</v>
      </c>
      <c r="I387" s="1">
        <v>43496</v>
      </c>
      <c r="J387" t="s">
        <v>1045</v>
      </c>
      <c r="K387" s="5">
        <v>0.55486111111111114</v>
      </c>
      <c r="L387" t="s">
        <v>24</v>
      </c>
      <c r="M387">
        <v>3.7909999999999999</v>
      </c>
      <c r="N387">
        <v>5.8</v>
      </c>
    </row>
    <row r="388" spans="1:14" x14ac:dyDescent="0.25">
      <c r="A388" t="s">
        <v>417</v>
      </c>
      <c r="B388" t="s">
        <v>20</v>
      </c>
      <c r="C388" t="s">
        <v>21</v>
      </c>
      <c r="D388" t="s">
        <v>22</v>
      </c>
      <c r="E388" t="s">
        <v>26</v>
      </c>
      <c r="F388" t="s">
        <v>39</v>
      </c>
      <c r="G388" t="s">
        <v>1036</v>
      </c>
      <c r="H388" t="s">
        <v>1043</v>
      </c>
      <c r="I388" s="1">
        <v>43535</v>
      </c>
      <c r="J388" t="s">
        <v>1045</v>
      </c>
      <c r="K388" s="5">
        <v>0.56736111111111109</v>
      </c>
      <c r="L388" t="s">
        <v>24</v>
      </c>
      <c r="M388">
        <v>14.031000000000001</v>
      </c>
      <c r="N388">
        <v>6</v>
      </c>
    </row>
    <row r="389" spans="1:14" x14ac:dyDescent="0.25">
      <c r="A389" t="s">
        <v>418</v>
      </c>
      <c r="B389" t="s">
        <v>13</v>
      </c>
      <c r="C389" t="s">
        <v>14</v>
      </c>
      <c r="D389" t="s">
        <v>22</v>
      </c>
      <c r="E389" t="s">
        <v>16</v>
      </c>
      <c r="F389" t="s">
        <v>17</v>
      </c>
      <c r="G389" t="s">
        <v>1040</v>
      </c>
      <c r="H389" t="s">
        <v>1042</v>
      </c>
      <c r="I389" s="1">
        <v>43516</v>
      </c>
      <c r="J389" t="s">
        <v>1046</v>
      </c>
      <c r="K389" s="5">
        <v>0.7006944444444444</v>
      </c>
      <c r="L389" t="s">
        <v>28</v>
      </c>
      <c r="M389">
        <v>16.16</v>
      </c>
      <c r="N389">
        <v>10</v>
      </c>
    </row>
    <row r="390" spans="1:14" x14ac:dyDescent="0.25">
      <c r="A390" t="s">
        <v>419</v>
      </c>
      <c r="B390" t="s">
        <v>20</v>
      </c>
      <c r="C390" t="s">
        <v>21</v>
      </c>
      <c r="D390" t="s">
        <v>15</v>
      </c>
      <c r="E390" t="s">
        <v>16</v>
      </c>
      <c r="F390" t="s">
        <v>41</v>
      </c>
      <c r="G390" t="s">
        <v>1037</v>
      </c>
      <c r="H390" t="s">
        <v>1041</v>
      </c>
      <c r="I390" s="1">
        <v>43492</v>
      </c>
      <c r="J390" t="s">
        <v>1045</v>
      </c>
      <c r="K390" s="5">
        <v>0.62152777777777779</v>
      </c>
      <c r="L390" t="s">
        <v>18</v>
      </c>
      <c r="M390">
        <v>24.331499999999998</v>
      </c>
      <c r="N390">
        <v>9.5</v>
      </c>
    </row>
    <row r="391" spans="1:14" x14ac:dyDescent="0.25">
      <c r="A391" t="s">
        <v>420</v>
      </c>
      <c r="B391" t="s">
        <v>37</v>
      </c>
      <c r="C391" t="s">
        <v>38</v>
      </c>
      <c r="D391" t="s">
        <v>22</v>
      </c>
      <c r="E391" t="s">
        <v>26</v>
      </c>
      <c r="F391" t="s">
        <v>39</v>
      </c>
      <c r="G391" t="s">
        <v>1036</v>
      </c>
      <c r="H391" t="s">
        <v>1043</v>
      </c>
      <c r="I391" s="1">
        <v>43534</v>
      </c>
      <c r="J391" t="s">
        <v>1045</v>
      </c>
      <c r="K391" s="5">
        <v>0.58611111111111114</v>
      </c>
      <c r="L391" t="s">
        <v>28</v>
      </c>
      <c r="M391">
        <v>6.3769999999999998</v>
      </c>
      <c r="N391">
        <v>6.6</v>
      </c>
    </row>
    <row r="392" spans="1:14" x14ac:dyDescent="0.25">
      <c r="A392" t="s">
        <v>421</v>
      </c>
      <c r="B392" t="s">
        <v>20</v>
      </c>
      <c r="C392" t="s">
        <v>21</v>
      </c>
      <c r="D392" t="s">
        <v>15</v>
      </c>
      <c r="E392" t="s">
        <v>16</v>
      </c>
      <c r="F392" t="s">
        <v>41</v>
      </c>
      <c r="G392" t="s">
        <v>1039</v>
      </c>
      <c r="H392" t="s">
        <v>1042</v>
      </c>
      <c r="I392" s="1">
        <v>43511</v>
      </c>
      <c r="J392" t="s">
        <v>1045</v>
      </c>
      <c r="K392" s="5">
        <v>0.52152777777777781</v>
      </c>
      <c r="L392" t="s">
        <v>24</v>
      </c>
      <c r="M392">
        <v>12.071999999999999</v>
      </c>
      <c r="N392">
        <v>8.1</v>
      </c>
    </row>
    <row r="393" spans="1:14" x14ac:dyDescent="0.25">
      <c r="A393" t="s">
        <v>422</v>
      </c>
      <c r="B393" t="s">
        <v>37</v>
      </c>
      <c r="C393" t="s">
        <v>38</v>
      </c>
      <c r="D393" t="s">
        <v>22</v>
      </c>
      <c r="E393" t="s">
        <v>16</v>
      </c>
      <c r="F393" t="s">
        <v>41</v>
      </c>
      <c r="G393" t="s">
        <v>1037</v>
      </c>
      <c r="H393" t="s">
        <v>1041</v>
      </c>
      <c r="I393" s="1">
        <v>43491</v>
      </c>
      <c r="J393" t="s">
        <v>1045</v>
      </c>
      <c r="K393" s="5">
        <v>0.61875000000000002</v>
      </c>
      <c r="L393" t="s">
        <v>24</v>
      </c>
      <c r="M393">
        <v>18.975000000000001</v>
      </c>
      <c r="N393">
        <v>9.6999999999999993</v>
      </c>
    </row>
    <row r="394" spans="1:14" x14ac:dyDescent="0.25">
      <c r="A394" t="s">
        <v>423</v>
      </c>
      <c r="B394" t="s">
        <v>13</v>
      </c>
      <c r="C394" t="s">
        <v>14</v>
      </c>
      <c r="D394" t="s">
        <v>15</v>
      </c>
      <c r="E394" t="s">
        <v>26</v>
      </c>
      <c r="F394" t="s">
        <v>23</v>
      </c>
      <c r="G394" t="s">
        <v>1039</v>
      </c>
      <c r="H394" t="s">
        <v>1042</v>
      </c>
      <c r="I394" s="1">
        <v>43509</v>
      </c>
      <c r="J394" t="s">
        <v>1046</v>
      </c>
      <c r="K394" s="5">
        <v>0.76874999999999993</v>
      </c>
      <c r="L394" t="s">
        <v>18</v>
      </c>
      <c r="M394">
        <v>3.8410000000000002</v>
      </c>
      <c r="N394">
        <v>7.2</v>
      </c>
    </row>
    <row r="395" spans="1:14" x14ac:dyDescent="0.25">
      <c r="A395" t="s">
        <v>424</v>
      </c>
      <c r="B395" t="s">
        <v>13</v>
      </c>
      <c r="C395" t="s">
        <v>14</v>
      </c>
      <c r="D395" t="s">
        <v>15</v>
      </c>
      <c r="E395" t="s">
        <v>16</v>
      </c>
      <c r="F395" t="s">
        <v>31</v>
      </c>
      <c r="G395" t="s">
        <v>1036</v>
      </c>
      <c r="H395" t="s">
        <v>1043</v>
      </c>
      <c r="I395" s="1">
        <v>43533</v>
      </c>
      <c r="J395" t="s">
        <v>1045</v>
      </c>
      <c r="K395" s="5">
        <v>0.53125</v>
      </c>
      <c r="L395" t="s">
        <v>28</v>
      </c>
      <c r="M395">
        <v>26.13</v>
      </c>
      <c r="N395">
        <v>6.2</v>
      </c>
    </row>
    <row r="396" spans="1:14" x14ac:dyDescent="0.25">
      <c r="A396" t="s">
        <v>425</v>
      </c>
      <c r="B396" t="s">
        <v>13</v>
      </c>
      <c r="C396" t="s">
        <v>14</v>
      </c>
      <c r="D396" t="s">
        <v>22</v>
      </c>
      <c r="E396" t="s">
        <v>16</v>
      </c>
      <c r="F396" t="s">
        <v>17</v>
      </c>
      <c r="G396" t="s">
        <v>1035</v>
      </c>
      <c r="H396" t="s">
        <v>1043</v>
      </c>
      <c r="I396" s="1">
        <v>43530</v>
      </c>
      <c r="J396" t="s">
        <v>1044</v>
      </c>
      <c r="K396" s="5">
        <v>0.44166666666666665</v>
      </c>
      <c r="L396" t="s">
        <v>18</v>
      </c>
      <c r="M396">
        <v>3.9870000000000001</v>
      </c>
      <c r="N396">
        <v>7.3</v>
      </c>
    </row>
    <row r="397" spans="1:14" x14ac:dyDescent="0.25">
      <c r="A397" t="s">
        <v>426</v>
      </c>
      <c r="B397" t="s">
        <v>13</v>
      </c>
      <c r="C397" t="s">
        <v>14</v>
      </c>
      <c r="D397" t="s">
        <v>22</v>
      </c>
      <c r="E397" t="s">
        <v>16</v>
      </c>
      <c r="F397" t="s">
        <v>17</v>
      </c>
      <c r="G397" t="s">
        <v>1036</v>
      </c>
      <c r="H397" t="s">
        <v>1041</v>
      </c>
      <c r="I397" s="1">
        <v>43489</v>
      </c>
      <c r="J397" t="s">
        <v>1046</v>
      </c>
      <c r="K397" s="5">
        <v>0.85833333333333339</v>
      </c>
      <c r="L397" t="s">
        <v>18</v>
      </c>
      <c r="M397">
        <v>19.375</v>
      </c>
      <c r="N397">
        <v>4.3</v>
      </c>
    </row>
    <row r="398" spans="1:14" x14ac:dyDescent="0.25">
      <c r="A398" t="s">
        <v>427</v>
      </c>
      <c r="B398" t="s">
        <v>13</v>
      </c>
      <c r="C398" t="s">
        <v>14</v>
      </c>
      <c r="D398" t="s">
        <v>22</v>
      </c>
      <c r="E398" t="s">
        <v>16</v>
      </c>
      <c r="F398" t="s">
        <v>39</v>
      </c>
      <c r="G398" t="s">
        <v>1036</v>
      </c>
      <c r="H398" t="s">
        <v>1043</v>
      </c>
      <c r="I398" s="1">
        <v>43537</v>
      </c>
      <c r="J398" t="s">
        <v>1045</v>
      </c>
      <c r="K398" s="5">
        <v>0.59444444444444444</v>
      </c>
      <c r="L398" t="s">
        <v>18</v>
      </c>
      <c r="M398">
        <v>13.567500000000001</v>
      </c>
      <c r="N398">
        <v>4.5999999999999996</v>
      </c>
    </row>
    <row r="399" spans="1:14" x14ac:dyDescent="0.25">
      <c r="A399" t="s">
        <v>428</v>
      </c>
      <c r="B399" t="s">
        <v>37</v>
      </c>
      <c r="C399" t="s">
        <v>38</v>
      </c>
      <c r="D399" t="s">
        <v>22</v>
      </c>
      <c r="E399" t="s">
        <v>26</v>
      </c>
      <c r="F399" t="s">
        <v>27</v>
      </c>
      <c r="G399" t="s">
        <v>1036</v>
      </c>
      <c r="H399" t="s">
        <v>1043</v>
      </c>
      <c r="I399" s="1">
        <v>43539</v>
      </c>
      <c r="J399" t="s">
        <v>1044</v>
      </c>
      <c r="K399" s="5">
        <v>0.43472222222222223</v>
      </c>
      <c r="L399" t="s">
        <v>24</v>
      </c>
      <c r="M399">
        <v>6.1154999999999999</v>
      </c>
      <c r="N399">
        <v>5.8</v>
      </c>
    </row>
    <row r="400" spans="1:14" x14ac:dyDescent="0.25">
      <c r="A400" t="s">
        <v>429</v>
      </c>
      <c r="B400" t="s">
        <v>37</v>
      </c>
      <c r="C400" t="s">
        <v>38</v>
      </c>
      <c r="D400" t="s">
        <v>15</v>
      </c>
      <c r="E400" t="s">
        <v>16</v>
      </c>
      <c r="F400" t="s">
        <v>17</v>
      </c>
      <c r="G400" t="s">
        <v>1035</v>
      </c>
      <c r="H400" t="s">
        <v>1043</v>
      </c>
      <c r="I400" s="1">
        <v>43529</v>
      </c>
      <c r="J400" t="s">
        <v>1045</v>
      </c>
      <c r="K400" s="5">
        <v>0.5625</v>
      </c>
      <c r="L400" t="s">
        <v>28</v>
      </c>
      <c r="M400">
        <v>12.318</v>
      </c>
      <c r="N400">
        <v>8.3000000000000007</v>
      </c>
    </row>
    <row r="401" spans="1:14" x14ac:dyDescent="0.25">
      <c r="A401" t="s">
        <v>430</v>
      </c>
      <c r="B401" t="s">
        <v>37</v>
      </c>
      <c r="C401" t="s">
        <v>38</v>
      </c>
      <c r="D401" t="s">
        <v>15</v>
      </c>
      <c r="E401" t="s">
        <v>26</v>
      </c>
      <c r="F401" t="s">
        <v>23</v>
      </c>
      <c r="G401" t="s">
        <v>1035</v>
      </c>
      <c r="H401" t="s">
        <v>1043</v>
      </c>
      <c r="I401" s="1">
        <v>43528</v>
      </c>
      <c r="J401" t="s">
        <v>1046</v>
      </c>
      <c r="K401" s="5">
        <v>0.68611111111111101</v>
      </c>
      <c r="L401" t="s">
        <v>24</v>
      </c>
      <c r="M401">
        <v>8.6579999999999995</v>
      </c>
      <c r="N401">
        <v>8</v>
      </c>
    </row>
    <row r="402" spans="1:14" x14ac:dyDescent="0.25">
      <c r="A402" t="s">
        <v>431</v>
      </c>
      <c r="B402" t="s">
        <v>20</v>
      </c>
      <c r="C402" t="s">
        <v>21</v>
      </c>
      <c r="D402" t="s">
        <v>22</v>
      </c>
      <c r="E402" t="s">
        <v>16</v>
      </c>
      <c r="F402" t="s">
        <v>39</v>
      </c>
      <c r="G402" t="s">
        <v>1038</v>
      </c>
      <c r="H402" t="s">
        <v>1043</v>
      </c>
      <c r="I402" s="1">
        <v>43549</v>
      </c>
      <c r="J402" t="s">
        <v>1046</v>
      </c>
      <c r="K402" s="5">
        <v>0.84583333333333333</v>
      </c>
      <c r="L402" t="s">
        <v>28</v>
      </c>
      <c r="M402">
        <v>11.829000000000001</v>
      </c>
      <c r="N402">
        <v>9.4</v>
      </c>
    </row>
    <row r="403" spans="1:14" x14ac:dyDescent="0.25">
      <c r="A403" t="s">
        <v>432</v>
      </c>
      <c r="B403" t="s">
        <v>20</v>
      </c>
      <c r="C403" t="s">
        <v>21</v>
      </c>
      <c r="D403" t="s">
        <v>22</v>
      </c>
      <c r="E403" t="s">
        <v>26</v>
      </c>
      <c r="F403" t="s">
        <v>27</v>
      </c>
      <c r="G403" t="s">
        <v>1036</v>
      </c>
      <c r="H403" t="s">
        <v>1043</v>
      </c>
      <c r="I403" s="1">
        <v>43536</v>
      </c>
      <c r="J403" t="s">
        <v>1046</v>
      </c>
      <c r="K403" s="5">
        <v>0.83611111111111114</v>
      </c>
      <c r="L403" t="s">
        <v>28</v>
      </c>
      <c r="M403">
        <v>9.2439999999999998</v>
      </c>
      <c r="N403">
        <v>6.2</v>
      </c>
    </row>
    <row r="404" spans="1:14" x14ac:dyDescent="0.25">
      <c r="A404" t="s">
        <v>433</v>
      </c>
      <c r="B404" t="s">
        <v>20</v>
      </c>
      <c r="C404" t="s">
        <v>21</v>
      </c>
      <c r="D404" t="s">
        <v>15</v>
      </c>
      <c r="E404" t="s">
        <v>26</v>
      </c>
      <c r="F404" t="s">
        <v>27</v>
      </c>
      <c r="G404" t="s">
        <v>1038</v>
      </c>
      <c r="H404" t="s">
        <v>1042</v>
      </c>
      <c r="I404" s="1">
        <v>43500</v>
      </c>
      <c r="J404" t="s">
        <v>1045</v>
      </c>
      <c r="K404" s="5">
        <v>0.56805555555555554</v>
      </c>
      <c r="L404" t="s">
        <v>18</v>
      </c>
      <c r="M404">
        <v>0.69899999999999995</v>
      </c>
      <c r="N404">
        <v>9.8000000000000007</v>
      </c>
    </row>
    <row r="405" spans="1:14" x14ac:dyDescent="0.25">
      <c r="A405" t="s">
        <v>434</v>
      </c>
      <c r="B405" t="s">
        <v>37</v>
      </c>
      <c r="C405" t="s">
        <v>38</v>
      </c>
      <c r="D405" t="s">
        <v>22</v>
      </c>
      <c r="E405" t="s">
        <v>16</v>
      </c>
      <c r="F405" t="s">
        <v>41</v>
      </c>
      <c r="G405" t="s">
        <v>1040</v>
      </c>
      <c r="H405" t="s">
        <v>1042</v>
      </c>
      <c r="I405" s="1">
        <v>43518</v>
      </c>
      <c r="J405" t="s">
        <v>1044</v>
      </c>
      <c r="K405" s="5">
        <v>0.4465277777777778</v>
      </c>
      <c r="L405" t="s">
        <v>18</v>
      </c>
      <c r="M405">
        <v>9.9375</v>
      </c>
      <c r="N405">
        <v>9.6</v>
      </c>
    </row>
    <row r="406" spans="1:14" x14ac:dyDescent="0.25">
      <c r="A406" t="s">
        <v>435</v>
      </c>
      <c r="B406" t="s">
        <v>20</v>
      </c>
      <c r="C406" t="s">
        <v>21</v>
      </c>
      <c r="D406" t="s">
        <v>15</v>
      </c>
      <c r="E406" t="s">
        <v>16</v>
      </c>
      <c r="F406" t="s">
        <v>41</v>
      </c>
      <c r="G406" t="s">
        <v>1040</v>
      </c>
      <c r="H406" t="s">
        <v>1042</v>
      </c>
      <c r="I406" s="1">
        <v>43512</v>
      </c>
      <c r="J406" t="s">
        <v>1046</v>
      </c>
      <c r="K406" s="5">
        <v>0.72916666666666663</v>
      </c>
      <c r="L406" t="s">
        <v>18</v>
      </c>
      <c r="M406">
        <v>34.226500000000001</v>
      </c>
      <c r="N406">
        <v>4.9000000000000004</v>
      </c>
    </row>
    <row r="407" spans="1:14" x14ac:dyDescent="0.25">
      <c r="A407" t="s">
        <v>436</v>
      </c>
      <c r="B407" t="s">
        <v>13</v>
      </c>
      <c r="C407" t="s">
        <v>14</v>
      </c>
      <c r="D407" t="s">
        <v>15</v>
      </c>
      <c r="E407" t="s">
        <v>26</v>
      </c>
      <c r="F407" t="s">
        <v>31</v>
      </c>
      <c r="G407" t="s">
        <v>1036</v>
      </c>
      <c r="H407" t="s">
        <v>1041</v>
      </c>
      <c r="I407" s="1">
        <v>43484</v>
      </c>
      <c r="J407" t="s">
        <v>1045</v>
      </c>
      <c r="K407" s="5">
        <v>0.64444444444444449</v>
      </c>
      <c r="L407" t="s">
        <v>28</v>
      </c>
      <c r="M407">
        <v>13.452</v>
      </c>
      <c r="N407">
        <v>8</v>
      </c>
    </row>
    <row r="408" spans="1:14" x14ac:dyDescent="0.25">
      <c r="A408" t="s">
        <v>437</v>
      </c>
      <c r="B408" t="s">
        <v>13</v>
      </c>
      <c r="C408" t="s">
        <v>14</v>
      </c>
      <c r="D408" t="s">
        <v>22</v>
      </c>
      <c r="E408" t="s">
        <v>26</v>
      </c>
      <c r="F408" t="s">
        <v>39</v>
      </c>
      <c r="G408" t="s">
        <v>1034</v>
      </c>
      <c r="H408" t="s">
        <v>1041</v>
      </c>
      <c r="I408" s="1">
        <v>43476</v>
      </c>
      <c r="J408" t="s">
        <v>1046</v>
      </c>
      <c r="K408" s="5">
        <v>0.79652777777777783</v>
      </c>
      <c r="L408" t="s">
        <v>28</v>
      </c>
      <c r="M408">
        <v>3.4474999999999998</v>
      </c>
      <c r="N408">
        <v>7.8</v>
      </c>
    </row>
    <row r="409" spans="1:14" x14ac:dyDescent="0.25">
      <c r="A409" t="s">
        <v>438</v>
      </c>
      <c r="B409" t="s">
        <v>37</v>
      </c>
      <c r="C409" t="s">
        <v>38</v>
      </c>
      <c r="D409" t="s">
        <v>15</v>
      </c>
      <c r="E409" t="s">
        <v>16</v>
      </c>
      <c r="F409" t="s">
        <v>41</v>
      </c>
      <c r="G409" t="s">
        <v>1040</v>
      </c>
      <c r="H409" t="s">
        <v>1041</v>
      </c>
      <c r="I409" s="1">
        <v>43469</v>
      </c>
      <c r="J409" t="s">
        <v>1046</v>
      </c>
      <c r="K409" s="5">
        <v>0.79236111111111107</v>
      </c>
      <c r="L409" t="s">
        <v>24</v>
      </c>
      <c r="M409">
        <v>13.742000000000001</v>
      </c>
      <c r="N409">
        <v>4.0999999999999996</v>
      </c>
    </row>
    <row r="410" spans="1:14" x14ac:dyDescent="0.25">
      <c r="A410" t="s">
        <v>439</v>
      </c>
      <c r="B410" t="s">
        <v>13</v>
      </c>
      <c r="C410" t="s">
        <v>14</v>
      </c>
      <c r="D410" t="s">
        <v>22</v>
      </c>
      <c r="E410" t="s">
        <v>16</v>
      </c>
      <c r="F410" t="s">
        <v>27</v>
      </c>
      <c r="G410" t="s">
        <v>1035</v>
      </c>
      <c r="H410" t="s">
        <v>1043</v>
      </c>
      <c r="I410" s="1">
        <v>43528</v>
      </c>
      <c r="J410" t="s">
        <v>1046</v>
      </c>
      <c r="K410" s="5">
        <v>0.82500000000000007</v>
      </c>
      <c r="L410" t="s">
        <v>18</v>
      </c>
      <c r="M410">
        <v>11.305999999999999</v>
      </c>
      <c r="N410">
        <v>5.5</v>
      </c>
    </row>
    <row r="411" spans="1:14" x14ac:dyDescent="0.25">
      <c r="A411" t="s">
        <v>440</v>
      </c>
      <c r="B411" t="s">
        <v>20</v>
      </c>
      <c r="C411" t="s">
        <v>21</v>
      </c>
      <c r="D411" t="s">
        <v>22</v>
      </c>
      <c r="E411" t="s">
        <v>16</v>
      </c>
      <c r="F411" t="s">
        <v>41</v>
      </c>
      <c r="G411" t="s">
        <v>1037</v>
      </c>
      <c r="H411" t="s">
        <v>1041</v>
      </c>
      <c r="I411" s="1">
        <v>43493</v>
      </c>
      <c r="J411" t="s">
        <v>1046</v>
      </c>
      <c r="K411" s="5">
        <v>0.80833333333333324</v>
      </c>
      <c r="L411" t="s">
        <v>18</v>
      </c>
      <c r="M411">
        <v>5.9550000000000001</v>
      </c>
      <c r="N411">
        <v>5.4</v>
      </c>
    </row>
    <row r="412" spans="1:14" x14ac:dyDescent="0.25">
      <c r="A412" t="s">
        <v>441</v>
      </c>
      <c r="B412" t="s">
        <v>37</v>
      </c>
      <c r="C412" t="s">
        <v>38</v>
      </c>
      <c r="D412" t="s">
        <v>22</v>
      </c>
      <c r="E412" t="s">
        <v>16</v>
      </c>
      <c r="F412" t="s">
        <v>17</v>
      </c>
      <c r="G412" t="s">
        <v>1040</v>
      </c>
      <c r="H412" t="s">
        <v>1041</v>
      </c>
      <c r="I412" s="1">
        <v>43467</v>
      </c>
      <c r="J412" t="s">
        <v>1045</v>
      </c>
      <c r="K412" s="5">
        <v>0.54166666666666663</v>
      </c>
      <c r="L412" t="s">
        <v>24</v>
      </c>
      <c r="M412">
        <v>17.105</v>
      </c>
      <c r="N412">
        <v>5.0999999999999996</v>
      </c>
    </row>
    <row r="413" spans="1:14" x14ac:dyDescent="0.25">
      <c r="A413" t="s">
        <v>442</v>
      </c>
      <c r="B413" t="s">
        <v>37</v>
      </c>
      <c r="C413" t="s">
        <v>38</v>
      </c>
      <c r="D413" t="s">
        <v>22</v>
      </c>
      <c r="E413" t="s">
        <v>26</v>
      </c>
      <c r="F413" t="s">
        <v>31</v>
      </c>
      <c r="G413" t="s">
        <v>1036</v>
      </c>
      <c r="H413" t="s">
        <v>1041</v>
      </c>
      <c r="I413" s="1">
        <v>43490</v>
      </c>
      <c r="J413" t="s">
        <v>1045</v>
      </c>
      <c r="K413" s="5">
        <v>0.60347222222222219</v>
      </c>
      <c r="L413" t="s">
        <v>18</v>
      </c>
      <c r="M413">
        <v>2.1869999999999998</v>
      </c>
      <c r="N413">
        <v>6.9</v>
      </c>
    </row>
    <row r="414" spans="1:14" x14ac:dyDescent="0.25">
      <c r="A414" t="s">
        <v>443</v>
      </c>
      <c r="B414" t="s">
        <v>13</v>
      </c>
      <c r="C414" t="s">
        <v>14</v>
      </c>
      <c r="D414" t="s">
        <v>15</v>
      </c>
      <c r="E414" t="s">
        <v>26</v>
      </c>
      <c r="F414" t="s">
        <v>17</v>
      </c>
      <c r="G414" t="s">
        <v>1040</v>
      </c>
      <c r="H414" t="s">
        <v>1041</v>
      </c>
      <c r="I414" s="1">
        <v>43469</v>
      </c>
      <c r="J414" t="s">
        <v>1045</v>
      </c>
      <c r="K414" s="5">
        <v>0.55625000000000002</v>
      </c>
      <c r="L414" t="s">
        <v>24</v>
      </c>
      <c r="M414">
        <v>5.2424999999999997</v>
      </c>
      <c r="N414">
        <v>7.8</v>
      </c>
    </row>
    <row r="415" spans="1:14" x14ac:dyDescent="0.25">
      <c r="A415" t="s">
        <v>444</v>
      </c>
      <c r="B415" t="s">
        <v>13</v>
      </c>
      <c r="C415" t="s">
        <v>14</v>
      </c>
      <c r="D415" t="s">
        <v>22</v>
      </c>
      <c r="E415" t="s">
        <v>26</v>
      </c>
      <c r="F415" t="s">
        <v>31</v>
      </c>
      <c r="G415" t="s">
        <v>1036</v>
      </c>
      <c r="H415" t="s">
        <v>1043</v>
      </c>
      <c r="I415" s="1">
        <v>43534</v>
      </c>
      <c r="J415" t="s">
        <v>1046</v>
      </c>
      <c r="K415" s="5">
        <v>0.78819444444444453</v>
      </c>
      <c r="L415" t="s">
        <v>18</v>
      </c>
      <c r="M415">
        <v>3.8759999999999999</v>
      </c>
      <c r="N415">
        <v>6.6</v>
      </c>
    </row>
    <row r="416" spans="1:14" x14ac:dyDescent="0.25">
      <c r="A416" t="s">
        <v>445</v>
      </c>
      <c r="B416" t="s">
        <v>13</v>
      </c>
      <c r="C416" t="s">
        <v>14</v>
      </c>
      <c r="D416" t="s">
        <v>22</v>
      </c>
      <c r="E416" t="s">
        <v>26</v>
      </c>
      <c r="F416" t="s">
        <v>27</v>
      </c>
      <c r="G416" t="s">
        <v>1037</v>
      </c>
      <c r="H416" t="s">
        <v>1043</v>
      </c>
      <c r="I416" s="1">
        <v>43546</v>
      </c>
      <c r="J416" t="s">
        <v>1046</v>
      </c>
      <c r="K416" s="5">
        <v>0.81666666666666676</v>
      </c>
      <c r="L416" t="s">
        <v>18</v>
      </c>
      <c r="M416">
        <v>20.372</v>
      </c>
      <c r="N416">
        <v>9.1999999999999993</v>
      </c>
    </row>
    <row r="417" spans="1:14" x14ac:dyDescent="0.25">
      <c r="A417" t="s">
        <v>446</v>
      </c>
      <c r="B417" t="s">
        <v>37</v>
      </c>
      <c r="C417" t="s">
        <v>38</v>
      </c>
      <c r="D417" t="s">
        <v>22</v>
      </c>
      <c r="E417" t="s">
        <v>26</v>
      </c>
      <c r="F417" t="s">
        <v>17</v>
      </c>
      <c r="G417" t="s">
        <v>1036</v>
      </c>
      <c r="H417" t="s">
        <v>1041</v>
      </c>
      <c r="I417" s="1">
        <v>43490</v>
      </c>
      <c r="J417" t="s">
        <v>1046</v>
      </c>
      <c r="K417" s="5">
        <v>0.68611111111111101</v>
      </c>
      <c r="L417" t="s">
        <v>18</v>
      </c>
      <c r="M417">
        <v>4.8055000000000003</v>
      </c>
      <c r="N417">
        <v>7.8</v>
      </c>
    </row>
    <row r="418" spans="1:14" x14ac:dyDescent="0.25">
      <c r="A418" t="s">
        <v>447</v>
      </c>
      <c r="B418" t="s">
        <v>20</v>
      </c>
      <c r="C418" t="s">
        <v>21</v>
      </c>
      <c r="D418" t="s">
        <v>22</v>
      </c>
      <c r="E418" t="s">
        <v>16</v>
      </c>
      <c r="F418" t="s">
        <v>27</v>
      </c>
      <c r="G418" t="s">
        <v>1034</v>
      </c>
      <c r="H418" t="s">
        <v>1041</v>
      </c>
      <c r="I418" s="1">
        <v>43473</v>
      </c>
      <c r="J418" t="s">
        <v>1045</v>
      </c>
      <c r="K418" s="5">
        <v>0.57500000000000007</v>
      </c>
      <c r="L418" t="s">
        <v>28</v>
      </c>
      <c r="M418">
        <v>9.0760000000000005</v>
      </c>
      <c r="N418">
        <v>8.6999999999999993</v>
      </c>
    </row>
    <row r="419" spans="1:14" x14ac:dyDescent="0.25">
      <c r="A419" t="s">
        <v>448</v>
      </c>
      <c r="B419" t="s">
        <v>20</v>
      </c>
      <c r="C419" t="s">
        <v>21</v>
      </c>
      <c r="D419" t="s">
        <v>15</v>
      </c>
      <c r="E419" t="s">
        <v>16</v>
      </c>
      <c r="F419" t="s">
        <v>17</v>
      </c>
      <c r="G419" t="s">
        <v>1036</v>
      </c>
      <c r="H419" t="s">
        <v>1041</v>
      </c>
      <c r="I419" s="1">
        <v>43487</v>
      </c>
      <c r="J419" t="s">
        <v>1044</v>
      </c>
      <c r="K419" s="5">
        <v>0.45624999999999999</v>
      </c>
      <c r="L419" t="s">
        <v>18</v>
      </c>
      <c r="M419">
        <v>4.0754999999999999</v>
      </c>
      <c r="N419">
        <v>9.1999999999999993</v>
      </c>
    </row>
    <row r="420" spans="1:14" x14ac:dyDescent="0.25">
      <c r="A420" t="s">
        <v>449</v>
      </c>
      <c r="B420" t="s">
        <v>37</v>
      </c>
      <c r="C420" t="s">
        <v>38</v>
      </c>
      <c r="D420" t="s">
        <v>22</v>
      </c>
      <c r="E420" t="s">
        <v>16</v>
      </c>
      <c r="F420" t="s">
        <v>17</v>
      </c>
      <c r="G420" t="s">
        <v>1035</v>
      </c>
      <c r="H420" t="s">
        <v>1041</v>
      </c>
      <c r="I420" s="1">
        <v>43477</v>
      </c>
      <c r="J420" t="s">
        <v>1046</v>
      </c>
      <c r="K420" s="5">
        <v>0.71736111111111101</v>
      </c>
      <c r="L420" t="s">
        <v>18</v>
      </c>
      <c r="M420">
        <v>5.7220000000000004</v>
      </c>
      <c r="N420">
        <v>8.3000000000000007</v>
      </c>
    </row>
    <row r="421" spans="1:14" x14ac:dyDescent="0.25">
      <c r="A421" t="s">
        <v>450</v>
      </c>
      <c r="B421" t="s">
        <v>13</v>
      </c>
      <c r="C421" t="s">
        <v>14</v>
      </c>
      <c r="D421" t="s">
        <v>15</v>
      </c>
      <c r="E421" t="s">
        <v>16</v>
      </c>
      <c r="F421" t="s">
        <v>23</v>
      </c>
      <c r="G421" t="s">
        <v>1038</v>
      </c>
      <c r="H421" t="s">
        <v>1042</v>
      </c>
      <c r="I421" s="1">
        <v>43500</v>
      </c>
      <c r="J421" t="s">
        <v>1044</v>
      </c>
      <c r="K421" s="5">
        <v>0.43263888888888885</v>
      </c>
      <c r="L421" t="s">
        <v>24</v>
      </c>
      <c r="M421">
        <v>8.827</v>
      </c>
      <c r="N421">
        <v>8.1999999999999993</v>
      </c>
    </row>
    <row r="422" spans="1:14" x14ac:dyDescent="0.25">
      <c r="A422" t="s">
        <v>451</v>
      </c>
      <c r="B422" t="s">
        <v>20</v>
      </c>
      <c r="C422" t="s">
        <v>21</v>
      </c>
      <c r="D422" t="s">
        <v>15</v>
      </c>
      <c r="E422" t="s">
        <v>16</v>
      </c>
      <c r="F422" t="s">
        <v>39</v>
      </c>
      <c r="G422" t="s">
        <v>1038</v>
      </c>
      <c r="H422" t="s">
        <v>1043</v>
      </c>
      <c r="I422" s="1">
        <v>43552</v>
      </c>
      <c r="J422" t="s">
        <v>1045</v>
      </c>
      <c r="K422" s="5">
        <v>0.58124999999999993</v>
      </c>
      <c r="L422" t="s">
        <v>18</v>
      </c>
      <c r="M422">
        <v>5.79</v>
      </c>
      <c r="N422">
        <v>7.5</v>
      </c>
    </row>
    <row r="423" spans="1:14" x14ac:dyDescent="0.25">
      <c r="A423" t="s">
        <v>452</v>
      </c>
      <c r="B423" t="s">
        <v>20</v>
      </c>
      <c r="C423" t="s">
        <v>21</v>
      </c>
      <c r="D423" t="s">
        <v>22</v>
      </c>
      <c r="E423" t="s">
        <v>16</v>
      </c>
      <c r="F423" t="s">
        <v>23</v>
      </c>
      <c r="G423" t="s">
        <v>1036</v>
      </c>
      <c r="H423" t="s">
        <v>1041</v>
      </c>
      <c r="I423" s="1">
        <v>43488</v>
      </c>
      <c r="J423" t="s">
        <v>1045</v>
      </c>
      <c r="K423" s="5">
        <v>0.56180555555555556</v>
      </c>
      <c r="L423" t="s">
        <v>24</v>
      </c>
      <c r="M423">
        <v>12.6075</v>
      </c>
      <c r="N423">
        <v>9.8000000000000007</v>
      </c>
    </row>
    <row r="424" spans="1:14" x14ac:dyDescent="0.25">
      <c r="A424" t="s">
        <v>453</v>
      </c>
      <c r="B424" t="s">
        <v>20</v>
      </c>
      <c r="C424" t="s">
        <v>21</v>
      </c>
      <c r="D424" t="s">
        <v>15</v>
      </c>
      <c r="E424" t="s">
        <v>16</v>
      </c>
      <c r="F424" t="s">
        <v>41</v>
      </c>
      <c r="G424" t="s">
        <v>1038</v>
      </c>
      <c r="H424" t="s">
        <v>1042</v>
      </c>
      <c r="I424" s="1">
        <v>43504</v>
      </c>
      <c r="J424" t="s">
        <v>1045</v>
      </c>
      <c r="K424" s="5">
        <v>0.54166666666666663</v>
      </c>
      <c r="L424" t="s">
        <v>28</v>
      </c>
      <c r="M424">
        <v>48.604999999999997</v>
      </c>
      <c r="N424">
        <v>8.6999999999999993</v>
      </c>
    </row>
    <row r="425" spans="1:14" x14ac:dyDescent="0.25">
      <c r="A425" t="s">
        <v>454</v>
      </c>
      <c r="B425" t="s">
        <v>37</v>
      </c>
      <c r="C425" t="s">
        <v>38</v>
      </c>
      <c r="D425" t="s">
        <v>15</v>
      </c>
      <c r="E425" t="s">
        <v>26</v>
      </c>
      <c r="F425" t="s">
        <v>41</v>
      </c>
      <c r="G425" t="s">
        <v>1037</v>
      </c>
      <c r="H425" t="s">
        <v>1043</v>
      </c>
      <c r="I425" s="1">
        <v>43543</v>
      </c>
      <c r="J425" t="s">
        <v>1046</v>
      </c>
      <c r="K425" s="5">
        <v>0.8208333333333333</v>
      </c>
      <c r="L425" t="s">
        <v>28</v>
      </c>
      <c r="M425">
        <v>10.167999999999999</v>
      </c>
      <c r="N425">
        <v>6.7</v>
      </c>
    </row>
    <row r="426" spans="1:14" x14ac:dyDescent="0.25">
      <c r="A426" t="s">
        <v>455</v>
      </c>
      <c r="B426" t="s">
        <v>20</v>
      </c>
      <c r="C426" t="s">
        <v>21</v>
      </c>
      <c r="D426" t="s">
        <v>22</v>
      </c>
      <c r="E426" t="s">
        <v>26</v>
      </c>
      <c r="F426" t="s">
        <v>41</v>
      </c>
      <c r="G426" t="s">
        <v>1036</v>
      </c>
      <c r="H426" t="s">
        <v>1043</v>
      </c>
      <c r="I426" s="1">
        <v>43533</v>
      </c>
      <c r="J426" t="s">
        <v>1045</v>
      </c>
      <c r="K426" s="5">
        <v>0.65</v>
      </c>
      <c r="L426" t="s">
        <v>24</v>
      </c>
      <c r="M426">
        <v>0.81399999999999995</v>
      </c>
      <c r="N426">
        <v>5</v>
      </c>
    </row>
    <row r="427" spans="1:14" x14ac:dyDescent="0.25">
      <c r="A427" t="s">
        <v>456</v>
      </c>
      <c r="B427" t="s">
        <v>37</v>
      </c>
      <c r="C427" t="s">
        <v>38</v>
      </c>
      <c r="D427" t="s">
        <v>15</v>
      </c>
      <c r="E427" t="s">
        <v>26</v>
      </c>
      <c r="F427" t="s">
        <v>41</v>
      </c>
      <c r="G427" t="s">
        <v>1040</v>
      </c>
      <c r="H427" t="s">
        <v>1041</v>
      </c>
      <c r="I427" s="1">
        <v>43467</v>
      </c>
      <c r="J427" t="s">
        <v>1045</v>
      </c>
      <c r="K427" s="5">
        <v>0.56944444444444442</v>
      </c>
      <c r="L427" t="s">
        <v>24</v>
      </c>
      <c r="M427">
        <v>18.2745</v>
      </c>
      <c r="N427">
        <v>7</v>
      </c>
    </row>
    <row r="428" spans="1:14" x14ac:dyDescent="0.25">
      <c r="A428" t="s">
        <v>457</v>
      </c>
      <c r="B428" t="s">
        <v>13</v>
      </c>
      <c r="C428" t="s">
        <v>14</v>
      </c>
      <c r="D428" t="s">
        <v>15</v>
      </c>
      <c r="E428" t="s">
        <v>26</v>
      </c>
      <c r="F428" t="s">
        <v>17</v>
      </c>
      <c r="G428" t="s">
        <v>1036</v>
      </c>
      <c r="H428" t="s">
        <v>1041</v>
      </c>
      <c r="I428" s="1">
        <v>43486</v>
      </c>
      <c r="J428" t="s">
        <v>1046</v>
      </c>
      <c r="K428" s="5">
        <v>0.75069444444444444</v>
      </c>
      <c r="L428" t="s">
        <v>24</v>
      </c>
      <c r="M428">
        <v>18.609500000000001</v>
      </c>
      <c r="N428">
        <v>8.9</v>
      </c>
    </row>
    <row r="429" spans="1:14" x14ac:dyDescent="0.25">
      <c r="A429" t="s">
        <v>458</v>
      </c>
      <c r="B429" t="s">
        <v>37</v>
      </c>
      <c r="C429" t="s">
        <v>38</v>
      </c>
      <c r="D429" t="s">
        <v>15</v>
      </c>
      <c r="E429" t="s">
        <v>16</v>
      </c>
      <c r="F429" t="s">
        <v>39</v>
      </c>
      <c r="G429" t="s">
        <v>1037</v>
      </c>
      <c r="H429" t="s">
        <v>1043</v>
      </c>
      <c r="I429" s="1">
        <v>43544</v>
      </c>
      <c r="J429" t="s">
        <v>1045</v>
      </c>
      <c r="K429" s="5">
        <v>0.57847222222222217</v>
      </c>
      <c r="L429" t="s">
        <v>28</v>
      </c>
      <c r="M429">
        <v>3.1305000000000001</v>
      </c>
      <c r="N429">
        <v>8</v>
      </c>
    </row>
    <row r="430" spans="1:14" x14ac:dyDescent="0.25">
      <c r="A430" t="s">
        <v>459</v>
      </c>
      <c r="B430" t="s">
        <v>37</v>
      </c>
      <c r="C430" t="s">
        <v>38</v>
      </c>
      <c r="D430" t="s">
        <v>22</v>
      </c>
      <c r="E430" t="s">
        <v>26</v>
      </c>
      <c r="F430" t="s">
        <v>31</v>
      </c>
      <c r="G430" t="s">
        <v>1034</v>
      </c>
      <c r="H430" t="s">
        <v>1042</v>
      </c>
      <c r="I430" s="1">
        <v>43523</v>
      </c>
      <c r="J430" t="s">
        <v>1046</v>
      </c>
      <c r="K430" s="5">
        <v>0.7270833333333333</v>
      </c>
      <c r="L430" t="s">
        <v>24</v>
      </c>
      <c r="M430">
        <v>16.817499999999999</v>
      </c>
      <c r="N430">
        <v>6.9</v>
      </c>
    </row>
    <row r="431" spans="1:14" x14ac:dyDescent="0.25">
      <c r="A431" t="s">
        <v>460</v>
      </c>
      <c r="B431" t="s">
        <v>13</v>
      </c>
      <c r="C431" t="s">
        <v>14</v>
      </c>
      <c r="D431" t="s">
        <v>15</v>
      </c>
      <c r="E431" t="s">
        <v>16</v>
      </c>
      <c r="F431" t="s">
        <v>27</v>
      </c>
      <c r="G431" t="s">
        <v>1035</v>
      </c>
      <c r="H431" t="s">
        <v>1043</v>
      </c>
      <c r="I431" s="1">
        <v>43532</v>
      </c>
      <c r="J431" t="s">
        <v>1044</v>
      </c>
      <c r="K431" s="5">
        <v>0.45347222222222222</v>
      </c>
      <c r="L431" t="s">
        <v>18</v>
      </c>
      <c r="M431">
        <v>45.325000000000003</v>
      </c>
      <c r="N431">
        <v>7.3</v>
      </c>
    </row>
    <row r="432" spans="1:14" x14ac:dyDescent="0.25">
      <c r="A432" t="s">
        <v>461</v>
      </c>
      <c r="B432" t="s">
        <v>37</v>
      </c>
      <c r="C432" t="s">
        <v>38</v>
      </c>
      <c r="D432" t="s">
        <v>22</v>
      </c>
      <c r="E432" t="s">
        <v>26</v>
      </c>
      <c r="F432" t="s">
        <v>41</v>
      </c>
      <c r="G432" t="s">
        <v>1037</v>
      </c>
      <c r="H432" t="s">
        <v>1041</v>
      </c>
      <c r="I432" s="1">
        <v>43496</v>
      </c>
      <c r="J432" t="s">
        <v>1046</v>
      </c>
      <c r="K432" s="5">
        <v>0.82500000000000007</v>
      </c>
      <c r="L432" t="s">
        <v>28</v>
      </c>
      <c r="M432">
        <v>6.9080000000000004</v>
      </c>
      <c r="N432">
        <v>6.9</v>
      </c>
    </row>
    <row r="433" spans="1:14" x14ac:dyDescent="0.25">
      <c r="A433" t="s">
        <v>462</v>
      </c>
      <c r="B433" t="s">
        <v>20</v>
      </c>
      <c r="C433" t="s">
        <v>21</v>
      </c>
      <c r="D433" t="s">
        <v>22</v>
      </c>
      <c r="E433" t="s">
        <v>26</v>
      </c>
      <c r="F433" t="s">
        <v>39</v>
      </c>
      <c r="G433" t="s">
        <v>1035</v>
      </c>
      <c r="H433" t="s">
        <v>1043</v>
      </c>
      <c r="I433" s="1">
        <v>43532</v>
      </c>
      <c r="J433" t="s">
        <v>1046</v>
      </c>
      <c r="K433" s="5">
        <v>0.70347222222222217</v>
      </c>
      <c r="L433" t="s">
        <v>18</v>
      </c>
      <c r="M433">
        <v>4.327</v>
      </c>
      <c r="N433">
        <v>5.7</v>
      </c>
    </row>
    <row r="434" spans="1:14" x14ac:dyDescent="0.25">
      <c r="A434" t="s">
        <v>463</v>
      </c>
      <c r="B434" t="s">
        <v>13</v>
      </c>
      <c r="C434" t="s">
        <v>14</v>
      </c>
      <c r="D434" t="s">
        <v>22</v>
      </c>
      <c r="E434" t="s">
        <v>16</v>
      </c>
      <c r="F434" t="s">
        <v>23</v>
      </c>
      <c r="G434" t="s">
        <v>1035</v>
      </c>
      <c r="H434" t="s">
        <v>1041</v>
      </c>
      <c r="I434" s="1">
        <v>43478</v>
      </c>
      <c r="J434" t="s">
        <v>1046</v>
      </c>
      <c r="K434" s="5">
        <v>0.80138888888888893</v>
      </c>
      <c r="L434" t="s">
        <v>18</v>
      </c>
      <c r="M434">
        <v>7.0380000000000003</v>
      </c>
      <c r="N434">
        <v>6.4</v>
      </c>
    </row>
    <row r="435" spans="1:14" x14ac:dyDescent="0.25">
      <c r="A435" t="s">
        <v>464</v>
      </c>
      <c r="B435" t="s">
        <v>37</v>
      </c>
      <c r="C435" t="s">
        <v>38</v>
      </c>
      <c r="D435" t="s">
        <v>22</v>
      </c>
      <c r="E435" t="s">
        <v>26</v>
      </c>
      <c r="F435" t="s">
        <v>41</v>
      </c>
      <c r="G435" t="s">
        <v>1036</v>
      </c>
      <c r="H435" t="s">
        <v>1043</v>
      </c>
      <c r="I435" s="1">
        <v>43533</v>
      </c>
      <c r="J435" t="s">
        <v>1045</v>
      </c>
      <c r="K435" s="5">
        <v>0.60833333333333328</v>
      </c>
      <c r="L435" t="s">
        <v>28</v>
      </c>
      <c r="M435">
        <v>33.439</v>
      </c>
      <c r="N435">
        <v>9.6</v>
      </c>
    </row>
    <row r="436" spans="1:14" x14ac:dyDescent="0.25">
      <c r="A436" t="s">
        <v>465</v>
      </c>
      <c r="B436" t="s">
        <v>37</v>
      </c>
      <c r="C436" t="s">
        <v>38</v>
      </c>
      <c r="D436" t="s">
        <v>22</v>
      </c>
      <c r="E436" t="s">
        <v>16</v>
      </c>
      <c r="F436" t="s">
        <v>41</v>
      </c>
      <c r="G436" t="s">
        <v>1040</v>
      </c>
      <c r="H436" t="s">
        <v>1042</v>
      </c>
      <c r="I436" s="1">
        <v>43518</v>
      </c>
      <c r="J436" t="s">
        <v>1046</v>
      </c>
      <c r="K436" s="5">
        <v>0.7631944444444444</v>
      </c>
      <c r="L436" t="s">
        <v>28</v>
      </c>
      <c r="M436">
        <v>2.3719999999999999</v>
      </c>
      <c r="N436">
        <v>6.8</v>
      </c>
    </row>
    <row r="437" spans="1:14" x14ac:dyDescent="0.25">
      <c r="A437" t="s">
        <v>466</v>
      </c>
      <c r="B437" t="s">
        <v>20</v>
      </c>
      <c r="C437" t="s">
        <v>21</v>
      </c>
      <c r="D437" t="s">
        <v>22</v>
      </c>
      <c r="E437" t="s">
        <v>26</v>
      </c>
      <c r="F437" t="s">
        <v>31</v>
      </c>
      <c r="G437" t="s">
        <v>1037</v>
      </c>
      <c r="H437" t="s">
        <v>1043</v>
      </c>
      <c r="I437" s="1">
        <v>43543</v>
      </c>
      <c r="J437" t="s">
        <v>1046</v>
      </c>
      <c r="K437" s="5">
        <v>0.79791666666666661</v>
      </c>
      <c r="L437" t="s">
        <v>18</v>
      </c>
      <c r="M437">
        <v>44.658000000000001</v>
      </c>
      <c r="N437">
        <v>9</v>
      </c>
    </row>
    <row r="438" spans="1:14" x14ac:dyDescent="0.25">
      <c r="A438" t="s">
        <v>467</v>
      </c>
      <c r="B438" t="s">
        <v>20</v>
      </c>
      <c r="C438" t="s">
        <v>21</v>
      </c>
      <c r="D438" t="s">
        <v>15</v>
      </c>
      <c r="E438" t="s">
        <v>26</v>
      </c>
      <c r="F438" t="s">
        <v>31</v>
      </c>
      <c r="G438" t="s">
        <v>1036</v>
      </c>
      <c r="H438" t="s">
        <v>1041</v>
      </c>
      <c r="I438" s="1">
        <v>43485</v>
      </c>
      <c r="J438" t="s">
        <v>1046</v>
      </c>
      <c r="K438" s="5">
        <v>0.70208333333333339</v>
      </c>
      <c r="L438" t="s">
        <v>18</v>
      </c>
      <c r="M438">
        <v>16.585999999999999</v>
      </c>
      <c r="N438">
        <v>9.6</v>
      </c>
    </row>
    <row r="439" spans="1:14" x14ac:dyDescent="0.25">
      <c r="A439" t="s">
        <v>468</v>
      </c>
      <c r="B439" t="s">
        <v>13</v>
      </c>
      <c r="C439" t="s">
        <v>14</v>
      </c>
      <c r="D439" t="s">
        <v>22</v>
      </c>
      <c r="E439" t="s">
        <v>26</v>
      </c>
      <c r="F439" t="s">
        <v>27</v>
      </c>
      <c r="G439" t="s">
        <v>1035</v>
      </c>
      <c r="H439" t="s">
        <v>1043</v>
      </c>
      <c r="I439" s="1">
        <v>43532</v>
      </c>
      <c r="J439" t="s">
        <v>1045</v>
      </c>
      <c r="K439" s="5">
        <v>0.65069444444444446</v>
      </c>
      <c r="L439" t="s">
        <v>28</v>
      </c>
      <c r="M439">
        <v>10.196999999999999</v>
      </c>
      <c r="N439">
        <v>7.7</v>
      </c>
    </row>
    <row r="440" spans="1:14" x14ac:dyDescent="0.25">
      <c r="A440" t="s">
        <v>469</v>
      </c>
      <c r="B440" t="s">
        <v>20</v>
      </c>
      <c r="C440" t="s">
        <v>21</v>
      </c>
      <c r="D440" t="s">
        <v>15</v>
      </c>
      <c r="E440" t="s">
        <v>26</v>
      </c>
      <c r="F440" t="s">
        <v>39</v>
      </c>
      <c r="G440" t="s">
        <v>1035</v>
      </c>
      <c r="H440" t="s">
        <v>1043</v>
      </c>
      <c r="I440" s="1">
        <v>43532</v>
      </c>
      <c r="J440" t="s">
        <v>1046</v>
      </c>
      <c r="K440" s="5">
        <v>0.84375</v>
      </c>
      <c r="L440" t="s">
        <v>18</v>
      </c>
      <c r="M440">
        <v>3.4079999999999999</v>
      </c>
      <c r="N440">
        <v>7</v>
      </c>
    </row>
    <row r="441" spans="1:14" x14ac:dyDescent="0.25">
      <c r="A441" t="s">
        <v>470</v>
      </c>
      <c r="B441" t="s">
        <v>20</v>
      </c>
      <c r="C441" t="s">
        <v>21</v>
      </c>
      <c r="D441" t="s">
        <v>22</v>
      </c>
      <c r="E441" t="s">
        <v>16</v>
      </c>
      <c r="F441" t="s">
        <v>23</v>
      </c>
      <c r="G441" t="s">
        <v>1038</v>
      </c>
      <c r="H441" t="s">
        <v>1042</v>
      </c>
      <c r="I441" s="1">
        <v>43503</v>
      </c>
      <c r="J441" t="s">
        <v>1045</v>
      </c>
      <c r="K441" s="5">
        <v>0.60972222222222217</v>
      </c>
      <c r="L441" t="s">
        <v>28</v>
      </c>
      <c r="M441">
        <v>16.344000000000001</v>
      </c>
      <c r="N441">
        <v>6.5</v>
      </c>
    </row>
    <row r="442" spans="1:14" x14ac:dyDescent="0.25">
      <c r="A442" t="s">
        <v>471</v>
      </c>
      <c r="B442" t="s">
        <v>20</v>
      </c>
      <c r="C442" t="s">
        <v>21</v>
      </c>
      <c r="D442" t="s">
        <v>15</v>
      </c>
      <c r="E442" t="s">
        <v>26</v>
      </c>
      <c r="F442" t="s">
        <v>39</v>
      </c>
      <c r="G442" t="s">
        <v>1035</v>
      </c>
      <c r="H442" t="s">
        <v>1041</v>
      </c>
      <c r="I442" s="1">
        <v>43480</v>
      </c>
      <c r="J442" t="s">
        <v>1046</v>
      </c>
      <c r="K442" s="5">
        <v>0.80902777777777779</v>
      </c>
      <c r="L442" t="s">
        <v>24</v>
      </c>
      <c r="M442">
        <v>4.3600000000000003</v>
      </c>
      <c r="N442">
        <v>8.1</v>
      </c>
    </row>
    <row r="443" spans="1:14" x14ac:dyDescent="0.25">
      <c r="A443" t="s">
        <v>472</v>
      </c>
      <c r="B443" t="s">
        <v>37</v>
      </c>
      <c r="C443" t="s">
        <v>38</v>
      </c>
      <c r="D443" t="s">
        <v>15</v>
      </c>
      <c r="E443" t="s">
        <v>16</v>
      </c>
      <c r="F443" t="s">
        <v>31</v>
      </c>
      <c r="G443" t="s">
        <v>1037</v>
      </c>
      <c r="H443" t="s">
        <v>1043</v>
      </c>
      <c r="I443" s="1">
        <v>43546</v>
      </c>
      <c r="J443" t="s">
        <v>1046</v>
      </c>
      <c r="K443" s="5">
        <v>0.81597222222222221</v>
      </c>
      <c r="L443" t="s">
        <v>28</v>
      </c>
      <c r="M443">
        <v>35.372</v>
      </c>
      <c r="N443">
        <v>4.3</v>
      </c>
    </row>
    <row r="444" spans="1:14" x14ac:dyDescent="0.25">
      <c r="A444" t="s">
        <v>473</v>
      </c>
      <c r="B444" t="s">
        <v>13</v>
      </c>
      <c r="C444" t="s">
        <v>14</v>
      </c>
      <c r="D444" t="s">
        <v>15</v>
      </c>
      <c r="E444" t="s">
        <v>16</v>
      </c>
      <c r="F444" t="s">
        <v>27</v>
      </c>
      <c r="G444" t="s">
        <v>1035</v>
      </c>
      <c r="H444" t="s">
        <v>1041</v>
      </c>
      <c r="I444" s="1">
        <v>43480</v>
      </c>
      <c r="J444" t="s">
        <v>1045</v>
      </c>
      <c r="K444" s="5">
        <v>0.65416666666666667</v>
      </c>
      <c r="L444" t="s">
        <v>28</v>
      </c>
      <c r="M444">
        <v>40.144500000000001</v>
      </c>
      <c r="N444">
        <v>6.5</v>
      </c>
    </row>
    <row r="445" spans="1:14" x14ac:dyDescent="0.25">
      <c r="A445" t="s">
        <v>474</v>
      </c>
      <c r="B445" t="s">
        <v>20</v>
      </c>
      <c r="C445" t="s">
        <v>21</v>
      </c>
      <c r="D445" t="s">
        <v>22</v>
      </c>
      <c r="E445" t="s">
        <v>26</v>
      </c>
      <c r="F445" t="s">
        <v>41</v>
      </c>
      <c r="G445" t="s">
        <v>1034</v>
      </c>
      <c r="H445" t="s">
        <v>1041</v>
      </c>
      <c r="I445" s="1">
        <v>43473</v>
      </c>
      <c r="J445" t="s">
        <v>1045</v>
      </c>
      <c r="K445" s="5">
        <v>0.59097222222222223</v>
      </c>
      <c r="L445" t="s">
        <v>18</v>
      </c>
      <c r="M445">
        <v>0.63900000000000001</v>
      </c>
      <c r="N445">
        <v>9.5</v>
      </c>
    </row>
    <row r="446" spans="1:14" x14ac:dyDescent="0.25">
      <c r="A446" t="s">
        <v>475</v>
      </c>
      <c r="B446" t="s">
        <v>13</v>
      </c>
      <c r="C446" t="s">
        <v>14</v>
      </c>
      <c r="D446" t="s">
        <v>22</v>
      </c>
      <c r="E446" t="s">
        <v>16</v>
      </c>
      <c r="F446" t="s">
        <v>31</v>
      </c>
      <c r="G446" t="s">
        <v>1035</v>
      </c>
      <c r="H446" t="s">
        <v>1041</v>
      </c>
      <c r="I446" s="1">
        <v>43480</v>
      </c>
      <c r="J446" t="s">
        <v>1044</v>
      </c>
      <c r="K446" s="5">
        <v>0.4465277777777778</v>
      </c>
      <c r="L446" t="s">
        <v>24</v>
      </c>
      <c r="M446">
        <v>6.6849999999999996</v>
      </c>
      <c r="N446">
        <v>9.6999999999999993</v>
      </c>
    </row>
    <row r="447" spans="1:14" x14ac:dyDescent="0.25">
      <c r="A447" t="s">
        <v>476</v>
      </c>
      <c r="B447" t="s">
        <v>37</v>
      </c>
      <c r="C447" t="s">
        <v>38</v>
      </c>
      <c r="D447" t="s">
        <v>15</v>
      </c>
      <c r="E447" t="s">
        <v>16</v>
      </c>
      <c r="F447" t="s">
        <v>17</v>
      </c>
      <c r="G447" t="s">
        <v>1037</v>
      </c>
      <c r="H447" t="s">
        <v>1041</v>
      </c>
      <c r="I447" s="1">
        <v>43493</v>
      </c>
      <c r="J447" t="s">
        <v>1046</v>
      </c>
      <c r="K447" s="5">
        <v>0.74861111111111101</v>
      </c>
      <c r="L447" t="s">
        <v>28</v>
      </c>
      <c r="M447">
        <v>0.95750000000000002</v>
      </c>
      <c r="N447">
        <v>9.5</v>
      </c>
    </row>
    <row r="448" spans="1:14" x14ac:dyDescent="0.25">
      <c r="A448" t="s">
        <v>477</v>
      </c>
      <c r="B448" t="s">
        <v>20</v>
      </c>
      <c r="C448" t="s">
        <v>21</v>
      </c>
      <c r="D448" t="s">
        <v>15</v>
      </c>
      <c r="E448" t="s">
        <v>26</v>
      </c>
      <c r="F448" t="s">
        <v>39</v>
      </c>
      <c r="G448" t="s">
        <v>1039</v>
      </c>
      <c r="H448" t="s">
        <v>1042</v>
      </c>
      <c r="I448" s="1">
        <v>43510</v>
      </c>
      <c r="J448" t="s">
        <v>1044</v>
      </c>
      <c r="K448" s="5">
        <v>0.47638888888888892</v>
      </c>
      <c r="L448" t="s">
        <v>28</v>
      </c>
      <c r="M448">
        <v>13.83</v>
      </c>
      <c r="N448">
        <v>8.9</v>
      </c>
    </row>
    <row r="449" spans="1:14" x14ac:dyDescent="0.25">
      <c r="A449" t="s">
        <v>478</v>
      </c>
      <c r="B449" t="s">
        <v>20</v>
      </c>
      <c r="C449" t="s">
        <v>21</v>
      </c>
      <c r="D449" t="s">
        <v>22</v>
      </c>
      <c r="E449" t="s">
        <v>26</v>
      </c>
      <c r="F449" t="s">
        <v>41</v>
      </c>
      <c r="G449" t="s">
        <v>1036</v>
      </c>
      <c r="H449" t="s">
        <v>1043</v>
      </c>
      <c r="I449" s="1">
        <v>43534</v>
      </c>
      <c r="J449" t="s">
        <v>1046</v>
      </c>
      <c r="K449" s="5">
        <v>0.73472222222222217</v>
      </c>
      <c r="L449" t="s">
        <v>28</v>
      </c>
      <c r="M449">
        <v>6.8609999999999998</v>
      </c>
      <c r="N449">
        <v>6.5</v>
      </c>
    </row>
    <row r="450" spans="1:14" x14ac:dyDescent="0.25">
      <c r="A450" t="s">
        <v>479</v>
      </c>
      <c r="B450" t="s">
        <v>37</v>
      </c>
      <c r="C450" t="s">
        <v>38</v>
      </c>
      <c r="D450" t="s">
        <v>15</v>
      </c>
      <c r="E450" t="s">
        <v>16</v>
      </c>
      <c r="F450" t="s">
        <v>17</v>
      </c>
      <c r="G450" t="s">
        <v>1035</v>
      </c>
      <c r="H450" t="s">
        <v>1041</v>
      </c>
      <c r="I450" s="1">
        <v>43477</v>
      </c>
      <c r="J450" t="s">
        <v>1046</v>
      </c>
      <c r="K450" s="5">
        <v>0.83819444444444446</v>
      </c>
      <c r="L450" t="s">
        <v>28</v>
      </c>
      <c r="M450">
        <v>1.3534999999999999</v>
      </c>
      <c r="N450">
        <v>5.3</v>
      </c>
    </row>
    <row r="451" spans="1:14" x14ac:dyDescent="0.25">
      <c r="A451" t="s">
        <v>480</v>
      </c>
      <c r="B451" t="s">
        <v>37</v>
      </c>
      <c r="C451" t="s">
        <v>38</v>
      </c>
      <c r="D451" t="s">
        <v>15</v>
      </c>
      <c r="E451" t="s">
        <v>16</v>
      </c>
      <c r="F451" t="s">
        <v>31</v>
      </c>
      <c r="G451" t="s">
        <v>1038</v>
      </c>
      <c r="H451" t="s">
        <v>1043</v>
      </c>
      <c r="I451" s="1">
        <v>43550</v>
      </c>
      <c r="J451" t="s">
        <v>1044</v>
      </c>
      <c r="K451" s="5">
        <v>0.4597222222222222</v>
      </c>
      <c r="L451" t="s">
        <v>28</v>
      </c>
      <c r="M451">
        <v>1.956</v>
      </c>
      <c r="N451">
        <v>9.6</v>
      </c>
    </row>
    <row r="452" spans="1:14" x14ac:dyDescent="0.25">
      <c r="A452" t="s">
        <v>481</v>
      </c>
      <c r="B452" t="s">
        <v>37</v>
      </c>
      <c r="C452" t="s">
        <v>38</v>
      </c>
      <c r="D452" t="s">
        <v>22</v>
      </c>
      <c r="E452" t="s">
        <v>16</v>
      </c>
      <c r="F452" t="s">
        <v>23</v>
      </c>
      <c r="G452" t="s">
        <v>1040</v>
      </c>
      <c r="H452" t="s">
        <v>1041</v>
      </c>
      <c r="I452" s="1">
        <v>43466</v>
      </c>
      <c r="J452" t="s">
        <v>1046</v>
      </c>
      <c r="K452" s="5">
        <v>0.79652777777777783</v>
      </c>
      <c r="L452" t="s">
        <v>24</v>
      </c>
      <c r="M452">
        <v>22.413</v>
      </c>
      <c r="N452">
        <v>6.7</v>
      </c>
    </row>
    <row r="453" spans="1:14" x14ac:dyDescent="0.25">
      <c r="A453" t="s">
        <v>482</v>
      </c>
      <c r="B453" t="s">
        <v>37</v>
      </c>
      <c r="C453" t="s">
        <v>38</v>
      </c>
      <c r="D453" t="s">
        <v>22</v>
      </c>
      <c r="E453" t="s">
        <v>26</v>
      </c>
      <c r="F453" t="s">
        <v>23</v>
      </c>
      <c r="G453" t="s">
        <v>1040</v>
      </c>
      <c r="H453" t="s">
        <v>1041</v>
      </c>
      <c r="I453" s="1">
        <v>43467</v>
      </c>
      <c r="J453" t="s">
        <v>1046</v>
      </c>
      <c r="K453" s="5">
        <v>0.78472222222222221</v>
      </c>
      <c r="L453" t="s">
        <v>24</v>
      </c>
      <c r="M453">
        <v>6.6029999999999998</v>
      </c>
      <c r="N453">
        <v>7.6</v>
      </c>
    </row>
    <row r="454" spans="1:14" x14ac:dyDescent="0.25">
      <c r="A454" t="s">
        <v>483</v>
      </c>
      <c r="B454" t="s">
        <v>13</v>
      </c>
      <c r="C454" t="s">
        <v>14</v>
      </c>
      <c r="D454" t="s">
        <v>22</v>
      </c>
      <c r="E454" t="s">
        <v>16</v>
      </c>
      <c r="F454" t="s">
        <v>39</v>
      </c>
      <c r="G454" t="s">
        <v>1037</v>
      </c>
      <c r="H454" t="s">
        <v>1043</v>
      </c>
      <c r="I454" s="1">
        <v>43540</v>
      </c>
      <c r="J454" t="s">
        <v>1045</v>
      </c>
      <c r="K454" s="5">
        <v>0.52986111111111112</v>
      </c>
      <c r="L454" t="s">
        <v>18</v>
      </c>
      <c r="M454">
        <v>15.9025</v>
      </c>
      <c r="N454">
        <v>4.8</v>
      </c>
    </row>
    <row r="455" spans="1:14" x14ac:dyDescent="0.25">
      <c r="A455" t="s">
        <v>484</v>
      </c>
      <c r="B455" t="s">
        <v>13</v>
      </c>
      <c r="C455" t="s">
        <v>14</v>
      </c>
      <c r="D455" t="s">
        <v>22</v>
      </c>
      <c r="E455" t="s">
        <v>26</v>
      </c>
      <c r="F455" t="s">
        <v>17</v>
      </c>
      <c r="G455" t="s">
        <v>1035</v>
      </c>
      <c r="H455" t="s">
        <v>1043</v>
      </c>
      <c r="I455" s="1">
        <v>43527</v>
      </c>
      <c r="J455" t="s">
        <v>1045</v>
      </c>
      <c r="K455" s="5">
        <v>0.63124999999999998</v>
      </c>
      <c r="L455" t="s">
        <v>18</v>
      </c>
      <c r="M455">
        <v>1.25</v>
      </c>
      <c r="N455">
        <v>5.5</v>
      </c>
    </row>
    <row r="456" spans="1:14" x14ac:dyDescent="0.25">
      <c r="A456" t="s">
        <v>485</v>
      </c>
      <c r="B456" t="s">
        <v>13</v>
      </c>
      <c r="C456" t="s">
        <v>14</v>
      </c>
      <c r="D456" t="s">
        <v>15</v>
      </c>
      <c r="E456" t="s">
        <v>26</v>
      </c>
      <c r="F456" t="s">
        <v>23</v>
      </c>
      <c r="G456" t="s">
        <v>1037</v>
      </c>
      <c r="H456" t="s">
        <v>1041</v>
      </c>
      <c r="I456" s="1">
        <v>43496</v>
      </c>
      <c r="J456" t="s">
        <v>1045</v>
      </c>
      <c r="K456" s="5">
        <v>0.57430555555555551</v>
      </c>
      <c r="L456" t="s">
        <v>24</v>
      </c>
      <c r="M456">
        <v>4.1539999999999999</v>
      </c>
      <c r="N456">
        <v>4.7</v>
      </c>
    </row>
    <row r="457" spans="1:14" x14ac:dyDescent="0.25">
      <c r="A457" t="s">
        <v>486</v>
      </c>
      <c r="B457" t="s">
        <v>37</v>
      </c>
      <c r="C457" t="s">
        <v>38</v>
      </c>
      <c r="D457" t="s">
        <v>15</v>
      </c>
      <c r="E457" t="s">
        <v>16</v>
      </c>
      <c r="F457" t="s">
        <v>41</v>
      </c>
      <c r="G457" t="s">
        <v>1039</v>
      </c>
      <c r="H457" t="s">
        <v>1042</v>
      </c>
      <c r="I457" s="1">
        <v>43509</v>
      </c>
      <c r="J457" t="s">
        <v>1046</v>
      </c>
      <c r="K457" s="5">
        <v>0.70763888888888893</v>
      </c>
      <c r="L457" t="s">
        <v>24</v>
      </c>
      <c r="M457">
        <v>7.39</v>
      </c>
      <c r="N457">
        <v>6.9</v>
      </c>
    </row>
    <row r="458" spans="1:14" x14ac:dyDescent="0.25">
      <c r="A458" t="s">
        <v>487</v>
      </c>
      <c r="B458" t="s">
        <v>37</v>
      </c>
      <c r="C458" t="s">
        <v>38</v>
      </c>
      <c r="D458" t="s">
        <v>15</v>
      </c>
      <c r="E458" t="s">
        <v>16</v>
      </c>
      <c r="F458" t="s">
        <v>39</v>
      </c>
      <c r="G458" t="s">
        <v>1039</v>
      </c>
      <c r="H458" t="s">
        <v>1042</v>
      </c>
      <c r="I458" s="1">
        <v>43511</v>
      </c>
      <c r="J458" t="s">
        <v>1045</v>
      </c>
      <c r="K458" s="5">
        <v>0.59375</v>
      </c>
      <c r="L458" t="s">
        <v>28</v>
      </c>
      <c r="M458">
        <v>34.83</v>
      </c>
      <c r="N458">
        <v>4.5</v>
      </c>
    </row>
    <row r="459" spans="1:14" x14ac:dyDescent="0.25">
      <c r="A459" t="s">
        <v>488</v>
      </c>
      <c r="B459" t="s">
        <v>37</v>
      </c>
      <c r="C459" t="s">
        <v>38</v>
      </c>
      <c r="D459" t="s">
        <v>22</v>
      </c>
      <c r="E459" t="s">
        <v>26</v>
      </c>
      <c r="F459" t="s">
        <v>23</v>
      </c>
      <c r="G459" t="s">
        <v>1038</v>
      </c>
      <c r="H459" t="s">
        <v>1042</v>
      </c>
      <c r="I459" s="1">
        <v>43503</v>
      </c>
      <c r="J459" t="s">
        <v>1046</v>
      </c>
      <c r="K459" s="5">
        <v>0.85</v>
      </c>
      <c r="L459" t="s">
        <v>24</v>
      </c>
      <c r="M459">
        <v>39.695</v>
      </c>
      <c r="N459">
        <v>6.2</v>
      </c>
    </row>
    <row r="460" spans="1:14" x14ac:dyDescent="0.25">
      <c r="A460" t="s">
        <v>489</v>
      </c>
      <c r="B460" t="s">
        <v>20</v>
      </c>
      <c r="C460" t="s">
        <v>21</v>
      </c>
      <c r="D460" t="s">
        <v>15</v>
      </c>
      <c r="E460" t="s">
        <v>16</v>
      </c>
      <c r="F460" t="s">
        <v>23</v>
      </c>
      <c r="G460" t="s">
        <v>1037</v>
      </c>
      <c r="H460" t="s">
        <v>1041</v>
      </c>
      <c r="I460" s="1">
        <v>43492</v>
      </c>
      <c r="J460" t="s">
        <v>1045</v>
      </c>
      <c r="K460" s="5">
        <v>0.58194444444444449</v>
      </c>
      <c r="L460" t="s">
        <v>24</v>
      </c>
      <c r="M460">
        <v>23.285</v>
      </c>
      <c r="N460">
        <v>7.6</v>
      </c>
    </row>
    <row r="461" spans="1:14" x14ac:dyDescent="0.25">
      <c r="A461" t="s">
        <v>490</v>
      </c>
      <c r="B461" t="s">
        <v>20</v>
      </c>
      <c r="C461" t="s">
        <v>21</v>
      </c>
      <c r="D461" t="s">
        <v>22</v>
      </c>
      <c r="E461" t="s">
        <v>26</v>
      </c>
      <c r="F461" t="s">
        <v>39</v>
      </c>
      <c r="G461" t="s">
        <v>1034</v>
      </c>
      <c r="H461" t="s">
        <v>1042</v>
      </c>
      <c r="I461" s="1">
        <v>43519</v>
      </c>
      <c r="J461" t="s">
        <v>1046</v>
      </c>
      <c r="K461" s="5">
        <v>0.70277777777777783</v>
      </c>
      <c r="L461" t="s">
        <v>28</v>
      </c>
      <c r="M461">
        <v>1.7945</v>
      </c>
      <c r="N461">
        <v>7.9</v>
      </c>
    </row>
    <row r="462" spans="1:14" x14ac:dyDescent="0.25">
      <c r="A462" t="s">
        <v>491</v>
      </c>
      <c r="B462" t="s">
        <v>20</v>
      </c>
      <c r="C462" t="s">
        <v>21</v>
      </c>
      <c r="D462" t="s">
        <v>22</v>
      </c>
      <c r="E462" t="s">
        <v>26</v>
      </c>
      <c r="F462" t="s">
        <v>39</v>
      </c>
      <c r="G462" t="s">
        <v>1038</v>
      </c>
      <c r="H462" t="s">
        <v>1042</v>
      </c>
      <c r="I462" s="1">
        <v>43499</v>
      </c>
      <c r="J462" t="s">
        <v>1045</v>
      </c>
      <c r="K462" s="5">
        <v>0.6381944444444444</v>
      </c>
      <c r="L462" t="s">
        <v>24</v>
      </c>
      <c r="M462">
        <v>10.130000000000001</v>
      </c>
      <c r="N462">
        <v>4.5</v>
      </c>
    </row>
    <row r="463" spans="1:14" x14ac:dyDescent="0.25">
      <c r="A463" t="s">
        <v>492</v>
      </c>
      <c r="B463" t="s">
        <v>37</v>
      </c>
      <c r="C463" t="s">
        <v>38</v>
      </c>
      <c r="D463" t="s">
        <v>15</v>
      </c>
      <c r="E463" t="s">
        <v>16</v>
      </c>
      <c r="F463" t="s">
        <v>39</v>
      </c>
      <c r="G463" t="s">
        <v>1035</v>
      </c>
      <c r="H463" t="s">
        <v>1043</v>
      </c>
      <c r="I463" s="1">
        <v>43527</v>
      </c>
      <c r="J463" t="s">
        <v>1045</v>
      </c>
      <c r="K463" s="5">
        <v>0.51736111111111105</v>
      </c>
      <c r="L463" t="s">
        <v>28</v>
      </c>
      <c r="M463">
        <v>36.524999999999999</v>
      </c>
      <c r="N463">
        <v>8.6999999999999993</v>
      </c>
    </row>
    <row r="464" spans="1:14" x14ac:dyDescent="0.25">
      <c r="A464" t="s">
        <v>493</v>
      </c>
      <c r="B464" t="s">
        <v>20</v>
      </c>
      <c r="C464" t="s">
        <v>21</v>
      </c>
      <c r="D464" t="s">
        <v>22</v>
      </c>
      <c r="E464" t="s">
        <v>16</v>
      </c>
      <c r="F464" t="s">
        <v>31</v>
      </c>
      <c r="G464" t="s">
        <v>1038</v>
      </c>
      <c r="H464" t="s">
        <v>1042</v>
      </c>
      <c r="I464" s="1">
        <v>43499</v>
      </c>
      <c r="J464" t="s">
        <v>1044</v>
      </c>
      <c r="K464" s="5">
        <v>0.41805555555555557</v>
      </c>
      <c r="L464" t="s">
        <v>24</v>
      </c>
      <c r="M464">
        <v>14.79</v>
      </c>
      <c r="N464">
        <v>6.1</v>
      </c>
    </row>
    <row r="465" spans="1:14" x14ac:dyDescent="0.25">
      <c r="A465" t="s">
        <v>494</v>
      </c>
      <c r="B465" t="s">
        <v>20</v>
      </c>
      <c r="C465" t="s">
        <v>21</v>
      </c>
      <c r="D465" t="s">
        <v>15</v>
      </c>
      <c r="E465" t="s">
        <v>16</v>
      </c>
      <c r="F465" t="s">
        <v>39</v>
      </c>
      <c r="G465" t="s">
        <v>1037</v>
      </c>
      <c r="H465" t="s">
        <v>1043</v>
      </c>
      <c r="I465" s="1">
        <v>43541</v>
      </c>
      <c r="J465" t="s">
        <v>1046</v>
      </c>
      <c r="K465" s="5">
        <v>0.79027777777777775</v>
      </c>
      <c r="L465" t="s">
        <v>24</v>
      </c>
      <c r="M465">
        <v>1.131</v>
      </c>
      <c r="N465">
        <v>6.4</v>
      </c>
    </row>
    <row r="466" spans="1:14" x14ac:dyDescent="0.25">
      <c r="A466" t="s">
        <v>495</v>
      </c>
      <c r="B466" t="s">
        <v>13</v>
      </c>
      <c r="C466" t="s">
        <v>14</v>
      </c>
      <c r="D466" t="s">
        <v>15</v>
      </c>
      <c r="E466" t="s">
        <v>26</v>
      </c>
      <c r="F466" t="s">
        <v>39</v>
      </c>
      <c r="G466" t="s">
        <v>1038</v>
      </c>
      <c r="H466" t="s">
        <v>1043</v>
      </c>
      <c r="I466" s="1">
        <v>43552</v>
      </c>
      <c r="J466" t="s">
        <v>1045</v>
      </c>
      <c r="K466" s="5">
        <v>0.64652777777777781</v>
      </c>
      <c r="L466" t="s">
        <v>28</v>
      </c>
      <c r="M466">
        <v>12.835000000000001</v>
      </c>
      <c r="N466">
        <v>9.1</v>
      </c>
    </row>
    <row r="467" spans="1:14" x14ac:dyDescent="0.25">
      <c r="A467" t="s">
        <v>496</v>
      </c>
      <c r="B467" t="s">
        <v>20</v>
      </c>
      <c r="C467" t="s">
        <v>21</v>
      </c>
      <c r="D467" t="s">
        <v>15</v>
      </c>
      <c r="E467" t="s">
        <v>16</v>
      </c>
      <c r="F467" t="s">
        <v>31</v>
      </c>
      <c r="G467" t="s">
        <v>1035</v>
      </c>
      <c r="H467" t="s">
        <v>1043</v>
      </c>
      <c r="I467" s="1">
        <v>43526</v>
      </c>
      <c r="J467" t="s">
        <v>1044</v>
      </c>
      <c r="K467" s="5">
        <v>0.47361111111111115</v>
      </c>
      <c r="L467" t="s">
        <v>28</v>
      </c>
      <c r="M467">
        <v>27.274999999999999</v>
      </c>
      <c r="N467">
        <v>7.1</v>
      </c>
    </row>
    <row r="468" spans="1:14" x14ac:dyDescent="0.25">
      <c r="A468" t="s">
        <v>497</v>
      </c>
      <c r="B468" t="s">
        <v>20</v>
      </c>
      <c r="C468" t="s">
        <v>21</v>
      </c>
      <c r="D468" t="s">
        <v>15</v>
      </c>
      <c r="E468" t="s">
        <v>16</v>
      </c>
      <c r="F468" t="s">
        <v>17</v>
      </c>
      <c r="G468" t="s">
        <v>1038</v>
      </c>
      <c r="H468" t="s">
        <v>1042</v>
      </c>
      <c r="I468" s="1">
        <v>43504</v>
      </c>
      <c r="J468" t="s">
        <v>1045</v>
      </c>
      <c r="K468" s="5">
        <v>0.54999999999999993</v>
      </c>
      <c r="L468" t="s">
        <v>28</v>
      </c>
      <c r="M468">
        <v>13.0025</v>
      </c>
      <c r="N468">
        <v>7.7</v>
      </c>
    </row>
    <row r="469" spans="1:14" x14ac:dyDescent="0.25">
      <c r="A469" t="s">
        <v>498</v>
      </c>
      <c r="B469" t="s">
        <v>37</v>
      </c>
      <c r="C469" t="s">
        <v>38</v>
      </c>
      <c r="D469" t="s">
        <v>22</v>
      </c>
      <c r="E469" t="s">
        <v>26</v>
      </c>
      <c r="F469" t="s">
        <v>31</v>
      </c>
      <c r="G469" t="s">
        <v>1037</v>
      </c>
      <c r="H469" t="s">
        <v>1043</v>
      </c>
      <c r="I469" s="1">
        <v>43546</v>
      </c>
      <c r="J469" t="s">
        <v>1046</v>
      </c>
      <c r="K469" s="5">
        <v>0.7729166666666667</v>
      </c>
      <c r="L469" t="s">
        <v>24</v>
      </c>
      <c r="M469">
        <v>11.106</v>
      </c>
      <c r="N469">
        <v>4.5</v>
      </c>
    </row>
    <row r="470" spans="1:14" x14ac:dyDescent="0.25">
      <c r="A470" t="s">
        <v>499</v>
      </c>
      <c r="B470" t="s">
        <v>20</v>
      </c>
      <c r="C470" t="s">
        <v>21</v>
      </c>
      <c r="D470" t="s">
        <v>22</v>
      </c>
      <c r="E470" t="s">
        <v>26</v>
      </c>
      <c r="F470" t="s">
        <v>39</v>
      </c>
      <c r="G470" t="s">
        <v>1039</v>
      </c>
      <c r="H470" t="s">
        <v>1042</v>
      </c>
      <c r="I470" s="1">
        <v>43505</v>
      </c>
      <c r="J470" t="s">
        <v>1044</v>
      </c>
      <c r="K470" s="5">
        <v>0.41805555555555557</v>
      </c>
      <c r="L470" t="s">
        <v>18</v>
      </c>
      <c r="M470">
        <v>1.079</v>
      </c>
      <c r="N470">
        <v>7.2</v>
      </c>
    </row>
    <row r="471" spans="1:14" x14ac:dyDescent="0.25">
      <c r="A471" t="s">
        <v>500</v>
      </c>
      <c r="B471" t="s">
        <v>20</v>
      </c>
      <c r="C471" t="s">
        <v>21</v>
      </c>
      <c r="D471" t="s">
        <v>15</v>
      </c>
      <c r="E471" t="s">
        <v>16</v>
      </c>
      <c r="F471" t="s">
        <v>23</v>
      </c>
      <c r="G471" t="s">
        <v>1039</v>
      </c>
      <c r="H471" t="s">
        <v>1042</v>
      </c>
      <c r="I471" s="1">
        <v>43511</v>
      </c>
      <c r="J471" t="s">
        <v>1044</v>
      </c>
      <c r="K471" s="5">
        <v>0.47291666666666665</v>
      </c>
      <c r="L471" t="s">
        <v>24</v>
      </c>
      <c r="M471">
        <v>4.9420000000000002</v>
      </c>
      <c r="N471">
        <v>8.4</v>
      </c>
    </row>
    <row r="472" spans="1:14" x14ac:dyDescent="0.25">
      <c r="A472" t="s">
        <v>501</v>
      </c>
      <c r="B472" t="s">
        <v>20</v>
      </c>
      <c r="C472" t="s">
        <v>21</v>
      </c>
      <c r="D472" t="s">
        <v>15</v>
      </c>
      <c r="E472" t="s">
        <v>16</v>
      </c>
      <c r="F472" t="s">
        <v>27</v>
      </c>
      <c r="G472" t="s">
        <v>1036</v>
      </c>
      <c r="H472" t="s">
        <v>1041</v>
      </c>
      <c r="I472" s="1">
        <v>43488</v>
      </c>
      <c r="J472" t="s">
        <v>1045</v>
      </c>
      <c r="K472" s="5">
        <v>0.50694444444444442</v>
      </c>
      <c r="L472" t="s">
        <v>18</v>
      </c>
      <c r="M472">
        <v>25.131</v>
      </c>
      <c r="N472">
        <v>5.4</v>
      </c>
    </row>
    <row r="473" spans="1:14" x14ac:dyDescent="0.25">
      <c r="A473" t="s">
        <v>502</v>
      </c>
      <c r="B473" t="s">
        <v>13</v>
      </c>
      <c r="C473" t="s">
        <v>14</v>
      </c>
      <c r="D473" t="s">
        <v>15</v>
      </c>
      <c r="E473" t="s">
        <v>16</v>
      </c>
      <c r="F473" t="s">
        <v>31</v>
      </c>
      <c r="G473" t="s">
        <v>1036</v>
      </c>
      <c r="H473" t="s">
        <v>1041</v>
      </c>
      <c r="I473" s="1">
        <v>43490</v>
      </c>
      <c r="J473" t="s">
        <v>1044</v>
      </c>
      <c r="K473" s="5">
        <v>0.4861111111111111</v>
      </c>
      <c r="L473" t="s">
        <v>24</v>
      </c>
      <c r="M473">
        <v>8.01</v>
      </c>
      <c r="N473">
        <v>9.6999999999999993</v>
      </c>
    </row>
    <row r="474" spans="1:14" x14ac:dyDescent="0.25">
      <c r="A474" t="s">
        <v>503</v>
      </c>
      <c r="B474" t="s">
        <v>13</v>
      </c>
      <c r="C474" t="s">
        <v>14</v>
      </c>
      <c r="D474" t="s">
        <v>15</v>
      </c>
      <c r="E474" t="s">
        <v>26</v>
      </c>
      <c r="F474" t="s">
        <v>41</v>
      </c>
      <c r="G474" t="s">
        <v>1038</v>
      </c>
      <c r="H474" t="s">
        <v>1042</v>
      </c>
      <c r="I474" s="1">
        <v>43498</v>
      </c>
      <c r="J474" t="s">
        <v>1046</v>
      </c>
      <c r="K474" s="5">
        <v>0.7715277777777777</v>
      </c>
      <c r="L474" t="s">
        <v>28</v>
      </c>
      <c r="M474">
        <v>21.565000000000001</v>
      </c>
      <c r="N474">
        <v>5.5</v>
      </c>
    </row>
    <row r="475" spans="1:14" x14ac:dyDescent="0.25">
      <c r="A475" t="s">
        <v>504</v>
      </c>
      <c r="B475" t="s">
        <v>37</v>
      </c>
      <c r="C475" t="s">
        <v>38</v>
      </c>
      <c r="D475" t="s">
        <v>15</v>
      </c>
      <c r="E475" t="s">
        <v>26</v>
      </c>
      <c r="F475" t="s">
        <v>17</v>
      </c>
      <c r="G475" t="s">
        <v>1039</v>
      </c>
      <c r="H475" t="s">
        <v>1043</v>
      </c>
      <c r="I475" s="1">
        <v>43554</v>
      </c>
      <c r="J475" t="s">
        <v>1046</v>
      </c>
      <c r="K475" s="5">
        <v>0.74861111111111101</v>
      </c>
      <c r="L475" t="s">
        <v>24</v>
      </c>
      <c r="M475">
        <v>29.027999999999999</v>
      </c>
      <c r="N475">
        <v>4.5999999999999996</v>
      </c>
    </row>
    <row r="476" spans="1:14" x14ac:dyDescent="0.25">
      <c r="A476" t="s">
        <v>505</v>
      </c>
      <c r="B476" t="s">
        <v>13</v>
      </c>
      <c r="C476" t="s">
        <v>14</v>
      </c>
      <c r="D476" t="s">
        <v>15</v>
      </c>
      <c r="E476" t="s">
        <v>16</v>
      </c>
      <c r="F476" t="s">
        <v>23</v>
      </c>
      <c r="G476" t="s">
        <v>1039</v>
      </c>
      <c r="H476" t="s">
        <v>1043</v>
      </c>
      <c r="I476" s="1">
        <v>43554</v>
      </c>
      <c r="J476" t="s">
        <v>1046</v>
      </c>
      <c r="K476" s="5">
        <v>0.71111111111111114</v>
      </c>
      <c r="L476" t="s">
        <v>24</v>
      </c>
      <c r="M476">
        <v>16.11</v>
      </c>
      <c r="N476">
        <v>6.6</v>
      </c>
    </row>
    <row r="477" spans="1:14" x14ac:dyDescent="0.25">
      <c r="A477" t="s">
        <v>506</v>
      </c>
      <c r="B477" t="s">
        <v>13</v>
      </c>
      <c r="C477" t="s">
        <v>14</v>
      </c>
      <c r="D477" t="s">
        <v>22</v>
      </c>
      <c r="E477" t="s">
        <v>26</v>
      </c>
      <c r="F477" t="s">
        <v>17</v>
      </c>
      <c r="G477" t="s">
        <v>1034</v>
      </c>
      <c r="H477" t="s">
        <v>1042</v>
      </c>
      <c r="I477" s="1">
        <v>43521</v>
      </c>
      <c r="J477" t="s">
        <v>1046</v>
      </c>
      <c r="K477" s="5">
        <v>0.85763888888888884</v>
      </c>
      <c r="L477" t="s">
        <v>28</v>
      </c>
      <c r="M477">
        <v>9.7769999999999992</v>
      </c>
      <c r="N477">
        <v>6.3</v>
      </c>
    </row>
    <row r="478" spans="1:14" x14ac:dyDescent="0.25">
      <c r="A478" t="s">
        <v>507</v>
      </c>
      <c r="B478" t="s">
        <v>13</v>
      </c>
      <c r="C478" t="s">
        <v>14</v>
      </c>
      <c r="D478" t="s">
        <v>22</v>
      </c>
      <c r="E478" t="s">
        <v>16</v>
      </c>
      <c r="F478" t="s">
        <v>31</v>
      </c>
      <c r="G478" t="s">
        <v>1037</v>
      </c>
      <c r="H478" t="s">
        <v>1043</v>
      </c>
      <c r="I478" s="1">
        <v>43542</v>
      </c>
      <c r="J478" t="s">
        <v>1046</v>
      </c>
      <c r="K478" s="5">
        <v>0.67361111111111116</v>
      </c>
      <c r="L478" t="s">
        <v>28</v>
      </c>
      <c r="M478">
        <v>8.3149999999999995</v>
      </c>
      <c r="N478">
        <v>4.2</v>
      </c>
    </row>
    <row r="479" spans="1:14" x14ac:dyDescent="0.25">
      <c r="A479" t="s">
        <v>508</v>
      </c>
      <c r="B479" t="s">
        <v>20</v>
      </c>
      <c r="C479" t="s">
        <v>21</v>
      </c>
      <c r="D479" t="s">
        <v>22</v>
      </c>
      <c r="E479" t="s">
        <v>26</v>
      </c>
      <c r="F479" t="s">
        <v>23</v>
      </c>
      <c r="G479" t="s">
        <v>1035</v>
      </c>
      <c r="H479" t="s">
        <v>1043</v>
      </c>
      <c r="I479" s="1">
        <v>43531</v>
      </c>
      <c r="J479" t="s">
        <v>1046</v>
      </c>
      <c r="K479" s="5">
        <v>0.70416666666666661</v>
      </c>
      <c r="L479" t="s">
        <v>18</v>
      </c>
      <c r="M479">
        <v>16.814</v>
      </c>
      <c r="N479">
        <v>4.4000000000000004</v>
      </c>
    </row>
    <row r="480" spans="1:14" x14ac:dyDescent="0.25">
      <c r="A480" t="s">
        <v>509</v>
      </c>
      <c r="B480" t="s">
        <v>37</v>
      </c>
      <c r="C480" t="s">
        <v>38</v>
      </c>
      <c r="D480" t="s">
        <v>22</v>
      </c>
      <c r="E480" t="s">
        <v>26</v>
      </c>
      <c r="F480" t="s">
        <v>31</v>
      </c>
      <c r="G480" t="s">
        <v>1037</v>
      </c>
      <c r="H480" t="s">
        <v>1043</v>
      </c>
      <c r="I480" s="1">
        <v>43540</v>
      </c>
      <c r="J480" t="s">
        <v>1044</v>
      </c>
      <c r="K480" s="5">
        <v>0.42430555555555555</v>
      </c>
      <c r="L480" t="s">
        <v>18</v>
      </c>
      <c r="M480">
        <v>17.184999999999999</v>
      </c>
      <c r="N480">
        <v>6.7</v>
      </c>
    </row>
    <row r="481" spans="1:14" x14ac:dyDescent="0.25">
      <c r="A481" t="s">
        <v>510</v>
      </c>
      <c r="B481" t="s">
        <v>13</v>
      </c>
      <c r="C481" t="s">
        <v>14</v>
      </c>
      <c r="D481" t="s">
        <v>22</v>
      </c>
      <c r="E481" t="s">
        <v>26</v>
      </c>
      <c r="F481" t="s">
        <v>23</v>
      </c>
      <c r="G481" t="s">
        <v>1037</v>
      </c>
      <c r="H481" t="s">
        <v>1041</v>
      </c>
      <c r="I481" s="1">
        <v>43494</v>
      </c>
      <c r="J481" t="s">
        <v>1044</v>
      </c>
      <c r="K481" s="5">
        <v>0.47638888888888892</v>
      </c>
      <c r="L481" t="s">
        <v>18</v>
      </c>
      <c r="M481">
        <v>1.93</v>
      </c>
      <c r="N481">
        <v>6.7</v>
      </c>
    </row>
    <row r="482" spans="1:14" x14ac:dyDescent="0.25">
      <c r="A482" t="s">
        <v>511</v>
      </c>
      <c r="B482" t="s">
        <v>20</v>
      </c>
      <c r="C482" t="s">
        <v>21</v>
      </c>
      <c r="D482" t="s">
        <v>22</v>
      </c>
      <c r="E482" t="s">
        <v>26</v>
      </c>
      <c r="F482" t="s">
        <v>39</v>
      </c>
      <c r="G482" t="s">
        <v>1038</v>
      </c>
      <c r="H482" t="s">
        <v>1042</v>
      </c>
      <c r="I482" s="1">
        <v>43498</v>
      </c>
      <c r="J482" t="s">
        <v>1046</v>
      </c>
      <c r="K482" s="5">
        <v>0.8534722222222223</v>
      </c>
      <c r="L482" t="s">
        <v>24</v>
      </c>
      <c r="M482">
        <v>26.388000000000002</v>
      </c>
      <c r="N482">
        <v>8.4</v>
      </c>
    </row>
    <row r="483" spans="1:14" x14ac:dyDescent="0.25">
      <c r="A483" t="s">
        <v>512</v>
      </c>
      <c r="B483" t="s">
        <v>20</v>
      </c>
      <c r="C483" t="s">
        <v>21</v>
      </c>
      <c r="D483" t="s">
        <v>22</v>
      </c>
      <c r="E483" t="s">
        <v>16</v>
      </c>
      <c r="F483" t="s">
        <v>23</v>
      </c>
      <c r="G483" t="s">
        <v>1039</v>
      </c>
      <c r="H483" t="s">
        <v>1042</v>
      </c>
      <c r="I483" s="1">
        <v>43511</v>
      </c>
      <c r="J483" t="s">
        <v>1045</v>
      </c>
      <c r="K483" s="5">
        <v>0.5083333333333333</v>
      </c>
      <c r="L483" t="s">
        <v>24</v>
      </c>
      <c r="M483">
        <v>16.399999999999999</v>
      </c>
      <c r="N483">
        <v>6.2</v>
      </c>
    </row>
    <row r="484" spans="1:14" x14ac:dyDescent="0.25">
      <c r="A484" t="s">
        <v>513</v>
      </c>
      <c r="B484" t="s">
        <v>13</v>
      </c>
      <c r="C484" t="s">
        <v>14</v>
      </c>
      <c r="D484" t="s">
        <v>22</v>
      </c>
      <c r="E484" t="s">
        <v>26</v>
      </c>
      <c r="F484" t="s">
        <v>31</v>
      </c>
      <c r="G484" t="s">
        <v>1034</v>
      </c>
      <c r="H484" t="s">
        <v>1041</v>
      </c>
      <c r="I484" s="1">
        <v>43473</v>
      </c>
      <c r="J484" t="s">
        <v>1045</v>
      </c>
      <c r="K484" s="5">
        <v>0.54513888888888895</v>
      </c>
      <c r="L484" t="s">
        <v>18</v>
      </c>
      <c r="M484">
        <v>9.2850000000000001</v>
      </c>
      <c r="N484">
        <v>5</v>
      </c>
    </row>
    <row r="485" spans="1:14" x14ac:dyDescent="0.25">
      <c r="A485" t="s">
        <v>514</v>
      </c>
      <c r="B485" t="s">
        <v>37</v>
      </c>
      <c r="C485" t="s">
        <v>38</v>
      </c>
      <c r="D485" t="s">
        <v>15</v>
      </c>
      <c r="E485" t="s">
        <v>26</v>
      </c>
      <c r="F485" t="s">
        <v>27</v>
      </c>
      <c r="G485" t="s">
        <v>1039</v>
      </c>
      <c r="H485" t="s">
        <v>1042</v>
      </c>
      <c r="I485" s="1">
        <v>43508</v>
      </c>
      <c r="J485" t="s">
        <v>1046</v>
      </c>
      <c r="K485" s="5">
        <v>0.67986111111111114</v>
      </c>
      <c r="L485" t="s">
        <v>24</v>
      </c>
      <c r="M485">
        <v>30.19</v>
      </c>
      <c r="N485">
        <v>6</v>
      </c>
    </row>
    <row r="486" spans="1:14" x14ac:dyDescent="0.25">
      <c r="A486" t="s">
        <v>515</v>
      </c>
      <c r="B486" t="s">
        <v>20</v>
      </c>
      <c r="C486" t="s">
        <v>21</v>
      </c>
      <c r="D486" t="s">
        <v>15</v>
      </c>
      <c r="E486" t="s">
        <v>16</v>
      </c>
      <c r="F486" t="s">
        <v>31</v>
      </c>
      <c r="G486" t="s">
        <v>1040</v>
      </c>
      <c r="H486" t="s">
        <v>1041</v>
      </c>
      <c r="I486" s="1">
        <v>43466</v>
      </c>
      <c r="J486" t="s">
        <v>1046</v>
      </c>
      <c r="K486" s="5">
        <v>0.82500000000000007</v>
      </c>
      <c r="L486" t="s">
        <v>28</v>
      </c>
      <c r="M486">
        <v>18.489999999999998</v>
      </c>
      <c r="N486">
        <v>7</v>
      </c>
    </row>
    <row r="487" spans="1:14" x14ac:dyDescent="0.25">
      <c r="A487" t="s">
        <v>516</v>
      </c>
      <c r="B487" t="s">
        <v>37</v>
      </c>
      <c r="C487" t="s">
        <v>38</v>
      </c>
      <c r="D487" t="s">
        <v>15</v>
      </c>
      <c r="E487" t="s">
        <v>16</v>
      </c>
      <c r="F487" t="s">
        <v>31</v>
      </c>
      <c r="G487" t="s">
        <v>1037</v>
      </c>
      <c r="H487" t="s">
        <v>1043</v>
      </c>
      <c r="I487" s="1">
        <v>43545</v>
      </c>
      <c r="J487" t="s">
        <v>1045</v>
      </c>
      <c r="K487" s="5">
        <v>0.64236111111111105</v>
      </c>
      <c r="L487" t="s">
        <v>18</v>
      </c>
      <c r="M487">
        <v>9.8979999999999997</v>
      </c>
      <c r="N487">
        <v>6.6</v>
      </c>
    </row>
    <row r="488" spans="1:14" x14ac:dyDescent="0.25">
      <c r="A488" t="s">
        <v>517</v>
      </c>
      <c r="B488" t="s">
        <v>37</v>
      </c>
      <c r="C488" t="s">
        <v>38</v>
      </c>
      <c r="D488" t="s">
        <v>22</v>
      </c>
      <c r="E488" t="s">
        <v>16</v>
      </c>
      <c r="F488" t="s">
        <v>41</v>
      </c>
      <c r="G488" t="s">
        <v>1034</v>
      </c>
      <c r="H488" t="s">
        <v>1042</v>
      </c>
      <c r="I488" s="1">
        <v>43524</v>
      </c>
      <c r="J488" t="s">
        <v>1045</v>
      </c>
      <c r="K488" s="5">
        <v>0.61249999999999993</v>
      </c>
      <c r="L488" t="s">
        <v>24</v>
      </c>
      <c r="M488">
        <v>20.545000000000002</v>
      </c>
      <c r="N488">
        <v>7.3</v>
      </c>
    </row>
    <row r="489" spans="1:14" x14ac:dyDescent="0.25">
      <c r="A489" t="s">
        <v>518</v>
      </c>
      <c r="B489" t="s">
        <v>13</v>
      </c>
      <c r="C489" t="s">
        <v>14</v>
      </c>
      <c r="D489" t="s">
        <v>22</v>
      </c>
      <c r="E489" t="s">
        <v>26</v>
      </c>
      <c r="F489" t="s">
        <v>41</v>
      </c>
      <c r="G489" t="s">
        <v>1038</v>
      </c>
      <c r="H489" t="s">
        <v>1043</v>
      </c>
      <c r="I489" s="1">
        <v>43547</v>
      </c>
      <c r="J489" t="s">
        <v>1046</v>
      </c>
      <c r="K489" s="5">
        <v>0.7909722222222223</v>
      </c>
      <c r="L489" t="s">
        <v>18</v>
      </c>
      <c r="M489">
        <v>7.43</v>
      </c>
      <c r="N489">
        <v>8.3000000000000007</v>
      </c>
    </row>
    <row r="490" spans="1:14" x14ac:dyDescent="0.25">
      <c r="A490" t="s">
        <v>519</v>
      </c>
      <c r="B490" t="s">
        <v>20</v>
      </c>
      <c r="C490" t="s">
        <v>21</v>
      </c>
      <c r="D490" t="s">
        <v>22</v>
      </c>
      <c r="E490" t="s">
        <v>26</v>
      </c>
      <c r="F490" t="s">
        <v>27</v>
      </c>
      <c r="G490" t="s">
        <v>1037</v>
      </c>
      <c r="H490" t="s">
        <v>1041</v>
      </c>
      <c r="I490" s="1">
        <v>43495</v>
      </c>
      <c r="J490" t="s">
        <v>1046</v>
      </c>
      <c r="K490" s="5">
        <v>0.86597222222222225</v>
      </c>
      <c r="L490" t="s">
        <v>24</v>
      </c>
      <c r="M490">
        <v>1.1479999999999999</v>
      </c>
      <c r="N490">
        <v>4.3</v>
      </c>
    </row>
    <row r="491" spans="1:14" x14ac:dyDescent="0.25">
      <c r="A491" t="s">
        <v>520</v>
      </c>
      <c r="B491" t="s">
        <v>37</v>
      </c>
      <c r="C491" t="s">
        <v>38</v>
      </c>
      <c r="D491" t="s">
        <v>15</v>
      </c>
      <c r="E491" t="s">
        <v>16</v>
      </c>
      <c r="F491" t="s">
        <v>27</v>
      </c>
      <c r="G491" t="s">
        <v>1038</v>
      </c>
      <c r="H491" t="s">
        <v>1042</v>
      </c>
      <c r="I491" s="1">
        <v>43500</v>
      </c>
      <c r="J491" t="s">
        <v>1045</v>
      </c>
      <c r="K491" s="5">
        <v>0.55625000000000002</v>
      </c>
      <c r="L491" t="s">
        <v>18</v>
      </c>
      <c r="M491">
        <v>34.956000000000003</v>
      </c>
      <c r="N491">
        <v>9.8000000000000007</v>
      </c>
    </row>
    <row r="492" spans="1:14" x14ac:dyDescent="0.25">
      <c r="A492" t="s">
        <v>521</v>
      </c>
      <c r="B492" t="s">
        <v>37</v>
      </c>
      <c r="C492" t="s">
        <v>38</v>
      </c>
      <c r="D492" t="s">
        <v>22</v>
      </c>
      <c r="E492" t="s">
        <v>16</v>
      </c>
      <c r="F492" t="s">
        <v>41</v>
      </c>
      <c r="G492" t="s">
        <v>1036</v>
      </c>
      <c r="H492" t="s">
        <v>1043</v>
      </c>
      <c r="I492" s="1">
        <v>43537</v>
      </c>
      <c r="J492" t="s">
        <v>1046</v>
      </c>
      <c r="K492" s="5">
        <v>0.82500000000000007</v>
      </c>
      <c r="L492" t="s">
        <v>18</v>
      </c>
      <c r="M492">
        <v>3.47</v>
      </c>
      <c r="N492">
        <v>8.1999999999999993</v>
      </c>
    </row>
    <row r="493" spans="1:14" x14ac:dyDescent="0.25">
      <c r="A493" t="s">
        <v>522</v>
      </c>
      <c r="B493" t="s">
        <v>13</v>
      </c>
      <c r="C493" t="s">
        <v>14</v>
      </c>
      <c r="D493" t="s">
        <v>15</v>
      </c>
      <c r="E493" t="s">
        <v>16</v>
      </c>
      <c r="F493" t="s">
        <v>41</v>
      </c>
      <c r="G493" t="s">
        <v>1036</v>
      </c>
      <c r="H493" t="s">
        <v>1043</v>
      </c>
      <c r="I493" s="1">
        <v>43539</v>
      </c>
      <c r="J493" t="s">
        <v>1046</v>
      </c>
      <c r="K493" s="5">
        <v>0.76388888888888884</v>
      </c>
      <c r="L493" t="s">
        <v>28</v>
      </c>
      <c r="M493">
        <v>9.83</v>
      </c>
      <c r="N493">
        <v>7.2</v>
      </c>
    </row>
    <row r="494" spans="1:14" x14ac:dyDescent="0.25">
      <c r="A494" t="s">
        <v>523</v>
      </c>
      <c r="B494" t="s">
        <v>37</v>
      </c>
      <c r="C494" t="s">
        <v>38</v>
      </c>
      <c r="D494" t="s">
        <v>15</v>
      </c>
      <c r="E494" t="s">
        <v>16</v>
      </c>
      <c r="F494" t="s">
        <v>17</v>
      </c>
      <c r="G494" t="s">
        <v>1035</v>
      </c>
      <c r="H494" t="s">
        <v>1043</v>
      </c>
      <c r="I494" s="1">
        <v>43529</v>
      </c>
      <c r="J494" t="s">
        <v>1046</v>
      </c>
      <c r="K494" s="5">
        <v>0.85</v>
      </c>
      <c r="L494" t="s">
        <v>18</v>
      </c>
      <c r="M494">
        <v>10.128</v>
      </c>
      <c r="N494">
        <v>8.6999999999999993</v>
      </c>
    </row>
    <row r="495" spans="1:14" x14ac:dyDescent="0.25">
      <c r="A495" t="s">
        <v>524</v>
      </c>
      <c r="B495" t="s">
        <v>20</v>
      </c>
      <c r="C495" t="s">
        <v>21</v>
      </c>
      <c r="D495" t="s">
        <v>15</v>
      </c>
      <c r="E495" t="s">
        <v>16</v>
      </c>
      <c r="F495" t="s">
        <v>27</v>
      </c>
      <c r="G495" t="s">
        <v>1035</v>
      </c>
      <c r="H495" t="s">
        <v>1043</v>
      </c>
      <c r="I495" s="1">
        <v>43529</v>
      </c>
      <c r="J495" t="s">
        <v>1045</v>
      </c>
      <c r="K495" s="5">
        <v>0.57222222222222219</v>
      </c>
      <c r="L495" t="s">
        <v>28</v>
      </c>
      <c r="M495">
        <v>6.06</v>
      </c>
      <c r="N495">
        <v>8.4</v>
      </c>
    </row>
    <row r="496" spans="1:14" x14ac:dyDescent="0.25">
      <c r="A496" t="s">
        <v>525</v>
      </c>
      <c r="B496" t="s">
        <v>37</v>
      </c>
      <c r="C496" t="s">
        <v>38</v>
      </c>
      <c r="D496" t="s">
        <v>22</v>
      </c>
      <c r="E496" t="s">
        <v>26</v>
      </c>
      <c r="F496" t="s">
        <v>41</v>
      </c>
      <c r="G496" t="s">
        <v>1034</v>
      </c>
      <c r="H496" t="s">
        <v>1042</v>
      </c>
      <c r="I496" s="1">
        <v>43522</v>
      </c>
      <c r="J496" t="s">
        <v>1044</v>
      </c>
      <c r="K496" s="5">
        <v>0.4916666666666667</v>
      </c>
      <c r="L496" t="s">
        <v>18</v>
      </c>
      <c r="M496">
        <v>9.9890000000000008</v>
      </c>
      <c r="N496">
        <v>7.1</v>
      </c>
    </row>
    <row r="497" spans="1:14" x14ac:dyDescent="0.25">
      <c r="A497" t="s">
        <v>526</v>
      </c>
      <c r="B497" t="s">
        <v>37</v>
      </c>
      <c r="C497" t="s">
        <v>38</v>
      </c>
      <c r="D497" t="s">
        <v>22</v>
      </c>
      <c r="E497" t="s">
        <v>26</v>
      </c>
      <c r="F497" t="s">
        <v>31</v>
      </c>
      <c r="G497" t="s">
        <v>1037</v>
      </c>
      <c r="H497" t="s">
        <v>1043</v>
      </c>
      <c r="I497" s="1">
        <v>43544</v>
      </c>
      <c r="J497" t="s">
        <v>1045</v>
      </c>
      <c r="K497" s="5">
        <v>0.59305555555555556</v>
      </c>
      <c r="L497" t="s">
        <v>24</v>
      </c>
      <c r="M497">
        <v>30.367999999999999</v>
      </c>
      <c r="N497">
        <v>5.5</v>
      </c>
    </row>
    <row r="498" spans="1:14" x14ac:dyDescent="0.25">
      <c r="A498" t="s">
        <v>527</v>
      </c>
      <c r="B498" t="s">
        <v>20</v>
      </c>
      <c r="C498" t="s">
        <v>21</v>
      </c>
      <c r="D498" t="s">
        <v>22</v>
      </c>
      <c r="E498" t="s">
        <v>16</v>
      </c>
      <c r="F498" t="s">
        <v>23</v>
      </c>
      <c r="G498" t="s">
        <v>1040</v>
      </c>
      <c r="H498" t="s">
        <v>1041</v>
      </c>
      <c r="I498" s="1">
        <v>43466</v>
      </c>
      <c r="J498" t="s">
        <v>1045</v>
      </c>
      <c r="K498" s="5">
        <v>0.66041666666666665</v>
      </c>
      <c r="L498" t="s">
        <v>24</v>
      </c>
      <c r="M498">
        <v>6.3220000000000001</v>
      </c>
      <c r="N498">
        <v>8.5</v>
      </c>
    </row>
    <row r="499" spans="1:14" x14ac:dyDescent="0.25">
      <c r="A499" t="s">
        <v>528</v>
      </c>
      <c r="B499" t="s">
        <v>20</v>
      </c>
      <c r="C499" t="s">
        <v>21</v>
      </c>
      <c r="D499" t="s">
        <v>22</v>
      </c>
      <c r="E499" t="s">
        <v>16</v>
      </c>
      <c r="F499" t="s">
        <v>39</v>
      </c>
      <c r="G499" t="s">
        <v>1037</v>
      </c>
      <c r="H499" t="s">
        <v>1041</v>
      </c>
      <c r="I499" s="1">
        <v>43492</v>
      </c>
      <c r="J499" t="s">
        <v>1044</v>
      </c>
      <c r="K499" s="5">
        <v>0.47013888888888888</v>
      </c>
      <c r="L499" t="s">
        <v>24</v>
      </c>
      <c r="M499">
        <v>27.071999999999999</v>
      </c>
      <c r="N499">
        <v>6.2</v>
      </c>
    </row>
    <row r="500" spans="1:14" x14ac:dyDescent="0.25">
      <c r="A500" t="s">
        <v>529</v>
      </c>
      <c r="B500" t="s">
        <v>37</v>
      </c>
      <c r="C500" t="s">
        <v>38</v>
      </c>
      <c r="D500" t="s">
        <v>15</v>
      </c>
      <c r="E500" t="s">
        <v>16</v>
      </c>
      <c r="F500" t="s">
        <v>31</v>
      </c>
      <c r="G500" t="s">
        <v>1036</v>
      </c>
      <c r="H500" t="s">
        <v>1041</v>
      </c>
      <c r="I500" s="1">
        <v>43486</v>
      </c>
      <c r="J500" t="s">
        <v>1046</v>
      </c>
      <c r="K500" s="5">
        <v>0.73333333333333339</v>
      </c>
      <c r="L500" t="s">
        <v>24</v>
      </c>
      <c r="M500">
        <v>4.9065000000000003</v>
      </c>
      <c r="N500">
        <v>8.9</v>
      </c>
    </row>
    <row r="501" spans="1:14" x14ac:dyDescent="0.25">
      <c r="A501" t="s">
        <v>530</v>
      </c>
      <c r="B501" t="s">
        <v>13</v>
      </c>
      <c r="C501" t="s">
        <v>14</v>
      </c>
      <c r="D501" t="s">
        <v>15</v>
      </c>
      <c r="E501" t="s">
        <v>16</v>
      </c>
      <c r="F501" t="s">
        <v>31</v>
      </c>
      <c r="G501" t="s">
        <v>1038</v>
      </c>
      <c r="H501" t="s">
        <v>1042</v>
      </c>
      <c r="I501" s="1">
        <v>43498</v>
      </c>
      <c r="J501" t="s">
        <v>1045</v>
      </c>
      <c r="K501" s="5">
        <v>0.65763888888888888</v>
      </c>
      <c r="L501" t="s">
        <v>24</v>
      </c>
      <c r="M501">
        <v>20.608000000000001</v>
      </c>
      <c r="N501">
        <v>9.6</v>
      </c>
    </row>
    <row r="502" spans="1:14" x14ac:dyDescent="0.25">
      <c r="A502" t="s">
        <v>531</v>
      </c>
      <c r="B502" t="s">
        <v>37</v>
      </c>
      <c r="C502" t="s">
        <v>38</v>
      </c>
      <c r="D502" t="s">
        <v>15</v>
      </c>
      <c r="E502" t="s">
        <v>26</v>
      </c>
      <c r="F502" t="s">
        <v>31</v>
      </c>
      <c r="G502" t="s">
        <v>1038</v>
      </c>
      <c r="H502" t="s">
        <v>1042</v>
      </c>
      <c r="I502" s="1">
        <v>43499</v>
      </c>
      <c r="J502" t="s">
        <v>1045</v>
      </c>
      <c r="K502" s="5">
        <v>0.66180555555555554</v>
      </c>
      <c r="L502" t="s">
        <v>28</v>
      </c>
      <c r="M502">
        <v>3.6985000000000001</v>
      </c>
      <c r="N502">
        <v>5.4</v>
      </c>
    </row>
    <row r="503" spans="1:14" x14ac:dyDescent="0.25">
      <c r="A503" t="s">
        <v>532</v>
      </c>
      <c r="B503" t="s">
        <v>20</v>
      </c>
      <c r="C503" t="s">
        <v>21</v>
      </c>
      <c r="D503" t="s">
        <v>15</v>
      </c>
      <c r="E503" t="s">
        <v>16</v>
      </c>
      <c r="F503" t="s">
        <v>41</v>
      </c>
      <c r="G503" t="s">
        <v>1034</v>
      </c>
      <c r="H503" t="s">
        <v>1041</v>
      </c>
      <c r="I503" s="1">
        <v>43470</v>
      </c>
      <c r="J503" t="s">
        <v>1045</v>
      </c>
      <c r="K503" s="5">
        <v>0.52777777777777779</v>
      </c>
      <c r="L503" t="s">
        <v>18</v>
      </c>
      <c r="M503">
        <v>1.595</v>
      </c>
      <c r="N503">
        <v>9.1</v>
      </c>
    </row>
    <row r="504" spans="1:14" x14ac:dyDescent="0.25">
      <c r="A504" t="s">
        <v>533</v>
      </c>
      <c r="B504" t="s">
        <v>20</v>
      </c>
      <c r="C504" t="s">
        <v>21</v>
      </c>
      <c r="D504" t="s">
        <v>22</v>
      </c>
      <c r="E504" t="s">
        <v>26</v>
      </c>
      <c r="F504" t="s">
        <v>27</v>
      </c>
      <c r="G504" t="s">
        <v>1037</v>
      </c>
      <c r="H504" t="s">
        <v>1041</v>
      </c>
      <c r="I504" s="1">
        <v>43492</v>
      </c>
      <c r="J504" t="s">
        <v>1046</v>
      </c>
      <c r="K504" s="5">
        <v>0.82500000000000007</v>
      </c>
      <c r="L504" t="s">
        <v>18</v>
      </c>
      <c r="M504">
        <v>6.94</v>
      </c>
      <c r="N504">
        <v>9</v>
      </c>
    </row>
    <row r="505" spans="1:14" x14ac:dyDescent="0.25">
      <c r="A505" t="s">
        <v>534</v>
      </c>
      <c r="B505" t="s">
        <v>37</v>
      </c>
      <c r="C505" t="s">
        <v>38</v>
      </c>
      <c r="D505" t="s">
        <v>22</v>
      </c>
      <c r="E505" t="s">
        <v>16</v>
      </c>
      <c r="F505" t="s">
        <v>31</v>
      </c>
      <c r="G505" t="s">
        <v>1038</v>
      </c>
      <c r="H505" t="s">
        <v>1043</v>
      </c>
      <c r="I505" s="1">
        <v>43549</v>
      </c>
      <c r="J505" t="s">
        <v>1046</v>
      </c>
      <c r="K505" s="5">
        <v>0.74513888888888891</v>
      </c>
      <c r="L505" t="s">
        <v>24</v>
      </c>
      <c r="M505">
        <v>9.3309999999999995</v>
      </c>
      <c r="N505">
        <v>6.3</v>
      </c>
    </row>
    <row r="506" spans="1:14" x14ac:dyDescent="0.25">
      <c r="A506" t="s">
        <v>535</v>
      </c>
      <c r="B506" t="s">
        <v>37</v>
      </c>
      <c r="C506" t="s">
        <v>38</v>
      </c>
      <c r="D506" t="s">
        <v>22</v>
      </c>
      <c r="E506" t="s">
        <v>26</v>
      </c>
      <c r="F506" t="s">
        <v>31</v>
      </c>
      <c r="G506" t="s">
        <v>1034</v>
      </c>
      <c r="H506" t="s">
        <v>1042</v>
      </c>
      <c r="I506" s="1">
        <v>43521</v>
      </c>
      <c r="J506" t="s">
        <v>1046</v>
      </c>
      <c r="K506" s="5">
        <v>0.69166666666666676</v>
      </c>
      <c r="L506" t="s">
        <v>28</v>
      </c>
      <c r="M506">
        <v>4.4225000000000003</v>
      </c>
      <c r="N506">
        <v>9.5</v>
      </c>
    </row>
    <row r="507" spans="1:14" x14ac:dyDescent="0.25">
      <c r="A507" t="s">
        <v>536</v>
      </c>
      <c r="B507" t="s">
        <v>13</v>
      </c>
      <c r="C507" t="s">
        <v>14</v>
      </c>
      <c r="D507" t="s">
        <v>15</v>
      </c>
      <c r="E507" t="s">
        <v>26</v>
      </c>
      <c r="F507" t="s">
        <v>23</v>
      </c>
      <c r="G507" t="s">
        <v>1037</v>
      </c>
      <c r="H507" t="s">
        <v>1041</v>
      </c>
      <c r="I507" s="1">
        <v>43493</v>
      </c>
      <c r="J507" t="s">
        <v>1046</v>
      </c>
      <c r="K507" s="5">
        <v>0.87083333333333324</v>
      </c>
      <c r="L507" t="s">
        <v>18</v>
      </c>
      <c r="M507">
        <v>9.6720000000000006</v>
      </c>
      <c r="N507">
        <v>9.8000000000000007</v>
      </c>
    </row>
    <row r="508" spans="1:14" x14ac:dyDescent="0.25">
      <c r="A508" t="s">
        <v>537</v>
      </c>
      <c r="B508" t="s">
        <v>37</v>
      </c>
      <c r="C508" t="s">
        <v>38</v>
      </c>
      <c r="D508" t="s">
        <v>15</v>
      </c>
      <c r="E508" t="s">
        <v>16</v>
      </c>
      <c r="F508" t="s">
        <v>31</v>
      </c>
      <c r="G508" t="s">
        <v>1034</v>
      </c>
      <c r="H508" t="s">
        <v>1041</v>
      </c>
      <c r="I508" s="1">
        <v>43473</v>
      </c>
      <c r="J508" t="s">
        <v>1045</v>
      </c>
      <c r="K508" s="5">
        <v>0.53472222222222221</v>
      </c>
      <c r="L508" t="s">
        <v>24</v>
      </c>
      <c r="M508">
        <v>7.2750000000000004</v>
      </c>
      <c r="N508">
        <v>6.7</v>
      </c>
    </row>
    <row r="509" spans="1:14" x14ac:dyDescent="0.25">
      <c r="A509" t="s">
        <v>538</v>
      </c>
      <c r="B509" t="s">
        <v>37</v>
      </c>
      <c r="C509" t="s">
        <v>38</v>
      </c>
      <c r="D509" t="s">
        <v>22</v>
      </c>
      <c r="E509" t="s">
        <v>16</v>
      </c>
      <c r="F509" t="s">
        <v>39</v>
      </c>
      <c r="G509" t="s">
        <v>1037</v>
      </c>
      <c r="H509" t="s">
        <v>1041</v>
      </c>
      <c r="I509" s="1">
        <v>43494</v>
      </c>
      <c r="J509" t="s">
        <v>1044</v>
      </c>
      <c r="K509" s="5">
        <v>0.45</v>
      </c>
      <c r="L509" t="s">
        <v>28</v>
      </c>
      <c r="M509">
        <v>25.215</v>
      </c>
      <c r="N509">
        <v>7.7</v>
      </c>
    </row>
    <row r="510" spans="1:14" x14ac:dyDescent="0.25">
      <c r="A510" t="s">
        <v>539</v>
      </c>
      <c r="B510" t="s">
        <v>37</v>
      </c>
      <c r="C510" t="s">
        <v>38</v>
      </c>
      <c r="D510" t="s">
        <v>15</v>
      </c>
      <c r="E510" t="s">
        <v>26</v>
      </c>
      <c r="F510" t="s">
        <v>17</v>
      </c>
      <c r="G510" t="s">
        <v>1038</v>
      </c>
      <c r="H510" t="s">
        <v>1043</v>
      </c>
      <c r="I510" s="1">
        <v>43553</v>
      </c>
      <c r="J510" t="s">
        <v>1045</v>
      </c>
      <c r="K510" s="5">
        <v>0.60277777777777775</v>
      </c>
      <c r="L510" t="s">
        <v>24</v>
      </c>
      <c r="M510">
        <v>15.3225</v>
      </c>
      <c r="N510">
        <v>7</v>
      </c>
    </row>
    <row r="511" spans="1:14" x14ac:dyDescent="0.25">
      <c r="A511" t="s">
        <v>540</v>
      </c>
      <c r="B511" t="s">
        <v>20</v>
      </c>
      <c r="C511" t="s">
        <v>21</v>
      </c>
      <c r="D511" t="s">
        <v>15</v>
      </c>
      <c r="E511" t="s">
        <v>16</v>
      </c>
      <c r="F511" t="s">
        <v>27</v>
      </c>
      <c r="G511" t="s">
        <v>1039</v>
      </c>
      <c r="H511" t="s">
        <v>1042</v>
      </c>
      <c r="I511" s="1">
        <v>43505</v>
      </c>
      <c r="J511" t="s">
        <v>1046</v>
      </c>
      <c r="K511" s="5">
        <v>0.71875</v>
      </c>
      <c r="L511" t="s">
        <v>28</v>
      </c>
      <c r="M511">
        <v>4.7850000000000001</v>
      </c>
      <c r="N511">
        <v>5.0999999999999996</v>
      </c>
    </row>
    <row r="512" spans="1:14" x14ac:dyDescent="0.25">
      <c r="A512" t="s">
        <v>541</v>
      </c>
      <c r="B512" t="s">
        <v>37</v>
      </c>
      <c r="C512" t="s">
        <v>38</v>
      </c>
      <c r="D512" t="s">
        <v>15</v>
      </c>
      <c r="E512" t="s">
        <v>16</v>
      </c>
      <c r="F512" t="s">
        <v>31</v>
      </c>
      <c r="G512" t="s">
        <v>1035</v>
      </c>
      <c r="H512" t="s">
        <v>1041</v>
      </c>
      <c r="I512" s="1">
        <v>43481</v>
      </c>
      <c r="J512" t="s">
        <v>1046</v>
      </c>
      <c r="K512" s="5">
        <v>0.75208333333333333</v>
      </c>
      <c r="L512" t="s">
        <v>28</v>
      </c>
      <c r="M512">
        <v>31.759</v>
      </c>
      <c r="N512">
        <v>6.2</v>
      </c>
    </row>
    <row r="513" spans="1:14" x14ac:dyDescent="0.25">
      <c r="A513" t="s">
        <v>542</v>
      </c>
      <c r="B513" t="s">
        <v>13</v>
      </c>
      <c r="C513" t="s">
        <v>14</v>
      </c>
      <c r="D513" t="s">
        <v>22</v>
      </c>
      <c r="E513" t="s">
        <v>16</v>
      </c>
      <c r="F513" t="s">
        <v>27</v>
      </c>
      <c r="G513" t="s">
        <v>1034</v>
      </c>
      <c r="H513" t="s">
        <v>1041</v>
      </c>
      <c r="I513" s="1">
        <v>43470</v>
      </c>
      <c r="J513" t="s">
        <v>1046</v>
      </c>
      <c r="K513" s="5">
        <v>0.7284722222222223</v>
      </c>
      <c r="L513" t="s">
        <v>18</v>
      </c>
      <c r="M513">
        <v>10.727499999999999</v>
      </c>
      <c r="N513">
        <v>6.1</v>
      </c>
    </row>
    <row r="514" spans="1:14" x14ac:dyDescent="0.25">
      <c r="A514" t="s">
        <v>543</v>
      </c>
      <c r="B514" t="s">
        <v>13</v>
      </c>
      <c r="C514" t="s">
        <v>14</v>
      </c>
      <c r="D514" t="s">
        <v>22</v>
      </c>
      <c r="E514" t="s">
        <v>16</v>
      </c>
      <c r="F514" t="s">
        <v>41</v>
      </c>
      <c r="G514" t="s">
        <v>1037</v>
      </c>
      <c r="H514" t="s">
        <v>1041</v>
      </c>
      <c r="I514" s="1">
        <v>43492</v>
      </c>
      <c r="J514" t="s">
        <v>1046</v>
      </c>
      <c r="K514" s="5">
        <v>0.75347222222222221</v>
      </c>
      <c r="L514" t="s">
        <v>18</v>
      </c>
      <c r="M514">
        <v>18.998000000000001</v>
      </c>
      <c r="N514">
        <v>9.3000000000000007</v>
      </c>
    </row>
    <row r="515" spans="1:14" x14ac:dyDescent="0.25">
      <c r="A515" t="s">
        <v>544</v>
      </c>
      <c r="B515" t="s">
        <v>13</v>
      </c>
      <c r="C515" t="s">
        <v>14</v>
      </c>
      <c r="D515" t="s">
        <v>22</v>
      </c>
      <c r="E515" t="s">
        <v>26</v>
      </c>
      <c r="F515" t="s">
        <v>23</v>
      </c>
      <c r="G515" t="s">
        <v>1036</v>
      </c>
      <c r="H515" t="s">
        <v>1043</v>
      </c>
      <c r="I515" s="1">
        <v>43538</v>
      </c>
      <c r="J515" t="s">
        <v>1045</v>
      </c>
      <c r="K515" s="5">
        <v>0.50486111111111109</v>
      </c>
      <c r="L515" t="s">
        <v>24</v>
      </c>
      <c r="M515">
        <v>34.842500000000001</v>
      </c>
      <c r="N515">
        <v>7.6</v>
      </c>
    </row>
    <row r="516" spans="1:14" x14ac:dyDescent="0.25">
      <c r="A516" t="s">
        <v>545</v>
      </c>
      <c r="B516" t="s">
        <v>20</v>
      </c>
      <c r="C516" t="s">
        <v>21</v>
      </c>
      <c r="D516" t="s">
        <v>15</v>
      </c>
      <c r="E516" t="s">
        <v>26</v>
      </c>
      <c r="F516" t="s">
        <v>31</v>
      </c>
      <c r="G516" t="s">
        <v>1034</v>
      </c>
      <c r="H516" t="s">
        <v>1042</v>
      </c>
      <c r="I516" s="1">
        <v>43519</v>
      </c>
      <c r="J516" t="s">
        <v>1046</v>
      </c>
      <c r="K516" s="5">
        <v>0.8256944444444444</v>
      </c>
      <c r="L516" t="s">
        <v>28</v>
      </c>
      <c r="M516">
        <v>20.436499999999999</v>
      </c>
      <c r="N516">
        <v>8.1999999999999993</v>
      </c>
    </row>
    <row r="517" spans="1:14" x14ac:dyDescent="0.25">
      <c r="A517" t="s">
        <v>546</v>
      </c>
      <c r="B517" t="s">
        <v>20</v>
      </c>
      <c r="C517" t="s">
        <v>21</v>
      </c>
      <c r="D517" t="s">
        <v>15</v>
      </c>
      <c r="E517" t="s">
        <v>16</v>
      </c>
      <c r="F517" t="s">
        <v>41</v>
      </c>
      <c r="G517" t="s">
        <v>1037</v>
      </c>
      <c r="H517" t="s">
        <v>1043</v>
      </c>
      <c r="I517" s="1">
        <v>43542</v>
      </c>
      <c r="J517" t="s">
        <v>1045</v>
      </c>
      <c r="K517" s="5">
        <v>0.66111111111111109</v>
      </c>
      <c r="L517" t="s">
        <v>18</v>
      </c>
      <c r="M517">
        <v>2.5735000000000001</v>
      </c>
      <c r="N517">
        <v>8.5</v>
      </c>
    </row>
    <row r="518" spans="1:14" x14ac:dyDescent="0.25">
      <c r="A518" t="s">
        <v>547</v>
      </c>
      <c r="B518" t="s">
        <v>37</v>
      </c>
      <c r="C518" t="s">
        <v>38</v>
      </c>
      <c r="D518" t="s">
        <v>15</v>
      </c>
      <c r="E518" t="s">
        <v>26</v>
      </c>
      <c r="F518" t="s">
        <v>17</v>
      </c>
      <c r="G518" t="s">
        <v>1038</v>
      </c>
      <c r="H518" t="s">
        <v>1043</v>
      </c>
      <c r="I518" s="1">
        <v>43553</v>
      </c>
      <c r="J518" t="s">
        <v>1046</v>
      </c>
      <c r="K518" s="5">
        <v>0.70000000000000007</v>
      </c>
      <c r="L518" t="s">
        <v>18</v>
      </c>
      <c r="M518">
        <v>13.715</v>
      </c>
      <c r="N518">
        <v>9.8000000000000007</v>
      </c>
    </row>
    <row r="519" spans="1:14" x14ac:dyDescent="0.25">
      <c r="A519" t="s">
        <v>548</v>
      </c>
      <c r="B519" t="s">
        <v>20</v>
      </c>
      <c r="C519" t="s">
        <v>21</v>
      </c>
      <c r="D519" t="s">
        <v>15</v>
      </c>
      <c r="E519" t="s">
        <v>26</v>
      </c>
      <c r="F519" t="s">
        <v>27</v>
      </c>
      <c r="G519" t="s">
        <v>1036</v>
      </c>
      <c r="H519" t="s">
        <v>1041</v>
      </c>
      <c r="I519" s="1">
        <v>43487</v>
      </c>
      <c r="J519" t="s">
        <v>1046</v>
      </c>
      <c r="K519" s="5">
        <v>0.8652777777777777</v>
      </c>
      <c r="L519" t="s">
        <v>28</v>
      </c>
      <c r="M519">
        <v>9.8475000000000001</v>
      </c>
      <c r="N519">
        <v>8.6999999999999993</v>
      </c>
    </row>
    <row r="520" spans="1:14" x14ac:dyDescent="0.25">
      <c r="A520" t="s">
        <v>549</v>
      </c>
      <c r="B520" t="s">
        <v>13</v>
      </c>
      <c r="C520" t="s">
        <v>14</v>
      </c>
      <c r="D520" t="s">
        <v>22</v>
      </c>
      <c r="E520" t="s">
        <v>26</v>
      </c>
      <c r="F520" t="s">
        <v>27</v>
      </c>
      <c r="G520" t="s">
        <v>1034</v>
      </c>
      <c r="H520" t="s">
        <v>1043</v>
      </c>
      <c r="I520" s="1">
        <v>43525</v>
      </c>
      <c r="J520" t="s">
        <v>1046</v>
      </c>
      <c r="K520" s="5">
        <v>0.7597222222222223</v>
      </c>
      <c r="L520" t="s">
        <v>18</v>
      </c>
      <c r="M520">
        <v>3.4729999999999999</v>
      </c>
      <c r="N520">
        <v>9.6999999999999993</v>
      </c>
    </row>
    <row r="521" spans="1:14" x14ac:dyDescent="0.25">
      <c r="A521" t="s">
        <v>550</v>
      </c>
      <c r="B521" t="s">
        <v>20</v>
      </c>
      <c r="C521" t="s">
        <v>21</v>
      </c>
      <c r="D521" t="s">
        <v>15</v>
      </c>
      <c r="E521" t="s">
        <v>26</v>
      </c>
      <c r="F521" t="s">
        <v>31</v>
      </c>
      <c r="G521" t="s">
        <v>1035</v>
      </c>
      <c r="H521" t="s">
        <v>1041</v>
      </c>
      <c r="I521" s="1">
        <v>43482</v>
      </c>
      <c r="J521" t="s">
        <v>1045</v>
      </c>
      <c r="K521" s="5">
        <v>0.62847222222222221</v>
      </c>
      <c r="L521" t="s">
        <v>28</v>
      </c>
      <c r="M521">
        <v>17.98</v>
      </c>
      <c r="N521">
        <v>4.3</v>
      </c>
    </row>
    <row r="522" spans="1:14" x14ac:dyDescent="0.25">
      <c r="A522" t="s">
        <v>551</v>
      </c>
      <c r="B522" t="s">
        <v>37</v>
      </c>
      <c r="C522" t="s">
        <v>38</v>
      </c>
      <c r="D522" t="s">
        <v>22</v>
      </c>
      <c r="E522" t="s">
        <v>16</v>
      </c>
      <c r="F522" t="s">
        <v>23</v>
      </c>
      <c r="G522" t="s">
        <v>1038</v>
      </c>
      <c r="H522" t="s">
        <v>1043</v>
      </c>
      <c r="I522" s="1">
        <v>43550</v>
      </c>
      <c r="J522" t="s">
        <v>1044</v>
      </c>
      <c r="K522" s="5">
        <v>0.44027777777777777</v>
      </c>
      <c r="L522" t="s">
        <v>28</v>
      </c>
      <c r="M522">
        <v>6.8564999999999996</v>
      </c>
      <c r="N522">
        <v>7.7</v>
      </c>
    </row>
    <row r="523" spans="1:14" x14ac:dyDescent="0.25">
      <c r="A523" t="s">
        <v>552</v>
      </c>
      <c r="B523" t="s">
        <v>20</v>
      </c>
      <c r="C523" t="s">
        <v>21</v>
      </c>
      <c r="D523" t="s">
        <v>15</v>
      </c>
      <c r="E523" t="s">
        <v>16</v>
      </c>
      <c r="F523" t="s">
        <v>27</v>
      </c>
      <c r="G523" t="s">
        <v>1037</v>
      </c>
      <c r="H523" t="s">
        <v>1043</v>
      </c>
      <c r="I523" s="1">
        <v>43544</v>
      </c>
      <c r="J523" t="s">
        <v>1044</v>
      </c>
      <c r="K523" s="5">
        <v>0.47430555555555554</v>
      </c>
      <c r="L523" t="s">
        <v>24</v>
      </c>
      <c r="M523">
        <v>24.951000000000001</v>
      </c>
      <c r="N523">
        <v>7.3</v>
      </c>
    </row>
    <row r="524" spans="1:14" x14ac:dyDescent="0.25">
      <c r="A524" t="s">
        <v>553</v>
      </c>
      <c r="B524" t="s">
        <v>13</v>
      </c>
      <c r="C524" t="s">
        <v>14</v>
      </c>
      <c r="D524" t="s">
        <v>15</v>
      </c>
      <c r="E524" t="s">
        <v>16</v>
      </c>
      <c r="F524" t="s">
        <v>27</v>
      </c>
      <c r="G524" t="s">
        <v>1038</v>
      </c>
      <c r="H524" t="s">
        <v>1042</v>
      </c>
      <c r="I524" s="1">
        <v>43502</v>
      </c>
      <c r="J524" t="s">
        <v>1045</v>
      </c>
      <c r="K524" s="5">
        <v>0.57986111111111105</v>
      </c>
      <c r="L524" t="s">
        <v>28</v>
      </c>
      <c r="M524">
        <v>11.231999999999999</v>
      </c>
      <c r="N524">
        <v>5.9</v>
      </c>
    </row>
    <row r="525" spans="1:14" x14ac:dyDescent="0.25">
      <c r="A525" t="s">
        <v>554</v>
      </c>
      <c r="B525" t="s">
        <v>20</v>
      </c>
      <c r="C525" t="s">
        <v>21</v>
      </c>
      <c r="D525" t="s">
        <v>22</v>
      </c>
      <c r="E525" t="s">
        <v>26</v>
      </c>
      <c r="F525" t="s">
        <v>17</v>
      </c>
      <c r="G525" t="s">
        <v>1040</v>
      </c>
      <c r="H525" t="s">
        <v>1041</v>
      </c>
      <c r="I525" s="1">
        <v>43466</v>
      </c>
      <c r="J525" t="s">
        <v>1044</v>
      </c>
      <c r="K525" s="5">
        <v>0.48819444444444443</v>
      </c>
      <c r="L525" t="s">
        <v>24</v>
      </c>
      <c r="M525">
        <v>6.2869999999999999</v>
      </c>
      <c r="N525">
        <v>5</v>
      </c>
    </row>
    <row r="526" spans="1:14" x14ac:dyDescent="0.25">
      <c r="A526" t="s">
        <v>555</v>
      </c>
      <c r="B526" t="s">
        <v>13</v>
      </c>
      <c r="C526" t="s">
        <v>14</v>
      </c>
      <c r="D526" t="s">
        <v>22</v>
      </c>
      <c r="E526" t="s">
        <v>26</v>
      </c>
      <c r="F526" t="s">
        <v>39</v>
      </c>
      <c r="G526" t="s">
        <v>1037</v>
      </c>
      <c r="H526" t="s">
        <v>1041</v>
      </c>
      <c r="I526" s="1">
        <v>43492</v>
      </c>
      <c r="J526" t="s">
        <v>1045</v>
      </c>
      <c r="K526" s="5">
        <v>0.60833333333333328</v>
      </c>
      <c r="L526" t="s">
        <v>28</v>
      </c>
      <c r="M526">
        <v>24.513000000000002</v>
      </c>
      <c r="N526">
        <v>8</v>
      </c>
    </row>
    <row r="527" spans="1:14" x14ac:dyDescent="0.25">
      <c r="A527" t="s">
        <v>556</v>
      </c>
      <c r="B527" t="s">
        <v>13</v>
      </c>
      <c r="C527" t="s">
        <v>14</v>
      </c>
      <c r="D527" t="s">
        <v>15</v>
      </c>
      <c r="E527" t="s">
        <v>16</v>
      </c>
      <c r="F527" t="s">
        <v>31</v>
      </c>
      <c r="G527" t="s">
        <v>1034</v>
      </c>
      <c r="H527" t="s">
        <v>1042</v>
      </c>
      <c r="I527" s="1">
        <v>43521</v>
      </c>
      <c r="J527" t="s">
        <v>1046</v>
      </c>
      <c r="K527" s="5">
        <v>0.66875000000000007</v>
      </c>
      <c r="L527" t="s">
        <v>18</v>
      </c>
      <c r="M527">
        <v>22.852499999999999</v>
      </c>
      <c r="N527">
        <v>7.1</v>
      </c>
    </row>
    <row r="528" spans="1:14" x14ac:dyDescent="0.25">
      <c r="A528" t="s">
        <v>557</v>
      </c>
      <c r="B528" t="s">
        <v>37</v>
      </c>
      <c r="C528" t="s">
        <v>38</v>
      </c>
      <c r="D528" t="s">
        <v>22</v>
      </c>
      <c r="E528" t="s">
        <v>26</v>
      </c>
      <c r="F528" t="s">
        <v>41</v>
      </c>
      <c r="G528" t="s">
        <v>1035</v>
      </c>
      <c r="H528" t="s">
        <v>1041</v>
      </c>
      <c r="I528" s="1">
        <v>43481</v>
      </c>
      <c r="J528" t="s">
        <v>1046</v>
      </c>
      <c r="K528" s="5">
        <v>0.8354166666666667</v>
      </c>
      <c r="L528" t="s">
        <v>28</v>
      </c>
      <c r="M528">
        <v>7.8419999999999996</v>
      </c>
      <c r="N528">
        <v>9</v>
      </c>
    </row>
    <row r="529" spans="1:14" x14ac:dyDescent="0.25">
      <c r="A529" t="s">
        <v>558</v>
      </c>
      <c r="B529" t="s">
        <v>37</v>
      </c>
      <c r="C529" t="s">
        <v>38</v>
      </c>
      <c r="D529" t="s">
        <v>15</v>
      </c>
      <c r="E529" t="s">
        <v>26</v>
      </c>
      <c r="F529" t="s">
        <v>41</v>
      </c>
      <c r="G529" t="s">
        <v>1035</v>
      </c>
      <c r="H529" t="s">
        <v>1041</v>
      </c>
      <c r="I529" s="1">
        <v>43478</v>
      </c>
      <c r="J529" t="s">
        <v>1045</v>
      </c>
      <c r="K529" s="5">
        <v>0.62152777777777779</v>
      </c>
      <c r="L529" t="s">
        <v>18</v>
      </c>
      <c r="M529">
        <v>5.9859999999999998</v>
      </c>
      <c r="N529">
        <v>6.7</v>
      </c>
    </row>
    <row r="530" spans="1:14" x14ac:dyDescent="0.25">
      <c r="A530" t="s">
        <v>559</v>
      </c>
      <c r="B530" t="s">
        <v>37</v>
      </c>
      <c r="C530" t="s">
        <v>38</v>
      </c>
      <c r="D530" t="s">
        <v>15</v>
      </c>
      <c r="E530" t="s">
        <v>16</v>
      </c>
      <c r="F530" t="s">
        <v>39</v>
      </c>
      <c r="G530" t="s">
        <v>1038</v>
      </c>
      <c r="H530" t="s">
        <v>1042</v>
      </c>
      <c r="I530" s="1">
        <v>43503</v>
      </c>
      <c r="J530" t="s">
        <v>1044</v>
      </c>
      <c r="K530" s="5">
        <v>0.4777777777777778</v>
      </c>
      <c r="L530" t="s">
        <v>28</v>
      </c>
      <c r="M530">
        <v>27.18</v>
      </c>
      <c r="N530">
        <v>6.1</v>
      </c>
    </row>
    <row r="531" spans="1:14" x14ac:dyDescent="0.25">
      <c r="A531" t="s">
        <v>560</v>
      </c>
      <c r="B531" t="s">
        <v>13</v>
      </c>
      <c r="C531" t="s">
        <v>14</v>
      </c>
      <c r="D531" t="s">
        <v>22</v>
      </c>
      <c r="E531" t="s">
        <v>26</v>
      </c>
      <c r="F531" t="s">
        <v>31</v>
      </c>
      <c r="G531" t="s">
        <v>1040</v>
      </c>
      <c r="H531" t="s">
        <v>1042</v>
      </c>
      <c r="I531" s="1">
        <v>43513</v>
      </c>
      <c r="J531" t="s">
        <v>1046</v>
      </c>
      <c r="K531" s="5">
        <v>0.82013888888888886</v>
      </c>
      <c r="L531" t="s">
        <v>24</v>
      </c>
      <c r="M531">
        <v>44.140500000000003</v>
      </c>
      <c r="N531">
        <v>9.3000000000000007</v>
      </c>
    </row>
    <row r="532" spans="1:14" x14ac:dyDescent="0.25">
      <c r="A532" t="s">
        <v>561</v>
      </c>
      <c r="B532" t="s">
        <v>13</v>
      </c>
      <c r="C532" t="s">
        <v>14</v>
      </c>
      <c r="D532" t="s">
        <v>22</v>
      </c>
      <c r="E532" t="s">
        <v>26</v>
      </c>
      <c r="F532" t="s">
        <v>17</v>
      </c>
      <c r="G532" t="s">
        <v>1039</v>
      </c>
      <c r="H532" t="s">
        <v>1042</v>
      </c>
      <c r="I532" s="1">
        <v>43508</v>
      </c>
      <c r="J532" t="s">
        <v>1046</v>
      </c>
      <c r="K532" s="5">
        <v>0.79236111111111107</v>
      </c>
      <c r="L532" t="s">
        <v>18</v>
      </c>
      <c r="M532">
        <v>7.6289999999999996</v>
      </c>
      <c r="N532">
        <v>7</v>
      </c>
    </row>
    <row r="533" spans="1:14" x14ac:dyDescent="0.25">
      <c r="A533" t="s">
        <v>562</v>
      </c>
      <c r="B533" t="s">
        <v>13</v>
      </c>
      <c r="C533" t="s">
        <v>14</v>
      </c>
      <c r="D533" t="s">
        <v>15</v>
      </c>
      <c r="E533" t="s">
        <v>26</v>
      </c>
      <c r="F533" t="s">
        <v>41</v>
      </c>
      <c r="G533" t="s">
        <v>1036</v>
      </c>
      <c r="H533" t="s">
        <v>1041</v>
      </c>
      <c r="I533" s="1">
        <v>43489</v>
      </c>
      <c r="J533" t="s">
        <v>1046</v>
      </c>
      <c r="K533" s="5">
        <v>0.75277777777777777</v>
      </c>
      <c r="L533" t="s">
        <v>28</v>
      </c>
      <c r="M533">
        <v>34.671999999999997</v>
      </c>
      <c r="N533">
        <v>7.2</v>
      </c>
    </row>
    <row r="534" spans="1:14" x14ac:dyDescent="0.25">
      <c r="A534" t="s">
        <v>563</v>
      </c>
      <c r="B534" t="s">
        <v>37</v>
      </c>
      <c r="C534" t="s">
        <v>38</v>
      </c>
      <c r="D534" t="s">
        <v>22</v>
      </c>
      <c r="E534" t="s">
        <v>26</v>
      </c>
      <c r="F534" t="s">
        <v>23</v>
      </c>
      <c r="G534" t="s">
        <v>1038</v>
      </c>
      <c r="H534" t="s">
        <v>1042</v>
      </c>
      <c r="I534" s="1">
        <v>43502</v>
      </c>
      <c r="J534" t="s">
        <v>1046</v>
      </c>
      <c r="K534" s="5">
        <v>0.80555555555555547</v>
      </c>
      <c r="L534" t="s">
        <v>18</v>
      </c>
      <c r="M534">
        <v>11.475</v>
      </c>
      <c r="N534">
        <v>8.1999999999999993</v>
      </c>
    </row>
    <row r="535" spans="1:14" x14ac:dyDescent="0.25">
      <c r="A535" t="s">
        <v>564</v>
      </c>
      <c r="B535" t="s">
        <v>20</v>
      </c>
      <c r="C535" t="s">
        <v>21</v>
      </c>
      <c r="D535" t="s">
        <v>22</v>
      </c>
      <c r="E535" t="s">
        <v>16</v>
      </c>
      <c r="F535" t="s">
        <v>39</v>
      </c>
      <c r="G535" t="s">
        <v>1038</v>
      </c>
      <c r="H535" t="s">
        <v>1043</v>
      </c>
      <c r="I535" s="1">
        <v>43550</v>
      </c>
      <c r="J535" t="s">
        <v>1044</v>
      </c>
      <c r="K535" s="5">
        <v>0.4381944444444445</v>
      </c>
      <c r="L535" t="s">
        <v>18</v>
      </c>
      <c r="M535">
        <v>7.3395000000000001</v>
      </c>
      <c r="N535">
        <v>8.4</v>
      </c>
    </row>
    <row r="536" spans="1:14" x14ac:dyDescent="0.25">
      <c r="A536" t="s">
        <v>565</v>
      </c>
      <c r="B536" t="s">
        <v>13</v>
      </c>
      <c r="C536" t="s">
        <v>14</v>
      </c>
      <c r="D536" t="s">
        <v>22</v>
      </c>
      <c r="E536" t="s">
        <v>16</v>
      </c>
      <c r="F536" t="s">
        <v>27</v>
      </c>
      <c r="G536" t="s">
        <v>1036</v>
      </c>
      <c r="H536" t="s">
        <v>1043</v>
      </c>
      <c r="I536" s="1">
        <v>43535</v>
      </c>
      <c r="J536" t="s">
        <v>1045</v>
      </c>
      <c r="K536" s="5">
        <v>0.56111111111111112</v>
      </c>
      <c r="L536" t="s">
        <v>18</v>
      </c>
      <c r="M536">
        <v>7.08</v>
      </c>
      <c r="N536">
        <v>6.2</v>
      </c>
    </row>
    <row r="537" spans="1:14" x14ac:dyDescent="0.25">
      <c r="A537" t="s">
        <v>566</v>
      </c>
      <c r="B537" t="s">
        <v>20</v>
      </c>
      <c r="C537" t="s">
        <v>21</v>
      </c>
      <c r="D537" t="s">
        <v>22</v>
      </c>
      <c r="E537" t="s">
        <v>26</v>
      </c>
      <c r="F537" t="s">
        <v>27</v>
      </c>
      <c r="G537" t="s">
        <v>1038</v>
      </c>
      <c r="H537" t="s">
        <v>1042</v>
      </c>
      <c r="I537" s="1">
        <v>43503</v>
      </c>
      <c r="J537" t="s">
        <v>1044</v>
      </c>
      <c r="K537" s="5">
        <v>0.48333333333333334</v>
      </c>
      <c r="L537" t="s">
        <v>18</v>
      </c>
      <c r="M537">
        <v>5.8345000000000002</v>
      </c>
      <c r="N537">
        <v>7.4</v>
      </c>
    </row>
    <row r="538" spans="1:14" x14ac:dyDescent="0.25">
      <c r="A538" t="s">
        <v>567</v>
      </c>
      <c r="B538" t="s">
        <v>37</v>
      </c>
      <c r="C538" t="s">
        <v>38</v>
      </c>
      <c r="D538" t="s">
        <v>15</v>
      </c>
      <c r="E538" t="s">
        <v>16</v>
      </c>
      <c r="F538" t="s">
        <v>41</v>
      </c>
      <c r="G538" t="s">
        <v>1034</v>
      </c>
      <c r="H538" t="s">
        <v>1041</v>
      </c>
      <c r="I538" s="1">
        <v>43470</v>
      </c>
      <c r="J538" t="s">
        <v>1044</v>
      </c>
      <c r="K538" s="5">
        <v>0.48055555555555557</v>
      </c>
      <c r="L538" t="s">
        <v>28</v>
      </c>
      <c r="M538">
        <v>3.698</v>
      </c>
      <c r="N538">
        <v>5</v>
      </c>
    </row>
    <row r="539" spans="1:14" x14ac:dyDescent="0.25">
      <c r="A539" t="s">
        <v>568</v>
      </c>
      <c r="B539" t="s">
        <v>13</v>
      </c>
      <c r="C539" t="s">
        <v>14</v>
      </c>
      <c r="D539" t="s">
        <v>22</v>
      </c>
      <c r="E539" t="s">
        <v>26</v>
      </c>
      <c r="F539" t="s">
        <v>27</v>
      </c>
      <c r="G539" t="s">
        <v>1035</v>
      </c>
      <c r="H539" t="s">
        <v>1043</v>
      </c>
      <c r="I539" s="1">
        <v>43531</v>
      </c>
      <c r="J539" t="s">
        <v>1044</v>
      </c>
      <c r="K539" s="5">
        <v>0.48888888888888887</v>
      </c>
      <c r="L539" t="s">
        <v>18</v>
      </c>
      <c r="M539">
        <v>4.8970000000000002</v>
      </c>
      <c r="N539">
        <v>6.9</v>
      </c>
    </row>
    <row r="540" spans="1:14" x14ac:dyDescent="0.25">
      <c r="A540" t="s">
        <v>569</v>
      </c>
      <c r="B540" t="s">
        <v>13</v>
      </c>
      <c r="C540" t="s">
        <v>14</v>
      </c>
      <c r="D540" t="s">
        <v>22</v>
      </c>
      <c r="E540" t="s">
        <v>16</v>
      </c>
      <c r="F540" t="s">
        <v>41</v>
      </c>
      <c r="G540" t="s">
        <v>1034</v>
      </c>
      <c r="H540" t="s">
        <v>1042</v>
      </c>
      <c r="I540" s="1">
        <v>43521</v>
      </c>
      <c r="J540" t="s">
        <v>1046</v>
      </c>
      <c r="K540" s="5">
        <v>0.71944444444444444</v>
      </c>
      <c r="L540" t="s">
        <v>28</v>
      </c>
      <c r="M540">
        <v>14.61</v>
      </c>
      <c r="N540">
        <v>4.9000000000000004</v>
      </c>
    </row>
    <row r="541" spans="1:14" x14ac:dyDescent="0.25">
      <c r="A541" t="s">
        <v>570</v>
      </c>
      <c r="B541" t="s">
        <v>20</v>
      </c>
      <c r="C541" t="s">
        <v>21</v>
      </c>
      <c r="D541" t="s">
        <v>15</v>
      </c>
      <c r="E541" t="s">
        <v>16</v>
      </c>
      <c r="F541" t="s">
        <v>39</v>
      </c>
      <c r="G541" t="s">
        <v>1037</v>
      </c>
      <c r="H541" t="s">
        <v>1042</v>
      </c>
      <c r="I541" s="1">
        <v>43497</v>
      </c>
      <c r="J541" t="s">
        <v>1046</v>
      </c>
      <c r="K541" s="5">
        <v>0.77986111111111101</v>
      </c>
      <c r="L541" t="s">
        <v>18</v>
      </c>
      <c r="M541">
        <v>26.244</v>
      </c>
      <c r="N541">
        <v>5.0999999999999996</v>
      </c>
    </row>
    <row r="542" spans="1:14" x14ac:dyDescent="0.25">
      <c r="A542" t="s">
        <v>571</v>
      </c>
      <c r="B542" t="s">
        <v>13</v>
      </c>
      <c r="C542" t="s">
        <v>14</v>
      </c>
      <c r="D542" t="s">
        <v>22</v>
      </c>
      <c r="E542" t="s">
        <v>26</v>
      </c>
      <c r="F542" t="s">
        <v>27</v>
      </c>
      <c r="G542" t="s">
        <v>1036</v>
      </c>
      <c r="H542" t="s">
        <v>1041</v>
      </c>
      <c r="I542" s="1">
        <v>43487</v>
      </c>
      <c r="J542" t="s">
        <v>1044</v>
      </c>
      <c r="K542" s="5">
        <v>0.45833333333333331</v>
      </c>
      <c r="L542" t="s">
        <v>18</v>
      </c>
      <c r="M542">
        <v>4.6020000000000003</v>
      </c>
      <c r="N542">
        <v>9.1</v>
      </c>
    </row>
    <row r="543" spans="1:14" x14ac:dyDescent="0.25">
      <c r="A543" t="s">
        <v>572</v>
      </c>
      <c r="B543" t="s">
        <v>20</v>
      </c>
      <c r="C543" t="s">
        <v>21</v>
      </c>
      <c r="D543" t="s">
        <v>15</v>
      </c>
      <c r="E543" t="s">
        <v>26</v>
      </c>
      <c r="F543" t="s">
        <v>17</v>
      </c>
      <c r="G543" t="s">
        <v>1040</v>
      </c>
      <c r="H543" t="s">
        <v>1041</v>
      </c>
      <c r="I543" s="1">
        <v>43468</v>
      </c>
      <c r="J543" t="s">
        <v>1044</v>
      </c>
      <c r="K543" s="5">
        <v>0.4375</v>
      </c>
      <c r="L543" t="s">
        <v>28</v>
      </c>
      <c r="M543">
        <v>3.794</v>
      </c>
      <c r="N543">
        <v>7.1</v>
      </c>
    </row>
    <row r="544" spans="1:14" x14ac:dyDescent="0.25">
      <c r="A544" t="s">
        <v>573</v>
      </c>
      <c r="B544" t="s">
        <v>37</v>
      </c>
      <c r="C544" t="s">
        <v>38</v>
      </c>
      <c r="D544" t="s">
        <v>15</v>
      </c>
      <c r="E544" t="s">
        <v>16</v>
      </c>
      <c r="F544" t="s">
        <v>31</v>
      </c>
      <c r="G544" t="s">
        <v>1039</v>
      </c>
      <c r="H544" t="s">
        <v>1042</v>
      </c>
      <c r="I544" s="1">
        <v>43509</v>
      </c>
      <c r="J544" t="s">
        <v>1045</v>
      </c>
      <c r="K544" s="5">
        <v>0.50972222222222219</v>
      </c>
      <c r="L544" t="s">
        <v>28</v>
      </c>
      <c r="M544">
        <v>4.0359999999999996</v>
      </c>
      <c r="N544">
        <v>5</v>
      </c>
    </row>
    <row r="545" spans="1:14" x14ac:dyDescent="0.25">
      <c r="A545" t="s">
        <v>574</v>
      </c>
      <c r="B545" t="s">
        <v>20</v>
      </c>
      <c r="C545" t="s">
        <v>21</v>
      </c>
      <c r="D545" t="s">
        <v>15</v>
      </c>
      <c r="E545" t="s">
        <v>26</v>
      </c>
      <c r="F545" t="s">
        <v>23</v>
      </c>
      <c r="G545" t="s">
        <v>1037</v>
      </c>
      <c r="H545" t="s">
        <v>1041</v>
      </c>
      <c r="I545" s="1">
        <v>43493</v>
      </c>
      <c r="J545" t="s">
        <v>1046</v>
      </c>
      <c r="K545" s="5">
        <v>0.69652777777777775</v>
      </c>
      <c r="L545" t="s">
        <v>28</v>
      </c>
      <c r="M545">
        <v>5.6310000000000002</v>
      </c>
      <c r="N545">
        <v>5.5</v>
      </c>
    </row>
    <row r="546" spans="1:14" x14ac:dyDescent="0.25">
      <c r="A546" t="s">
        <v>575</v>
      </c>
      <c r="B546" t="s">
        <v>37</v>
      </c>
      <c r="C546" t="s">
        <v>38</v>
      </c>
      <c r="D546" t="s">
        <v>22</v>
      </c>
      <c r="E546" t="s">
        <v>16</v>
      </c>
      <c r="F546" t="s">
        <v>39</v>
      </c>
      <c r="G546" t="s">
        <v>1034</v>
      </c>
      <c r="H546" t="s">
        <v>1041</v>
      </c>
      <c r="I546" s="1">
        <v>43470</v>
      </c>
      <c r="J546" t="s">
        <v>1046</v>
      </c>
      <c r="K546" s="5">
        <v>0.86111111111111116</v>
      </c>
      <c r="L546" t="s">
        <v>28</v>
      </c>
      <c r="M546">
        <v>3.56</v>
      </c>
      <c r="N546">
        <v>9.1999999999999993</v>
      </c>
    </row>
    <row r="547" spans="1:14" x14ac:dyDescent="0.25">
      <c r="A547" t="s">
        <v>576</v>
      </c>
      <c r="B547" t="s">
        <v>37</v>
      </c>
      <c r="C547" t="s">
        <v>38</v>
      </c>
      <c r="D547" t="s">
        <v>15</v>
      </c>
      <c r="E547" t="s">
        <v>26</v>
      </c>
      <c r="F547" t="s">
        <v>27</v>
      </c>
      <c r="G547" t="s">
        <v>1037</v>
      </c>
      <c r="H547" t="s">
        <v>1043</v>
      </c>
      <c r="I547" s="1">
        <v>43543</v>
      </c>
      <c r="J547" t="s">
        <v>1045</v>
      </c>
      <c r="K547" s="5">
        <v>0.56944444444444442</v>
      </c>
      <c r="L547" t="s">
        <v>18</v>
      </c>
      <c r="M547">
        <v>7.7619999999999996</v>
      </c>
      <c r="N547">
        <v>4.9000000000000004</v>
      </c>
    </row>
    <row r="548" spans="1:14" x14ac:dyDescent="0.25">
      <c r="A548" t="s">
        <v>577</v>
      </c>
      <c r="B548" t="s">
        <v>13</v>
      </c>
      <c r="C548" t="s">
        <v>14</v>
      </c>
      <c r="D548" t="s">
        <v>22</v>
      </c>
      <c r="E548" t="s">
        <v>16</v>
      </c>
      <c r="F548" t="s">
        <v>41</v>
      </c>
      <c r="G548" t="s">
        <v>1035</v>
      </c>
      <c r="H548" t="s">
        <v>1041</v>
      </c>
      <c r="I548" s="1">
        <v>43477</v>
      </c>
      <c r="J548" t="s">
        <v>1046</v>
      </c>
      <c r="K548" s="5">
        <v>0.68263888888888891</v>
      </c>
      <c r="L548" t="s">
        <v>18</v>
      </c>
      <c r="M548">
        <v>14.71</v>
      </c>
      <c r="N548">
        <v>8.9</v>
      </c>
    </row>
    <row r="549" spans="1:14" x14ac:dyDescent="0.25">
      <c r="A549" t="s">
        <v>578</v>
      </c>
      <c r="B549" t="s">
        <v>13</v>
      </c>
      <c r="C549" t="s">
        <v>14</v>
      </c>
      <c r="D549" t="s">
        <v>22</v>
      </c>
      <c r="E549" t="s">
        <v>26</v>
      </c>
      <c r="F549" t="s">
        <v>31</v>
      </c>
      <c r="G549" t="s">
        <v>1034</v>
      </c>
      <c r="H549" t="s">
        <v>1041</v>
      </c>
      <c r="I549" s="1">
        <v>43472</v>
      </c>
      <c r="J549" t="s">
        <v>1045</v>
      </c>
      <c r="K549" s="5">
        <v>0.50555555555555554</v>
      </c>
      <c r="L549" t="s">
        <v>28</v>
      </c>
      <c r="M549">
        <v>27.427499999999998</v>
      </c>
      <c r="N549">
        <v>6</v>
      </c>
    </row>
    <row r="550" spans="1:14" x14ac:dyDescent="0.25">
      <c r="A550" t="s">
        <v>579</v>
      </c>
      <c r="B550" t="s">
        <v>37</v>
      </c>
      <c r="C550" t="s">
        <v>38</v>
      </c>
      <c r="D550" t="s">
        <v>22</v>
      </c>
      <c r="E550" t="s">
        <v>16</v>
      </c>
      <c r="F550" t="s">
        <v>31</v>
      </c>
      <c r="G550" t="s">
        <v>1037</v>
      </c>
      <c r="H550" t="s">
        <v>1041</v>
      </c>
      <c r="I550" s="1">
        <v>43491</v>
      </c>
      <c r="J550" t="s">
        <v>1046</v>
      </c>
      <c r="K550" s="5">
        <v>0.73958333333333337</v>
      </c>
      <c r="L550" t="s">
        <v>24</v>
      </c>
      <c r="M550">
        <v>12.885</v>
      </c>
      <c r="N550">
        <v>4.2</v>
      </c>
    </row>
    <row r="551" spans="1:14" x14ac:dyDescent="0.25">
      <c r="A551" t="s">
        <v>580</v>
      </c>
      <c r="B551" t="s">
        <v>13</v>
      </c>
      <c r="C551" t="s">
        <v>14</v>
      </c>
      <c r="D551" t="s">
        <v>22</v>
      </c>
      <c r="E551" t="s">
        <v>16</v>
      </c>
      <c r="F551" t="s">
        <v>23</v>
      </c>
      <c r="G551" t="s">
        <v>1036</v>
      </c>
      <c r="H551" t="s">
        <v>1041</v>
      </c>
      <c r="I551" s="1">
        <v>43488</v>
      </c>
      <c r="J551" t="s">
        <v>1044</v>
      </c>
      <c r="K551" s="5">
        <v>0.43611111111111112</v>
      </c>
      <c r="L551" t="s">
        <v>24</v>
      </c>
      <c r="M551">
        <v>19.818000000000001</v>
      </c>
      <c r="N551">
        <v>7.3</v>
      </c>
    </row>
    <row r="552" spans="1:14" x14ac:dyDescent="0.25">
      <c r="A552" t="s">
        <v>581</v>
      </c>
      <c r="B552" t="s">
        <v>37</v>
      </c>
      <c r="C552" t="s">
        <v>38</v>
      </c>
      <c r="D552" t="s">
        <v>22</v>
      </c>
      <c r="E552" t="s">
        <v>26</v>
      </c>
      <c r="F552" t="s">
        <v>41</v>
      </c>
      <c r="G552" t="s">
        <v>1039</v>
      </c>
      <c r="H552" t="s">
        <v>1042</v>
      </c>
      <c r="I552" s="1">
        <v>43505</v>
      </c>
      <c r="J552" t="s">
        <v>1046</v>
      </c>
      <c r="K552" s="5">
        <v>0.85486111111111107</v>
      </c>
      <c r="L552" t="s">
        <v>18</v>
      </c>
      <c r="M552">
        <v>8.5905000000000005</v>
      </c>
      <c r="N552">
        <v>6.5</v>
      </c>
    </row>
    <row r="553" spans="1:14" x14ac:dyDescent="0.25">
      <c r="A553" t="s">
        <v>582</v>
      </c>
      <c r="B553" t="s">
        <v>37</v>
      </c>
      <c r="C553" t="s">
        <v>38</v>
      </c>
      <c r="D553" t="s">
        <v>22</v>
      </c>
      <c r="E553" t="s">
        <v>16</v>
      </c>
      <c r="F553" t="s">
        <v>41</v>
      </c>
      <c r="G553" t="s">
        <v>1040</v>
      </c>
      <c r="H553" t="s">
        <v>1042</v>
      </c>
      <c r="I553" s="1">
        <v>43518</v>
      </c>
      <c r="J553" t="s">
        <v>1044</v>
      </c>
      <c r="K553" s="5">
        <v>0.45069444444444445</v>
      </c>
      <c r="L553" t="s">
        <v>24</v>
      </c>
      <c r="M553">
        <v>24.439499999999999</v>
      </c>
      <c r="N553">
        <v>8.9</v>
      </c>
    </row>
    <row r="554" spans="1:14" x14ac:dyDescent="0.25">
      <c r="A554" t="s">
        <v>583</v>
      </c>
      <c r="B554" t="s">
        <v>37</v>
      </c>
      <c r="C554" t="s">
        <v>38</v>
      </c>
      <c r="D554" t="s">
        <v>22</v>
      </c>
      <c r="E554" t="s">
        <v>16</v>
      </c>
      <c r="F554" t="s">
        <v>17</v>
      </c>
      <c r="G554" t="s">
        <v>1038</v>
      </c>
      <c r="H554" t="s">
        <v>1042</v>
      </c>
      <c r="I554" s="1">
        <v>43501</v>
      </c>
      <c r="J554" t="s">
        <v>1045</v>
      </c>
      <c r="K554" s="5">
        <v>0.52361111111111114</v>
      </c>
      <c r="L554" t="s">
        <v>24</v>
      </c>
      <c r="M554">
        <v>26.207999999999998</v>
      </c>
      <c r="N554">
        <v>9.6999999999999993</v>
      </c>
    </row>
    <row r="555" spans="1:14" x14ac:dyDescent="0.25">
      <c r="A555" t="s">
        <v>584</v>
      </c>
      <c r="B555" t="s">
        <v>20</v>
      </c>
      <c r="C555" t="s">
        <v>21</v>
      </c>
      <c r="D555" t="s">
        <v>22</v>
      </c>
      <c r="E555" t="s">
        <v>26</v>
      </c>
      <c r="F555" t="s">
        <v>23</v>
      </c>
      <c r="G555" t="s">
        <v>1035</v>
      </c>
      <c r="H555" t="s">
        <v>1043</v>
      </c>
      <c r="I555" s="1">
        <v>43531</v>
      </c>
      <c r="J555" t="s">
        <v>1044</v>
      </c>
      <c r="K555" s="5">
        <v>0.43263888888888885</v>
      </c>
      <c r="L555" t="s">
        <v>28</v>
      </c>
      <c r="M555">
        <v>6.6630000000000003</v>
      </c>
      <c r="N555">
        <v>8.6</v>
      </c>
    </row>
    <row r="556" spans="1:14" x14ac:dyDescent="0.25">
      <c r="A556" t="s">
        <v>585</v>
      </c>
      <c r="B556" t="s">
        <v>13</v>
      </c>
      <c r="C556" t="s">
        <v>14</v>
      </c>
      <c r="D556" t="s">
        <v>15</v>
      </c>
      <c r="E556" t="s">
        <v>26</v>
      </c>
      <c r="F556" t="s">
        <v>23</v>
      </c>
      <c r="G556" t="s">
        <v>1038</v>
      </c>
      <c r="H556" t="s">
        <v>1043</v>
      </c>
      <c r="I556" s="1">
        <v>43549</v>
      </c>
      <c r="J556" t="s">
        <v>1046</v>
      </c>
      <c r="K556" s="5">
        <v>0.78541666666666676</v>
      </c>
      <c r="L556" t="s">
        <v>24</v>
      </c>
      <c r="M556">
        <v>6.7619999999999996</v>
      </c>
      <c r="N556">
        <v>6.9</v>
      </c>
    </row>
    <row r="557" spans="1:14" x14ac:dyDescent="0.25">
      <c r="A557" t="s">
        <v>586</v>
      </c>
      <c r="B557" t="s">
        <v>37</v>
      </c>
      <c r="C557" t="s">
        <v>38</v>
      </c>
      <c r="D557" t="s">
        <v>22</v>
      </c>
      <c r="E557" t="s">
        <v>26</v>
      </c>
      <c r="F557" t="s">
        <v>27</v>
      </c>
      <c r="G557" t="s">
        <v>1036</v>
      </c>
      <c r="H557" t="s">
        <v>1041</v>
      </c>
      <c r="I557" s="1">
        <v>43485</v>
      </c>
      <c r="J557" t="s">
        <v>1045</v>
      </c>
      <c r="K557" s="5">
        <v>0.57291666666666663</v>
      </c>
      <c r="L557" t="s">
        <v>28</v>
      </c>
      <c r="M557">
        <v>5.6219999999999999</v>
      </c>
      <c r="N557">
        <v>7.7</v>
      </c>
    </row>
    <row r="558" spans="1:14" x14ac:dyDescent="0.25">
      <c r="A558" t="s">
        <v>587</v>
      </c>
      <c r="B558" t="s">
        <v>37</v>
      </c>
      <c r="C558" t="s">
        <v>38</v>
      </c>
      <c r="D558" t="s">
        <v>15</v>
      </c>
      <c r="E558" t="s">
        <v>16</v>
      </c>
      <c r="F558" t="s">
        <v>41</v>
      </c>
      <c r="G558" t="s">
        <v>1038</v>
      </c>
      <c r="H558" t="s">
        <v>1042</v>
      </c>
      <c r="I558" s="1">
        <v>43500</v>
      </c>
      <c r="J558" t="s">
        <v>1046</v>
      </c>
      <c r="K558" s="5">
        <v>0.81805555555555554</v>
      </c>
      <c r="L558" t="s">
        <v>24</v>
      </c>
      <c r="M558">
        <v>7.2039999999999997</v>
      </c>
      <c r="N558">
        <v>9.5</v>
      </c>
    </row>
    <row r="559" spans="1:14" x14ac:dyDescent="0.25">
      <c r="A559" t="s">
        <v>588</v>
      </c>
      <c r="B559" t="s">
        <v>20</v>
      </c>
      <c r="C559" t="s">
        <v>21</v>
      </c>
      <c r="D559" t="s">
        <v>15</v>
      </c>
      <c r="E559" t="s">
        <v>16</v>
      </c>
      <c r="F559" t="s">
        <v>39</v>
      </c>
      <c r="G559" t="s">
        <v>1037</v>
      </c>
      <c r="H559" t="s">
        <v>1041</v>
      </c>
      <c r="I559" s="1">
        <v>43495</v>
      </c>
      <c r="J559" t="s">
        <v>1046</v>
      </c>
      <c r="K559" s="5">
        <v>0.84930555555555554</v>
      </c>
      <c r="L559" t="s">
        <v>18</v>
      </c>
      <c r="M559">
        <v>49.26</v>
      </c>
      <c r="N559">
        <v>4.5</v>
      </c>
    </row>
    <row r="560" spans="1:14" x14ac:dyDescent="0.25">
      <c r="A560" t="s">
        <v>589</v>
      </c>
      <c r="B560" t="s">
        <v>13</v>
      </c>
      <c r="C560" t="s">
        <v>14</v>
      </c>
      <c r="D560" t="s">
        <v>15</v>
      </c>
      <c r="E560" t="s">
        <v>26</v>
      </c>
      <c r="F560" t="s">
        <v>39</v>
      </c>
      <c r="G560" t="s">
        <v>1040</v>
      </c>
      <c r="H560" t="s">
        <v>1041</v>
      </c>
      <c r="I560" s="1">
        <v>43467</v>
      </c>
      <c r="J560" t="s">
        <v>1045</v>
      </c>
      <c r="K560" s="5">
        <v>0.64166666666666672</v>
      </c>
      <c r="L560" t="s">
        <v>18</v>
      </c>
      <c r="M560">
        <v>12.497999999999999</v>
      </c>
      <c r="N560">
        <v>5.6</v>
      </c>
    </row>
    <row r="561" spans="1:14" x14ac:dyDescent="0.25">
      <c r="A561" t="s">
        <v>590</v>
      </c>
      <c r="B561" t="s">
        <v>13</v>
      </c>
      <c r="C561" t="s">
        <v>14</v>
      </c>
      <c r="D561" t="s">
        <v>15</v>
      </c>
      <c r="E561" t="s">
        <v>16</v>
      </c>
      <c r="F561" t="s">
        <v>27</v>
      </c>
      <c r="G561" t="s">
        <v>1038</v>
      </c>
      <c r="H561" t="s">
        <v>1043</v>
      </c>
      <c r="I561" s="1">
        <v>43553</v>
      </c>
      <c r="J561" t="s">
        <v>1046</v>
      </c>
      <c r="K561" s="5">
        <v>0.70416666666666661</v>
      </c>
      <c r="L561" t="s">
        <v>18</v>
      </c>
      <c r="M561">
        <v>10.863</v>
      </c>
      <c r="N561">
        <v>8.1999999999999993</v>
      </c>
    </row>
    <row r="562" spans="1:14" x14ac:dyDescent="0.25">
      <c r="A562" t="s">
        <v>591</v>
      </c>
      <c r="B562" t="s">
        <v>37</v>
      </c>
      <c r="C562" t="s">
        <v>38</v>
      </c>
      <c r="D562" t="s">
        <v>22</v>
      </c>
      <c r="E562" t="s">
        <v>26</v>
      </c>
      <c r="F562" t="s">
        <v>23</v>
      </c>
      <c r="G562" t="s">
        <v>1036</v>
      </c>
      <c r="H562" t="s">
        <v>1043</v>
      </c>
      <c r="I562" s="1">
        <v>43538</v>
      </c>
      <c r="J562" t="s">
        <v>1045</v>
      </c>
      <c r="K562" s="5">
        <v>0.52222222222222225</v>
      </c>
      <c r="L562" t="s">
        <v>24</v>
      </c>
      <c r="M562">
        <v>9.7110000000000003</v>
      </c>
      <c r="N562">
        <v>7.3</v>
      </c>
    </row>
    <row r="563" spans="1:14" x14ac:dyDescent="0.25">
      <c r="A563" t="s">
        <v>592</v>
      </c>
      <c r="B563" t="s">
        <v>20</v>
      </c>
      <c r="C563" t="s">
        <v>21</v>
      </c>
      <c r="D563" t="s">
        <v>22</v>
      </c>
      <c r="E563" t="s">
        <v>26</v>
      </c>
      <c r="F563" t="s">
        <v>39</v>
      </c>
      <c r="G563" t="s">
        <v>1039</v>
      </c>
      <c r="H563" t="s">
        <v>1042</v>
      </c>
      <c r="I563" s="1">
        <v>43507</v>
      </c>
      <c r="J563" t="s">
        <v>1045</v>
      </c>
      <c r="K563" s="5">
        <v>0.65416666666666667</v>
      </c>
      <c r="L563" t="s">
        <v>28</v>
      </c>
      <c r="M563">
        <v>44.6</v>
      </c>
      <c r="N563">
        <v>4.4000000000000004</v>
      </c>
    </row>
    <row r="564" spans="1:14" x14ac:dyDescent="0.25">
      <c r="A564" t="s">
        <v>593</v>
      </c>
      <c r="B564" t="s">
        <v>37</v>
      </c>
      <c r="C564" t="s">
        <v>38</v>
      </c>
      <c r="D564" t="s">
        <v>22</v>
      </c>
      <c r="E564" t="s">
        <v>16</v>
      </c>
      <c r="F564" t="s">
        <v>23</v>
      </c>
      <c r="G564" t="s">
        <v>1037</v>
      </c>
      <c r="H564" t="s">
        <v>1041</v>
      </c>
      <c r="I564" s="1">
        <v>43495</v>
      </c>
      <c r="J564" t="s">
        <v>1045</v>
      </c>
      <c r="K564" s="5">
        <v>0.58194444444444449</v>
      </c>
      <c r="L564" t="s">
        <v>18</v>
      </c>
      <c r="M564">
        <v>16.968</v>
      </c>
      <c r="N564">
        <v>5.7</v>
      </c>
    </row>
    <row r="565" spans="1:14" x14ac:dyDescent="0.25">
      <c r="A565" t="s">
        <v>594</v>
      </c>
      <c r="B565" t="s">
        <v>13</v>
      </c>
      <c r="C565" t="s">
        <v>14</v>
      </c>
      <c r="D565" t="s">
        <v>15</v>
      </c>
      <c r="E565" t="s">
        <v>26</v>
      </c>
      <c r="F565" t="s">
        <v>23</v>
      </c>
      <c r="G565" t="s">
        <v>1037</v>
      </c>
      <c r="H565" t="s">
        <v>1043</v>
      </c>
      <c r="I565" s="1">
        <v>43544</v>
      </c>
      <c r="J565" t="s">
        <v>1045</v>
      </c>
      <c r="K565" s="5">
        <v>0.63055555555555554</v>
      </c>
      <c r="L565" t="s">
        <v>18</v>
      </c>
      <c r="M565">
        <v>22.353000000000002</v>
      </c>
      <c r="N565">
        <v>5</v>
      </c>
    </row>
    <row r="566" spans="1:14" x14ac:dyDescent="0.25">
      <c r="A566" t="s">
        <v>595</v>
      </c>
      <c r="B566" t="s">
        <v>37</v>
      </c>
      <c r="C566" t="s">
        <v>38</v>
      </c>
      <c r="D566" t="s">
        <v>22</v>
      </c>
      <c r="E566" t="s">
        <v>26</v>
      </c>
      <c r="F566" t="s">
        <v>41</v>
      </c>
      <c r="G566" t="s">
        <v>1037</v>
      </c>
      <c r="H566" t="s">
        <v>1043</v>
      </c>
      <c r="I566" s="1">
        <v>43544</v>
      </c>
      <c r="J566" t="s">
        <v>1045</v>
      </c>
      <c r="K566" s="5">
        <v>0.54305555555555551</v>
      </c>
      <c r="L566" t="s">
        <v>24</v>
      </c>
      <c r="M566">
        <v>9.9250000000000007</v>
      </c>
      <c r="N566">
        <v>9</v>
      </c>
    </row>
    <row r="567" spans="1:14" x14ac:dyDescent="0.25">
      <c r="A567" t="s">
        <v>596</v>
      </c>
      <c r="B567" t="s">
        <v>13</v>
      </c>
      <c r="C567" t="s">
        <v>14</v>
      </c>
      <c r="D567" t="s">
        <v>22</v>
      </c>
      <c r="E567" t="s">
        <v>16</v>
      </c>
      <c r="F567" t="s">
        <v>39</v>
      </c>
      <c r="G567" t="s">
        <v>1035</v>
      </c>
      <c r="H567" t="s">
        <v>1041</v>
      </c>
      <c r="I567" s="1">
        <v>43482</v>
      </c>
      <c r="J567" t="s">
        <v>1045</v>
      </c>
      <c r="K567" s="5">
        <v>0.54236111111111118</v>
      </c>
      <c r="L567" t="s">
        <v>28</v>
      </c>
      <c r="M567">
        <v>40.604999999999997</v>
      </c>
      <c r="N567">
        <v>6.3</v>
      </c>
    </row>
    <row r="568" spans="1:14" x14ac:dyDescent="0.25">
      <c r="A568" t="s">
        <v>597</v>
      </c>
      <c r="B568" t="s">
        <v>20</v>
      </c>
      <c r="C568" t="s">
        <v>21</v>
      </c>
      <c r="D568" t="s">
        <v>22</v>
      </c>
      <c r="E568" t="s">
        <v>16</v>
      </c>
      <c r="F568" t="s">
        <v>31</v>
      </c>
      <c r="G568" t="s">
        <v>1038</v>
      </c>
      <c r="H568" t="s">
        <v>1042</v>
      </c>
      <c r="I568" s="1">
        <v>43499</v>
      </c>
      <c r="J568" t="s">
        <v>1046</v>
      </c>
      <c r="K568" s="5">
        <v>0.69444444444444453</v>
      </c>
      <c r="L568" t="s">
        <v>28</v>
      </c>
      <c r="M568">
        <v>24.664999999999999</v>
      </c>
      <c r="N568">
        <v>9.4</v>
      </c>
    </row>
    <row r="569" spans="1:14" x14ac:dyDescent="0.25">
      <c r="A569" t="s">
        <v>598</v>
      </c>
      <c r="B569" t="s">
        <v>13</v>
      </c>
      <c r="C569" t="s">
        <v>14</v>
      </c>
      <c r="D569" t="s">
        <v>22</v>
      </c>
      <c r="E569" t="s">
        <v>16</v>
      </c>
      <c r="F569" t="s">
        <v>41</v>
      </c>
      <c r="G569" t="s">
        <v>1040</v>
      </c>
      <c r="H569" t="s">
        <v>1041</v>
      </c>
      <c r="I569" s="1">
        <v>43466</v>
      </c>
      <c r="J569" t="s">
        <v>1045</v>
      </c>
      <c r="K569" s="5">
        <v>0.57986111111111105</v>
      </c>
      <c r="L569" t="s">
        <v>24</v>
      </c>
      <c r="M569">
        <v>29.582999999999998</v>
      </c>
      <c r="N569">
        <v>7.7</v>
      </c>
    </row>
    <row r="570" spans="1:14" x14ac:dyDescent="0.25">
      <c r="A570" t="s">
        <v>599</v>
      </c>
      <c r="B570" t="s">
        <v>37</v>
      </c>
      <c r="C570" t="s">
        <v>38</v>
      </c>
      <c r="D570" t="s">
        <v>22</v>
      </c>
      <c r="E570" t="s">
        <v>16</v>
      </c>
      <c r="F570" t="s">
        <v>41</v>
      </c>
      <c r="G570" t="s">
        <v>1034</v>
      </c>
      <c r="H570" t="s">
        <v>1041</v>
      </c>
      <c r="I570" s="1">
        <v>43475</v>
      </c>
      <c r="J570" t="s">
        <v>1044</v>
      </c>
      <c r="K570" s="5">
        <v>0.43958333333333338</v>
      </c>
      <c r="L570" t="s">
        <v>28</v>
      </c>
      <c r="M570">
        <v>27.951000000000001</v>
      </c>
      <c r="N570">
        <v>5.5</v>
      </c>
    </row>
    <row r="571" spans="1:14" x14ac:dyDescent="0.25">
      <c r="A571" t="s">
        <v>600</v>
      </c>
      <c r="B571" t="s">
        <v>20</v>
      </c>
      <c r="C571" t="s">
        <v>21</v>
      </c>
      <c r="D571" t="s">
        <v>22</v>
      </c>
      <c r="E571" t="s">
        <v>16</v>
      </c>
      <c r="F571" t="s">
        <v>31</v>
      </c>
      <c r="G571" t="s">
        <v>1035</v>
      </c>
      <c r="H571" t="s">
        <v>1043</v>
      </c>
      <c r="I571" s="1">
        <v>43526</v>
      </c>
      <c r="J571" t="s">
        <v>1046</v>
      </c>
      <c r="K571" s="5">
        <v>0.6958333333333333</v>
      </c>
      <c r="L571" t="s">
        <v>18</v>
      </c>
      <c r="M571">
        <v>25.893000000000001</v>
      </c>
      <c r="N571">
        <v>4.0999999999999996</v>
      </c>
    </row>
    <row r="572" spans="1:14" x14ac:dyDescent="0.25">
      <c r="A572" t="s">
        <v>601</v>
      </c>
      <c r="B572" t="s">
        <v>37</v>
      </c>
      <c r="C572" t="s">
        <v>38</v>
      </c>
      <c r="D572" t="s">
        <v>15</v>
      </c>
      <c r="E572" t="s">
        <v>16</v>
      </c>
      <c r="F572" t="s">
        <v>27</v>
      </c>
      <c r="G572" t="s">
        <v>1034</v>
      </c>
      <c r="H572" t="s">
        <v>1042</v>
      </c>
      <c r="I572" s="1">
        <v>43521</v>
      </c>
      <c r="J572" t="s">
        <v>1046</v>
      </c>
      <c r="K572" s="5">
        <v>0.71944444444444444</v>
      </c>
      <c r="L572" t="s">
        <v>28</v>
      </c>
      <c r="M572">
        <v>20.51</v>
      </c>
      <c r="N572">
        <v>7.6</v>
      </c>
    </row>
    <row r="573" spans="1:14" x14ac:dyDescent="0.25">
      <c r="A573" t="s">
        <v>602</v>
      </c>
      <c r="B573" t="s">
        <v>37</v>
      </c>
      <c r="C573" t="s">
        <v>38</v>
      </c>
      <c r="D573" t="s">
        <v>15</v>
      </c>
      <c r="E573" t="s">
        <v>26</v>
      </c>
      <c r="F573" t="s">
        <v>31</v>
      </c>
      <c r="G573" t="s">
        <v>1037</v>
      </c>
      <c r="H573" t="s">
        <v>1041</v>
      </c>
      <c r="I573" s="1">
        <v>43494</v>
      </c>
      <c r="J573" t="s">
        <v>1044</v>
      </c>
      <c r="K573" s="5">
        <v>0.4916666666666667</v>
      </c>
      <c r="L573" t="s">
        <v>24</v>
      </c>
      <c r="M573">
        <v>13.335000000000001</v>
      </c>
      <c r="N573">
        <v>8.6</v>
      </c>
    </row>
    <row r="574" spans="1:14" x14ac:dyDescent="0.25">
      <c r="A574" t="s">
        <v>603</v>
      </c>
      <c r="B574" t="s">
        <v>13</v>
      </c>
      <c r="C574" t="s">
        <v>14</v>
      </c>
      <c r="D574" t="s">
        <v>15</v>
      </c>
      <c r="E574" t="s">
        <v>26</v>
      </c>
      <c r="F574" t="s">
        <v>39</v>
      </c>
      <c r="G574" t="s">
        <v>1036</v>
      </c>
      <c r="H574" t="s">
        <v>1043</v>
      </c>
      <c r="I574" s="1">
        <v>43534</v>
      </c>
      <c r="J574" t="s">
        <v>1046</v>
      </c>
      <c r="K574" s="5">
        <v>0.81597222222222221</v>
      </c>
      <c r="L574" t="s">
        <v>18</v>
      </c>
      <c r="M574">
        <v>3.5455000000000001</v>
      </c>
      <c r="N574">
        <v>8.3000000000000007</v>
      </c>
    </row>
    <row r="575" spans="1:14" x14ac:dyDescent="0.25">
      <c r="A575" t="s">
        <v>604</v>
      </c>
      <c r="B575" t="s">
        <v>37</v>
      </c>
      <c r="C575" t="s">
        <v>38</v>
      </c>
      <c r="D575" t="s">
        <v>22</v>
      </c>
      <c r="E575" t="s">
        <v>26</v>
      </c>
      <c r="F575" t="s">
        <v>39</v>
      </c>
      <c r="G575" t="s">
        <v>1035</v>
      </c>
      <c r="H575" t="s">
        <v>1041</v>
      </c>
      <c r="I575" s="1">
        <v>43478</v>
      </c>
      <c r="J575" t="s">
        <v>1046</v>
      </c>
      <c r="K575" s="5">
        <v>0.82986111111111116</v>
      </c>
      <c r="L575" t="s">
        <v>28</v>
      </c>
      <c r="M575">
        <v>7.2389999999999999</v>
      </c>
      <c r="N575">
        <v>8.1</v>
      </c>
    </row>
    <row r="576" spans="1:14" x14ac:dyDescent="0.25">
      <c r="A576" t="s">
        <v>605</v>
      </c>
      <c r="B576" t="s">
        <v>13</v>
      </c>
      <c r="C576" t="s">
        <v>14</v>
      </c>
      <c r="D576" t="s">
        <v>22</v>
      </c>
      <c r="E576" t="s">
        <v>26</v>
      </c>
      <c r="F576" t="s">
        <v>31</v>
      </c>
      <c r="G576" t="s">
        <v>1037</v>
      </c>
      <c r="H576" t="s">
        <v>1043</v>
      </c>
      <c r="I576" s="1">
        <v>43546</v>
      </c>
      <c r="J576" t="s">
        <v>1045</v>
      </c>
      <c r="K576" s="5">
        <v>0.60625000000000007</v>
      </c>
      <c r="L576" t="s">
        <v>28</v>
      </c>
      <c r="M576">
        <v>21.477499999999999</v>
      </c>
      <c r="N576">
        <v>8.6</v>
      </c>
    </row>
    <row r="577" spans="1:14" x14ac:dyDescent="0.25">
      <c r="A577" t="s">
        <v>606</v>
      </c>
      <c r="B577" t="s">
        <v>37</v>
      </c>
      <c r="C577" t="s">
        <v>38</v>
      </c>
      <c r="D577" t="s">
        <v>15</v>
      </c>
      <c r="E577" t="s">
        <v>26</v>
      </c>
      <c r="F577" t="s">
        <v>41</v>
      </c>
      <c r="G577" t="s">
        <v>1034</v>
      </c>
      <c r="H577" t="s">
        <v>1043</v>
      </c>
      <c r="I577" s="1">
        <v>43525</v>
      </c>
      <c r="J577" t="s">
        <v>1046</v>
      </c>
      <c r="K577" s="5">
        <v>0.8256944444444444</v>
      </c>
      <c r="L577" t="s">
        <v>18</v>
      </c>
      <c r="M577">
        <v>28.458500000000001</v>
      </c>
      <c r="N577">
        <v>6.3</v>
      </c>
    </row>
    <row r="578" spans="1:14" x14ac:dyDescent="0.25">
      <c r="A578" t="s">
        <v>607</v>
      </c>
      <c r="B578" t="s">
        <v>37</v>
      </c>
      <c r="C578" t="s">
        <v>38</v>
      </c>
      <c r="D578" t="s">
        <v>22</v>
      </c>
      <c r="E578" t="s">
        <v>26</v>
      </c>
      <c r="F578" t="s">
        <v>39</v>
      </c>
      <c r="G578" t="s">
        <v>1040</v>
      </c>
      <c r="H578" t="s">
        <v>1042</v>
      </c>
      <c r="I578" s="1">
        <v>43516</v>
      </c>
      <c r="J578" t="s">
        <v>1046</v>
      </c>
      <c r="K578" s="5">
        <v>0.77986111111111101</v>
      </c>
      <c r="L578" t="s">
        <v>24</v>
      </c>
      <c r="M578">
        <v>12.06</v>
      </c>
      <c r="N578">
        <v>5.8</v>
      </c>
    </row>
    <row r="579" spans="1:14" x14ac:dyDescent="0.25">
      <c r="A579" t="s">
        <v>608</v>
      </c>
      <c r="B579" t="s">
        <v>20</v>
      </c>
      <c r="C579" t="s">
        <v>21</v>
      </c>
      <c r="D579" t="s">
        <v>22</v>
      </c>
      <c r="E579" t="s">
        <v>26</v>
      </c>
      <c r="F579" t="s">
        <v>39</v>
      </c>
      <c r="G579" t="s">
        <v>1035</v>
      </c>
      <c r="H579" t="s">
        <v>1041</v>
      </c>
      <c r="I579" s="1">
        <v>43479</v>
      </c>
      <c r="J579" t="s">
        <v>1045</v>
      </c>
      <c r="K579" s="5">
        <v>0.61319444444444449</v>
      </c>
      <c r="L579" t="s">
        <v>18</v>
      </c>
      <c r="M579">
        <v>6.3540000000000001</v>
      </c>
      <c r="N579">
        <v>6.2</v>
      </c>
    </row>
    <row r="580" spans="1:14" x14ac:dyDescent="0.25">
      <c r="A580" t="s">
        <v>609</v>
      </c>
      <c r="B580" t="s">
        <v>13</v>
      </c>
      <c r="C580" t="s">
        <v>14</v>
      </c>
      <c r="D580" t="s">
        <v>22</v>
      </c>
      <c r="E580" t="s">
        <v>16</v>
      </c>
      <c r="F580" t="s">
        <v>17</v>
      </c>
      <c r="G580" t="s">
        <v>1038</v>
      </c>
      <c r="H580" t="s">
        <v>1043</v>
      </c>
      <c r="I580" s="1">
        <v>43550</v>
      </c>
      <c r="J580" t="s">
        <v>1045</v>
      </c>
      <c r="K580" s="5">
        <v>0.57916666666666672</v>
      </c>
      <c r="L580" t="s">
        <v>24</v>
      </c>
      <c r="M580">
        <v>12.853999999999999</v>
      </c>
      <c r="N580">
        <v>7.7</v>
      </c>
    </row>
    <row r="581" spans="1:14" x14ac:dyDescent="0.25">
      <c r="A581" t="s">
        <v>610</v>
      </c>
      <c r="B581" t="s">
        <v>37</v>
      </c>
      <c r="C581" t="s">
        <v>38</v>
      </c>
      <c r="D581" t="s">
        <v>22</v>
      </c>
      <c r="E581" t="s">
        <v>26</v>
      </c>
      <c r="F581" t="s">
        <v>17</v>
      </c>
      <c r="G581" t="s">
        <v>1034</v>
      </c>
      <c r="H581" t="s">
        <v>1043</v>
      </c>
      <c r="I581" s="1">
        <v>43525</v>
      </c>
      <c r="J581" t="s">
        <v>1045</v>
      </c>
      <c r="K581" s="5">
        <v>0.51041666666666663</v>
      </c>
      <c r="L581" t="s">
        <v>18</v>
      </c>
      <c r="M581">
        <v>6.9509999999999996</v>
      </c>
      <c r="N581">
        <v>8.1</v>
      </c>
    </row>
    <row r="582" spans="1:14" x14ac:dyDescent="0.25">
      <c r="A582" t="s">
        <v>611</v>
      </c>
      <c r="B582" t="s">
        <v>20</v>
      </c>
      <c r="C582" t="s">
        <v>21</v>
      </c>
      <c r="D582" t="s">
        <v>22</v>
      </c>
      <c r="E582" t="s">
        <v>26</v>
      </c>
      <c r="F582" t="s">
        <v>39</v>
      </c>
      <c r="G582" t="s">
        <v>1034</v>
      </c>
      <c r="H582" t="s">
        <v>1041</v>
      </c>
      <c r="I582" s="1">
        <v>43472</v>
      </c>
      <c r="J582" t="s">
        <v>1045</v>
      </c>
      <c r="K582" s="5">
        <v>0.52569444444444446</v>
      </c>
      <c r="L582" t="s">
        <v>24</v>
      </c>
      <c r="M582">
        <v>4.0830000000000002</v>
      </c>
      <c r="N582">
        <v>7.3</v>
      </c>
    </row>
    <row r="583" spans="1:14" x14ac:dyDescent="0.25">
      <c r="A583" t="s">
        <v>612</v>
      </c>
      <c r="B583" t="s">
        <v>13</v>
      </c>
      <c r="C583" t="s">
        <v>14</v>
      </c>
      <c r="D583" t="s">
        <v>15</v>
      </c>
      <c r="E583" t="s">
        <v>16</v>
      </c>
      <c r="F583" t="s">
        <v>17</v>
      </c>
      <c r="G583" t="s">
        <v>1037</v>
      </c>
      <c r="H583" t="s">
        <v>1042</v>
      </c>
      <c r="I583" s="1">
        <v>43497</v>
      </c>
      <c r="J583" t="s">
        <v>1046</v>
      </c>
      <c r="K583" s="5">
        <v>0.82916666666666661</v>
      </c>
      <c r="L583" t="s">
        <v>24</v>
      </c>
      <c r="M583">
        <v>15.536</v>
      </c>
      <c r="N583">
        <v>8.4</v>
      </c>
    </row>
    <row r="584" spans="1:14" x14ac:dyDescent="0.25">
      <c r="A584" t="s">
        <v>613</v>
      </c>
      <c r="B584" t="s">
        <v>20</v>
      </c>
      <c r="C584" t="s">
        <v>21</v>
      </c>
      <c r="D584" t="s">
        <v>15</v>
      </c>
      <c r="E584" t="s">
        <v>16</v>
      </c>
      <c r="F584" t="s">
        <v>41</v>
      </c>
      <c r="G584" t="s">
        <v>1039</v>
      </c>
      <c r="H584" t="s">
        <v>1042</v>
      </c>
      <c r="I584" s="1">
        <v>43509</v>
      </c>
      <c r="J584" t="s">
        <v>1045</v>
      </c>
      <c r="K584" s="5">
        <v>0.62916666666666665</v>
      </c>
      <c r="L584" t="s">
        <v>28</v>
      </c>
      <c r="M584">
        <v>9.298</v>
      </c>
      <c r="N584">
        <v>8</v>
      </c>
    </row>
    <row r="585" spans="1:14" x14ac:dyDescent="0.25">
      <c r="A585" t="s">
        <v>614</v>
      </c>
      <c r="B585" t="s">
        <v>37</v>
      </c>
      <c r="C585" t="s">
        <v>38</v>
      </c>
      <c r="D585" t="s">
        <v>15</v>
      </c>
      <c r="E585" t="s">
        <v>16</v>
      </c>
      <c r="F585" t="s">
        <v>41</v>
      </c>
      <c r="G585" t="s">
        <v>1035</v>
      </c>
      <c r="H585" t="s">
        <v>1041</v>
      </c>
      <c r="I585" s="1">
        <v>43479</v>
      </c>
      <c r="J585" t="s">
        <v>1046</v>
      </c>
      <c r="K585" s="5">
        <v>0.75208333333333333</v>
      </c>
      <c r="L585" t="s">
        <v>28</v>
      </c>
      <c r="M585">
        <v>3.6160000000000001</v>
      </c>
      <c r="N585">
        <v>9.5</v>
      </c>
    </row>
    <row r="586" spans="1:14" x14ac:dyDescent="0.25">
      <c r="A586" t="s">
        <v>615</v>
      </c>
      <c r="B586" t="s">
        <v>37</v>
      </c>
      <c r="C586" t="s">
        <v>38</v>
      </c>
      <c r="D586" t="s">
        <v>22</v>
      </c>
      <c r="E586" t="s">
        <v>26</v>
      </c>
      <c r="F586" t="s">
        <v>31</v>
      </c>
      <c r="G586" t="s">
        <v>1036</v>
      </c>
      <c r="H586" t="s">
        <v>1041</v>
      </c>
      <c r="I586" s="1">
        <v>43484</v>
      </c>
      <c r="J586" t="s">
        <v>1045</v>
      </c>
      <c r="K586" s="5">
        <v>0.66527777777777775</v>
      </c>
      <c r="L586" t="s">
        <v>18</v>
      </c>
      <c r="M586">
        <v>9.4589999999999996</v>
      </c>
      <c r="N586">
        <v>7</v>
      </c>
    </row>
    <row r="587" spans="1:14" x14ac:dyDescent="0.25">
      <c r="A587" t="s">
        <v>616</v>
      </c>
      <c r="B587" t="s">
        <v>13</v>
      </c>
      <c r="C587" t="s">
        <v>14</v>
      </c>
      <c r="D587" t="s">
        <v>22</v>
      </c>
      <c r="E587" t="s">
        <v>26</v>
      </c>
      <c r="F587" t="s">
        <v>17</v>
      </c>
      <c r="G587" t="s">
        <v>1036</v>
      </c>
      <c r="H587" t="s">
        <v>1043</v>
      </c>
      <c r="I587" s="1">
        <v>43533</v>
      </c>
      <c r="J587" t="s">
        <v>1045</v>
      </c>
      <c r="K587" s="5">
        <v>0.57847222222222217</v>
      </c>
      <c r="L587" t="s">
        <v>28</v>
      </c>
      <c r="M587">
        <v>10.342000000000001</v>
      </c>
      <c r="N587">
        <v>9.8000000000000007</v>
      </c>
    </row>
    <row r="588" spans="1:14" x14ac:dyDescent="0.25">
      <c r="A588" t="s">
        <v>617</v>
      </c>
      <c r="B588" t="s">
        <v>13</v>
      </c>
      <c r="C588" t="s">
        <v>14</v>
      </c>
      <c r="D588" t="s">
        <v>22</v>
      </c>
      <c r="E588" t="s">
        <v>16</v>
      </c>
      <c r="F588" t="s">
        <v>39</v>
      </c>
      <c r="G588" t="s">
        <v>1038</v>
      </c>
      <c r="H588" t="s">
        <v>1043</v>
      </c>
      <c r="I588" s="1">
        <v>43551</v>
      </c>
      <c r="J588" t="s">
        <v>1045</v>
      </c>
      <c r="K588" s="5">
        <v>0.5854166666666667</v>
      </c>
      <c r="L588" t="s">
        <v>24</v>
      </c>
      <c r="M588">
        <v>7.851</v>
      </c>
      <c r="N588">
        <v>9.1999999999999993</v>
      </c>
    </row>
    <row r="589" spans="1:14" x14ac:dyDescent="0.25">
      <c r="A589" t="s">
        <v>618</v>
      </c>
      <c r="B589" t="s">
        <v>13</v>
      </c>
      <c r="C589" t="s">
        <v>14</v>
      </c>
      <c r="D589" t="s">
        <v>22</v>
      </c>
      <c r="E589" t="s">
        <v>16</v>
      </c>
      <c r="F589" t="s">
        <v>31</v>
      </c>
      <c r="G589" t="s">
        <v>1038</v>
      </c>
      <c r="H589" t="s">
        <v>1042</v>
      </c>
      <c r="I589" s="1">
        <v>43500</v>
      </c>
      <c r="J589" t="s">
        <v>1046</v>
      </c>
      <c r="K589" s="5">
        <v>0.69305555555555554</v>
      </c>
      <c r="L589" t="s">
        <v>18</v>
      </c>
      <c r="M589">
        <v>10.765000000000001</v>
      </c>
      <c r="N589">
        <v>7.7</v>
      </c>
    </row>
    <row r="590" spans="1:14" x14ac:dyDescent="0.25">
      <c r="A590" t="s">
        <v>619</v>
      </c>
      <c r="B590" t="s">
        <v>20</v>
      </c>
      <c r="C590" t="s">
        <v>21</v>
      </c>
      <c r="D590" t="s">
        <v>22</v>
      </c>
      <c r="E590" t="s">
        <v>26</v>
      </c>
      <c r="F590" t="s">
        <v>41</v>
      </c>
      <c r="G590" t="s">
        <v>1036</v>
      </c>
      <c r="H590" t="s">
        <v>1043</v>
      </c>
      <c r="I590" s="1">
        <v>43538</v>
      </c>
      <c r="J590" t="s">
        <v>1044</v>
      </c>
      <c r="K590" s="5">
        <v>0.46319444444444446</v>
      </c>
      <c r="L590" t="s">
        <v>24</v>
      </c>
      <c r="M590">
        <v>29.805</v>
      </c>
      <c r="N590">
        <v>5.3</v>
      </c>
    </row>
    <row r="591" spans="1:14" x14ac:dyDescent="0.25">
      <c r="A591" t="s">
        <v>620</v>
      </c>
      <c r="B591" t="s">
        <v>13</v>
      </c>
      <c r="C591" t="s">
        <v>14</v>
      </c>
      <c r="D591" t="s">
        <v>22</v>
      </c>
      <c r="E591" t="s">
        <v>26</v>
      </c>
      <c r="F591" t="s">
        <v>17</v>
      </c>
      <c r="G591" t="s">
        <v>1035</v>
      </c>
      <c r="H591" t="s">
        <v>1043</v>
      </c>
      <c r="I591" s="1">
        <v>43528</v>
      </c>
      <c r="J591" t="s">
        <v>1045</v>
      </c>
      <c r="K591" s="5">
        <v>0.51597222222222217</v>
      </c>
      <c r="L591" t="s">
        <v>24</v>
      </c>
      <c r="M591">
        <v>3.6549999999999998</v>
      </c>
      <c r="N591">
        <v>4.4000000000000004</v>
      </c>
    </row>
    <row r="592" spans="1:14" x14ac:dyDescent="0.25">
      <c r="A592" t="s">
        <v>621</v>
      </c>
      <c r="B592" t="s">
        <v>20</v>
      </c>
      <c r="C592" t="s">
        <v>21</v>
      </c>
      <c r="D592" t="s">
        <v>15</v>
      </c>
      <c r="E592" t="s">
        <v>26</v>
      </c>
      <c r="F592" t="s">
        <v>17</v>
      </c>
      <c r="G592" t="s">
        <v>1035</v>
      </c>
      <c r="H592" t="s">
        <v>1043</v>
      </c>
      <c r="I592" s="1">
        <v>43527</v>
      </c>
      <c r="J592" t="s">
        <v>1044</v>
      </c>
      <c r="K592" s="5">
        <v>0.45416666666666666</v>
      </c>
      <c r="L592" t="s">
        <v>28</v>
      </c>
      <c r="M592">
        <v>13.959</v>
      </c>
      <c r="N592">
        <v>4.3</v>
      </c>
    </row>
    <row r="593" spans="1:14" x14ac:dyDescent="0.25">
      <c r="A593" t="s">
        <v>622</v>
      </c>
      <c r="B593" t="s">
        <v>20</v>
      </c>
      <c r="C593" t="s">
        <v>21</v>
      </c>
      <c r="D593" t="s">
        <v>15</v>
      </c>
      <c r="E593" t="s">
        <v>16</v>
      </c>
      <c r="F593" t="s">
        <v>27</v>
      </c>
      <c r="G593" t="s">
        <v>1037</v>
      </c>
      <c r="H593" t="s">
        <v>1041</v>
      </c>
      <c r="I593" s="1">
        <v>43492</v>
      </c>
      <c r="J593" t="s">
        <v>1046</v>
      </c>
      <c r="K593" s="5">
        <v>0.73472222222222217</v>
      </c>
      <c r="L593" t="s">
        <v>18</v>
      </c>
      <c r="M593">
        <v>8.484</v>
      </c>
      <c r="N593">
        <v>9.4</v>
      </c>
    </row>
    <row r="594" spans="1:14" x14ac:dyDescent="0.25">
      <c r="A594" t="s">
        <v>623</v>
      </c>
      <c r="B594" t="s">
        <v>13</v>
      </c>
      <c r="C594" t="s">
        <v>14</v>
      </c>
      <c r="D594" t="s">
        <v>15</v>
      </c>
      <c r="E594" t="s">
        <v>16</v>
      </c>
      <c r="F594" t="s">
        <v>31</v>
      </c>
      <c r="G594" t="s">
        <v>1038</v>
      </c>
      <c r="H594" t="s">
        <v>1042</v>
      </c>
      <c r="I594" s="1">
        <v>43503</v>
      </c>
      <c r="J594" t="s">
        <v>1045</v>
      </c>
      <c r="K594" s="5">
        <v>0.59236111111111112</v>
      </c>
      <c r="L594" t="s">
        <v>24</v>
      </c>
      <c r="M594">
        <v>2.2789999999999999</v>
      </c>
      <c r="N594">
        <v>9.8000000000000007</v>
      </c>
    </row>
    <row r="595" spans="1:14" x14ac:dyDescent="0.25">
      <c r="A595" t="s">
        <v>624</v>
      </c>
      <c r="B595" t="s">
        <v>13</v>
      </c>
      <c r="C595" t="s">
        <v>14</v>
      </c>
      <c r="D595" t="s">
        <v>15</v>
      </c>
      <c r="E595" t="s">
        <v>16</v>
      </c>
      <c r="F595" t="s">
        <v>31</v>
      </c>
      <c r="G595" t="s">
        <v>1038</v>
      </c>
      <c r="H595" t="s">
        <v>1042</v>
      </c>
      <c r="I595" s="1">
        <v>43501</v>
      </c>
      <c r="J595" t="s">
        <v>1044</v>
      </c>
      <c r="K595" s="5">
        <v>0.49374999999999997</v>
      </c>
      <c r="L595" t="s">
        <v>18</v>
      </c>
      <c r="M595">
        <v>11.28</v>
      </c>
      <c r="N595">
        <v>4.8</v>
      </c>
    </row>
    <row r="596" spans="1:14" x14ac:dyDescent="0.25">
      <c r="A596" t="s">
        <v>625</v>
      </c>
      <c r="B596" t="s">
        <v>37</v>
      </c>
      <c r="C596" t="s">
        <v>38</v>
      </c>
      <c r="D596" t="s">
        <v>15</v>
      </c>
      <c r="E596" t="s">
        <v>26</v>
      </c>
      <c r="F596" t="s">
        <v>31</v>
      </c>
      <c r="G596" t="s">
        <v>1036</v>
      </c>
      <c r="H596" t="s">
        <v>1043</v>
      </c>
      <c r="I596" s="1">
        <v>43539</v>
      </c>
      <c r="J596" t="s">
        <v>1045</v>
      </c>
      <c r="K596" s="5">
        <v>0.54513888888888895</v>
      </c>
      <c r="L596" t="s">
        <v>24</v>
      </c>
      <c r="M596">
        <v>14.52</v>
      </c>
      <c r="N596">
        <v>5.3</v>
      </c>
    </row>
    <row r="597" spans="1:14" x14ac:dyDescent="0.25">
      <c r="A597" t="s">
        <v>626</v>
      </c>
      <c r="B597" t="s">
        <v>37</v>
      </c>
      <c r="C597" t="s">
        <v>38</v>
      </c>
      <c r="D597" t="s">
        <v>22</v>
      </c>
      <c r="E597" t="s">
        <v>26</v>
      </c>
      <c r="F597" t="s">
        <v>17</v>
      </c>
      <c r="G597" t="s">
        <v>1034</v>
      </c>
      <c r="H597" t="s">
        <v>1043</v>
      </c>
      <c r="I597" s="1">
        <v>43525</v>
      </c>
      <c r="J597" t="s">
        <v>1044</v>
      </c>
      <c r="K597" s="5">
        <v>0.47916666666666669</v>
      </c>
      <c r="L597" t="s">
        <v>28</v>
      </c>
      <c r="M597">
        <v>2.2229999999999999</v>
      </c>
      <c r="N597">
        <v>8.6999999999999993</v>
      </c>
    </row>
    <row r="598" spans="1:14" x14ac:dyDescent="0.25">
      <c r="A598" t="s">
        <v>627</v>
      </c>
      <c r="B598" t="s">
        <v>13</v>
      </c>
      <c r="C598" t="s">
        <v>14</v>
      </c>
      <c r="D598" t="s">
        <v>22</v>
      </c>
      <c r="E598" t="s">
        <v>26</v>
      </c>
      <c r="F598" t="s">
        <v>39</v>
      </c>
      <c r="G598" t="s">
        <v>1039</v>
      </c>
      <c r="H598" t="s">
        <v>1042</v>
      </c>
      <c r="I598" s="1">
        <v>43511</v>
      </c>
      <c r="J598" t="s">
        <v>1045</v>
      </c>
      <c r="K598" s="5">
        <v>0.5625</v>
      </c>
      <c r="L598" t="s">
        <v>28</v>
      </c>
      <c r="M598">
        <v>7.83</v>
      </c>
      <c r="N598">
        <v>9.5</v>
      </c>
    </row>
    <row r="599" spans="1:14" x14ac:dyDescent="0.25">
      <c r="A599" t="s">
        <v>628</v>
      </c>
      <c r="B599" t="s">
        <v>20</v>
      </c>
      <c r="C599" t="s">
        <v>21</v>
      </c>
      <c r="D599" t="s">
        <v>22</v>
      </c>
      <c r="E599" t="s">
        <v>16</v>
      </c>
      <c r="F599" t="s">
        <v>31</v>
      </c>
      <c r="G599" t="s">
        <v>1040</v>
      </c>
      <c r="H599" t="s">
        <v>1042</v>
      </c>
      <c r="I599" s="1">
        <v>43513</v>
      </c>
      <c r="J599" t="s">
        <v>1046</v>
      </c>
      <c r="K599" s="5">
        <v>0.7993055555555556</v>
      </c>
      <c r="L599" t="s">
        <v>18</v>
      </c>
      <c r="M599">
        <v>20.997</v>
      </c>
      <c r="N599">
        <v>5.3</v>
      </c>
    </row>
    <row r="600" spans="1:14" x14ac:dyDescent="0.25">
      <c r="A600" t="s">
        <v>629</v>
      </c>
      <c r="B600" t="s">
        <v>20</v>
      </c>
      <c r="C600" t="s">
        <v>21</v>
      </c>
      <c r="D600" t="s">
        <v>22</v>
      </c>
      <c r="E600" t="s">
        <v>16</v>
      </c>
      <c r="F600" t="s">
        <v>41</v>
      </c>
      <c r="G600" t="s">
        <v>1037</v>
      </c>
      <c r="H600" t="s">
        <v>1041</v>
      </c>
      <c r="I600" s="1">
        <v>43491</v>
      </c>
      <c r="J600" t="s">
        <v>1046</v>
      </c>
      <c r="K600" s="5">
        <v>0.78680555555555554</v>
      </c>
      <c r="L600" t="s">
        <v>24</v>
      </c>
      <c r="M600">
        <v>9.2125000000000004</v>
      </c>
      <c r="N600">
        <v>9.1999999999999993</v>
      </c>
    </row>
    <row r="601" spans="1:14" x14ac:dyDescent="0.25">
      <c r="A601" t="s">
        <v>630</v>
      </c>
      <c r="B601" t="s">
        <v>13</v>
      </c>
      <c r="C601" t="s">
        <v>14</v>
      </c>
      <c r="D601" t="s">
        <v>15</v>
      </c>
      <c r="E601" t="s">
        <v>16</v>
      </c>
      <c r="F601" t="s">
        <v>27</v>
      </c>
      <c r="G601" t="s">
        <v>1038</v>
      </c>
      <c r="H601" t="s">
        <v>1043</v>
      </c>
      <c r="I601" s="1">
        <v>43548</v>
      </c>
      <c r="J601" t="s">
        <v>1045</v>
      </c>
      <c r="K601" s="5">
        <v>0.59861111111111109</v>
      </c>
      <c r="L601" t="s">
        <v>18</v>
      </c>
      <c r="M601">
        <v>7.032</v>
      </c>
      <c r="N601">
        <v>9.6</v>
      </c>
    </row>
    <row r="602" spans="1:14" x14ac:dyDescent="0.25">
      <c r="A602" t="s">
        <v>631</v>
      </c>
      <c r="B602" t="s">
        <v>20</v>
      </c>
      <c r="C602" t="s">
        <v>21</v>
      </c>
      <c r="D602" t="s">
        <v>22</v>
      </c>
      <c r="E602" t="s">
        <v>26</v>
      </c>
      <c r="F602" t="s">
        <v>23</v>
      </c>
      <c r="G602" t="s">
        <v>1036</v>
      </c>
      <c r="H602" t="s">
        <v>1041</v>
      </c>
      <c r="I602" s="1">
        <v>43488</v>
      </c>
      <c r="J602" t="s">
        <v>1046</v>
      </c>
      <c r="K602" s="5">
        <v>0.71944444444444444</v>
      </c>
      <c r="L602" t="s">
        <v>18</v>
      </c>
      <c r="M602">
        <v>4.1539999999999999</v>
      </c>
      <c r="N602">
        <v>6.4</v>
      </c>
    </row>
    <row r="603" spans="1:14" x14ac:dyDescent="0.25">
      <c r="A603" t="s">
        <v>632</v>
      </c>
      <c r="B603" t="s">
        <v>20</v>
      </c>
      <c r="C603" t="s">
        <v>21</v>
      </c>
      <c r="D603" t="s">
        <v>22</v>
      </c>
      <c r="E603" t="s">
        <v>16</v>
      </c>
      <c r="F603" t="s">
        <v>41</v>
      </c>
      <c r="G603" t="s">
        <v>1037</v>
      </c>
      <c r="H603" t="s">
        <v>1041</v>
      </c>
      <c r="I603" s="1">
        <v>43491</v>
      </c>
      <c r="J603" t="s">
        <v>1044</v>
      </c>
      <c r="K603" s="5">
        <v>0.42083333333333334</v>
      </c>
      <c r="L603" t="s">
        <v>28</v>
      </c>
      <c r="M603">
        <v>3.2494999999999998</v>
      </c>
      <c r="N603">
        <v>4.5</v>
      </c>
    </row>
    <row r="604" spans="1:14" x14ac:dyDescent="0.25">
      <c r="A604" t="s">
        <v>633</v>
      </c>
      <c r="B604" t="s">
        <v>20</v>
      </c>
      <c r="C604" t="s">
        <v>21</v>
      </c>
      <c r="D604" t="s">
        <v>22</v>
      </c>
      <c r="E604" t="s">
        <v>26</v>
      </c>
      <c r="F604" t="s">
        <v>39</v>
      </c>
      <c r="G604" t="s">
        <v>1036</v>
      </c>
      <c r="H604" t="s">
        <v>1043</v>
      </c>
      <c r="I604" s="1">
        <v>43538</v>
      </c>
      <c r="J604" t="s">
        <v>1046</v>
      </c>
      <c r="K604" s="5">
        <v>0.85763888888888884</v>
      </c>
      <c r="L604" t="s">
        <v>18</v>
      </c>
      <c r="M604">
        <v>38.78</v>
      </c>
      <c r="N604">
        <v>6.9</v>
      </c>
    </row>
    <row r="605" spans="1:14" x14ac:dyDescent="0.25">
      <c r="A605" t="s">
        <v>634</v>
      </c>
      <c r="B605" t="s">
        <v>37</v>
      </c>
      <c r="C605" t="s">
        <v>38</v>
      </c>
      <c r="D605" t="s">
        <v>22</v>
      </c>
      <c r="E605" t="s">
        <v>16</v>
      </c>
      <c r="F605" t="s">
        <v>31</v>
      </c>
      <c r="G605" t="s">
        <v>1037</v>
      </c>
      <c r="H605" t="s">
        <v>1043</v>
      </c>
      <c r="I605" s="1">
        <v>43541</v>
      </c>
      <c r="J605" t="s">
        <v>1045</v>
      </c>
      <c r="K605" s="5">
        <v>0.57916666666666672</v>
      </c>
      <c r="L605" t="s">
        <v>18</v>
      </c>
      <c r="M605">
        <v>16.353000000000002</v>
      </c>
      <c r="N605">
        <v>7.8</v>
      </c>
    </row>
    <row r="606" spans="1:14" x14ac:dyDescent="0.25">
      <c r="A606" t="s">
        <v>635</v>
      </c>
      <c r="B606" t="s">
        <v>20</v>
      </c>
      <c r="C606" t="s">
        <v>21</v>
      </c>
      <c r="D606" t="s">
        <v>15</v>
      </c>
      <c r="E606" t="s">
        <v>16</v>
      </c>
      <c r="F606" t="s">
        <v>41</v>
      </c>
      <c r="G606" t="s">
        <v>1034</v>
      </c>
      <c r="H606" t="s">
        <v>1041</v>
      </c>
      <c r="I606" s="1">
        <v>43473</v>
      </c>
      <c r="J606" t="s">
        <v>1046</v>
      </c>
      <c r="K606" s="5">
        <v>0.83888888888888891</v>
      </c>
      <c r="L606" t="s">
        <v>24</v>
      </c>
      <c r="M606">
        <v>18.1615</v>
      </c>
      <c r="N606">
        <v>4.5</v>
      </c>
    </row>
    <row r="607" spans="1:14" x14ac:dyDescent="0.25">
      <c r="A607" t="s">
        <v>636</v>
      </c>
      <c r="B607" t="s">
        <v>37</v>
      </c>
      <c r="C607" t="s">
        <v>38</v>
      </c>
      <c r="D607" t="s">
        <v>22</v>
      </c>
      <c r="E607" t="s">
        <v>26</v>
      </c>
      <c r="F607" t="s">
        <v>27</v>
      </c>
      <c r="G607" t="s">
        <v>1038</v>
      </c>
      <c r="H607" t="s">
        <v>1042</v>
      </c>
      <c r="I607" s="1">
        <v>43504</v>
      </c>
      <c r="J607" t="s">
        <v>1045</v>
      </c>
      <c r="K607" s="5">
        <v>0.6430555555555556</v>
      </c>
      <c r="L607" t="s">
        <v>24</v>
      </c>
      <c r="M607">
        <v>6.35</v>
      </c>
      <c r="N607">
        <v>8.6</v>
      </c>
    </row>
    <row r="608" spans="1:14" x14ac:dyDescent="0.25">
      <c r="A608" t="s">
        <v>637</v>
      </c>
      <c r="B608" t="s">
        <v>13</v>
      </c>
      <c r="C608" t="s">
        <v>14</v>
      </c>
      <c r="D608" t="s">
        <v>15</v>
      </c>
      <c r="E608" t="s">
        <v>16</v>
      </c>
      <c r="F608" t="s">
        <v>41</v>
      </c>
      <c r="G608" t="s">
        <v>1039</v>
      </c>
      <c r="H608" t="s">
        <v>1042</v>
      </c>
      <c r="I608" s="1">
        <v>43506</v>
      </c>
      <c r="J608" t="s">
        <v>1045</v>
      </c>
      <c r="K608" s="5">
        <v>0.53888888888888886</v>
      </c>
      <c r="L608" t="s">
        <v>18</v>
      </c>
      <c r="M608">
        <v>18.7775</v>
      </c>
      <c r="N608">
        <v>5.2</v>
      </c>
    </row>
    <row r="609" spans="1:14" x14ac:dyDescent="0.25">
      <c r="A609" t="s">
        <v>638</v>
      </c>
      <c r="B609" t="s">
        <v>20</v>
      </c>
      <c r="C609" t="s">
        <v>21</v>
      </c>
      <c r="D609" t="s">
        <v>15</v>
      </c>
      <c r="E609" t="s">
        <v>16</v>
      </c>
      <c r="F609" t="s">
        <v>39</v>
      </c>
      <c r="G609" t="s">
        <v>1038</v>
      </c>
      <c r="H609" t="s">
        <v>1043</v>
      </c>
      <c r="I609" s="1">
        <v>43552</v>
      </c>
      <c r="J609" t="s">
        <v>1046</v>
      </c>
      <c r="K609" s="5">
        <v>0.8027777777777777</v>
      </c>
      <c r="L609" t="s">
        <v>28</v>
      </c>
      <c r="M609">
        <v>9.9580000000000002</v>
      </c>
      <c r="N609">
        <v>6.4</v>
      </c>
    </row>
    <row r="610" spans="1:14" x14ac:dyDescent="0.25">
      <c r="A610" t="s">
        <v>639</v>
      </c>
      <c r="B610" t="s">
        <v>13</v>
      </c>
      <c r="C610" t="s">
        <v>14</v>
      </c>
      <c r="D610" t="s">
        <v>22</v>
      </c>
      <c r="E610" t="s">
        <v>26</v>
      </c>
      <c r="F610" t="s">
        <v>41</v>
      </c>
      <c r="G610" t="s">
        <v>1036</v>
      </c>
      <c r="H610" t="s">
        <v>1041</v>
      </c>
      <c r="I610" s="1">
        <v>43488</v>
      </c>
      <c r="J610" t="s">
        <v>1045</v>
      </c>
      <c r="K610" s="5">
        <v>0.51388888888888895</v>
      </c>
      <c r="L610" t="s">
        <v>18</v>
      </c>
      <c r="M610">
        <v>1.5305</v>
      </c>
      <c r="N610">
        <v>5.2</v>
      </c>
    </row>
    <row r="611" spans="1:14" x14ac:dyDescent="0.25">
      <c r="A611" t="s">
        <v>640</v>
      </c>
      <c r="B611" t="s">
        <v>37</v>
      </c>
      <c r="C611" t="s">
        <v>38</v>
      </c>
      <c r="D611" t="s">
        <v>15</v>
      </c>
      <c r="E611" t="s">
        <v>26</v>
      </c>
      <c r="F611" t="s">
        <v>39</v>
      </c>
      <c r="G611" t="s">
        <v>1035</v>
      </c>
      <c r="H611" t="s">
        <v>1041</v>
      </c>
      <c r="I611" s="1">
        <v>43482</v>
      </c>
      <c r="J611" t="s">
        <v>1044</v>
      </c>
      <c r="K611" s="5">
        <v>0.44236111111111115</v>
      </c>
      <c r="L611" t="s">
        <v>18</v>
      </c>
      <c r="M611">
        <v>5.7889999999999997</v>
      </c>
      <c r="N611">
        <v>8.9</v>
      </c>
    </row>
    <row r="612" spans="1:14" x14ac:dyDescent="0.25">
      <c r="A612" t="s">
        <v>641</v>
      </c>
      <c r="B612" t="s">
        <v>13</v>
      </c>
      <c r="C612" t="s">
        <v>14</v>
      </c>
      <c r="D612" t="s">
        <v>22</v>
      </c>
      <c r="E612" t="s">
        <v>16</v>
      </c>
      <c r="F612" t="s">
        <v>23</v>
      </c>
      <c r="G612" t="s">
        <v>1038</v>
      </c>
      <c r="H612" t="s">
        <v>1042</v>
      </c>
      <c r="I612" s="1">
        <v>43503</v>
      </c>
      <c r="J612" t="s">
        <v>1044</v>
      </c>
      <c r="K612" s="5">
        <v>0.4291666666666667</v>
      </c>
      <c r="L612" t="s">
        <v>28</v>
      </c>
      <c r="M612">
        <v>1.448</v>
      </c>
      <c r="N612">
        <v>6.2</v>
      </c>
    </row>
    <row r="613" spans="1:14" x14ac:dyDescent="0.25">
      <c r="A613" t="s">
        <v>642</v>
      </c>
      <c r="B613" t="s">
        <v>20</v>
      </c>
      <c r="C613" t="s">
        <v>21</v>
      </c>
      <c r="D613" t="s">
        <v>15</v>
      </c>
      <c r="E613" t="s">
        <v>16</v>
      </c>
      <c r="F613" t="s">
        <v>39</v>
      </c>
      <c r="G613" t="s">
        <v>1036</v>
      </c>
      <c r="H613" t="s">
        <v>1043</v>
      </c>
      <c r="I613" s="1">
        <v>43533</v>
      </c>
      <c r="J613" t="s">
        <v>1044</v>
      </c>
      <c r="K613" s="5">
        <v>0.47430555555555554</v>
      </c>
      <c r="L613" t="s">
        <v>24</v>
      </c>
      <c r="M613">
        <v>44.536499999999997</v>
      </c>
      <c r="N613">
        <v>6.7</v>
      </c>
    </row>
    <row r="614" spans="1:14" x14ac:dyDescent="0.25">
      <c r="A614" t="s">
        <v>643</v>
      </c>
      <c r="B614" t="s">
        <v>37</v>
      </c>
      <c r="C614" t="s">
        <v>38</v>
      </c>
      <c r="D614" t="s">
        <v>15</v>
      </c>
      <c r="E614" t="s">
        <v>26</v>
      </c>
      <c r="F614" t="s">
        <v>41</v>
      </c>
      <c r="G614" t="s">
        <v>1036</v>
      </c>
      <c r="H614" t="s">
        <v>1041</v>
      </c>
      <c r="I614" s="1">
        <v>43489</v>
      </c>
      <c r="J614" t="s">
        <v>1044</v>
      </c>
      <c r="K614" s="5">
        <v>0.48958333333333331</v>
      </c>
      <c r="L614" t="s">
        <v>24</v>
      </c>
      <c r="M614">
        <v>13.983000000000001</v>
      </c>
      <c r="N614">
        <v>7.2</v>
      </c>
    </row>
    <row r="615" spans="1:14" x14ac:dyDescent="0.25">
      <c r="A615" t="s">
        <v>644</v>
      </c>
      <c r="B615" t="s">
        <v>20</v>
      </c>
      <c r="C615" t="s">
        <v>21</v>
      </c>
      <c r="D615" t="s">
        <v>15</v>
      </c>
      <c r="E615" t="s">
        <v>26</v>
      </c>
      <c r="F615" t="s">
        <v>31</v>
      </c>
      <c r="G615" t="s">
        <v>1036</v>
      </c>
      <c r="H615" t="s">
        <v>1041</v>
      </c>
      <c r="I615" s="1">
        <v>43484</v>
      </c>
      <c r="J615" t="s">
        <v>1046</v>
      </c>
      <c r="K615" s="5">
        <v>0.67222222222222217</v>
      </c>
      <c r="L615" t="s">
        <v>28</v>
      </c>
      <c r="M615">
        <v>4.0465</v>
      </c>
      <c r="N615">
        <v>9</v>
      </c>
    </row>
    <row r="616" spans="1:14" x14ac:dyDescent="0.25">
      <c r="A616" t="s">
        <v>645</v>
      </c>
      <c r="B616" t="s">
        <v>13</v>
      </c>
      <c r="C616" t="s">
        <v>14</v>
      </c>
      <c r="D616" t="s">
        <v>15</v>
      </c>
      <c r="E616" t="s">
        <v>26</v>
      </c>
      <c r="F616" t="s">
        <v>39</v>
      </c>
      <c r="G616" t="s">
        <v>1038</v>
      </c>
      <c r="H616" t="s">
        <v>1042</v>
      </c>
      <c r="I616" s="1">
        <v>43499</v>
      </c>
      <c r="J616" t="s">
        <v>1044</v>
      </c>
      <c r="K616" s="5">
        <v>0.47569444444444442</v>
      </c>
      <c r="L616" t="s">
        <v>18</v>
      </c>
      <c r="M616">
        <v>33.725000000000001</v>
      </c>
      <c r="N616">
        <v>4.2</v>
      </c>
    </row>
    <row r="617" spans="1:14" x14ac:dyDescent="0.25">
      <c r="A617" t="s">
        <v>646</v>
      </c>
      <c r="B617" t="s">
        <v>13</v>
      </c>
      <c r="C617" t="s">
        <v>14</v>
      </c>
      <c r="D617" t="s">
        <v>15</v>
      </c>
      <c r="E617" t="s">
        <v>16</v>
      </c>
      <c r="F617" t="s">
        <v>31</v>
      </c>
      <c r="G617" t="s">
        <v>1037</v>
      </c>
      <c r="H617" t="s">
        <v>1043</v>
      </c>
      <c r="I617" s="1">
        <v>43544</v>
      </c>
      <c r="J617" t="s">
        <v>1045</v>
      </c>
      <c r="K617" s="5">
        <v>0.51666666666666672</v>
      </c>
      <c r="L617" t="s">
        <v>18</v>
      </c>
      <c r="M617">
        <v>17.423999999999999</v>
      </c>
      <c r="N617">
        <v>4.2</v>
      </c>
    </row>
    <row r="618" spans="1:14" x14ac:dyDescent="0.25">
      <c r="A618" t="s">
        <v>647</v>
      </c>
      <c r="B618" t="s">
        <v>37</v>
      </c>
      <c r="C618" t="s">
        <v>38</v>
      </c>
      <c r="D618" t="s">
        <v>15</v>
      </c>
      <c r="E618" t="s">
        <v>26</v>
      </c>
      <c r="F618" t="s">
        <v>31</v>
      </c>
      <c r="G618" t="s">
        <v>1035</v>
      </c>
      <c r="H618" t="s">
        <v>1041</v>
      </c>
      <c r="I618" s="1">
        <v>43478</v>
      </c>
      <c r="J618" t="s">
        <v>1046</v>
      </c>
      <c r="K618" s="5">
        <v>0.82708333333333339</v>
      </c>
      <c r="L618" t="s">
        <v>24</v>
      </c>
      <c r="M618">
        <v>21.78</v>
      </c>
      <c r="N618">
        <v>6.9</v>
      </c>
    </row>
    <row r="619" spans="1:14" x14ac:dyDescent="0.25">
      <c r="A619" t="s">
        <v>648</v>
      </c>
      <c r="B619" t="s">
        <v>20</v>
      </c>
      <c r="C619" t="s">
        <v>21</v>
      </c>
      <c r="D619" t="s">
        <v>15</v>
      </c>
      <c r="E619" t="s">
        <v>26</v>
      </c>
      <c r="F619" t="s">
        <v>23</v>
      </c>
      <c r="G619" t="s">
        <v>1036</v>
      </c>
      <c r="H619" t="s">
        <v>1043</v>
      </c>
      <c r="I619" s="1">
        <v>43538</v>
      </c>
      <c r="J619" t="s">
        <v>1046</v>
      </c>
      <c r="K619" s="5">
        <v>0.75694444444444453</v>
      </c>
      <c r="L619" t="s">
        <v>18</v>
      </c>
      <c r="M619">
        <v>21.977499999999999</v>
      </c>
      <c r="N619">
        <v>4.4000000000000004</v>
      </c>
    </row>
    <row r="620" spans="1:14" x14ac:dyDescent="0.25">
      <c r="A620" t="s">
        <v>649</v>
      </c>
      <c r="B620" t="s">
        <v>13</v>
      </c>
      <c r="C620" t="s">
        <v>14</v>
      </c>
      <c r="D620" t="s">
        <v>15</v>
      </c>
      <c r="E620" t="s">
        <v>26</v>
      </c>
      <c r="F620" t="s">
        <v>39</v>
      </c>
      <c r="G620" t="s">
        <v>1036</v>
      </c>
      <c r="H620" t="s">
        <v>1041</v>
      </c>
      <c r="I620" s="1">
        <v>43488</v>
      </c>
      <c r="J620" t="s">
        <v>1044</v>
      </c>
      <c r="K620" s="5">
        <v>0.47361111111111115</v>
      </c>
      <c r="L620" t="s">
        <v>28</v>
      </c>
      <c r="M620">
        <v>29.559000000000001</v>
      </c>
      <c r="N620">
        <v>4</v>
      </c>
    </row>
    <row r="621" spans="1:14" x14ac:dyDescent="0.25">
      <c r="A621" t="s">
        <v>650</v>
      </c>
      <c r="B621" t="s">
        <v>20</v>
      </c>
      <c r="C621" t="s">
        <v>21</v>
      </c>
      <c r="D621" t="s">
        <v>15</v>
      </c>
      <c r="E621" t="s">
        <v>16</v>
      </c>
      <c r="F621" t="s">
        <v>41</v>
      </c>
      <c r="G621" t="s">
        <v>1038</v>
      </c>
      <c r="H621" t="s">
        <v>1042</v>
      </c>
      <c r="I621" s="1">
        <v>43503</v>
      </c>
      <c r="J621" t="s">
        <v>1046</v>
      </c>
      <c r="K621" s="5">
        <v>0.74652777777777779</v>
      </c>
      <c r="L621" t="s">
        <v>18</v>
      </c>
      <c r="M621">
        <v>13.038</v>
      </c>
      <c r="N621">
        <v>8.5</v>
      </c>
    </row>
    <row r="622" spans="1:14" x14ac:dyDescent="0.25">
      <c r="A622" t="s">
        <v>651</v>
      </c>
      <c r="B622" t="s">
        <v>13</v>
      </c>
      <c r="C622" t="s">
        <v>14</v>
      </c>
      <c r="D622" t="s">
        <v>22</v>
      </c>
      <c r="E622" t="s">
        <v>16</v>
      </c>
      <c r="F622" t="s">
        <v>39</v>
      </c>
      <c r="G622" t="s">
        <v>1038</v>
      </c>
      <c r="H622" t="s">
        <v>1043</v>
      </c>
      <c r="I622" s="1">
        <v>43552</v>
      </c>
      <c r="J622" t="s">
        <v>1045</v>
      </c>
      <c r="K622" s="5">
        <v>0.64583333333333337</v>
      </c>
      <c r="L622" t="s">
        <v>28</v>
      </c>
      <c r="M622">
        <v>10.752000000000001</v>
      </c>
      <c r="N622">
        <v>9.1999999999999993</v>
      </c>
    </row>
    <row r="623" spans="1:14" x14ac:dyDescent="0.25">
      <c r="A623" t="s">
        <v>652</v>
      </c>
      <c r="B623" t="s">
        <v>13</v>
      </c>
      <c r="C623" t="s">
        <v>14</v>
      </c>
      <c r="D623" t="s">
        <v>15</v>
      </c>
      <c r="E623" t="s">
        <v>16</v>
      </c>
      <c r="F623" t="s">
        <v>39</v>
      </c>
      <c r="G623" t="s">
        <v>1037</v>
      </c>
      <c r="H623" t="s">
        <v>1043</v>
      </c>
      <c r="I623" s="1">
        <v>43544</v>
      </c>
      <c r="J623" t="s">
        <v>1046</v>
      </c>
      <c r="K623" s="5">
        <v>0.8222222222222223</v>
      </c>
      <c r="L623" t="s">
        <v>24</v>
      </c>
      <c r="M623">
        <v>4.5804999999999998</v>
      </c>
      <c r="N623">
        <v>9.8000000000000007</v>
      </c>
    </row>
    <row r="624" spans="1:14" x14ac:dyDescent="0.25">
      <c r="A624" t="s">
        <v>653</v>
      </c>
      <c r="B624" t="s">
        <v>37</v>
      </c>
      <c r="C624" t="s">
        <v>38</v>
      </c>
      <c r="D624" t="s">
        <v>15</v>
      </c>
      <c r="E624" t="s">
        <v>16</v>
      </c>
      <c r="F624" t="s">
        <v>27</v>
      </c>
      <c r="G624" t="s">
        <v>1035</v>
      </c>
      <c r="H624" t="s">
        <v>1041</v>
      </c>
      <c r="I624" s="1">
        <v>43482</v>
      </c>
      <c r="J624" t="s">
        <v>1045</v>
      </c>
      <c r="K624" s="5">
        <v>0.64374999999999993</v>
      </c>
      <c r="L624" t="s">
        <v>28</v>
      </c>
      <c r="M624">
        <v>33.106499999999997</v>
      </c>
      <c r="N624">
        <v>4.9000000000000004</v>
      </c>
    </row>
    <row r="625" spans="1:14" x14ac:dyDescent="0.25">
      <c r="A625" t="s">
        <v>654</v>
      </c>
      <c r="B625" t="s">
        <v>37</v>
      </c>
      <c r="C625" t="s">
        <v>38</v>
      </c>
      <c r="D625" t="s">
        <v>22</v>
      </c>
      <c r="E625" t="s">
        <v>16</v>
      </c>
      <c r="F625" t="s">
        <v>41</v>
      </c>
      <c r="G625" t="s">
        <v>1035</v>
      </c>
      <c r="H625" t="s">
        <v>1041</v>
      </c>
      <c r="I625" s="1">
        <v>43477</v>
      </c>
      <c r="J625" t="s">
        <v>1044</v>
      </c>
      <c r="K625" s="5">
        <v>0.47569444444444442</v>
      </c>
      <c r="L625" t="s">
        <v>28</v>
      </c>
      <c r="M625">
        <v>41.625</v>
      </c>
      <c r="N625">
        <v>4.4000000000000004</v>
      </c>
    </row>
    <row r="626" spans="1:14" x14ac:dyDescent="0.25">
      <c r="A626" t="s">
        <v>655</v>
      </c>
      <c r="B626" t="s">
        <v>37</v>
      </c>
      <c r="C626" t="s">
        <v>38</v>
      </c>
      <c r="D626" t="s">
        <v>15</v>
      </c>
      <c r="E626" t="s">
        <v>26</v>
      </c>
      <c r="F626" t="s">
        <v>41</v>
      </c>
      <c r="G626" t="s">
        <v>1040</v>
      </c>
      <c r="H626" t="s">
        <v>1042</v>
      </c>
      <c r="I626" s="1">
        <v>43512</v>
      </c>
      <c r="J626" t="s">
        <v>1045</v>
      </c>
      <c r="K626" s="5">
        <v>0.65416666666666667</v>
      </c>
      <c r="L626" t="s">
        <v>24</v>
      </c>
      <c r="M626">
        <v>4.5674999999999999</v>
      </c>
      <c r="N626">
        <v>6.8</v>
      </c>
    </row>
    <row r="627" spans="1:14" x14ac:dyDescent="0.25">
      <c r="A627" t="s">
        <v>656</v>
      </c>
      <c r="B627" t="s">
        <v>37</v>
      </c>
      <c r="C627" t="s">
        <v>38</v>
      </c>
      <c r="D627" t="s">
        <v>15</v>
      </c>
      <c r="E627" t="s">
        <v>16</v>
      </c>
      <c r="F627" t="s">
        <v>39</v>
      </c>
      <c r="G627" t="s">
        <v>1037</v>
      </c>
      <c r="H627" t="s">
        <v>1041</v>
      </c>
      <c r="I627" s="1">
        <v>43491</v>
      </c>
      <c r="J627" t="s">
        <v>1046</v>
      </c>
      <c r="K627" s="5">
        <v>0.6694444444444444</v>
      </c>
      <c r="L627" t="s">
        <v>24</v>
      </c>
      <c r="M627">
        <v>7.8879999999999999</v>
      </c>
      <c r="N627">
        <v>9.1</v>
      </c>
    </row>
    <row r="628" spans="1:14" x14ac:dyDescent="0.25">
      <c r="A628" t="s">
        <v>657</v>
      </c>
      <c r="B628" t="s">
        <v>13</v>
      </c>
      <c r="C628" t="s">
        <v>14</v>
      </c>
      <c r="D628" t="s">
        <v>22</v>
      </c>
      <c r="E628" t="s">
        <v>26</v>
      </c>
      <c r="F628" t="s">
        <v>31</v>
      </c>
      <c r="G628" t="s">
        <v>1036</v>
      </c>
      <c r="H628" t="s">
        <v>1043</v>
      </c>
      <c r="I628" s="1">
        <v>43533</v>
      </c>
      <c r="J628" t="s">
        <v>1045</v>
      </c>
      <c r="K628" s="5">
        <v>0.52569444444444446</v>
      </c>
      <c r="L628" t="s">
        <v>18</v>
      </c>
      <c r="M628">
        <v>6.0869999999999997</v>
      </c>
      <c r="N628">
        <v>8.6999999999999993</v>
      </c>
    </row>
    <row r="629" spans="1:14" x14ac:dyDescent="0.25">
      <c r="A629" t="s">
        <v>658</v>
      </c>
      <c r="B629" t="s">
        <v>37</v>
      </c>
      <c r="C629" t="s">
        <v>38</v>
      </c>
      <c r="D629" t="s">
        <v>15</v>
      </c>
      <c r="E629" t="s">
        <v>26</v>
      </c>
      <c r="F629" t="s">
        <v>17</v>
      </c>
      <c r="G629" t="s">
        <v>1036</v>
      </c>
      <c r="H629" t="s">
        <v>1043</v>
      </c>
      <c r="I629" s="1">
        <v>43538</v>
      </c>
      <c r="J629" t="s">
        <v>1045</v>
      </c>
      <c r="K629" s="5">
        <v>0.6118055555555556</v>
      </c>
      <c r="L629" t="s">
        <v>24</v>
      </c>
      <c r="M629">
        <v>41.29</v>
      </c>
      <c r="N629">
        <v>5</v>
      </c>
    </row>
    <row r="630" spans="1:14" x14ac:dyDescent="0.25">
      <c r="A630" t="s">
        <v>659</v>
      </c>
      <c r="B630" t="s">
        <v>13</v>
      </c>
      <c r="C630" t="s">
        <v>14</v>
      </c>
      <c r="D630" t="s">
        <v>15</v>
      </c>
      <c r="E630" t="s">
        <v>26</v>
      </c>
      <c r="F630" t="s">
        <v>27</v>
      </c>
      <c r="G630" t="s">
        <v>1036</v>
      </c>
      <c r="H630" t="s">
        <v>1041</v>
      </c>
      <c r="I630" s="1">
        <v>43490</v>
      </c>
      <c r="J630" t="s">
        <v>1045</v>
      </c>
      <c r="K630" s="5">
        <v>0.59652777777777777</v>
      </c>
      <c r="L630" t="s">
        <v>18</v>
      </c>
      <c r="M630">
        <v>7.9950000000000001</v>
      </c>
      <c r="N630">
        <v>7.5</v>
      </c>
    </row>
    <row r="631" spans="1:14" x14ac:dyDescent="0.25">
      <c r="A631" t="s">
        <v>660</v>
      </c>
      <c r="B631" t="s">
        <v>13</v>
      </c>
      <c r="C631" t="s">
        <v>14</v>
      </c>
      <c r="D631" t="s">
        <v>22</v>
      </c>
      <c r="E631" t="s">
        <v>16</v>
      </c>
      <c r="F631" t="s">
        <v>41</v>
      </c>
      <c r="G631" t="s">
        <v>1037</v>
      </c>
      <c r="H631" t="s">
        <v>1041</v>
      </c>
      <c r="I631" s="1">
        <v>43491</v>
      </c>
      <c r="J631" t="s">
        <v>1046</v>
      </c>
      <c r="K631" s="5">
        <v>0.7631944444444444</v>
      </c>
      <c r="L631" t="s">
        <v>28</v>
      </c>
      <c r="M631">
        <v>0.60450000000000004</v>
      </c>
      <c r="N631">
        <v>8.1999999999999993</v>
      </c>
    </row>
    <row r="632" spans="1:14" x14ac:dyDescent="0.25">
      <c r="A632" t="s">
        <v>661</v>
      </c>
      <c r="B632" t="s">
        <v>13</v>
      </c>
      <c r="C632" t="s">
        <v>14</v>
      </c>
      <c r="D632" t="s">
        <v>22</v>
      </c>
      <c r="E632" t="s">
        <v>26</v>
      </c>
      <c r="F632" t="s">
        <v>31</v>
      </c>
      <c r="G632" t="s">
        <v>1036</v>
      </c>
      <c r="H632" t="s">
        <v>1041</v>
      </c>
      <c r="I632" s="1">
        <v>43484</v>
      </c>
      <c r="J632" t="s">
        <v>1045</v>
      </c>
      <c r="K632" s="5">
        <v>0.58888888888888891</v>
      </c>
      <c r="L632" t="s">
        <v>28</v>
      </c>
      <c r="M632">
        <v>32.094999999999999</v>
      </c>
      <c r="N632">
        <v>6.7</v>
      </c>
    </row>
    <row r="633" spans="1:14" x14ac:dyDescent="0.25">
      <c r="A633" t="s">
        <v>662</v>
      </c>
      <c r="B633" t="s">
        <v>13</v>
      </c>
      <c r="C633" t="s">
        <v>14</v>
      </c>
      <c r="D633" t="s">
        <v>22</v>
      </c>
      <c r="E633" t="s">
        <v>26</v>
      </c>
      <c r="F633" t="s">
        <v>23</v>
      </c>
      <c r="G633" t="s">
        <v>1035</v>
      </c>
      <c r="H633" t="s">
        <v>1043</v>
      </c>
      <c r="I633" s="1">
        <v>43529</v>
      </c>
      <c r="J633" t="s">
        <v>1046</v>
      </c>
      <c r="K633" s="5">
        <v>0.69305555555555554</v>
      </c>
      <c r="L633" t="s">
        <v>18</v>
      </c>
      <c r="M633">
        <v>11.746499999999999</v>
      </c>
      <c r="N633">
        <v>5.4</v>
      </c>
    </row>
    <row r="634" spans="1:14" x14ac:dyDescent="0.25">
      <c r="A634" t="s">
        <v>663</v>
      </c>
      <c r="B634" t="s">
        <v>13</v>
      </c>
      <c r="C634" t="s">
        <v>14</v>
      </c>
      <c r="D634" t="s">
        <v>15</v>
      </c>
      <c r="E634" t="s">
        <v>26</v>
      </c>
      <c r="F634" t="s">
        <v>39</v>
      </c>
      <c r="G634" t="s">
        <v>1035</v>
      </c>
      <c r="H634" t="s">
        <v>1041</v>
      </c>
      <c r="I634" s="1">
        <v>43480</v>
      </c>
      <c r="J634" t="s">
        <v>1044</v>
      </c>
      <c r="K634" s="5">
        <v>0.45416666666666666</v>
      </c>
      <c r="L634" t="s">
        <v>28</v>
      </c>
      <c r="M634">
        <v>8.3770000000000007</v>
      </c>
      <c r="N634">
        <v>7</v>
      </c>
    </row>
    <row r="635" spans="1:14" x14ac:dyDescent="0.25">
      <c r="A635" t="s">
        <v>664</v>
      </c>
      <c r="B635" t="s">
        <v>37</v>
      </c>
      <c r="C635" t="s">
        <v>38</v>
      </c>
      <c r="D635" t="s">
        <v>22</v>
      </c>
      <c r="E635" t="s">
        <v>26</v>
      </c>
      <c r="F635" t="s">
        <v>27</v>
      </c>
      <c r="G635" t="s">
        <v>1037</v>
      </c>
      <c r="H635" t="s">
        <v>1043</v>
      </c>
      <c r="I635" s="1">
        <v>43542</v>
      </c>
      <c r="J635" t="s">
        <v>1044</v>
      </c>
      <c r="K635" s="5">
        <v>0.47847222222222219</v>
      </c>
      <c r="L635" t="s">
        <v>18</v>
      </c>
      <c r="M635">
        <v>14.955</v>
      </c>
      <c r="N635">
        <v>4.7</v>
      </c>
    </row>
    <row r="636" spans="1:14" x14ac:dyDescent="0.25">
      <c r="A636" t="s">
        <v>665</v>
      </c>
      <c r="B636" t="s">
        <v>37</v>
      </c>
      <c r="C636" t="s">
        <v>38</v>
      </c>
      <c r="D636" t="s">
        <v>15</v>
      </c>
      <c r="E636" t="s">
        <v>26</v>
      </c>
      <c r="F636" t="s">
        <v>39</v>
      </c>
      <c r="G636" t="s">
        <v>1037</v>
      </c>
      <c r="H636" t="s">
        <v>1043</v>
      </c>
      <c r="I636" s="1">
        <v>43544</v>
      </c>
      <c r="J636" t="s">
        <v>1046</v>
      </c>
      <c r="K636" s="5">
        <v>0.81111111111111101</v>
      </c>
      <c r="L636" t="s">
        <v>28</v>
      </c>
      <c r="M636">
        <v>11.986499999999999</v>
      </c>
      <c r="N636">
        <v>5</v>
      </c>
    </row>
    <row r="637" spans="1:14" x14ac:dyDescent="0.25">
      <c r="A637" t="s">
        <v>666</v>
      </c>
      <c r="B637" t="s">
        <v>37</v>
      </c>
      <c r="C637" t="s">
        <v>38</v>
      </c>
      <c r="D637" t="s">
        <v>15</v>
      </c>
      <c r="E637" t="s">
        <v>26</v>
      </c>
      <c r="F637" t="s">
        <v>17</v>
      </c>
      <c r="G637" t="s">
        <v>1035</v>
      </c>
      <c r="H637" t="s">
        <v>1041</v>
      </c>
      <c r="I637" s="1">
        <v>43480</v>
      </c>
      <c r="J637" t="s">
        <v>1045</v>
      </c>
      <c r="K637" s="5">
        <v>0.62569444444444444</v>
      </c>
      <c r="L637" t="s">
        <v>28</v>
      </c>
      <c r="M637">
        <v>33.234999999999999</v>
      </c>
      <c r="N637">
        <v>5</v>
      </c>
    </row>
    <row r="638" spans="1:14" x14ac:dyDescent="0.25">
      <c r="A638" t="s">
        <v>667</v>
      </c>
      <c r="B638" t="s">
        <v>13</v>
      </c>
      <c r="C638" t="s">
        <v>14</v>
      </c>
      <c r="D638" t="s">
        <v>22</v>
      </c>
      <c r="E638" t="s">
        <v>26</v>
      </c>
      <c r="F638" t="s">
        <v>17</v>
      </c>
      <c r="G638" t="s">
        <v>1035</v>
      </c>
      <c r="H638" t="s">
        <v>1043</v>
      </c>
      <c r="I638" s="1">
        <v>43527</v>
      </c>
      <c r="J638" t="s">
        <v>1046</v>
      </c>
      <c r="K638" s="5">
        <v>0.85486111111111107</v>
      </c>
      <c r="L638" t="s">
        <v>28</v>
      </c>
      <c r="M638">
        <v>10.1325</v>
      </c>
      <c r="N638">
        <v>6</v>
      </c>
    </row>
    <row r="639" spans="1:14" x14ac:dyDescent="0.25">
      <c r="A639" t="s">
        <v>668</v>
      </c>
      <c r="B639" t="s">
        <v>20</v>
      </c>
      <c r="C639" t="s">
        <v>21</v>
      </c>
      <c r="D639" t="s">
        <v>22</v>
      </c>
      <c r="E639" t="s">
        <v>16</v>
      </c>
      <c r="F639" t="s">
        <v>23</v>
      </c>
      <c r="G639" t="s">
        <v>1037</v>
      </c>
      <c r="H639" t="s">
        <v>1043</v>
      </c>
      <c r="I639" s="1">
        <v>43543</v>
      </c>
      <c r="J639" t="s">
        <v>1045</v>
      </c>
      <c r="K639" s="5">
        <v>0.51111111111111118</v>
      </c>
      <c r="L639" t="s">
        <v>24</v>
      </c>
      <c r="M639">
        <v>2.31</v>
      </c>
      <c r="N639">
        <v>6.3</v>
      </c>
    </row>
    <row r="640" spans="1:14" x14ac:dyDescent="0.25">
      <c r="A640" t="s">
        <v>669</v>
      </c>
      <c r="B640" t="s">
        <v>37</v>
      </c>
      <c r="C640" t="s">
        <v>38</v>
      </c>
      <c r="D640" t="s">
        <v>15</v>
      </c>
      <c r="E640" t="s">
        <v>16</v>
      </c>
      <c r="F640" t="s">
        <v>39</v>
      </c>
      <c r="G640" t="s">
        <v>1035</v>
      </c>
      <c r="H640" t="s">
        <v>1043</v>
      </c>
      <c r="I640" s="1">
        <v>43532</v>
      </c>
      <c r="J640" t="s">
        <v>1045</v>
      </c>
      <c r="K640" s="5">
        <v>0.64374999999999993</v>
      </c>
      <c r="L640" t="s">
        <v>24</v>
      </c>
      <c r="M640">
        <v>4.4074999999999998</v>
      </c>
      <c r="N640">
        <v>8.5</v>
      </c>
    </row>
    <row r="641" spans="1:14" x14ac:dyDescent="0.25">
      <c r="A641" t="s">
        <v>670</v>
      </c>
      <c r="B641" t="s">
        <v>37</v>
      </c>
      <c r="C641" t="s">
        <v>38</v>
      </c>
      <c r="D641" t="s">
        <v>22</v>
      </c>
      <c r="E641" t="s">
        <v>26</v>
      </c>
      <c r="F641" t="s">
        <v>41</v>
      </c>
      <c r="G641" t="s">
        <v>1034</v>
      </c>
      <c r="H641" t="s">
        <v>1042</v>
      </c>
      <c r="I641" s="1">
        <v>43523</v>
      </c>
      <c r="J641" t="s">
        <v>1046</v>
      </c>
      <c r="K641" s="5">
        <v>0.73333333333333339</v>
      </c>
      <c r="L641" t="s">
        <v>18</v>
      </c>
      <c r="M641">
        <v>7.8630000000000004</v>
      </c>
      <c r="N641">
        <v>7.5</v>
      </c>
    </row>
    <row r="642" spans="1:14" x14ac:dyDescent="0.25">
      <c r="A642" t="s">
        <v>671</v>
      </c>
      <c r="B642" t="s">
        <v>37</v>
      </c>
      <c r="C642" t="s">
        <v>38</v>
      </c>
      <c r="D642" t="s">
        <v>15</v>
      </c>
      <c r="E642" t="s">
        <v>16</v>
      </c>
      <c r="F642" t="s">
        <v>39</v>
      </c>
      <c r="G642" t="s">
        <v>1034</v>
      </c>
      <c r="H642" t="s">
        <v>1042</v>
      </c>
      <c r="I642" s="1">
        <v>43519</v>
      </c>
      <c r="J642" t="s">
        <v>1046</v>
      </c>
      <c r="K642" s="5">
        <v>0.83333333333333337</v>
      </c>
      <c r="L642" t="s">
        <v>18</v>
      </c>
      <c r="M642">
        <v>14.8185</v>
      </c>
      <c r="N642">
        <v>6.4</v>
      </c>
    </row>
    <row r="643" spans="1:14" x14ac:dyDescent="0.25">
      <c r="A643" t="s">
        <v>672</v>
      </c>
      <c r="B643" t="s">
        <v>20</v>
      </c>
      <c r="C643" t="s">
        <v>21</v>
      </c>
      <c r="D643" t="s">
        <v>15</v>
      </c>
      <c r="E643" t="s">
        <v>16</v>
      </c>
      <c r="F643" t="s">
        <v>23</v>
      </c>
      <c r="G643" t="s">
        <v>1037</v>
      </c>
      <c r="H643" t="s">
        <v>1043</v>
      </c>
      <c r="I643" s="1">
        <v>43543</v>
      </c>
      <c r="J643" t="s">
        <v>1045</v>
      </c>
      <c r="K643" s="5">
        <v>0.64513888888888882</v>
      </c>
      <c r="L643" t="s">
        <v>18</v>
      </c>
      <c r="M643">
        <v>35.42</v>
      </c>
      <c r="N643">
        <v>4.7</v>
      </c>
    </row>
    <row r="644" spans="1:14" x14ac:dyDescent="0.25">
      <c r="A644" t="s">
        <v>673</v>
      </c>
      <c r="B644" t="s">
        <v>37</v>
      </c>
      <c r="C644" t="s">
        <v>38</v>
      </c>
      <c r="D644" t="s">
        <v>15</v>
      </c>
      <c r="E644" t="s">
        <v>26</v>
      </c>
      <c r="F644" t="s">
        <v>23</v>
      </c>
      <c r="G644" t="s">
        <v>1038</v>
      </c>
      <c r="H644" t="s">
        <v>1043</v>
      </c>
      <c r="I644" s="1">
        <v>43551</v>
      </c>
      <c r="J644" t="s">
        <v>1045</v>
      </c>
      <c r="K644" s="5">
        <v>0.63055555555555554</v>
      </c>
      <c r="L644" t="s">
        <v>18</v>
      </c>
      <c r="M644">
        <v>5.5670000000000002</v>
      </c>
      <c r="N644">
        <v>6</v>
      </c>
    </row>
    <row r="645" spans="1:14" x14ac:dyDescent="0.25">
      <c r="A645" t="s">
        <v>674</v>
      </c>
      <c r="B645" t="s">
        <v>20</v>
      </c>
      <c r="C645" t="s">
        <v>21</v>
      </c>
      <c r="D645" t="s">
        <v>15</v>
      </c>
      <c r="E645" t="s">
        <v>16</v>
      </c>
      <c r="F645" t="s">
        <v>39</v>
      </c>
      <c r="G645" t="s">
        <v>1039</v>
      </c>
      <c r="H645" t="s">
        <v>1043</v>
      </c>
      <c r="I645" s="1">
        <v>43554</v>
      </c>
      <c r="J645" t="s">
        <v>1046</v>
      </c>
      <c r="K645" s="5">
        <v>0.80972222222222223</v>
      </c>
      <c r="L645" t="s">
        <v>28</v>
      </c>
      <c r="M645">
        <v>29.007999999999999</v>
      </c>
      <c r="N645">
        <v>4</v>
      </c>
    </row>
    <row r="646" spans="1:14" x14ac:dyDescent="0.25">
      <c r="A646" t="s">
        <v>675</v>
      </c>
      <c r="B646" t="s">
        <v>20</v>
      </c>
      <c r="C646" t="s">
        <v>21</v>
      </c>
      <c r="D646" t="s">
        <v>15</v>
      </c>
      <c r="E646" t="s">
        <v>26</v>
      </c>
      <c r="F646" t="s">
        <v>23</v>
      </c>
      <c r="G646" t="s">
        <v>1040</v>
      </c>
      <c r="H646" t="s">
        <v>1042</v>
      </c>
      <c r="I646" s="1">
        <v>43512</v>
      </c>
      <c r="J646" t="s">
        <v>1045</v>
      </c>
      <c r="K646" s="5">
        <v>0.66180555555555554</v>
      </c>
      <c r="L646" t="s">
        <v>18</v>
      </c>
      <c r="M646">
        <v>3.0125000000000002</v>
      </c>
      <c r="N646">
        <v>5.5</v>
      </c>
    </row>
    <row r="647" spans="1:14" x14ac:dyDescent="0.25">
      <c r="A647" t="s">
        <v>676</v>
      </c>
      <c r="B647" t="s">
        <v>13</v>
      </c>
      <c r="C647" t="s">
        <v>14</v>
      </c>
      <c r="D647" t="s">
        <v>15</v>
      </c>
      <c r="E647" t="s">
        <v>26</v>
      </c>
      <c r="F647" t="s">
        <v>27</v>
      </c>
      <c r="G647" t="s">
        <v>1035</v>
      </c>
      <c r="H647" t="s">
        <v>1041</v>
      </c>
      <c r="I647" s="1">
        <v>43483</v>
      </c>
      <c r="J647" t="s">
        <v>1046</v>
      </c>
      <c r="K647" s="5">
        <v>0.77986111111111101</v>
      </c>
      <c r="L647" t="s">
        <v>18</v>
      </c>
      <c r="M647">
        <v>8.7119999999999997</v>
      </c>
      <c r="N647">
        <v>8.6999999999999993</v>
      </c>
    </row>
    <row r="648" spans="1:14" x14ac:dyDescent="0.25">
      <c r="A648" t="s">
        <v>677</v>
      </c>
      <c r="B648" t="s">
        <v>20</v>
      </c>
      <c r="C648" t="s">
        <v>21</v>
      </c>
      <c r="D648" t="s">
        <v>22</v>
      </c>
      <c r="E648" t="s">
        <v>26</v>
      </c>
      <c r="F648" t="s">
        <v>17</v>
      </c>
      <c r="G648" t="s">
        <v>1039</v>
      </c>
      <c r="H648" t="s">
        <v>1043</v>
      </c>
      <c r="I648" s="1">
        <v>43554</v>
      </c>
      <c r="J648" t="s">
        <v>1045</v>
      </c>
      <c r="K648" s="5">
        <v>0.62361111111111112</v>
      </c>
      <c r="L648" t="s">
        <v>24</v>
      </c>
      <c r="M648">
        <v>21.062999999999999</v>
      </c>
      <c r="N648">
        <v>7.4</v>
      </c>
    </row>
    <row r="649" spans="1:14" x14ac:dyDescent="0.25">
      <c r="A649" t="s">
        <v>678</v>
      </c>
      <c r="B649" t="s">
        <v>37</v>
      </c>
      <c r="C649" t="s">
        <v>38</v>
      </c>
      <c r="D649" t="s">
        <v>15</v>
      </c>
      <c r="E649" t="s">
        <v>26</v>
      </c>
      <c r="F649" t="s">
        <v>41</v>
      </c>
      <c r="G649" t="s">
        <v>1037</v>
      </c>
      <c r="H649" t="s">
        <v>1043</v>
      </c>
      <c r="I649" s="1">
        <v>43544</v>
      </c>
      <c r="J649" t="s">
        <v>1046</v>
      </c>
      <c r="K649" s="5">
        <v>0.82986111111111116</v>
      </c>
      <c r="L649" t="s">
        <v>24</v>
      </c>
      <c r="M649">
        <v>1.6815</v>
      </c>
      <c r="N649">
        <v>5.6</v>
      </c>
    </row>
    <row r="650" spans="1:14" x14ac:dyDescent="0.25">
      <c r="A650" t="s">
        <v>679</v>
      </c>
      <c r="B650" t="s">
        <v>20</v>
      </c>
      <c r="C650" t="s">
        <v>21</v>
      </c>
      <c r="D650" t="s">
        <v>15</v>
      </c>
      <c r="E650" t="s">
        <v>16</v>
      </c>
      <c r="F650" t="s">
        <v>31</v>
      </c>
      <c r="G650" t="s">
        <v>1035</v>
      </c>
      <c r="H650" t="s">
        <v>1041</v>
      </c>
      <c r="I650" s="1">
        <v>43481</v>
      </c>
      <c r="J650" t="s">
        <v>1045</v>
      </c>
      <c r="K650" s="5">
        <v>0.63194444444444442</v>
      </c>
      <c r="L650" t="s">
        <v>24</v>
      </c>
      <c r="M650">
        <v>1.5489999999999999</v>
      </c>
      <c r="N650">
        <v>6.3</v>
      </c>
    </row>
    <row r="651" spans="1:14" x14ac:dyDescent="0.25">
      <c r="A651" t="s">
        <v>680</v>
      </c>
      <c r="B651" t="s">
        <v>20</v>
      </c>
      <c r="C651" t="s">
        <v>21</v>
      </c>
      <c r="D651" t="s">
        <v>22</v>
      </c>
      <c r="E651" t="s">
        <v>26</v>
      </c>
      <c r="F651" t="s">
        <v>23</v>
      </c>
      <c r="G651" t="s">
        <v>1034</v>
      </c>
      <c r="H651" t="s">
        <v>1042</v>
      </c>
      <c r="I651" s="1">
        <v>43520</v>
      </c>
      <c r="J651" t="s">
        <v>1046</v>
      </c>
      <c r="K651" s="5">
        <v>0.6972222222222223</v>
      </c>
      <c r="L651" t="s">
        <v>24</v>
      </c>
      <c r="M651">
        <v>12.37</v>
      </c>
      <c r="N651">
        <v>7.1</v>
      </c>
    </row>
    <row r="652" spans="1:14" x14ac:dyDescent="0.25">
      <c r="A652" t="s">
        <v>681</v>
      </c>
      <c r="B652" t="s">
        <v>37</v>
      </c>
      <c r="C652" t="s">
        <v>38</v>
      </c>
      <c r="D652" t="s">
        <v>22</v>
      </c>
      <c r="E652" t="s">
        <v>26</v>
      </c>
      <c r="F652" t="s">
        <v>23</v>
      </c>
      <c r="G652" t="s">
        <v>1035</v>
      </c>
      <c r="H652" t="s">
        <v>1041</v>
      </c>
      <c r="I652" s="1">
        <v>43480</v>
      </c>
      <c r="J652" t="s">
        <v>1046</v>
      </c>
      <c r="K652" s="5">
        <v>0.76527777777777783</v>
      </c>
      <c r="L652" t="s">
        <v>18</v>
      </c>
      <c r="M652">
        <v>18.914999999999999</v>
      </c>
      <c r="N652">
        <v>7.8</v>
      </c>
    </row>
    <row r="653" spans="1:14" x14ac:dyDescent="0.25">
      <c r="A653" t="s">
        <v>682</v>
      </c>
      <c r="B653" t="s">
        <v>37</v>
      </c>
      <c r="C653" t="s">
        <v>38</v>
      </c>
      <c r="D653" t="s">
        <v>22</v>
      </c>
      <c r="E653" t="s">
        <v>16</v>
      </c>
      <c r="F653" t="s">
        <v>17</v>
      </c>
      <c r="G653" t="s">
        <v>1036</v>
      </c>
      <c r="H653" t="s">
        <v>1041</v>
      </c>
      <c r="I653" s="1">
        <v>43487</v>
      </c>
      <c r="J653" t="s">
        <v>1044</v>
      </c>
      <c r="K653" s="5">
        <v>0.49444444444444446</v>
      </c>
      <c r="L653" t="s">
        <v>24</v>
      </c>
      <c r="M653">
        <v>16.742999999999999</v>
      </c>
      <c r="N653">
        <v>9.9</v>
      </c>
    </row>
    <row r="654" spans="1:14" x14ac:dyDescent="0.25">
      <c r="A654" t="s">
        <v>683</v>
      </c>
      <c r="B654" t="s">
        <v>13</v>
      </c>
      <c r="C654" t="s">
        <v>14</v>
      </c>
      <c r="D654" t="s">
        <v>15</v>
      </c>
      <c r="E654" t="s">
        <v>26</v>
      </c>
      <c r="F654" t="s">
        <v>27</v>
      </c>
      <c r="G654" t="s">
        <v>1038</v>
      </c>
      <c r="H654" t="s">
        <v>1042</v>
      </c>
      <c r="I654" s="1">
        <v>43499</v>
      </c>
      <c r="J654" t="s">
        <v>1046</v>
      </c>
      <c r="K654" s="5">
        <v>0.72499999999999998</v>
      </c>
      <c r="L654" t="s">
        <v>24</v>
      </c>
      <c r="M654">
        <v>36.39</v>
      </c>
      <c r="N654">
        <v>7.3</v>
      </c>
    </row>
    <row r="655" spans="1:14" x14ac:dyDescent="0.25">
      <c r="A655" t="s">
        <v>684</v>
      </c>
      <c r="B655" t="s">
        <v>37</v>
      </c>
      <c r="C655" t="s">
        <v>38</v>
      </c>
      <c r="D655" t="s">
        <v>15</v>
      </c>
      <c r="E655" t="s">
        <v>26</v>
      </c>
      <c r="F655" t="s">
        <v>31</v>
      </c>
      <c r="G655" t="s">
        <v>1035</v>
      </c>
      <c r="H655" t="s">
        <v>1043</v>
      </c>
      <c r="I655" s="1">
        <v>43530</v>
      </c>
      <c r="J655" t="s">
        <v>1045</v>
      </c>
      <c r="K655" s="5">
        <v>0.64652777777777781</v>
      </c>
      <c r="L655" t="s">
        <v>18</v>
      </c>
      <c r="M655">
        <v>16.794</v>
      </c>
      <c r="N655">
        <v>5.0999999999999996</v>
      </c>
    </row>
    <row r="656" spans="1:14" x14ac:dyDescent="0.25">
      <c r="A656" t="s">
        <v>685</v>
      </c>
      <c r="B656" t="s">
        <v>37</v>
      </c>
      <c r="C656" t="s">
        <v>38</v>
      </c>
      <c r="D656" t="s">
        <v>15</v>
      </c>
      <c r="E656" t="s">
        <v>26</v>
      </c>
      <c r="F656" t="s">
        <v>41</v>
      </c>
      <c r="G656" t="s">
        <v>1040</v>
      </c>
      <c r="H656" t="s">
        <v>1042</v>
      </c>
      <c r="I656" s="1">
        <v>43512</v>
      </c>
      <c r="J656" t="s">
        <v>1046</v>
      </c>
      <c r="K656" s="5">
        <v>0.75277777777777777</v>
      </c>
      <c r="L656" t="s">
        <v>28</v>
      </c>
      <c r="M656">
        <v>12.036</v>
      </c>
      <c r="N656">
        <v>9.4</v>
      </c>
    </row>
    <row r="657" spans="1:14" x14ac:dyDescent="0.25">
      <c r="A657" t="s">
        <v>686</v>
      </c>
      <c r="B657" t="s">
        <v>13</v>
      </c>
      <c r="C657" t="s">
        <v>14</v>
      </c>
      <c r="D657" t="s">
        <v>22</v>
      </c>
      <c r="E657" t="s">
        <v>16</v>
      </c>
      <c r="F657" t="s">
        <v>23</v>
      </c>
      <c r="G657" t="s">
        <v>1036</v>
      </c>
      <c r="H657" t="s">
        <v>1043</v>
      </c>
      <c r="I657" s="1">
        <v>43538</v>
      </c>
      <c r="J657" t="s">
        <v>1045</v>
      </c>
      <c r="K657" s="5">
        <v>0.59236111111111112</v>
      </c>
      <c r="L657" t="s">
        <v>28</v>
      </c>
      <c r="M657">
        <v>2.3534999999999999</v>
      </c>
      <c r="N657">
        <v>5.8</v>
      </c>
    </row>
    <row r="658" spans="1:14" x14ac:dyDescent="0.25">
      <c r="A658" t="s">
        <v>687</v>
      </c>
      <c r="B658" t="s">
        <v>20</v>
      </c>
      <c r="C658" t="s">
        <v>21</v>
      </c>
      <c r="D658" t="s">
        <v>22</v>
      </c>
      <c r="E658" t="s">
        <v>16</v>
      </c>
      <c r="F658" t="s">
        <v>23</v>
      </c>
      <c r="G658" t="s">
        <v>1034</v>
      </c>
      <c r="H658" t="s">
        <v>1042</v>
      </c>
      <c r="I658" s="1">
        <v>43523</v>
      </c>
      <c r="J658" t="s">
        <v>1044</v>
      </c>
      <c r="K658" s="5">
        <v>0.43263888888888885</v>
      </c>
      <c r="L658" t="s">
        <v>28</v>
      </c>
      <c r="M658">
        <v>4.9844999999999997</v>
      </c>
      <c r="N658">
        <v>8</v>
      </c>
    </row>
    <row r="659" spans="1:14" x14ac:dyDescent="0.25">
      <c r="A659" t="s">
        <v>688</v>
      </c>
      <c r="B659" t="s">
        <v>13</v>
      </c>
      <c r="C659" t="s">
        <v>14</v>
      </c>
      <c r="D659" t="s">
        <v>15</v>
      </c>
      <c r="E659" t="s">
        <v>16</v>
      </c>
      <c r="F659" t="s">
        <v>41</v>
      </c>
      <c r="G659" t="s">
        <v>1035</v>
      </c>
      <c r="H659" t="s">
        <v>1041</v>
      </c>
      <c r="I659" s="1">
        <v>43483</v>
      </c>
      <c r="J659" t="s">
        <v>1044</v>
      </c>
      <c r="K659" s="5">
        <v>0.42430555555555555</v>
      </c>
      <c r="L659" t="s">
        <v>18</v>
      </c>
      <c r="M659">
        <v>13.2225</v>
      </c>
      <c r="N659">
        <v>7.9</v>
      </c>
    </row>
    <row r="660" spans="1:14" x14ac:dyDescent="0.25">
      <c r="A660" t="s">
        <v>689</v>
      </c>
      <c r="B660" t="s">
        <v>13</v>
      </c>
      <c r="C660" t="s">
        <v>14</v>
      </c>
      <c r="D660" t="s">
        <v>15</v>
      </c>
      <c r="E660" t="s">
        <v>16</v>
      </c>
      <c r="F660" t="s">
        <v>31</v>
      </c>
      <c r="G660" t="s">
        <v>1037</v>
      </c>
      <c r="H660" t="s">
        <v>1041</v>
      </c>
      <c r="I660" s="1">
        <v>43494</v>
      </c>
      <c r="J660" t="s">
        <v>1045</v>
      </c>
      <c r="K660" s="5">
        <v>0.65833333333333333</v>
      </c>
      <c r="L660" t="s">
        <v>24</v>
      </c>
      <c r="M660">
        <v>6.9824999999999999</v>
      </c>
      <c r="N660">
        <v>5.9</v>
      </c>
    </row>
    <row r="661" spans="1:14" x14ac:dyDescent="0.25">
      <c r="A661" t="s">
        <v>690</v>
      </c>
      <c r="B661" t="s">
        <v>13</v>
      </c>
      <c r="C661" t="s">
        <v>14</v>
      </c>
      <c r="D661" t="s">
        <v>15</v>
      </c>
      <c r="E661" t="s">
        <v>26</v>
      </c>
      <c r="F661" t="s">
        <v>41</v>
      </c>
      <c r="G661" t="s">
        <v>1034</v>
      </c>
      <c r="H661" t="s">
        <v>1042</v>
      </c>
      <c r="I661" s="1">
        <v>43522</v>
      </c>
      <c r="J661" t="s">
        <v>1046</v>
      </c>
      <c r="K661" s="5">
        <v>0.7402777777777777</v>
      </c>
      <c r="L661" t="s">
        <v>28</v>
      </c>
      <c r="M661">
        <v>2.7725</v>
      </c>
      <c r="N661">
        <v>4.9000000000000004</v>
      </c>
    </row>
    <row r="662" spans="1:14" x14ac:dyDescent="0.25">
      <c r="A662" t="s">
        <v>691</v>
      </c>
      <c r="B662" t="s">
        <v>37</v>
      </c>
      <c r="C662" t="s">
        <v>38</v>
      </c>
      <c r="D662" t="s">
        <v>22</v>
      </c>
      <c r="E662" t="s">
        <v>16</v>
      </c>
      <c r="F662" t="s">
        <v>31</v>
      </c>
      <c r="G662" t="s">
        <v>1038</v>
      </c>
      <c r="H662" t="s">
        <v>1042</v>
      </c>
      <c r="I662" s="1">
        <v>43499</v>
      </c>
      <c r="J662" t="s">
        <v>1044</v>
      </c>
      <c r="K662" s="5">
        <v>0.49027777777777781</v>
      </c>
      <c r="L662" t="s">
        <v>24</v>
      </c>
      <c r="M662">
        <v>6.4455</v>
      </c>
      <c r="N662">
        <v>9.3000000000000007</v>
      </c>
    </row>
    <row r="663" spans="1:14" x14ac:dyDescent="0.25">
      <c r="A663" t="s">
        <v>692</v>
      </c>
      <c r="B663" t="s">
        <v>20</v>
      </c>
      <c r="C663" t="s">
        <v>21</v>
      </c>
      <c r="D663" t="s">
        <v>15</v>
      </c>
      <c r="E663" t="s">
        <v>26</v>
      </c>
      <c r="F663" t="s">
        <v>31</v>
      </c>
      <c r="G663" t="s">
        <v>1035</v>
      </c>
      <c r="H663" t="s">
        <v>1041</v>
      </c>
      <c r="I663" s="1">
        <v>43481</v>
      </c>
      <c r="J663" t="s">
        <v>1045</v>
      </c>
      <c r="K663" s="5">
        <v>0.50486111111111109</v>
      </c>
      <c r="L663" t="s">
        <v>28</v>
      </c>
      <c r="M663">
        <v>5.9989999999999997</v>
      </c>
      <c r="N663">
        <v>7.9</v>
      </c>
    </row>
    <row r="664" spans="1:14" x14ac:dyDescent="0.25">
      <c r="A664" t="s">
        <v>693</v>
      </c>
      <c r="B664" t="s">
        <v>37</v>
      </c>
      <c r="C664" t="s">
        <v>38</v>
      </c>
      <c r="D664" t="s">
        <v>15</v>
      </c>
      <c r="E664" t="s">
        <v>16</v>
      </c>
      <c r="F664" t="s">
        <v>41</v>
      </c>
      <c r="G664" t="s">
        <v>1038</v>
      </c>
      <c r="H664" t="s">
        <v>1043</v>
      </c>
      <c r="I664" s="1">
        <v>43548</v>
      </c>
      <c r="J664" t="s">
        <v>1046</v>
      </c>
      <c r="K664" s="5">
        <v>0.7597222222222223</v>
      </c>
      <c r="L664" t="s">
        <v>28</v>
      </c>
      <c r="M664">
        <v>17.625</v>
      </c>
      <c r="N664">
        <v>5.9</v>
      </c>
    </row>
    <row r="665" spans="1:14" x14ac:dyDescent="0.25">
      <c r="A665" t="s">
        <v>694</v>
      </c>
      <c r="B665" t="s">
        <v>20</v>
      </c>
      <c r="C665" t="s">
        <v>21</v>
      </c>
      <c r="D665" t="s">
        <v>15</v>
      </c>
      <c r="E665" t="s">
        <v>16</v>
      </c>
      <c r="F665" t="s">
        <v>39</v>
      </c>
      <c r="G665" t="s">
        <v>1039</v>
      </c>
      <c r="H665" t="s">
        <v>1042</v>
      </c>
      <c r="I665" s="1">
        <v>43508</v>
      </c>
      <c r="J665" t="s">
        <v>1045</v>
      </c>
      <c r="K665" s="5">
        <v>0.61458333333333337</v>
      </c>
      <c r="L665" t="s">
        <v>28</v>
      </c>
      <c r="M665">
        <v>43.55</v>
      </c>
      <c r="N665">
        <v>9.9</v>
      </c>
    </row>
    <row r="666" spans="1:14" x14ac:dyDescent="0.25">
      <c r="A666" t="s">
        <v>695</v>
      </c>
      <c r="B666" t="s">
        <v>20</v>
      </c>
      <c r="C666" t="s">
        <v>21</v>
      </c>
      <c r="D666" t="s">
        <v>22</v>
      </c>
      <c r="E666" t="s">
        <v>16</v>
      </c>
      <c r="F666" t="s">
        <v>31</v>
      </c>
      <c r="G666" t="s">
        <v>1040</v>
      </c>
      <c r="H666" t="s">
        <v>1042</v>
      </c>
      <c r="I666" s="1">
        <v>43517</v>
      </c>
      <c r="J666" t="s">
        <v>1044</v>
      </c>
      <c r="K666" s="5">
        <v>0.48541666666666666</v>
      </c>
      <c r="L666" t="s">
        <v>24</v>
      </c>
      <c r="M666">
        <v>9.8800000000000008</v>
      </c>
      <c r="N666">
        <v>7.7</v>
      </c>
    </row>
    <row r="667" spans="1:14" x14ac:dyDescent="0.25">
      <c r="A667" t="s">
        <v>696</v>
      </c>
      <c r="B667" t="s">
        <v>13</v>
      </c>
      <c r="C667" t="s">
        <v>14</v>
      </c>
      <c r="D667" t="s">
        <v>22</v>
      </c>
      <c r="E667" t="s">
        <v>16</v>
      </c>
      <c r="F667" t="s">
        <v>41</v>
      </c>
      <c r="G667" t="s">
        <v>1038</v>
      </c>
      <c r="H667" t="s">
        <v>1042</v>
      </c>
      <c r="I667" s="1">
        <v>43500</v>
      </c>
      <c r="J667" t="s">
        <v>1045</v>
      </c>
      <c r="K667" s="5">
        <v>0.65555555555555556</v>
      </c>
      <c r="L667" t="s">
        <v>18</v>
      </c>
      <c r="M667">
        <v>9.7260000000000009</v>
      </c>
      <c r="N667">
        <v>7.6</v>
      </c>
    </row>
    <row r="668" spans="1:14" x14ac:dyDescent="0.25">
      <c r="A668" t="s">
        <v>697</v>
      </c>
      <c r="B668" t="s">
        <v>37</v>
      </c>
      <c r="C668" t="s">
        <v>38</v>
      </c>
      <c r="D668" t="s">
        <v>15</v>
      </c>
      <c r="E668" t="s">
        <v>26</v>
      </c>
      <c r="F668" t="s">
        <v>39</v>
      </c>
      <c r="G668" t="s">
        <v>1040</v>
      </c>
      <c r="H668" t="s">
        <v>1042</v>
      </c>
      <c r="I668" s="1">
        <v>43516</v>
      </c>
      <c r="J668" t="s">
        <v>1045</v>
      </c>
      <c r="K668" s="5">
        <v>0.54583333333333328</v>
      </c>
      <c r="L668" t="s">
        <v>18</v>
      </c>
      <c r="M668">
        <v>8.6609999999999996</v>
      </c>
      <c r="N668">
        <v>7.7</v>
      </c>
    </row>
    <row r="669" spans="1:14" x14ac:dyDescent="0.25">
      <c r="A669" t="s">
        <v>698</v>
      </c>
      <c r="B669" t="s">
        <v>37</v>
      </c>
      <c r="C669" t="s">
        <v>38</v>
      </c>
      <c r="D669" t="s">
        <v>22</v>
      </c>
      <c r="E669" t="s">
        <v>16</v>
      </c>
      <c r="F669" t="s">
        <v>17</v>
      </c>
      <c r="G669" t="s">
        <v>1034</v>
      </c>
      <c r="H669" t="s">
        <v>1042</v>
      </c>
      <c r="I669" s="1">
        <v>43519</v>
      </c>
      <c r="J669" t="s">
        <v>1046</v>
      </c>
      <c r="K669" s="5">
        <v>0.86319444444444438</v>
      </c>
      <c r="L669" t="s">
        <v>18</v>
      </c>
      <c r="M669">
        <v>3.5939999999999999</v>
      </c>
      <c r="N669">
        <v>6.4</v>
      </c>
    </row>
    <row r="670" spans="1:14" x14ac:dyDescent="0.25">
      <c r="A670" t="s">
        <v>699</v>
      </c>
      <c r="B670" t="s">
        <v>20</v>
      </c>
      <c r="C670" t="s">
        <v>21</v>
      </c>
      <c r="D670" t="s">
        <v>15</v>
      </c>
      <c r="E670" t="s">
        <v>16</v>
      </c>
      <c r="F670" t="s">
        <v>17</v>
      </c>
      <c r="G670" t="s">
        <v>1040</v>
      </c>
      <c r="H670" t="s">
        <v>1042</v>
      </c>
      <c r="I670" s="1">
        <v>43512</v>
      </c>
      <c r="J670" t="s">
        <v>1045</v>
      </c>
      <c r="K670" s="5">
        <v>0.59652777777777777</v>
      </c>
      <c r="L670" t="s">
        <v>18</v>
      </c>
      <c r="M670">
        <v>14.313000000000001</v>
      </c>
      <c r="N670">
        <v>4.4000000000000004</v>
      </c>
    </row>
    <row r="671" spans="1:14" x14ac:dyDescent="0.25">
      <c r="A671" t="s">
        <v>700</v>
      </c>
      <c r="B671" t="s">
        <v>37</v>
      </c>
      <c r="C671" t="s">
        <v>38</v>
      </c>
      <c r="D671" t="s">
        <v>22</v>
      </c>
      <c r="E671" t="s">
        <v>16</v>
      </c>
      <c r="F671" t="s">
        <v>31</v>
      </c>
      <c r="G671" t="s">
        <v>1035</v>
      </c>
      <c r="H671" t="s">
        <v>1041</v>
      </c>
      <c r="I671" s="1">
        <v>43482</v>
      </c>
      <c r="J671" t="s">
        <v>1044</v>
      </c>
      <c r="K671" s="5">
        <v>0.41736111111111113</v>
      </c>
      <c r="L671" t="s">
        <v>28</v>
      </c>
      <c r="M671">
        <v>4.0620000000000003</v>
      </c>
      <c r="N671">
        <v>4.0999999999999996</v>
      </c>
    </row>
    <row r="672" spans="1:14" x14ac:dyDescent="0.25">
      <c r="A672" t="s">
        <v>701</v>
      </c>
      <c r="B672" t="s">
        <v>13</v>
      </c>
      <c r="C672" t="s">
        <v>14</v>
      </c>
      <c r="D672" t="s">
        <v>15</v>
      </c>
      <c r="E672" t="s">
        <v>26</v>
      </c>
      <c r="F672" t="s">
        <v>41</v>
      </c>
      <c r="G672" t="s">
        <v>1035</v>
      </c>
      <c r="H672" t="s">
        <v>1041</v>
      </c>
      <c r="I672" s="1">
        <v>43479</v>
      </c>
      <c r="J672" t="s">
        <v>1046</v>
      </c>
      <c r="K672" s="5">
        <v>0.8125</v>
      </c>
      <c r="L672" t="s">
        <v>18</v>
      </c>
      <c r="M672">
        <v>28.02</v>
      </c>
      <c r="N672">
        <v>4.4000000000000004</v>
      </c>
    </row>
    <row r="673" spans="1:14" x14ac:dyDescent="0.25">
      <c r="A673" t="s">
        <v>702</v>
      </c>
      <c r="B673" t="s">
        <v>37</v>
      </c>
      <c r="C673" t="s">
        <v>38</v>
      </c>
      <c r="D673" t="s">
        <v>15</v>
      </c>
      <c r="E673" t="s">
        <v>26</v>
      </c>
      <c r="F673" t="s">
        <v>39</v>
      </c>
      <c r="G673" t="s">
        <v>1039</v>
      </c>
      <c r="H673" t="s">
        <v>1043</v>
      </c>
      <c r="I673" s="1">
        <v>43554</v>
      </c>
      <c r="J673" t="s">
        <v>1046</v>
      </c>
      <c r="K673" s="5">
        <v>0.69027777777777777</v>
      </c>
      <c r="L673" t="s">
        <v>24</v>
      </c>
      <c r="M673">
        <v>9.34</v>
      </c>
      <c r="N673">
        <v>5.5</v>
      </c>
    </row>
    <row r="674" spans="1:14" x14ac:dyDescent="0.25">
      <c r="A674" t="s">
        <v>703</v>
      </c>
      <c r="B674" t="s">
        <v>37</v>
      </c>
      <c r="C674" t="s">
        <v>38</v>
      </c>
      <c r="D674" t="s">
        <v>22</v>
      </c>
      <c r="E674" t="s">
        <v>16</v>
      </c>
      <c r="F674" t="s">
        <v>17</v>
      </c>
      <c r="G674" t="s">
        <v>1035</v>
      </c>
      <c r="H674" t="s">
        <v>1043</v>
      </c>
      <c r="I674" s="1">
        <v>43526</v>
      </c>
      <c r="J674" t="s">
        <v>1045</v>
      </c>
      <c r="K674" s="5">
        <v>0.54861111111111105</v>
      </c>
      <c r="L674" t="s">
        <v>18</v>
      </c>
      <c r="M674">
        <v>11.0115</v>
      </c>
      <c r="N674">
        <v>4</v>
      </c>
    </row>
    <row r="675" spans="1:14" x14ac:dyDescent="0.25">
      <c r="A675" t="s">
        <v>704</v>
      </c>
      <c r="B675" t="s">
        <v>20</v>
      </c>
      <c r="C675" t="s">
        <v>21</v>
      </c>
      <c r="D675" t="s">
        <v>22</v>
      </c>
      <c r="E675" t="s">
        <v>26</v>
      </c>
      <c r="F675" t="s">
        <v>17</v>
      </c>
      <c r="G675" t="s">
        <v>1039</v>
      </c>
      <c r="H675" t="s">
        <v>1042</v>
      </c>
      <c r="I675" s="1">
        <v>43511</v>
      </c>
      <c r="J675" t="s">
        <v>1046</v>
      </c>
      <c r="K675" s="5">
        <v>0.71527777777777779</v>
      </c>
      <c r="L675" t="s">
        <v>28</v>
      </c>
      <c r="M675">
        <v>13.456</v>
      </c>
      <c r="N675">
        <v>9.3000000000000007</v>
      </c>
    </row>
    <row r="676" spans="1:14" x14ac:dyDescent="0.25">
      <c r="A676" t="s">
        <v>705</v>
      </c>
      <c r="B676" t="s">
        <v>13</v>
      </c>
      <c r="C676" t="s">
        <v>14</v>
      </c>
      <c r="D676" t="s">
        <v>22</v>
      </c>
      <c r="E676" t="s">
        <v>16</v>
      </c>
      <c r="F676" t="s">
        <v>23</v>
      </c>
      <c r="G676" t="s">
        <v>1034</v>
      </c>
      <c r="H676" t="s">
        <v>1043</v>
      </c>
      <c r="I676" s="1">
        <v>43525</v>
      </c>
      <c r="J676" t="s">
        <v>1044</v>
      </c>
      <c r="K676" s="5">
        <v>0.43194444444444446</v>
      </c>
      <c r="L676" t="s">
        <v>28</v>
      </c>
      <c r="M676">
        <v>22.74</v>
      </c>
      <c r="N676">
        <v>4.8</v>
      </c>
    </row>
    <row r="677" spans="1:14" x14ac:dyDescent="0.25">
      <c r="A677" t="s">
        <v>706</v>
      </c>
      <c r="B677" t="s">
        <v>37</v>
      </c>
      <c r="C677" t="s">
        <v>38</v>
      </c>
      <c r="D677" t="s">
        <v>15</v>
      </c>
      <c r="E677" t="s">
        <v>26</v>
      </c>
      <c r="F677" t="s">
        <v>41</v>
      </c>
      <c r="G677" t="s">
        <v>1034</v>
      </c>
      <c r="H677" t="s">
        <v>1042</v>
      </c>
      <c r="I677" s="1">
        <v>43520</v>
      </c>
      <c r="J677" t="s">
        <v>1046</v>
      </c>
      <c r="K677" s="5">
        <v>0.83124999999999993</v>
      </c>
      <c r="L677" t="s">
        <v>24</v>
      </c>
      <c r="M677">
        <v>8.3770000000000007</v>
      </c>
      <c r="N677">
        <v>4.5999999999999996</v>
      </c>
    </row>
    <row r="678" spans="1:14" x14ac:dyDescent="0.25">
      <c r="A678" t="s">
        <v>707</v>
      </c>
      <c r="B678" t="s">
        <v>37</v>
      </c>
      <c r="C678" t="s">
        <v>38</v>
      </c>
      <c r="D678" t="s">
        <v>15</v>
      </c>
      <c r="E678" t="s">
        <v>16</v>
      </c>
      <c r="F678" t="s">
        <v>31</v>
      </c>
      <c r="G678" t="s">
        <v>1040</v>
      </c>
      <c r="H678" t="s">
        <v>1042</v>
      </c>
      <c r="I678" s="1">
        <v>43515</v>
      </c>
      <c r="J678" t="s">
        <v>1046</v>
      </c>
      <c r="K678" s="5">
        <v>0.81180555555555556</v>
      </c>
      <c r="L678" t="s">
        <v>28</v>
      </c>
      <c r="M678">
        <v>22.428000000000001</v>
      </c>
      <c r="N678">
        <v>7.3</v>
      </c>
    </row>
    <row r="679" spans="1:14" x14ac:dyDescent="0.25">
      <c r="A679" t="s">
        <v>708</v>
      </c>
      <c r="B679" t="s">
        <v>13</v>
      </c>
      <c r="C679" t="s">
        <v>14</v>
      </c>
      <c r="D679" t="s">
        <v>15</v>
      </c>
      <c r="E679" t="s">
        <v>16</v>
      </c>
      <c r="F679" t="s">
        <v>39</v>
      </c>
      <c r="G679" t="s">
        <v>1034</v>
      </c>
      <c r="H679" t="s">
        <v>1042</v>
      </c>
      <c r="I679" s="1">
        <v>43519</v>
      </c>
      <c r="J679" t="s">
        <v>1046</v>
      </c>
      <c r="K679" s="5">
        <v>0.77083333333333337</v>
      </c>
      <c r="L679" t="s">
        <v>24</v>
      </c>
      <c r="M679">
        <v>14.694000000000001</v>
      </c>
      <c r="N679">
        <v>6</v>
      </c>
    </row>
    <row r="680" spans="1:14" x14ac:dyDescent="0.25">
      <c r="A680" t="s">
        <v>709</v>
      </c>
      <c r="B680" t="s">
        <v>20</v>
      </c>
      <c r="C680" t="s">
        <v>21</v>
      </c>
      <c r="D680" t="s">
        <v>22</v>
      </c>
      <c r="E680" t="s">
        <v>26</v>
      </c>
      <c r="F680" t="s">
        <v>17</v>
      </c>
      <c r="G680" t="s">
        <v>1038</v>
      </c>
      <c r="H680" t="s">
        <v>1042</v>
      </c>
      <c r="I680" s="1">
        <v>43503</v>
      </c>
      <c r="J680" t="s">
        <v>1045</v>
      </c>
      <c r="K680" s="5">
        <v>0.6020833333333333</v>
      </c>
      <c r="L680" t="s">
        <v>18</v>
      </c>
      <c r="M680">
        <v>29.475000000000001</v>
      </c>
      <c r="N680">
        <v>8.1</v>
      </c>
    </row>
    <row r="681" spans="1:14" x14ac:dyDescent="0.25">
      <c r="A681" t="s">
        <v>710</v>
      </c>
      <c r="B681" t="s">
        <v>13</v>
      </c>
      <c r="C681" t="s">
        <v>14</v>
      </c>
      <c r="D681" t="s">
        <v>15</v>
      </c>
      <c r="E681" t="s">
        <v>26</v>
      </c>
      <c r="F681" t="s">
        <v>39</v>
      </c>
      <c r="G681" t="s">
        <v>1034</v>
      </c>
      <c r="H681" t="s">
        <v>1041</v>
      </c>
      <c r="I681" s="1">
        <v>43476</v>
      </c>
      <c r="J681" t="s">
        <v>1045</v>
      </c>
      <c r="K681" s="5">
        <v>0.58124999999999993</v>
      </c>
      <c r="L681" t="s">
        <v>18</v>
      </c>
      <c r="M681">
        <v>14.55</v>
      </c>
      <c r="N681">
        <v>9.4</v>
      </c>
    </row>
    <row r="682" spans="1:14" x14ac:dyDescent="0.25">
      <c r="A682" t="s">
        <v>711</v>
      </c>
      <c r="B682" t="s">
        <v>37</v>
      </c>
      <c r="C682" t="s">
        <v>38</v>
      </c>
      <c r="D682" t="s">
        <v>15</v>
      </c>
      <c r="E682" t="s">
        <v>16</v>
      </c>
      <c r="F682" t="s">
        <v>23</v>
      </c>
      <c r="G682" t="s">
        <v>1039</v>
      </c>
      <c r="H682" t="s">
        <v>1042</v>
      </c>
      <c r="I682" s="1">
        <v>43508</v>
      </c>
      <c r="J682" t="s">
        <v>1046</v>
      </c>
      <c r="K682" s="5">
        <v>0.82152777777777775</v>
      </c>
      <c r="L682" t="s">
        <v>24</v>
      </c>
      <c r="M682">
        <v>1.974</v>
      </c>
      <c r="N682">
        <v>6.5</v>
      </c>
    </row>
    <row r="683" spans="1:14" x14ac:dyDescent="0.25">
      <c r="A683" t="s">
        <v>712</v>
      </c>
      <c r="B683" t="s">
        <v>37</v>
      </c>
      <c r="C683" t="s">
        <v>38</v>
      </c>
      <c r="D683" t="s">
        <v>22</v>
      </c>
      <c r="E683" t="s">
        <v>16</v>
      </c>
      <c r="F683" t="s">
        <v>31</v>
      </c>
      <c r="G683" t="s">
        <v>1035</v>
      </c>
      <c r="H683" t="s">
        <v>1041</v>
      </c>
      <c r="I683" s="1">
        <v>43479</v>
      </c>
      <c r="J683" t="s">
        <v>1044</v>
      </c>
      <c r="K683" s="5">
        <v>0.42430555555555555</v>
      </c>
      <c r="L683" t="s">
        <v>28</v>
      </c>
      <c r="M683">
        <v>1.7404999999999999</v>
      </c>
      <c r="N683">
        <v>7</v>
      </c>
    </row>
    <row r="684" spans="1:14" x14ac:dyDescent="0.25">
      <c r="A684" t="s">
        <v>713</v>
      </c>
      <c r="B684" t="s">
        <v>20</v>
      </c>
      <c r="C684" t="s">
        <v>21</v>
      </c>
      <c r="D684" t="s">
        <v>22</v>
      </c>
      <c r="E684" t="s">
        <v>16</v>
      </c>
      <c r="F684" t="s">
        <v>41</v>
      </c>
      <c r="G684" t="s">
        <v>1034</v>
      </c>
      <c r="H684" t="s">
        <v>1041</v>
      </c>
      <c r="I684" s="1">
        <v>43474</v>
      </c>
      <c r="J684" t="s">
        <v>1045</v>
      </c>
      <c r="K684" s="5">
        <v>0.57361111111111118</v>
      </c>
      <c r="L684" t="s">
        <v>18</v>
      </c>
      <c r="M684">
        <v>14.795999999999999</v>
      </c>
      <c r="N684">
        <v>7.1</v>
      </c>
    </row>
    <row r="685" spans="1:14" x14ac:dyDescent="0.25">
      <c r="A685" t="s">
        <v>714</v>
      </c>
      <c r="B685" t="s">
        <v>13</v>
      </c>
      <c r="C685" t="s">
        <v>14</v>
      </c>
      <c r="D685" t="s">
        <v>15</v>
      </c>
      <c r="E685" t="s">
        <v>26</v>
      </c>
      <c r="F685" t="s">
        <v>41</v>
      </c>
      <c r="G685" t="s">
        <v>1034</v>
      </c>
      <c r="H685" t="s">
        <v>1042</v>
      </c>
      <c r="I685" s="1">
        <v>43523</v>
      </c>
      <c r="J685" t="s">
        <v>1045</v>
      </c>
      <c r="K685" s="5">
        <v>0.51527777777777783</v>
      </c>
      <c r="L685" t="s">
        <v>18</v>
      </c>
      <c r="M685">
        <v>2.1480000000000001</v>
      </c>
      <c r="N685">
        <v>6.6</v>
      </c>
    </row>
    <row r="686" spans="1:14" x14ac:dyDescent="0.25">
      <c r="A686" t="s">
        <v>715</v>
      </c>
      <c r="B686" t="s">
        <v>37</v>
      </c>
      <c r="C686" t="s">
        <v>38</v>
      </c>
      <c r="D686" t="s">
        <v>15</v>
      </c>
      <c r="E686" t="s">
        <v>16</v>
      </c>
      <c r="F686" t="s">
        <v>31</v>
      </c>
      <c r="G686" t="s">
        <v>1036</v>
      </c>
      <c r="H686" t="s">
        <v>1041</v>
      </c>
      <c r="I686" s="1">
        <v>43489</v>
      </c>
      <c r="J686" t="s">
        <v>1046</v>
      </c>
      <c r="K686" s="5">
        <v>0.80555555555555547</v>
      </c>
      <c r="L686" t="s">
        <v>18</v>
      </c>
      <c r="M686">
        <v>6.9240000000000004</v>
      </c>
      <c r="N686">
        <v>4.9000000000000004</v>
      </c>
    </row>
    <row r="687" spans="1:14" x14ac:dyDescent="0.25">
      <c r="A687" t="s">
        <v>716</v>
      </c>
      <c r="B687" t="s">
        <v>37</v>
      </c>
      <c r="C687" t="s">
        <v>38</v>
      </c>
      <c r="D687" t="s">
        <v>15</v>
      </c>
      <c r="E687" t="s">
        <v>16</v>
      </c>
      <c r="F687" t="s">
        <v>27</v>
      </c>
      <c r="G687" t="s">
        <v>1034</v>
      </c>
      <c r="H687" t="s">
        <v>1041</v>
      </c>
      <c r="I687" s="1">
        <v>43473</v>
      </c>
      <c r="J687" t="s">
        <v>1045</v>
      </c>
      <c r="K687" s="5">
        <v>0.54027777777777775</v>
      </c>
      <c r="L687" t="s">
        <v>28</v>
      </c>
      <c r="M687">
        <v>4.91</v>
      </c>
      <c r="N687">
        <v>6.4</v>
      </c>
    </row>
    <row r="688" spans="1:14" x14ac:dyDescent="0.25">
      <c r="A688" t="s">
        <v>717</v>
      </c>
      <c r="B688" t="s">
        <v>37</v>
      </c>
      <c r="C688" t="s">
        <v>38</v>
      </c>
      <c r="D688" t="s">
        <v>15</v>
      </c>
      <c r="E688" t="s">
        <v>16</v>
      </c>
      <c r="F688" t="s">
        <v>31</v>
      </c>
      <c r="G688" t="s">
        <v>1034</v>
      </c>
      <c r="H688" t="s">
        <v>1041</v>
      </c>
      <c r="I688" s="1">
        <v>43473</v>
      </c>
      <c r="J688" t="s">
        <v>1044</v>
      </c>
      <c r="K688" s="5">
        <v>0.4993055555555555</v>
      </c>
      <c r="L688" t="s">
        <v>28</v>
      </c>
      <c r="M688">
        <v>6.4829999999999997</v>
      </c>
      <c r="N688">
        <v>8</v>
      </c>
    </row>
    <row r="689" spans="1:14" x14ac:dyDescent="0.25">
      <c r="A689" t="s">
        <v>718</v>
      </c>
      <c r="B689" t="s">
        <v>13</v>
      </c>
      <c r="C689" t="s">
        <v>14</v>
      </c>
      <c r="D689" t="s">
        <v>15</v>
      </c>
      <c r="E689" t="s">
        <v>26</v>
      </c>
      <c r="F689" t="s">
        <v>27</v>
      </c>
      <c r="G689" t="s">
        <v>1035</v>
      </c>
      <c r="H689" t="s">
        <v>1041</v>
      </c>
      <c r="I689" s="1">
        <v>43481</v>
      </c>
      <c r="J689" t="s">
        <v>1046</v>
      </c>
      <c r="K689" s="5">
        <v>0.74930555555555556</v>
      </c>
      <c r="L689" t="s">
        <v>24</v>
      </c>
      <c r="M689">
        <v>31.78</v>
      </c>
      <c r="N689">
        <v>4.3</v>
      </c>
    </row>
    <row r="690" spans="1:14" x14ac:dyDescent="0.25">
      <c r="A690" t="s">
        <v>719</v>
      </c>
      <c r="B690" t="s">
        <v>20</v>
      </c>
      <c r="C690" t="s">
        <v>21</v>
      </c>
      <c r="D690" t="s">
        <v>15</v>
      </c>
      <c r="E690" t="s">
        <v>26</v>
      </c>
      <c r="F690" t="s">
        <v>31</v>
      </c>
      <c r="G690" t="s">
        <v>1036</v>
      </c>
      <c r="H690" t="s">
        <v>1043</v>
      </c>
      <c r="I690" s="1">
        <v>43537</v>
      </c>
      <c r="J690" t="s">
        <v>1045</v>
      </c>
      <c r="K690" s="5">
        <v>0.53541666666666665</v>
      </c>
      <c r="L690" t="s">
        <v>24</v>
      </c>
      <c r="M690">
        <v>7.2880000000000003</v>
      </c>
      <c r="N690">
        <v>6.1</v>
      </c>
    </row>
    <row r="691" spans="1:14" x14ac:dyDescent="0.25">
      <c r="A691" t="s">
        <v>720</v>
      </c>
      <c r="B691" t="s">
        <v>13</v>
      </c>
      <c r="C691" t="s">
        <v>14</v>
      </c>
      <c r="D691" t="s">
        <v>22</v>
      </c>
      <c r="E691" t="s">
        <v>16</v>
      </c>
      <c r="F691" t="s">
        <v>39</v>
      </c>
      <c r="G691" t="s">
        <v>1039</v>
      </c>
      <c r="H691" t="s">
        <v>1042</v>
      </c>
      <c r="I691" s="1">
        <v>43511</v>
      </c>
      <c r="J691" t="s">
        <v>1044</v>
      </c>
      <c r="K691" s="5">
        <v>0.44166666666666665</v>
      </c>
      <c r="L691" t="s">
        <v>24</v>
      </c>
      <c r="M691">
        <v>10.065</v>
      </c>
      <c r="N691">
        <v>7.5</v>
      </c>
    </row>
    <row r="692" spans="1:14" x14ac:dyDescent="0.25">
      <c r="A692" t="s">
        <v>721</v>
      </c>
      <c r="B692" t="s">
        <v>20</v>
      </c>
      <c r="C692" t="s">
        <v>21</v>
      </c>
      <c r="D692" t="s">
        <v>15</v>
      </c>
      <c r="E692" t="s">
        <v>16</v>
      </c>
      <c r="F692" t="s">
        <v>31</v>
      </c>
      <c r="G692" t="s">
        <v>1036</v>
      </c>
      <c r="H692" t="s">
        <v>1041</v>
      </c>
      <c r="I692" s="1">
        <v>43490</v>
      </c>
      <c r="J692" t="s">
        <v>1045</v>
      </c>
      <c r="K692" s="5">
        <v>0.56805555555555554</v>
      </c>
      <c r="L692" t="s">
        <v>24</v>
      </c>
      <c r="M692">
        <v>31.5855</v>
      </c>
      <c r="N692">
        <v>6.7</v>
      </c>
    </row>
    <row r="693" spans="1:14" x14ac:dyDescent="0.25">
      <c r="A693" t="s">
        <v>722</v>
      </c>
      <c r="B693" t="s">
        <v>20</v>
      </c>
      <c r="C693" t="s">
        <v>21</v>
      </c>
      <c r="D693" t="s">
        <v>15</v>
      </c>
      <c r="E693" t="s">
        <v>26</v>
      </c>
      <c r="F693" t="s">
        <v>39</v>
      </c>
      <c r="G693" t="s">
        <v>1036</v>
      </c>
      <c r="H693" t="s">
        <v>1043</v>
      </c>
      <c r="I693" s="1">
        <v>43536</v>
      </c>
      <c r="J693" t="s">
        <v>1046</v>
      </c>
      <c r="K693" s="5">
        <v>0.81874999999999998</v>
      </c>
      <c r="L693" t="s">
        <v>18</v>
      </c>
      <c r="M693">
        <v>19.263999999999999</v>
      </c>
      <c r="N693">
        <v>5.2</v>
      </c>
    </row>
    <row r="694" spans="1:14" x14ac:dyDescent="0.25">
      <c r="A694" t="s">
        <v>723</v>
      </c>
      <c r="B694" t="s">
        <v>13</v>
      </c>
      <c r="C694" t="s">
        <v>14</v>
      </c>
      <c r="D694" t="s">
        <v>15</v>
      </c>
      <c r="E694" t="s">
        <v>26</v>
      </c>
      <c r="F694" t="s">
        <v>17</v>
      </c>
      <c r="G694" t="s">
        <v>1035</v>
      </c>
      <c r="H694" t="s">
        <v>1043</v>
      </c>
      <c r="I694" s="1">
        <v>43528</v>
      </c>
      <c r="J694" t="s">
        <v>1045</v>
      </c>
      <c r="K694" s="5">
        <v>0.53055555555555556</v>
      </c>
      <c r="L694" t="s">
        <v>24</v>
      </c>
      <c r="M694">
        <v>24.315000000000001</v>
      </c>
      <c r="N694">
        <v>8.8000000000000007</v>
      </c>
    </row>
    <row r="695" spans="1:14" x14ac:dyDescent="0.25">
      <c r="A695" t="s">
        <v>724</v>
      </c>
      <c r="B695" t="s">
        <v>20</v>
      </c>
      <c r="C695" t="s">
        <v>21</v>
      </c>
      <c r="D695" t="s">
        <v>15</v>
      </c>
      <c r="E695" t="s">
        <v>16</v>
      </c>
      <c r="F695" t="s">
        <v>41</v>
      </c>
      <c r="G695" t="s">
        <v>1039</v>
      </c>
      <c r="H695" t="s">
        <v>1042</v>
      </c>
      <c r="I695" s="1">
        <v>43506</v>
      </c>
      <c r="J695" t="s">
        <v>1045</v>
      </c>
      <c r="K695" s="5">
        <v>0.5805555555555556</v>
      </c>
      <c r="L695" t="s">
        <v>24</v>
      </c>
      <c r="M695">
        <v>25.683</v>
      </c>
      <c r="N695">
        <v>9.5</v>
      </c>
    </row>
    <row r="696" spans="1:14" x14ac:dyDescent="0.25">
      <c r="A696" t="s">
        <v>725</v>
      </c>
      <c r="B696" t="s">
        <v>20</v>
      </c>
      <c r="C696" t="s">
        <v>21</v>
      </c>
      <c r="D696" t="s">
        <v>22</v>
      </c>
      <c r="E696" t="s">
        <v>16</v>
      </c>
      <c r="F696" t="s">
        <v>39</v>
      </c>
      <c r="G696" t="s">
        <v>1035</v>
      </c>
      <c r="H696" t="s">
        <v>1041</v>
      </c>
      <c r="I696" s="1">
        <v>43481</v>
      </c>
      <c r="J696" t="s">
        <v>1045</v>
      </c>
      <c r="K696" s="5">
        <v>0.61249999999999993</v>
      </c>
      <c r="L696" t="s">
        <v>24</v>
      </c>
      <c r="M696">
        <v>23.67</v>
      </c>
      <c r="N696">
        <v>7.6</v>
      </c>
    </row>
    <row r="697" spans="1:14" x14ac:dyDescent="0.25">
      <c r="A697" t="s">
        <v>726</v>
      </c>
      <c r="B697" t="s">
        <v>13</v>
      </c>
      <c r="C697" t="s">
        <v>14</v>
      </c>
      <c r="D697" t="s">
        <v>15</v>
      </c>
      <c r="E697" t="s">
        <v>16</v>
      </c>
      <c r="F697" t="s">
        <v>27</v>
      </c>
      <c r="G697" t="s">
        <v>1037</v>
      </c>
      <c r="H697" t="s">
        <v>1041</v>
      </c>
      <c r="I697" s="1">
        <v>43494</v>
      </c>
      <c r="J697" t="s">
        <v>1046</v>
      </c>
      <c r="K697" s="5">
        <v>0.82291666666666663</v>
      </c>
      <c r="L697" t="s">
        <v>24</v>
      </c>
      <c r="M697">
        <v>21.842500000000001</v>
      </c>
      <c r="N697">
        <v>6.6</v>
      </c>
    </row>
    <row r="698" spans="1:14" x14ac:dyDescent="0.25">
      <c r="A698" t="s">
        <v>727</v>
      </c>
      <c r="B698" t="s">
        <v>13</v>
      </c>
      <c r="C698" t="s">
        <v>14</v>
      </c>
      <c r="D698" t="s">
        <v>15</v>
      </c>
      <c r="E698" t="s">
        <v>16</v>
      </c>
      <c r="F698" t="s">
        <v>31</v>
      </c>
      <c r="G698" t="s">
        <v>1040</v>
      </c>
      <c r="H698" t="s">
        <v>1041</v>
      </c>
      <c r="I698" s="1">
        <v>43466</v>
      </c>
      <c r="J698" t="s">
        <v>1046</v>
      </c>
      <c r="K698" s="5">
        <v>0.85138888888888886</v>
      </c>
      <c r="L698" t="s">
        <v>18</v>
      </c>
      <c r="M698">
        <v>5.4080000000000004</v>
      </c>
      <c r="N698">
        <v>6.9</v>
      </c>
    </row>
    <row r="699" spans="1:14" x14ac:dyDescent="0.25">
      <c r="A699" t="s">
        <v>728</v>
      </c>
      <c r="B699" t="s">
        <v>37</v>
      </c>
      <c r="C699" t="s">
        <v>38</v>
      </c>
      <c r="D699" t="s">
        <v>22</v>
      </c>
      <c r="E699" t="s">
        <v>26</v>
      </c>
      <c r="F699" t="s">
        <v>27</v>
      </c>
      <c r="G699" t="s">
        <v>1034</v>
      </c>
      <c r="H699" t="s">
        <v>1041</v>
      </c>
      <c r="I699" s="1">
        <v>43471</v>
      </c>
      <c r="J699" t="s">
        <v>1046</v>
      </c>
      <c r="K699" s="5">
        <v>0.82361111111111107</v>
      </c>
      <c r="L699" t="s">
        <v>18</v>
      </c>
      <c r="M699">
        <v>12.438000000000001</v>
      </c>
      <c r="N699">
        <v>4.3</v>
      </c>
    </row>
    <row r="700" spans="1:14" x14ac:dyDescent="0.25">
      <c r="A700" t="s">
        <v>729</v>
      </c>
      <c r="B700" t="s">
        <v>13</v>
      </c>
      <c r="C700" t="s">
        <v>14</v>
      </c>
      <c r="D700" t="s">
        <v>15</v>
      </c>
      <c r="E700" t="s">
        <v>26</v>
      </c>
      <c r="F700" t="s">
        <v>23</v>
      </c>
      <c r="G700" t="s">
        <v>1040</v>
      </c>
      <c r="H700" t="s">
        <v>1042</v>
      </c>
      <c r="I700" s="1">
        <v>43515</v>
      </c>
      <c r="J700" t="s">
        <v>1046</v>
      </c>
      <c r="K700" s="5">
        <v>0.81805555555555554</v>
      </c>
      <c r="L700" t="s">
        <v>28</v>
      </c>
      <c r="M700">
        <v>31.311</v>
      </c>
      <c r="N700">
        <v>7.8</v>
      </c>
    </row>
    <row r="701" spans="1:14" x14ac:dyDescent="0.25">
      <c r="A701" t="s">
        <v>730</v>
      </c>
      <c r="B701" t="s">
        <v>20</v>
      </c>
      <c r="C701" t="s">
        <v>21</v>
      </c>
      <c r="D701" t="s">
        <v>22</v>
      </c>
      <c r="E701" t="s">
        <v>26</v>
      </c>
      <c r="F701" t="s">
        <v>27</v>
      </c>
      <c r="G701" t="s">
        <v>1035</v>
      </c>
      <c r="H701" t="s">
        <v>1041</v>
      </c>
      <c r="I701" s="1">
        <v>43477</v>
      </c>
      <c r="J701" t="s">
        <v>1046</v>
      </c>
      <c r="K701" s="5">
        <v>0.6791666666666667</v>
      </c>
      <c r="L701" t="s">
        <v>18</v>
      </c>
      <c r="M701">
        <v>48.75</v>
      </c>
      <c r="N701">
        <v>8</v>
      </c>
    </row>
    <row r="702" spans="1:14" x14ac:dyDescent="0.25">
      <c r="A702" t="s">
        <v>731</v>
      </c>
      <c r="B702" t="s">
        <v>20</v>
      </c>
      <c r="C702" t="s">
        <v>21</v>
      </c>
      <c r="D702" t="s">
        <v>22</v>
      </c>
      <c r="E702" t="s">
        <v>16</v>
      </c>
      <c r="F702" t="s">
        <v>41</v>
      </c>
      <c r="G702" t="s">
        <v>1038</v>
      </c>
      <c r="H702" t="s">
        <v>1042</v>
      </c>
      <c r="I702" s="1">
        <v>43503</v>
      </c>
      <c r="J702" t="s">
        <v>1045</v>
      </c>
      <c r="K702" s="5">
        <v>0.51597222222222217</v>
      </c>
      <c r="L702" t="s">
        <v>18</v>
      </c>
      <c r="M702">
        <v>24.164000000000001</v>
      </c>
      <c r="N702">
        <v>9.6</v>
      </c>
    </row>
    <row r="703" spans="1:14" x14ac:dyDescent="0.25">
      <c r="A703" t="s">
        <v>732</v>
      </c>
      <c r="B703" t="s">
        <v>37</v>
      </c>
      <c r="C703" t="s">
        <v>38</v>
      </c>
      <c r="D703" t="s">
        <v>22</v>
      </c>
      <c r="E703" t="s">
        <v>26</v>
      </c>
      <c r="F703" t="s">
        <v>39</v>
      </c>
      <c r="G703" t="s">
        <v>1038</v>
      </c>
      <c r="H703" t="s">
        <v>1043</v>
      </c>
      <c r="I703" s="1">
        <v>43551</v>
      </c>
      <c r="J703" t="s">
        <v>1046</v>
      </c>
      <c r="K703" s="5">
        <v>0.7993055555555556</v>
      </c>
      <c r="L703" t="s">
        <v>28</v>
      </c>
      <c r="M703">
        <v>4.8479999999999999</v>
      </c>
      <c r="N703">
        <v>4.3</v>
      </c>
    </row>
    <row r="704" spans="1:14" x14ac:dyDescent="0.25">
      <c r="A704" t="s">
        <v>733</v>
      </c>
      <c r="B704" t="s">
        <v>37</v>
      </c>
      <c r="C704" t="s">
        <v>38</v>
      </c>
      <c r="D704" t="s">
        <v>15</v>
      </c>
      <c r="E704" t="s">
        <v>16</v>
      </c>
      <c r="F704" t="s">
        <v>41</v>
      </c>
      <c r="G704" t="s">
        <v>1034</v>
      </c>
      <c r="H704" t="s">
        <v>1042</v>
      </c>
      <c r="I704" s="1">
        <v>43523</v>
      </c>
      <c r="J704" t="s">
        <v>1046</v>
      </c>
      <c r="K704" s="5">
        <v>0.7895833333333333</v>
      </c>
      <c r="L704" t="s">
        <v>28</v>
      </c>
      <c r="M704">
        <v>9.8849999999999998</v>
      </c>
      <c r="N704">
        <v>5</v>
      </c>
    </row>
    <row r="705" spans="1:14" x14ac:dyDescent="0.25">
      <c r="A705" t="s">
        <v>734</v>
      </c>
      <c r="B705" t="s">
        <v>37</v>
      </c>
      <c r="C705" t="s">
        <v>38</v>
      </c>
      <c r="D705" t="s">
        <v>15</v>
      </c>
      <c r="E705" t="s">
        <v>26</v>
      </c>
      <c r="F705" t="s">
        <v>17</v>
      </c>
      <c r="G705" t="s">
        <v>1034</v>
      </c>
      <c r="H705" t="s">
        <v>1041</v>
      </c>
      <c r="I705" s="1">
        <v>43471</v>
      </c>
      <c r="J705" t="s">
        <v>1044</v>
      </c>
      <c r="K705" s="5">
        <v>0.47083333333333338</v>
      </c>
      <c r="L705" t="s">
        <v>24</v>
      </c>
      <c r="M705">
        <v>36.211500000000001</v>
      </c>
      <c r="N705">
        <v>9.1999999999999993</v>
      </c>
    </row>
    <row r="706" spans="1:14" x14ac:dyDescent="0.25">
      <c r="A706" t="s">
        <v>735</v>
      </c>
      <c r="B706" t="s">
        <v>37</v>
      </c>
      <c r="C706" t="s">
        <v>38</v>
      </c>
      <c r="D706" t="s">
        <v>15</v>
      </c>
      <c r="E706" t="s">
        <v>16</v>
      </c>
      <c r="F706" t="s">
        <v>27</v>
      </c>
      <c r="G706" t="s">
        <v>1035</v>
      </c>
      <c r="H706" t="s">
        <v>1043</v>
      </c>
      <c r="I706" s="1">
        <v>43526</v>
      </c>
      <c r="J706" t="s">
        <v>1045</v>
      </c>
      <c r="K706" s="5">
        <v>0.52777777777777779</v>
      </c>
      <c r="L706" t="s">
        <v>24</v>
      </c>
      <c r="M706">
        <v>39.775500000000001</v>
      </c>
      <c r="N706">
        <v>6.3</v>
      </c>
    </row>
    <row r="707" spans="1:14" x14ac:dyDescent="0.25">
      <c r="A707" t="s">
        <v>736</v>
      </c>
      <c r="B707" t="s">
        <v>37</v>
      </c>
      <c r="C707" t="s">
        <v>38</v>
      </c>
      <c r="D707" t="s">
        <v>22</v>
      </c>
      <c r="E707" t="s">
        <v>26</v>
      </c>
      <c r="F707" t="s">
        <v>17</v>
      </c>
      <c r="G707" t="s">
        <v>1038</v>
      </c>
      <c r="H707" t="s">
        <v>1043</v>
      </c>
      <c r="I707" s="1">
        <v>43553</v>
      </c>
      <c r="J707" t="s">
        <v>1045</v>
      </c>
      <c r="K707" s="5">
        <v>0.58750000000000002</v>
      </c>
      <c r="L707" t="s">
        <v>24</v>
      </c>
      <c r="M707">
        <v>25.119499999999999</v>
      </c>
      <c r="N707">
        <v>8.9</v>
      </c>
    </row>
    <row r="708" spans="1:14" x14ac:dyDescent="0.25">
      <c r="A708" t="s">
        <v>737</v>
      </c>
      <c r="B708" t="s">
        <v>37</v>
      </c>
      <c r="C708" t="s">
        <v>38</v>
      </c>
      <c r="D708" t="s">
        <v>22</v>
      </c>
      <c r="E708" t="s">
        <v>16</v>
      </c>
      <c r="F708" t="s">
        <v>23</v>
      </c>
      <c r="G708" t="s">
        <v>1037</v>
      </c>
      <c r="H708" t="s">
        <v>1041</v>
      </c>
      <c r="I708" s="1">
        <v>43496</v>
      </c>
      <c r="J708" t="s">
        <v>1046</v>
      </c>
      <c r="K708" s="5">
        <v>0.8666666666666667</v>
      </c>
      <c r="L708" t="s">
        <v>18</v>
      </c>
      <c r="M708">
        <v>8.6</v>
      </c>
      <c r="N708">
        <v>7.6</v>
      </c>
    </row>
    <row r="709" spans="1:14" x14ac:dyDescent="0.25">
      <c r="A709" t="s">
        <v>738</v>
      </c>
      <c r="B709" t="s">
        <v>20</v>
      </c>
      <c r="C709" t="s">
        <v>21</v>
      </c>
      <c r="D709" t="s">
        <v>15</v>
      </c>
      <c r="E709" t="s">
        <v>26</v>
      </c>
      <c r="F709" t="s">
        <v>39</v>
      </c>
      <c r="G709" t="s">
        <v>1036</v>
      </c>
      <c r="H709" t="s">
        <v>1041</v>
      </c>
      <c r="I709" s="1">
        <v>43486</v>
      </c>
      <c r="J709" t="s">
        <v>1046</v>
      </c>
      <c r="K709" s="5">
        <v>0.84236111111111101</v>
      </c>
      <c r="L709" t="s">
        <v>24</v>
      </c>
      <c r="M709">
        <v>3.4489999999999998</v>
      </c>
      <c r="N709">
        <v>4.8</v>
      </c>
    </row>
    <row r="710" spans="1:14" x14ac:dyDescent="0.25">
      <c r="A710" t="s">
        <v>739</v>
      </c>
      <c r="B710" t="s">
        <v>20</v>
      </c>
      <c r="C710" t="s">
        <v>21</v>
      </c>
      <c r="D710" t="s">
        <v>22</v>
      </c>
      <c r="E710" t="s">
        <v>26</v>
      </c>
      <c r="F710" t="s">
        <v>41</v>
      </c>
      <c r="G710" t="s">
        <v>1036</v>
      </c>
      <c r="H710" t="s">
        <v>1041</v>
      </c>
      <c r="I710" s="1">
        <v>43485</v>
      </c>
      <c r="J710" t="s">
        <v>1046</v>
      </c>
      <c r="K710" s="5">
        <v>0.85902777777777783</v>
      </c>
      <c r="L710" t="s">
        <v>18</v>
      </c>
      <c r="M710">
        <v>6.2480000000000002</v>
      </c>
      <c r="N710">
        <v>9.1</v>
      </c>
    </row>
    <row r="711" spans="1:14" x14ac:dyDescent="0.25">
      <c r="A711" t="s">
        <v>740</v>
      </c>
      <c r="B711" t="s">
        <v>13</v>
      </c>
      <c r="C711" t="s">
        <v>14</v>
      </c>
      <c r="D711" t="s">
        <v>22</v>
      </c>
      <c r="E711" t="s">
        <v>26</v>
      </c>
      <c r="F711" t="s">
        <v>31</v>
      </c>
      <c r="G711" t="s">
        <v>1035</v>
      </c>
      <c r="H711" t="s">
        <v>1041</v>
      </c>
      <c r="I711" s="1">
        <v>43482</v>
      </c>
      <c r="J711" t="s">
        <v>1046</v>
      </c>
      <c r="K711" s="5">
        <v>0.74930555555555556</v>
      </c>
      <c r="L711" t="s">
        <v>18</v>
      </c>
      <c r="M711">
        <v>3.855</v>
      </c>
      <c r="N711">
        <v>6.1</v>
      </c>
    </row>
    <row r="712" spans="1:14" x14ac:dyDescent="0.25">
      <c r="A712" t="s">
        <v>741</v>
      </c>
      <c r="B712" t="s">
        <v>13</v>
      </c>
      <c r="C712" t="s">
        <v>14</v>
      </c>
      <c r="D712" t="s">
        <v>15</v>
      </c>
      <c r="E712" t="s">
        <v>26</v>
      </c>
      <c r="F712" t="s">
        <v>39</v>
      </c>
      <c r="G712" t="s">
        <v>1034</v>
      </c>
      <c r="H712" t="s">
        <v>1042</v>
      </c>
      <c r="I712" s="1">
        <v>43524</v>
      </c>
      <c r="J712" t="s">
        <v>1046</v>
      </c>
      <c r="K712" s="5">
        <v>0.84583333333333333</v>
      </c>
      <c r="L712" t="s">
        <v>24</v>
      </c>
      <c r="M712">
        <v>24.186</v>
      </c>
      <c r="N712">
        <v>9.1</v>
      </c>
    </row>
    <row r="713" spans="1:14" x14ac:dyDescent="0.25">
      <c r="A713" t="s">
        <v>742</v>
      </c>
      <c r="B713" t="s">
        <v>20</v>
      </c>
      <c r="C713" t="s">
        <v>21</v>
      </c>
      <c r="D713" t="s">
        <v>15</v>
      </c>
      <c r="E713" t="s">
        <v>16</v>
      </c>
      <c r="F713" t="s">
        <v>27</v>
      </c>
      <c r="G713" t="s">
        <v>1037</v>
      </c>
      <c r="H713" t="s">
        <v>1043</v>
      </c>
      <c r="I713" s="1">
        <v>43543</v>
      </c>
      <c r="J713" t="s">
        <v>1045</v>
      </c>
      <c r="K713" s="5">
        <v>0.66111111111111109</v>
      </c>
      <c r="L713" t="s">
        <v>18</v>
      </c>
      <c r="M713">
        <v>15.106</v>
      </c>
      <c r="N713">
        <v>8.3000000000000007</v>
      </c>
    </row>
    <row r="714" spans="1:14" x14ac:dyDescent="0.25">
      <c r="A714" t="s">
        <v>743</v>
      </c>
      <c r="B714" t="s">
        <v>20</v>
      </c>
      <c r="C714" t="s">
        <v>21</v>
      </c>
      <c r="D714" t="s">
        <v>22</v>
      </c>
      <c r="E714" t="s">
        <v>16</v>
      </c>
      <c r="F714" t="s">
        <v>23</v>
      </c>
      <c r="G714" t="s">
        <v>1040</v>
      </c>
      <c r="H714" t="s">
        <v>1042</v>
      </c>
      <c r="I714" s="1">
        <v>43515</v>
      </c>
      <c r="J714" t="s">
        <v>1045</v>
      </c>
      <c r="K714" s="5">
        <v>0.63472222222222219</v>
      </c>
      <c r="L714" t="s">
        <v>18</v>
      </c>
      <c r="M714">
        <v>34.933500000000002</v>
      </c>
      <c r="N714">
        <v>7.2</v>
      </c>
    </row>
    <row r="715" spans="1:14" x14ac:dyDescent="0.25">
      <c r="A715" t="s">
        <v>744</v>
      </c>
      <c r="B715" t="s">
        <v>20</v>
      </c>
      <c r="C715" t="s">
        <v>21</v>
      </c>
      <c r="D715" t="s">
        <v>22</v>
      </c>
      <c r="E715" t="s">
        <v>16</v>
      </c>
      <c r="F715" t="s">
        <v>17</v>
      </c>
      <c r="G715" t="s">
        <v>1038</v>
      </c>
      <c r="H715" t="s">
        <v>1042</v>
      </c>
      <c r="I715" s="1">
        <v>43500</v>
      </c>
      <c r="J715" t="s">
        <v>1045</v>
      </c>
      <c r="K715" s="5">
        <v>0.53472222222222221</v>
      </c>
      <c r="L715" t="s">
        <v>18</v>
      </c>
      <c r="M715">
        <v>6.2324999999999999</v>
      </c>
      <c r="N715">
        <v>6</v>
      </c>
    </row>
    <row r="716" spans="1:14" x14ac:dyDescent="0.25">
      <c r="A716" t="s">
        <v>745</v>
      </c>
      <c r="B716" t="s">
        <v>20</v>
      </c>
      <c r="C716" t="s">
        <v>21</v>
      </c>
      <c r="D716" t="s">
        <v>15</v>
      </c>
      <c r="E716" t="s">
        <v>26</v>
      </c>
      <c r="F716" t="s">
        <v>41</v>
      </c>
      <c r="G716" t="s">
        <v>1037</v>
      </c>
      <c r="H716" t="s">
        <v>1041</v>
      </c>
      <c r="I716" s="1">
        <v>43496</v>
      </c>
      <c r="J716" t="s">
        <v>1044</v>
      </c>
      <c r="K716" s="5">
        <v>0.44166666666666665</v>
      </c>
      <c r="L716" t="s">
        <v>18</v>
      </c>
      <c r="M716">
        <v>39.479999999999997</v>
      </c>
      <c r="N716">
        <v>8.5</v>
      </c>
    </row>
    <row r="717" spans="1:14" x14ac:dyDescent="0.25">
      <c r="A717" t="s">
        <v>746</v>
      </c>
      <c r="B717" t="s">
        <v>13</v>
      </c>
      <c r="C717" t="s">
        <v>14</v>
      </c>
      <c r="D717" t="s">
        <v>22</v>
      </c>
      <c r="E717" t="s">
        <v>16</v>
      </c>
      <c r="F717" t="s">
        <v>17</v>
      </c>
      <c r="G717" t="s">
        <v>1038</v>
      </c>
      <c r="H717" t="s">
        <v>1042</v>
      </c>
      <c r="I717" s="1">
        <v>43502</v>
      </c>
      <c r="J717" t="s">
        <v>1046</v>
      </c>
      <c r="K717" s="5">
        <v>0.7729166666666667</v>
      </c>
      <c r="L717" t="s">
        <v>28</v>
      </c>
      <c r="M717">
        <v>8.92</v>
      </c>
      <c r="N717">
        <v>6.6</v>
      </c>
    </row>
    <row r="718" spans="1:14" x14ac:dyDescent="0.25">
      <c r="A718" t="s">
        <v>747</v>
      </c>
      <c r="B718" t="s">
        <v>13</v>
      </c>
      <c r="C718" t="s">
        <v>14</v>
      </c>
      <c r="D718" t="s">
        <v>15</v>
      </c>
      <c r="E718" t="s">
        <v>16</v>
      </c>
      <c r="F718" t="s">
        <v>41</v>
      </c>
      <c r="G718" t="s">
        <v>1038</v>
      </c>
      <c r="H718" t="s">
        <v>1043</v>
      </c>
      <c r="I718" s="1">
        <v>43552</v>
      </c>
      <c r="J718" t="s">
        <v>1046</v>
      </c>
      <c r="K718" s="5">
        <v>0.67083333333333339</v>
      </c>
      <c r="L718" t="s">
        <v>18</v>
      </c>
      <c r="M718">
        <v>25.010999999999999</v>
      </c>
      <c r="N718">
        <v>4.5</v>
      </c>
    </row>
    <row r="719" spans="1:14" x14ac:dyDescent="0.25">
      <c r="A719" t="s">
        <v>748</v>
      </c>
      <c r="B719" t="s">
        <v>13</v>
      </c>
      <c r="C719" t="s">
        <v>14</v>
      </c>
      <c r="D719" t="s">
        <v>15</v>
      </c>
      <c r="E719" t="s">
        <v>26</v>
      </c>
      <c r="F719" t="s">
        <v>23</v>
      </c>
      <c r="G719" t="s">
        <v>1036</v>
      </c>
      <c r="H719" t="s">
        <v>1041</v>
      </c>
      <c r="I719" s="1">
        <v>43484</v>
      </c>
      <c r="J719" t="s">
        <v>1045</v>
      </c>
      <c r="K719" s="5">
        <v>0.53263888888888888</v>
      </c>
      <c r="L719" t="s">
        <v>28</v>
      </c>
      <c r="M719">
        <v>1.7909999999999999</v>
      </c>
      <c r="N719">
        <v>8.1</v>
      </c>
    </row>
    <row r="720" spans="1:14" x14ac:dyDescent="0.25">
      <c r="A720" t="s">
        <v>749</v>
      </c>
      <c r="B720" t="s">
        <v>13</v>
      </c>
      <c r="C720" t="s">
        <v>14</v>
      </c>
      <c r="D720" t="s">
        <v>22</v>
      </c>
      <c r="E720" t="s">
        <v>26</v>
      </c>
      <c r="F720" t="s">
        <v>41</v>
      </c>
      <c r="G720" t="s">
        <v>1040</v>
      </c>
      <c r="H720" t="s">
        <v>1042</v>
      </c>
      <c r="I720" s="1">
        <v>43513</v>
      </c>
      <c r="J720" t="s">
        <v>1045</v>
      </c>
      <c r="K720" s="5">
        <v>0.56527777777777777</v>
      </c>
      <c r="L720" t="s">
        <v>28</v>
      </c>
      <c r="M720">
        <v>6.8070000000000004</v>
      </c>
      <c r="N720">
        <v>7.2</v>
      </c>
    </row>
    <row r="721" spans="1:14" x14ac:dyDescent="0.25">
      <c r="A721" t="s">
        <v>750</v>
      </c>
      <c r="B721" t="s">
        <v>37</v>
      </c>
      <c r="C721" t="s">
        <v>38</v>
      </c>
      <c r="D721" t="s">
        <v>15</v>
      </c>
      <c r="E721" t="s">
        <v>16</v>
      </c>
      <c r="F721" t="s">
        <v>41</v>
      </c>
      <c r="G721" t="s">
        <v>1035</v>
      </c>
      <c r="H721" t="s">
        <v>1041</v>
      </c>
      <c r="I721" s="1">
        <v>43483</v>
      </c>
      <c r="J721" t="s">
        <v>1045</v>
      </c>
      <c r="K721" s="5">
        <v>0.62777777777777777</v>
      </c>
      <c r="L721" t="s">
        <v>28</v>
      </c>
      <c r="M721">
        <v>5.2439999999999998</v>
      </c>
      <c r="N721">
        <v>6.1</v>
      </c>
    </row>
    <row r="722" spans="1:14" x14ac:dyDescent="0.25">
      <c r="A722" t="s">
        <v>751</v>
      </c>
      <c r="B722" t="s">
        <v>37</v>
      </c>
      <c r="C722" t="s">
        <v>38</v>
      </c>
      <c r="D722" t="s">
        <v>22</v>
      </c>
      <c r="E722" t="s">
        <v>16</v>
      </c>
      <c r="F722" t="s">
        <v>41</v>
      </c>
      <c r="G722" t="s">
        <v>1038</v>
      </c>
      <c r="H722" t="s">
        <v>1042</v>
      </c>
      <c r="I722" s="1">
        <v>43498</v>
      </c>
      <c r="J722" t="s">
        <v>1046</v>
      </c>
      <c r="K722" s="5">
        <v>0.86249999999999993</v>
      </c>
      <c r="L722" t="s">
        <v>24</v>
      </c>
      <c r="M722">
        <v>8.9459999999999997</v>
      </c>
      <c r="N722">
        <v>7.1</v>
      </c>
    </row>
    <row r="723" spans="1:14" x14ac:dyDescent="0.25">
      <c r="A723" t="s">
        <v>752</v>
      </c>
      <c r="B723" t="s">
        <v>20</v>
      </c>
      <c r="C723" t="s">
        <v>21</v>
      </c>
      <c r="D723" t="s">
        <v>15</v>
      </c>
      <c r="E723" t="s">
        <v>16</v>
      </c>
      <c r="F723" t="s">
        <v>31</v>
      </c>
      <c r="G723" t="s">
        <v>1035</v>
      </c>
      <c r="H723" t="s">
        <v>1041</v>
      </c>
      <c r="I723" s="1">
        <v>43483</v>
      </c>
      <c r="J723" t="s">
        <v>1045</v>
      </c>
      <c r="K723" s="5">
        <v>0.64444444444444449</v>
      </c>
      <c r="L723" t="s">
        <v>24</v>
      </c>
      <c r="M723">
        <v>40.783499999999997</v>
      </c>
      <c r="N723">
        <v>5.0999999999999996</v>
      </c>
    </row>
    <row r="724" spans="1:14" x14ac:dyDescent="0.25">
      <c r="A724" t="s">
        <v>753</v>
      </c>
      <c r="B724" t="s">
        <v>37</v>
      </c>
      <c r="C724" t="s">
        <v>38</v>
      </c>
      <c r="D724" t="s">
        <v>22</v>
      </c>
      <c r="E724" t="s">
        <v>26</v>
      </c>
      <c r="F724" t="s">
        <v>27</v>
      </c>
      <c r="G724" t="s">
        <v>1037</v>
      </c>
      <c r="H724" t="s">
        <v>1043</v>
      </c>
      <c r="I724" s="1">
        <v>43542</v>
      </c>
      <c r="J724" t="s">
        <v>1045</v>
      </c>
      <c r="K724" s="5">
        <v>0.57291666666666663</v>
      </c>
      <c r="L724" t="s">
        <v>28</v>
      </c>
      <c r="M724">
        <v>6.6180000000000003</v>
      </c>
      <c r="N724">
        <v>7.9</v>
      </c>
    </row>
    <row r="725" spans="1:14" x14ac:dyDescent="0.25">
      <c r="A725" t="s">
        <v>754</v>
      </c>
      <c r="B725" t="s">
        <v>20</v>
      </c>
      <c r="C725" t="s">
        <v>21</v>
      </c>
      <c r="D725" t="s">
        <v>15</v>
      </c>
      <c r="E725" t="s">
        <v>16</v>
      </c>
      <c r="F725" t="s">
        <v>39</v>
      </c>
      <c r="G725" t="s">
        <v>1034</v>
      </c>
      <c r="H725" t="s">
        <v>1041</v>
      </c>
      <c r="I725" s="1">
        <v>43476</v>
      </c>
      <c r="J725" t="s">
        <v>1046</v>
      </c>
      <c r="K725" s="5">
        <v>0.84027777777777779</v>
      </c>
      <c r="L725" t="s">
        <v>24</v>
      </c>
      <c r="M725">
        <v>12.8695</v>
      </c>
      <c r="N725">
        <v>7.4</v>
      </c>
    </row>
    <row r="726" spans="1:14" x14ac:dyDescent="0.25">
      <c r="A726" t="s">
        <v>755</v>
      </c>
      <c r="B726" t="s">
        <v>37</v>
      </c>
      <c r="C726" t="s">
        <v>38</v>
      </c>
      <c r="D726" t="s">
        <v>15</v>
      </c>
      <c r="E726" t="s">
        <v>26</v>
      </c>
      <c r="F726" t="s">
        <v>39</v>
      </c>
      <c r="G726" t="s">
        <v>1038</v>
      </c>
      <c r="H726" t="s">
        <v>1042</v>
      </c>
      <c r="I726" s="1">
        <v>43500</v>
      </c>
      <c r="J726" t="s">
        <v>1046</v>
      </c>
      <c r="K726" s="5">
        <v>0.78680555555555554</v>
      </c>
      <c r="L726" t="s">
        <v>18</v>
      </c>
      <c r="M726">
        <v>4.6680000000000001</v>
      </c>
      <c r="N726">
        <v>7.4</v>
      </c>
    </row>
    <row r="727" spans="1:14" x14ac:dyDescent="0.25">
      <c r="A727" t="s">
        <v>756</v>
      </c>
      <c r="B727" t="s">
        <v>20</v>
      </c>
      <c r="C727" t="s">
        <v>21</v>
      </c>
      <c r="D727" t="s">
        <v>15</v>
      </c>
      <c r="E727" t="s">
        <v>16</v>
      </c>
      <c r="F727" t="s">
        <v>17</v>
      </c>
      <c r="G727" t="s">
        <v>1038</v>
      </c>
      <c r="H727" t="s">
        <v>1042</v>
      </c>
      <c r="I727" s="1">
        <v>43502</v>
      </c>
      <c r="J727" t="s">
        <v>1045</v>
      </c>
      <c r="K727" s="5">
        <v>0.6</v>
      </c>
      <c r="L727" t="s">
        <v>24</v>
      </c>
      <c r="M727">
        <v>11.4</v>
      </c>
      <c r="N727">
        <v>6.6</v>
      </c>
    </row>
    <row r="728" spans="1:14" x14ac:dyDescent="0.25">
      <c r="A728" t="s">
        <v>757</v>
      </c>
      <c r="B728" t="s">
        <v>20</v>
      </c>
      <c r="C728" t="s">
        <v>21</v>
      </c>
      <c r="D728" t="s">
        <v>15</v>
      </c>
      <c r="E728" t="s">
        <v>26</v>
      </c>
      <c r="F728" t="s">
        <v>27</v>
      </c>
      <c r="G728" t="s">
        <v>1034</v>
      </c>
      <c r="H728" t="s">
        <v>1041</v>
      </c>
      <c r="I728" s="1">
        <v>43473</v>
      </c>
      <c r="J728" t="s">
        <v>1044</v>
      </c>
      <c r="K728" s="5">
        <v>0.48749999999999999</v>
      </c>
      <c r="L728" t="s">
        <v>28</v>
      </c>
      <c r="M728">
        <v>8.3354999999999997</v>
      </c>
      <c r="N728">
        <v>5.9</v>
      </c>
    </row>
    <row r="729" spans="1:14" x14ac:dyDescent="0.25">
      <c r="A729" t="s">
        <v>758</v>
      </c>
      <c r="B729" t="s">
        <v>37</v>
      </c>
      <c r="C729" t="s">
        <v>38</v>
      </c>
      <c r="D729" t="s">
        <v>22</v>
      </c>
      <c r="E729" t="s">
        <v>26</v>
      </c>
      <c r="F729" t="s">
        <v>31</v>
      </c>
      <c r="G729" t="s">
        <v>1035</v>
      </c>
      <c r="H729" t="s">
        <v>1043</v>
      </c>
      <c r="I729" s="1">
        <v>43529</v>
      </c>
      <c r="J729" t="s">
        <v>1046</v>
      </c>
      <c r="K729" s="5">
        <v>0.74236111111111114</v>
      </c>
      <c r="L729" t="s">
        <v>28</v>
      </c>
      <c r="M729">
        <v>34.869999999999997</v>
      </c>
      <c r="N729">
        <v>8.9</v>
      </c>
    </row>
    <row r="730" spans="1:14" x14ac:dyDescent="0.25">
      <c r="A730" t="s">
        <v>759</v>
      </c>
      <c r="B730" t="s">
        <v>20</v>
      </c>
      <c r="C730" t="s">
        <v>21</v>
      </c>
      <c r="D730" t="s">
        <v>22</v>
      </c>
      <c r="E730" t="s">
        <v>26</v>
      </c>
      <c r="F730" t="s">
        <v>41</v>
      </c>
      <c r="G730" t="s">
        <v>1037</v>
      </c>
      <c r="H730" t="s">
        <v>1043</v>
      </c>
      <c r="I730" s="1">
        <v>43540</v>
      </c>
      <c r="J730" t="s">
        <v>1045</v>
      </c>
      <c r="K730" s="5">
        <v>0.6479166666666667</v>
      </c>
      <c r="L730" t="s">
        <v>18</v>
      </c>
      <c r="M730">
        <v>19.452000000000002</v>
      </c>
      <c r="N730">
        <v>6.8</v>
      </c>
    </row>
    <row r="731" spans="1:14" x14ac:dyDescent="0.25">
      <c r="A731" t="s">
        <v>760</v>
      </c>
      <c r="B731" t="s">
        <v>37</v>
      </c>
      <c r="C731" t="s">
        <v>38</v>
      </c>
      <c r="D731" t="s">
        <v>15</v>
      </c>
      <c r="E731" t="s">
        <v>16</v>
      </c>
      <c r="F731" t="s">
        <v>27</v>
      </c>
      <c r="G731" t="s">
        <v>1036</v>
      </c>
      <c r="H731" t="s">
        <v>1043</v>
      </c>
      <c r="I731" s="1">
        <v>43533</v>
      </c>
      <c r="J731" t="s">
        <v>1044</v>
      </c>
      <c r="K731" s="5">
        <v>0.45416666666666666</v>
      </c>
      <c r="L731" t="s">
        <v>24</v>
      </c>
      <c r="M731">
        <v>18.263000000000002</v>
      </c>
      <c r="N731">
        <v>9.3000000000000007</v>
      </c>
    </row>
    <row r="732" spans="1:14" x14ac:dyDescent="0.25">
      <c r="A732" t="s">
        <v>761</v>
      </c>
      <c r="B732" t="s">
        <v>13</v>
      </c>
      <c r="C732" t="s">
        <v>14</v>
      </c>
      <c r="D732" t="s">
        <v>15</v>
      </c>
      <c r="E732" t="s">
        <v>16</v>
      </c>
      <c r="F732" t="s">
        <v>41</v>
      </c>
      <c r="G732" t="s">
        <v>1034</v>
      </c>
      <c r="H732" t="s">
        <v>1043</v>
      </c>
      <c r="I732" s="1">
        <v>43525</v>
      </c>
      <c r="J732" t="s">
        <v>1046</v>
      </c>
      <c r="K732" s="5">
        <v>0.68263888888888891</v>
      </c>
      <c r="L732" t="s">
        <v>28</v>
      </c>
      <c r="M732">
        <v>4.4640000000000004</v>
      </c>
      <c r="N732">
        <v>4.4000000000000004</v>
      </c>
    </row>
    <row r="733" spans="1:14" x14ac:dyDescent="0.25">
      <c r="A733" t="s">
        <v>762</v>
      </c>
      <c r="B733" t="s">
        <v>13</v>
      </c>
      <c r="C733" t="s">
        <v>14</v>
      </c>
      <c r="D733" t="s">
        <v>22</v>
      </c>
      <c r="E733" t="s">
        <v>26</v>
      </c>
      <c r="F733" t="s">
        <v>17</v>
      </c>
      <c r="G733" t="s">
        <v>1034</v>
      </c>
      <c r="H733" t="s">
        <v>1042</v>
      </c>
      <c r="I733" s="1">
        <v>43524</v>
      </c>
      <c r="J733" t="s">
        <v>1046</v>
      </c>
      <c r="K733" s="5">
        <v>0.81458333333333333</v>
      </c>
      <c r="L733" t="s">
        <v>18</v>
      </c>
      <c r="M733">
        <v>8.4</v>
      </c>
      <c r="N733">
        <v>4.8</v>
      </c>
    </row>
    <row r="734" spans="1:14" x14ac:dyDescent="0.25">
      <c r="A734" t="s">
        <v>763</v>
      </c>
      <c r="B734" t="s">
        <v>13</v>
      </c>
      <c r="C734" t="s">
        <v>14</v>
      </c>
      <c r="D734" t="s">
        <v>15</v>
      </c>
      <c r="E734" t="s">
        <v>26</v>
      </c>
      <c r="F734" t="s">
        <v>41</v>
      </c>
      <c r="G734" t="s">
        <v>1038</v>
      </c>
      <c r="H734" t="s">
        <v>1042</v>
      </c>
      <c r="I734" s="1">
        <v>43504</v>
      </c>
      <c r="J734" t="s">
        <v>1044</v>
      </c>
      <c r="K734" s="5">
        <v>0.48541666666666666</v>
      </c>
      <c r="L734" t="s">
        <v>18</v>
      </c>
      <c r="M734">
        <v>0.98499999999999999</v>
      </c>
      <c r="N734">
        <v>9.5</v>
      </c>
    </row>
    <row r="735" spans="1:14" x14ac:dyDescent="0.25">
      <c r="A735" t="s">
        <v>764</v>
      </c>
      <c r="B735" t="s">
        <v>37</v>
      </c>
      <c r="C735" t="s">
        <v>38</v>
      </c>
      <c r="D735" t="s">
        <v>22</v>
      </c>
      <c r="E735" t="s">
        <v>26</v>
      </c>
      <c r="F735" t="s">
        <v>23</v>
      </c>
      <c r="G735" t="s">
        <v>1036</v>
      </c>
      <c r="H735" t="s">
        <v>1041</v>
      </c>
      <c r="I735" s="1">
        <v>43489</v>
      </c>
      <c r="J735" t="s">
        <v>1044</v>
      </c>
      <c r="K735" s="5">
        <v>0.44305555555555554</v>
      </c>
      <c r="L735" t="s">
        <v>18</v>
      </c>
      <c r="M735">
        <v>26.558</v>
      </c>
      <c r="N735">
        <v>8.9</v>
      </c>
    </row>
    <row r="736" spans="1:14" x14ac:dyDescent="0.25">
      <c r="A736" t="s">
        <v>765</v>
      </c>
      <c r="B736" t="s">
        <v>37</v>
      </c>
      <c r="C736" t="s">
        <v>38</v>
      </c>
      <c r="D736" t="s">
        <v>15</v>
      </c>
      <c r="E736" t="s">
        <v>26</v>
      </c>
      <c r="F736" t="s">
        <v>39</v>
      </c>
      <c r="G736" t="s">
        <v>1034</v>
      </c>
      <c r="H736" t="s">
        <v>1043</v>
      </c>
      <c r="I736" s="1">
        <v>43525</v>
      </c>
      <c r="J736" t="s">
        <v>1046</v>
      </c>
      <c r="K736" s="5">
        <v>0.8354166666666667</v>
      </c>
      <c r="L736" t="s">
        <v>18</v>
      </c>
      <c r="M736">
        <v>2.6859999999999999</v>
      </c>
      <c r="N736">
        <v>6.4</v>
      </c>
    </row>
    <row r="737" spans="1:14" x14ac:dyDescent="0.25">
      <c r="A737" t="s">
        <v>766</v>
      </c>
      <c r="B737" t="s">
        <v>20</v>
      </c>
      <c r="C737" t="s">
        <v>21</v>
      </c>
      <c r="D737" t="s">
        <v>15</v>
      </c>
      <c r="E737" t="s">
        <v>26</v>
      </c>
      <c r="F737" t="s">
        <v>17</v>
      </c>
      <c r="G737" t="s">
        <v>1036</v>
      </c>
      <c r="H737" t="s">
        <v>1043</v>
      </c>
      <c r="I737" s="1">
        <v>43534</v>
      </c>
      <c r="J737" t="s">
        <v>1045</v>
      </c>
      <c r="K737" s="5">
        <v>0.52708333333333335</v>
      </c>
      <c r="L737" t="s">
        <v>28</v>
      </c>
      <c r="M737">
        <v>40.975000000000001</v>
      </c>
      <c r="N737">
        <v>6</v>
      </c>
    </row>
    <row r="738" spans="1:14" x14ac:dyDescent="0.25">
      <c r="A738" t="s">
        <v>767</v>
      </c>
      <c r="B738" t="s">
        <v>20</v>
      </c>
      <c r="C738" t="s">
        <v>21</v>
      </c>
      <c r="D738" t="s">
        <v>15</v>
      </c>
      <c r="E738" t="s">
        <v>16</v>
      </c>
      <c r="F738" t="s">
        <v>27</v>
      </c>
      <c r="G738" t="s">
        <v>1038</v>
      </c>
      <c r="H738" t="s">
        <v>1043</v>
      </c>
      <c r="I738" s="1">
        <v>43547</v>
      </c>
      <c r="J738" t="s">
        <v>1045</v>
      </c>
      <c r="K738" s="5">
        <v>0.66597222222222219</v>
      </c>
      <c r="L738" t="s">
        <v>28</v>
      </c>
      <c r="M738">
        <v>28.42</v>
      </c>
      <c r="N738">
        <v>8.1</v>
      </c>
    </row>
    <row r="739" spans="1:14" x14ac:dyDescent="0.25">
      <c r="A739" t="s">
        <v>768</v>
      </c>
      <c r="B739" t="s">
        <v>20</v>
      </c>
      <c r="C739" t="s">
        <v>21</v>
      </c>
      <c r="D739" t="s">
        <v>22</v>
      </c>
      <c r="E739" t="s">
        <v>26</v>
      </c>
      <c r="F739" t="s">
        <v>23</v>
      </c>
      <c r="G739" t="s">
        <v>1037</v>
      </c>
      <c r="H739" t="s">
        <v>1041</v>
      </c>
      <c r="I739" s="1">
        <v>43494</v>
      </c>
      <c r="J739" t="s">
        <v>1045</v>
      </c>
      <c r="K739" s="5">
        <v>0.60138888888888886</v>
      </c>
      <c r="L739" t="s">
        <v>18</v>
      </c>
      <c r="M739">
        <v>29.38</v>
      </c>
      <c r="N739">
        <v>9</v>
      </c>
    </row>
    <row r="740" spans="1:14" x14ac:dyDescent="0.25">
      <c r="A740" t="s">
        <v>769</v>
      </c>
      <c r="B740" t="s">
        <v>37</v>
      </c>
      <c r="C740" t="s">
        <v>38</v>
      </c>
      <c r="D740" t="s">
        <v>15</v>
      </c>
      <c r="E740" t="s">
        <v>26</v>
      </c>
      <c r="F740" t="s">
        <v>23</v>
      </c>
      <c r="G740" t="s">
        <v>1035</v>
      </c>
      <c r="H740" t="s">
        <v>1041</v>
      </c>
      <c r="I740" s="1">
        <v>43477</v>
      </c>
      <c r="J740" t="s">
        <v>1046</v>
      </c>
      <c r="K740" s="5">
        <v>0.76527777777777783</v>
      </c>
      <c r="L740" t="s">
        <v>18</v>
      </c>
      <c r="M740">
        <v>36.624000000000002</v>
      </c>
      <c r="N740">
        <v>6</v>
      </c>
    </row>
    <row r="741" spans="1:14" x14ac:dyDescent="0.25">
      <c r="A741" t="s">
        <v>770</v>
      </c>
      <c r="B741" t="s">
        <v>13</v>
      </c>
      <c r="C741" t="s">
        <v>14</v>
      </c>
      <c r="D741" t="s">
        <v>22</v>
      </c>
      <c r="E741" t="s">
        <v>26</v>
      </c>
      <c r="F741" t="s">
        <v>27</v>
      </c>
      <c r="G741" t="s">
        <v>1037</v>
      </c>
      <c r="H741" t="s">
        <v>1043</v>
      </c>
      <c r="I741" s="1">
        <v>43544</v>
      </c>
      <c r="J741" t="s">
        <v>1044</v>
      </c>
      <c r="K741" s="5">
        <v>0.48055555555555557</v>
      </c>
      <c r="L741" t="s">
        <v>24</v>
      </c>
      <c r="M741">
        <v>42.281999999999996</v>
      </c>
      <c r="N741">
        <v>9.8000000000000007</v>
      </c>
    </row>
    <row r="742" spans="1:14" x14ac:dyDescent="0.25">
      <c r="A742" t="s">
        <v>771</v>
      </c>
      <c r="B742" t="s">
        <v>20</v>
      </c>
      <c r="C742" t="s">
        <v>21</v>
      </c>
      <c r="D742" t="s">
        <v>22</v>
      </c>
      <c r="E742" t="s">
        <v>26</v>
      </c>
      <c r="F742" t="s">
        <v>27</v>
      </c>
      <c r="G742" t="s">
        <v>1038</v>
      </c>
      <c r="H742" t="s">
        <v>1043</v>
      </c>
      <c r="I742" s="1">
        <v>43547</v>
      </c>
      <c r="J742" t="s">
        <v>1045</v>
      </c>
      <c r="K742" s="5">
        <v>0.52847222222222223</v>
      </c>
      <c r="L742" t="s">
        <v>24</v>
      </c>
      <c r="M742">
        <v>19.4635</v>
      </c>
      <c r="N742">
        <v>8.5</v>
      </c>
    </row>
    <row r="743" spans="1:14" x14ac:dyDescent="0.25">
      <c r="A743" t="s">
        <v>772</v>
      </c>
      <c r="B743" t="s">
        <v>20</v>
      </c>
      <c r="C743" t="s">
        <v>21</v>
      </c>
      <c r="D743" t="s">
        <v>22</v>
      </c>
      <c r="E743" t="s">
        <v>26</v>
      </c>
      <c r="F743" t="s">
        <v>39</v>
      </c>
      <c r="G743" t="s">
        <v>1035</v>
      </c>
      <c r="H743" t="s">
        <v>1041</v>
      </c>
      <c r="I743" s="1">
        <v>43479</v>
      </c>
      <c r="J743" t="s">
        <v>1045</v>
      </c>
      <c r="K743" s="5">
        <v>0.63888888888888895</v>
      </c>
      <c r="L743" t="s">
        <v>18</v>
      </c>
      <c r="M743">
        <v>4.2415000000000003</v>
      </c>
      <c r="N743">
        <v>8.8000000000000007</v>
      </c>
    </row>
    <row r="744" spans="1:14" x14ac:dyDescent="0.25">
      <c r="A744" t="s">
        <v>773</v>
      </c>
      <c r="B744" t="s">
        <v>13</v>
      </c>
      <c r="C744" t="s">
        <v>14</v>
      </c>
      <c r="D744" t="s">
        <v>15</v>
      </c>
      <c r="E744" t="s">
        <v>16</v>
      </c>
      <c r="F744" t="s">
        <v>31</v>
      </c>
      <c r="G744" t="s">
        <v>1039</v>
      </c>
      <c r="H744" t="s">
        <v>1042</v>
      </c>
      <c r="I744" s="1">
        <v>43508</v>
      </c>
      <c r="J744" t="s">
        <v>1045</v>
      </c>
      <c r="K744" s="5">
        <v>0.60625000000000007</v>
      </c>
      <c r="L744" t="s">
        <v>18</v>
      </c>
      <c r="M744">
        <v>7.1630000000000003</v>
      </c>
      <c r="N744">
        <v>8.8000000000000007</v>
      </c>
    </row>
    <row r="745" spans="1:14" x14ac:dyDescent="0.25">
      <c r="A745" t="s">
        <v>774</v>
      </c>
      <c r="B745" t="s">
        <v>13</v>
      </c>
      <c r="C745" t="s">
        <v>14</v>
      </c>
      <c r="D745" t="s">
        <v>15</v>
      </c>
      <c r="E745" t="s">
        <v>26</v>
      </c>
      <c r="F745" t="s">
        <v>27</v>
      </c>
      <c r="G745" t="s">
        <v>1040</v>
      </c>
      <c r="H745" t="s">
        <v>1042</v>
      </c>
      <c r="I745" s="1">
        <v>43516</v>
      </c>
      <c r="J745" t="s">
        <v>1045</v>
      </c>
      <c r="K745" s="5">
        <v>0.64513888888888882</v>
      </c>
      <c r="L745" t="s">
        <v>18</v>
      </c>
      <c r="M745">
        <v>3.7690000000000001</v>
      </c>
      <c r="N745">
        <v>9.5</v>
      </c>
    </row>
    <row r="746" spans="1:14" x14ac:dyDescent="0.25">
      <c r="A746" t="s">
        <v>775</v>
      </c>
      <c r="B746" t="s">
        <v>20</v>
      </c>
      <c r="C746" t="s">
        <v>21</v>
      </c>
      <c r="D746" t="s">
        <v>15</v>
      </c>
      <c r="E746" t="s">
        <v>16</v>
      </c>
      <c r="F746" t="s">
        <v>31</v>
      </c>
      <c r="G746" t="s">
        <v>1040</v>
      </c>
      <c r="H746" t="s">
        <v>1041</v>
      </c>
      <c r="I746" s="1">
        <v>43467</v>
      </c>
      <c r="J746" t="s">
        <v>1046</v>
      </c>
      <c r="K746" s="5">
        <v>0.67986111111111114</v>
      </c>
      <c r="L746" t="s">
        <v>28</v>
      </c>
      <c r="M746">
        <v>12.667999999999999</v>
      </c>
      <c r="N746">
        <v>5.6</v>
      </c>
    </row>
    <row r="747" spans="1:14" x14ac:dyDescent="0.25">
      <c r="A747" t="s">
        <v>776</v>
      </c>
      <c r="B747" t="s">
        <v>20</v>
      </c>
      <c r="C747" t="s">
        <v>21</v>
      </c>
      <c r="D747" t="s">
        <v>15</v>
      </c>
      <c r="E747" t="s">
        <v>16</v>
      </c>
      <c r="F747" t="s">
        <v>39</v>
      </c>
      <c r="G747" t="s">
        <v>1038</v>
      </c>
      <c r="H747" t="s">
        <v>1042</v>
      </c>
      <c r="I747" s="1">
        <v>43498</v>
      </c>
      <c r="J747" t="s">
        <v>1046</v>
      </c>
      <c r="K747" s="5">
        <v>0.68958333333333333</v>
      </c>
      <c r="L747" t="s">
        <v>24</v>
      </c>
      <c r="M747">
        <v>1.921</v>
      </c>
      <c r="N747">
        <v>8.6</v>
      </c>
    </row>
    <row r="748" spans="1:14" x14ac:dyDescent="0.25">
      <c r="A748" t="s">
        <v>777</v>
      </c>
      <c r="B748" t="s">
        <v>37</v>
      </c>
      <c r="C748" t="s">
        <v>38</v>
      </c>
      <c r="D748" t="s">
        <v>15</v>
      </c>
      <c r="E748" t="s">
        <v>26</v>
      </c>
      <c r="F748" t="s">
        <v>41</v>
      </c>
      <c r="G748" t="s">
        <v>1034</v>
      </c>
      <c r="H748" t="s">
        <v>1041</v>
      </c>
      <c r="I748" s="1">
        <v>43473</v>
      </c>
      <c r="J748" t="s">
        <v>1046</v>
      </c>
      <c r="K748" s="5">
        <v>0.79652777777777783</v>
      </c>
      <c r="L748" t="s">
        <v>28</v>
      </c>
      <c r="M748">
        <v>32.615000000000002</v>
      </c>
      <c r="N748">
        <v>5.2</v>
      </c>
    </row>
    <row r="749" spans="1:14" x14ac:dyDescent="0.25">
      <c r="A749" t="s">
        <v>778</v>
      </c>
      <c r="B749" t="s">
        <v>20</v>
      </c>
      <c r="C749" t="s">
        <v>21</v>
      </c>
      <c r="D749" t="s">
        <v>15</v>
      </c>
      <c r="E749" t="s">
        <v>16</v>
      </c>
      <c r="F749" t="s">
        <v>27</v>
      </c>
      <c r="G749" t="s">
        <v>1037</v>
      </c>
      <c r="H749" t="s">
        <v>1041</v>
      </c>
      <c r="I749" s="1">
        <v>43495</v>
      </c>
      <c r="J749" t="s">
        <v>1045</v>
      </c>
      <c r="K749" s="5">
        <v>0.61319444444444449</v>
      </c>
      <c r="L749" t="s">
        <v>28</v>
      </c>
      <c r="M749">
        <v>2.6324999999999998</v>
      </c>
      <c r="N749">
        <v>5.8</v>
      </c>
    </row>
    <row r="750" spans="1:14" x14ac:dyDescent="0.25">
      <c r="A750" t="s">
        <v>779</v>
      </c>
      <c r="B750" t="s">
        <v>37</v>
      </c>
      <c r="C750" t="s">
        <v>38</v>
      </c>
      <c r="D750" t="s">
        <v>15</v>
      </c>
      <c r="E750" t="s">
        <v>16</v>
      </c>
      <c r="F750" t="s">
        <v>27</v>
      </c>
      <c r="G750" t="s">
        <v>1038</v>
      </c>
      <c r="H750" t="s">
        <v>1043</v>
      </c>
      <c r="I750" s="1">
        <v>43550</v>
      </c>
      <c r="J750" t="s">
        <v>1046</v>
      </c>
      <c r="K750" s="5">
        <v>0.81111111111111101</v>
      </c>
      <c r="L750" t="s">
        <v>28</v>
      </c>
      <c r="M750">
        <v>5.5305</v>
      </c>
      <c r="N750">
        <v>8</v>
      </c>
    </row>
    <row r="751" spans="1:14" x14ac:dyDescent="0.25">
      <c r="A751" t="s">
        <v>780</v>
      </c>
      <c r="B751" t="s">
        <v>20</v>
      </c>
      <c r="C751" t="s">
        <v>21</v>
      </c>
      <c r="D751" t="s">
        <v>15</v>
      </c>
      <c r="E751" t="s">
        <v>26</v>
      </c>
      <c r="F751" t="s">
        <v>17</v>
      </c>
      <c r="G751" t="s">
        <v>1035</v>
      </c>
      <c r="H751" t="s">
        <v>1041</v>
      </c>
      <c r="I751" s="1">
        <v>43480</v>
      </c>
      <c r="J751" t="s">
        <v>1046</v>
      </c>
      <c r="K751" s="5">
        <v>0.86388888888888893</v>
      </c>
      <c r="L751" t="s">
        <v>24</v>
      </c>
      <c r="M751">
        <v>28.430499999999999</v>
      </c>
      <c r="N751">
        <v>9</v>
      </c>
    </row>
    <row r="752" spans="1:14" x14ac:dyDescent="0.25">
      <c r="A752" t="s">
        <v>781</v>
      </c>
      <c r="B752" t="s">
        <v>37</v>
      </c>
      <c r="C752" t="s">
        <v>38</v>
      </c>
      <c r="D752" t="s">
        <v>15</v>
      </c>
      <c r="E752" t="s">
        <v>16</v>
      </c>
      <c r="F752" t="s">
        <v>41</v>
      </c>
      <c r="G752" t="s">
        <v>1036</v>
      </c>
      <c r="H752" t="s">
        <v>1043</v>
      </c>
      <c r="I752" s="1">
        <v>43538</v>
      </c>
      <c r="J752" t="s">
        <v>1044</v>
      </c>
      <c r="K752" s="5">
        <v>0.4694444444444445</v>
      </c>
      <c r="L752" t="s">
        <v>18</v>
      </c>
      <c r="M752">
        <v>4.4640000000000004</v>
      </c>
      <c r="N752">
        <v>4.0999999999999996</v>
      </c>
    </row>
    <row r="753" spans="1:14" x14ac:dyDescent="0.25">
      <c r="A753" t="s">
        <v>782</v>
      </c>
      <c r="B753" t="s">
        <v>13</v>
      </c>
      <c r="C753" t="s">
        <v>14</v>
      </c>
      <c r="D753" t="s">
        <v>22</v>
      </c>
      <c r="E753" t="s">
        <v>16</v>
      </c>
      <c r="F753" t="s">
        <v>39</v>
      </c>
      <c r="G753" t="s">
        <v>1038</v>
      </c>
      <c r="H753" t="s">
        <v>1042</v>
      </c>
      <c r="I753" s="1">
        <v>43499</v>
      </c>
      <c r="J753" t="s">
        <v>1044</v>
      </c>
      <c r="K753" s="5">
        <v>0.4381944444444445</v>
      </c>
      <c r="L753" t="s">
        <v>28</v>
      </c>
      <c r="M753">
        <v>6.82</v>
      </c>
      <c r="N753">
        <v>8.6</v>
      </c>
    </row>
    <row r="754" spans="1:14" x14ac:dyDescent="0.25">
      <c r="A754" t="s">
        <v>783</v>
      </c>
      <c r="B754" t="s">
        <v>13</v>
      </c>
      <c r="C754" t="s">
        <v>14</v>
      </c>
      <c r="D754" t="s">
        <v>15</v>
      </c>
      <c r="E754" t="s">
        <v>16</v>
      </c>
      <c r="F754" t="s">
        <v>23</v>
      </c>
      <c r="G754" t="s">
        <v>1040</v>
      </c>
      <c r="H754" t="s">
        <v>1042</v>
      </c>
      <c r="I754" s="1">
        <v>43518</v>
      </c>
      <c r="J754" t="s">
        <v>1045</v>
      </c>
      <c r="K754" s="5">
        <v>0.52083333333333337</v>
      </c>
      <c r="L754" t="s">
        <v>18</v>
      </c>
      <c r="M754">
        <v>8.7100000000000009</v>
      </c>
      <c r="N754">
        <v>7</v>
      </c>
    </row>
    <row r="755" spans="1:14" x14ac:dyDescent="0.25">
      <c r="A755" t="s">
        <v>784</v>
      </c>
      <c r="B755" t="s">
        <v>37</v>
      </c>
      <c r="C755" t="s">
        <v>38</v>
      </c>
      <c r="D755" t="s">
        <v>22</v>
      </c>
      <c r="E755" t="s">
        <v>26</v>
      </c>
      <c r="F755" t="s">
        <v>27</v>
      </c>
      <c r="G755" t="s">
        <v>1036</v>
      </c>
      <c r="H755" t="s">
        <v>1041</v>
      </c>
      <c r="I755" s="1">
        <v>43489</v>
      </c>
      <c r="J755" t="s">
        <v>1045</v>
      </c>
      <c r="K755" s="5">
        <v>0.62847222222222221</v>
      </c>
      <c r="L755" t="s">
        <v>18</v>
      </c>
      <c r="M755">
        <v>18.32</v>
      </c>
      <c r="N755">
        <v>8.4</v>
      </c>
    </row>
    <row r="756" spans="1:14" x14ac:dyDescent="0.25">
      <c r="A756" t="s">
        <v>785</v>
      </c>
      <c r="B756" t="s">
        <v>20</v>
      </c>
      <c r="C756" t="s">
        <v>21</v>
      </c>
      <c r="D756" t="s">
        <v>15</v>
      </c>
      <c r="E756" t="s">
        <v>16</v>
      </c>
      <c r="F756" t="s">
        <v>41</v>
      </c>
      <c r="G756" t="s">
        <v>1036</v>
      </c>
      <c r="H756" t="s">
        <v>1041</v>
      </c>
      <c r="I756" s="1">
        <v>43490</v>
      </c>
      <c r="J756" t="s">
        <v>1046</v>
      </c>
      <c r="K756" s="5">
        <v>0.77083333333333337</v>
      </c>
      <c r="L756" t="s">
        <v>18</v>
      </c>
      <c r="M756">
        <v>12.730499999999999</v>
      </c>
      <c r="N756">
        <v>7.4</v>
      </c>
    </row>
    <row r="757" spans="1:14" x14ac:dyDescent="0.25">
      <c r="A757" t="s">
        <v>786</v>
      </c>
      <c r="B757" t="s">
        <v>13</v>
      </c>
      <c r="C757" t="s">
        <v>14</v>
      </c>
      <c r="D757" t="s">
        <v>22</v>
      </c>
      <c r="E757" t="s">
        <v>16</v>
      </c>
      <c r="F757" t="s">
        <v>41</v>
      </c>
      <c r="G757" t="s">
        <v>1036</v>
      </c>
      <c r="H757" t="s">
        <v>1043</v>
      </c>
      <c r="I757" s="1">
        <v>43533</v>
      </c>
      <c r="J757" t="s">
        <v>1045</v>
      </c>
      <c r="K757" s="5">
        <v>0.5541666666666667</v>
      </c>
      <c r="L757" t="s">
        <v>28</v>
      </c>
      <c r="M757">
        <v>38.915999999999997</v>
      </c>
      <c r="N757">
        <v>6.2</v>
      </c>
    </row>
    <row r="758" spans="1:14" x14ac:dyDescent="0.25">
      <c r="A758" t="s">
        <v>787</v>
      </c>
      <c r="B758" t="s">
        <v>37</v>
      </c>
      <c r="C758" t="s">
        <v>38</v>
      </c>
      <c r="D758" t="s">
        <v>15</v>
      </c>
      <c r="E758" t="s">
        <v>16</v>
      </c>
      <c r="F758" t="s">
        <v>23</v>
      </c>
      <c r="G758" t="s">
        <v>1040</v>
      </c>
      <c r="H758" t="s">
        <v>1042</v>
      </c>
      <c r="I758" s="1">
        <v>43513</v>
      </c>
      <c r="J758" t="s">
        <v>1045</v>
      </c>
      <c r="K758" s="5">
        <v>0.64444444444444449</v>
      </c>
      <c r="L758" t="s">
        <v>18</v>
      </c>
      <c r="M758">
        <v>14.295999999999999</v>
      </c>
      <c r="N758">
        <v>4.9000000000000004</v>
      </c>
    </row>
    <row r="759" spans="1:14" x14ac:dyDescent="0.25">
      <c r="A759" t="s">
        <v>788</v>
      </c>
      <c r="B759" t="s">
        <v>13</v>
      </c>
      <c r="C759" t="s">
        <v>14</v>
      </c>
      <c r="D759" t="s">
        <v>22</v>
      </c>
      <c r="E759" t="s">
        <v>16</v>
      </c>
      <c r="F759" t="s">
        <v>27</v>
      </c>
      <c r="G759" t="s">
        <v>1034</v>
      </c>
      <c r="H759" t="s">
        <v>1041</v>
      </c>
      <c r="I759" s="1">
        <v>43476</v>
      </c>
      <c r="J759" t="s">
        <v>1044</v>
      </c>
      <c r="K759" s="5">
        <v>0.49444444444444446</v>
      </c>
      <c r="L759" t="s">
        <v>24</v>
      </c>
      <c r="M759">
        <v>28.956</v>
      </c>
      <c r="N759">
        <v>4.5</v>
      </c>
    </row>
    <row r="760" spans="1:14" x14ac:dyDescent="0.25">
      <c r="A760" t="s">
        <v>789</v>
      </c>
      <c r="B760" t="s">
        <v>13</v>
      </c>
      <c r="C760" t="s">
        <v>14</v>
      </c>
      <c r="D760" t="s">
        <v>15</v>
      </c>
      <c r="E760" t="s">
        <v>26</v>
      </c>
      <c r="F760" t="s">
        <v>39</v>
      </c>
      <c r="G760" t="s">
        <v>1034</v>
      </c>
      <c r="H760" t="s">
        <v>1042</v>
      </c>
      <c r="I760" s="1">
        <v>43523</v>
      </c>
      <c r="J760" t="s">
        <v>1046</v>
      </c>
      <c r="K760" s="5">
        <v>0.76666666666666661</v>
      </c>
      <c r="L760" t="s">
        <v>18</v>
      </c>
      <c r="M760">
        <v>9.4250000000000007</v>
      </c>
      <c r="N760">
        <v>5.6</v>
      </c>
    </row>
    <row r="761" spans="1:14" x14ac:dyDescent="0.25">
      <c r="A761" t="s">
        <v>790</v>
      </c>
      <c r="B761" t="s">
        <v>13</v>
      </c>
      <c r="C761" t="s">
        <v>14</v>
      </c>
      <c r="D761" t="s">
        <v>22</v>
      </c>
      <c r="E761" t="s">
        <v>16</v>
      </c>
      <c r="F761" t="s">
        <v>39</v>
      </c>
      <c r="G761" t="s">
        <v>1038</v>
      </c>
      <c r="H761" t="s">
        <v>1043</v>
      </c>
      <c r="I761" s="1">
        <v>43549</v>
      </c>
      <c r="J761" t="s">
        <v>1045</v>
      </c>
      <c r="K761" s="5">
        <v>0.6381944444444444</v>
      </c>
      <c r="L761" t="s">
        <v>18</v>
      </c>
      <c r="M761">
        <v>11.077999999999999</v>
      </c>
      <c r="N761">
        <v>8</v>
      </c>
    </row>
    <row r="762" spans="1:14" x14ac:dyDescent="0.25">
      <c r="A762" t="s">
        <v>791</v>
      </c>
      <c r="B762" t="s">
        <v>37</v>
      </c>
      <c r="C762" t="s">
        <v>38</v>
      </c>
      <c r="D762" t="s">
        <v>15</v>
      </c>
      <c r="E762" t="s">
        <v>16</v>
      </c>
      <c r="F762" t="s">
        <v>39</v>
      </c>
      <c r="G762" t="s">
        <v>1039</v>
      </c>
      <c r="H762" t="s">
        <v>1042</v>
      </c>
      <c r="I762" s="1">
        <v>43507</v>
      </c>
      <c r="J762" t="s">
        <v>1044</v>
      </c>
      <c r="K762" s="5">
        <v>0.44305555555555554</v>
      </c>
      <c r="L762" t="s">
        <v>28</v>
      </c>
      <c r="M762">
        <v>38.6</v>
      </c>
      <c r="N762">
        <v>5.6</v>
      </c>
    </row>
    <row r="763" spans="1:14" x14ac:dyDescent="0.25">
      <c r="A763" t="s">
        <v>792</v>
      </c>
      <c r="B763" t="s">
        <v>37</v>
      </c>
      <c r="C763" t="s">
        <v>38</v>
      </c>
      <c r="D763" t="s">
        <v>22</v>
      </c>
      <c r="E763" t="s">
        <v>26</v>
      </c>
      <c r="F763" t="s">
        <v>23</v>
      </c>
      <c r="G763" t="s">
        <v>1037</v>
      </c>
      <c r="H763" t="s">
        <v>1041</v>
      </c>
      <c r="I763" s="1">
        <v>43496</v>
      </c>
      <c r="J763" t="s">
        <v>1045</v>
      </c>
      <c r="K763" s="5">
        <v>0.6333333333333333</v>
      </c>
      <c r="L763" t="s">
        <v>28</v>
      </c>
      <c r="M763">
        <v>36.064999999999998</v>
      </c>
      <c r="N763">
        <v>4.2</v>
      </c>
    </row>
    <row r="764" spans="1:14" x14ac:dyDescent="0.25">
      <c r="A764" t="s">
        <v>793</v>
      </c>
      <c r="B764" t="s">
        <v>13</v>
      </c>
      <c r="C764" t="s">
        <v>14</v>
      </c>
      <c r="D764" t="s">
        <v>15</v>
      </c>
      <c r="E764" t="s">
        <v>16</v>
      </c>
      <c r="F764" t="s">
        <v>41</v>
      </c>
      <c r="G764" t="s">
        <v>1036</v>
      </c>
      <c r="H764" t="s">
        <v>1041</v>
      </c>
      <c r="I764" s="1">
        <v>43485</v>
      </c>
      <c r="J764" t="s">
        <v>1046</v>
      </c>
      <c r="K764" s="5">
        <v>0.7416666666666667</v>
      </c>
      <c r="L764" t="s">
        <v>18</v>
      </c>
      <c r="M764">
        <v>25.552</v>
      </c>
      <c r="N764">
        <v>9.9</v>
      </c>
    </row>
    <row r="765" spans="1:14" x14ac:dyDescent="0.25">
      <c r="A765" t="s">
        <v>794</v>
      </c>
      <c r="B765" t="s">
        <v>13</v>
      </c>
      <c r="C765" t="s">
        <v>14</v>
      </c>
      <c r="D765" t="s">
        <v>15</v>
      </c>
      <c r="E765" t="s">
        <v>16</v>
      </c>
      <c r="F765" t="s">
        <v>17</v>
      </c>
      <c r="G765" t="s">
        <v>1038</v>
      </c>
      <c r="H765" t="s">
        <v>1043</v>
      </c>
      <c r="I765" s="1">
        <v>43550</v>
      </c>
      <c r="J765" t="s">
        <v>1044</v>
      </c>
      <c r="K765" s="5">
        <v>0.46319444444444446</v>
      </c>
      <c r="L765" t="s">
        <v>18</v>
      </c>
      <c r="M765">
        <v>2.6724999999999999</v>
      </c>
      <c r="N765">
        <v>7.6</v>
      </c>
    </row>
    <row r="766" spans="1:14" x14ac:dyDescent="0.25">
      <c r="A766" t="s">
        <v>795</v>
      </c>
      <c r="B766" t="s">
        <v>13</v>
      </c>
      <c r="C766" t="s">
        <v>14</v>
      </c>
      <c r="D766" t="s">
        <v>15</v>
      </c>
      <c r="E766" t="s">
        <v>26</v>
      </c>
      <c r="F766" t="s">
        <v>17</v>
      </c>
      <c r="G766" t="s">
        <v>1036</v>
      </c>
      <c r="H766" t="s">
        <v>1041</v>
      </c>
      <c r="I766" s="1">
        <v>43485</v>
      </c>
      <c r="J766" t="s">
        <v>1045</v>
      </c>
      <c r="K766" s="5">
        <v>0.65833333333333333</v>
      </c>
      <c r="L766" t="s">
        <v>28</v>
      </c>
      <c r="M766">
        <v>11.1</v>
      </c>
      <c r="N766">
        <v>6.6</v>
      </c>
    </row>
    <row r="767" spans="1:14" x14ac:dyDescent="0.25">
      <c r="A767" t="s">
        <v>796</v>
      </c>
      <c r="B767" t="s">
        <v>37</v>
      </c>
      <c r="C767" t="s">
        <v>38</v>
      </c>
      <c r="D767" t="s">
        <v>22</v>
      </c>
      <c r="E767" t="s">
        <v>16</v>
      </c>
      <c r="F767" t="s">
        <v>27</v>
      </c>
      <c r="G767" t="s">
        <v>1035</v>
      </c>
      <c r="H767" t="s">
        <v>1043</v>
      </c>
      <c r="I767" s="1">
        <v>43529</v>
      </c>
      <c r="J767" t="s">
        <v>1046</v>
      </c>
      <c r="K767" s="5">
        <v>0.81944444444444453</v>
      </c>
      <c r="L767" t="s">
        <v>18</v>
      </c>
      <c r="M767">
        <v>38.183999999999997</v>
      </c>
      <c r="N767">
        <v>4.7</v>
      </c>
    </row>
    <row r="768" spans="1:14" x14ac:dyDescent="0.25">
      <c r="A768" t="s">
        <v>797</v>
      </c>
      <c r="B768" t="s">
        <v>20</v>
      </c>
      <c r="C768" t="s">
        <v>21</v>
      </c>
      <c r="D768" t="s">
        <v>22</v>
      </c>
      <c r="E768" t="s">
        <v>16</v>
      </c>
      <c r="F768" t="s">
        <v>41</v>
      </c>
      <c r="G768" t="s">
        <v>1034</v>
      </c>
      <c r="H768" t="s">
        <v>1041</v>
      </c>
      <c r="I768" s="1">
        <v>43470</v>
      </c>
      <c r="J768" t="s">
        <v>1046</v>
      </c>
      <c r="K768" s="5">
        <v>0.85416666666666663</v>
      </c>
      <c r="L768" t="s">
        <v>28</v>
      </c>
      <c r="M768">
        <v>11.409000000000001</v>
      </c>
      <c r="N768">
        <v>9.8000000000000007</v>
      </c>
    </row>
    <row r="769" spans="1:14" x14ac:dyDescent="0.25">
      <c r="A769" t="s">
        <v>798</v>
      </c>
      <c r="B769" t="s">
        <v>37</v>
      </c>
      <c r="C769" t="s">
        <v>38</v>
      </c>
      <c r="D769" t="s">
        <v>22</v>
      </c>
      <c r="E769" t="s">
        <v>26</v>
      </c>
      <c r="F769" t="s">
        <v>31</v>
      </c>
      <c r="G769" t="s">
        <v>1039</v>
      </c>
      <c r="H769" t="s">
        <v>1042</v>
      </c>
      <c r="I769" s="1">
        <v>43509</v>
      </c>
      <c r="J769" t="s">
        <v>1045</v>
      </c>
      <c r="K769" s="5">
        <v>0.58263888888888882</v>
      </c>
      <c r="L769" t="s">
        <v>24</v>
      </c>
      <c r="M769">
        <v>4.1070000000000002</v>
      </c>
      <c r="N769">
        <v>6.3</v>
      </c>
    </row>
    <row r="770" spans="1:14" x14ac:dyDescent="0.25">
      <c r="A770" t="s">
        <v>799</v>
      </c>
      <c r="B770" t="s">
        <v>37</v>
      </c>
      <c r="C770" t="s">
        <v>38</v>
      </c>
      <c r="D770" t="s">
        <v>22</v>
      </c>
      <c r="E770" t="s">
        <v>16</v>
      </c>
      <c r="F770" t="s">
        <v>23</v>
      </c>
      <c r="G770" t="s">
        <v>1037</v>
      </c>
      <c r="H770" t="s">
        <v>1043</v>
      </c>
      <c r="I770" s="1">
        <v>43540</v>
      </c>
      <c r="J770" t="s">
        <v>1046</v>
      </c>
      <c r="K770" s="5">
        <v>0.78541666666666676</v>
      </c>
      <c r="L770" t="s">
        <v>24</v>
      </c>
      <c r="M770">
        <v>19.128</v>
      </c>
      <c r="N770">
        <v>7.9</v>
      </c>
    </row>
    <row r="771" spans="1:14" x14ac:dyDescent="0.25">
      <c r="A771" t="s">
        <v>800</v>
      </c>
      <c r="B771" t="s">
        <v>13</v>
      </c>
      <c r="C771" t="s">
        <v>14</v>
      </c>
      <c r="D771" t="s">
        <v>22</v>
      </c>
      <c r="E771" t="s">
        <v>16</v>
      </c>
      <c r="F771" t="s">
        <v>27</v>
      </c>
      <c r="G771" t="s">
        <v>1035</v>
      </c>
      <c r="H771" t="s">
        <v>1041</v>
      </c>
      <c r="I771" s="1">
        <v>43480</v>
      </c>
      <c r="J771" t="s">
        <v>1046</v>
      </c>
      <c r="K771" s="5">
        <v>0.72499999999999998</v>
      </c>
      <c r="L771" t="s">
        <v>24</v>
      </c>
      <c r="M771">
        <v>3.4289999999999998</v>
      </c>
      <c r="N771">
        <v>7.7</v>
      </c>
    </row>
    <row r="772" spans="1:14" x14ac:dyDescent="0.25">
      <c r="A772" t="s">
        <v>801</v>
      </c>
      <c r="B772" t="s">
        <v>37</v>
      </c>
      <c r="C772" t="s">
        <v>38</v>
      </c>
      <c r="D772" t="s">
        <v>15</v>
      </c>
      <c r="E772" t="s">
        <v>16</v>
      </c>
      <c r="F772" t="s">
        <v>31</v>
      </c>
      <c r="G772" t="s">
        <v>1034</v>
      </c>
      <c r="H772" t="s">
        <v>1042</v>
      </c>
      <c r="I772" s="1">
        <v>43522</v>
      </c>
      <c r="J772" t="s">
        <v>1044</v>
      </c>
      <c r="K772" s="5">
        <v>0.49861111111111112</v>
      </c>
      <c r="L772" t="s">
        <v>18</v>
      </c>
      <c r="M772">
        <v>19.108000000000001</v>
      </c>
      <c r="N772">
        <v>4.5</v>
      </c>
    </row>
    <row r="773" spans="1:14" x14ac:dyDescent="0.25">
      <c r="A773" t="s">
        <v>802</v>
      </c>
      <c r="B773" t="s">
        <v>20</v>
      </c>
      <c r="C773" t="s">
        <v>21</v>
      </c>
      <c r="D773" t="s">
        <v>15</v>
      </c>
      <c r="E773" t="s">
        <v>16</v>
      </c>
      <c r="F773" t="s">
        <v>17</v>
      </c>
      <c r="G773" t="s">
        <v>1034</v>
      </c>
      <c r="H773" t="s">
        <v>1042</v>
      </c>
      <c r="I773" s="1">
        <v>43523</v>
      </c>
      <c r="J773" t="s">
        <v>1046</v>
      </c>
      <c r="K773" s="5">
        <v>0.79236111111111107</v>
      </c>
      <c r="L773" t="s">
        <v>28</v>
      </c>
      <c r="M773">
        <v>30.054500000000001</v>
      </c>
      <c r="N773">
        <v>8</v>
      </c>
    </row>
    <row r="774" spans="1:14" x14ac:dyDescent="0.25">
      <c r="A774" t="s">
        <v>803</v>
      </c>
      <c r="B774" t="s">
        <v>20</v>
      </c>
      <c r="C774" t="s">
        <v>21</v>
      </c>
      <c r="D774" t="s">
        <v>15</v>
      </c>
      <c r="E774" t="s">
        <v>16</v>
      </c>
      <c r="F774" t="s">
        <v>31</v>
      </c>
      <c r="G774" t="s">
        <v>1040</v>
      </c>
      <c r="H774" t="s">
        <v>1042</v>
      </c>
      <c r="I774" s="1">
        <v>43513</v>
      </c>
      <c r="J774" t="s">
        <v>1046</v>
      </c>
      <c r="K774" s="5">
        <v>0.70138888888888884</v>
      </c>
      <c r="L774" t="s">
        <v>18</v>
      </c>
      <c r="M774">
        <v>23.796500000000002</v>
      </c>
      <c r="N774">
        <v>5.7</v>
      </c>
    </row>
    <row r="775" spans="1:14" x14ac:dyDescent="0.25">
      <c r="A775" t="s">
        <v>804</v>
      </c>
      <c r="B775" t="s">
        <v>20</v>
      </c>
      <c r="C775" t="s">
        <v>21</v>
      </c>
      <c r="D775" t="s">
        <v>22</v>
      </c>
      <c r="E775" t="s">
        <v>16</v>
      </c>
      <c r="F775" t="s">
        <v>39</v>
      </c>
      <c r="G775" t="s">
        <v>1038</v>
      </c>
      <c r="H775" t="s">
        <v>1042</v>
      </c>
      <c r="I775" s="1">
        <v>43502</v>
      </c>
      <c r="J775" t="s">
        <v>1044</v>
      </c>
      <c r="K775" s="5">
        <v>0.43194444444444446</v>
      </c>
      <c r="L775" t="s">
        <v>28</v>
      </c>
      <c r="M775">
        <v>2.621</v>
      </c>
      <c r="N775">
        <v>6.3</v>
      </c>
    </row>
    <row r="776" spans="1:14" x14ac:dyDescent="0.25">
      <c r="A776" t="s">
        <v>805</v>
      </c>
      <c r="B776" t="s">
        <v>20</v>
      </c>
      <c r="C776" t="s">
        <v>21</v>
      </c>
      <c r="D776" t="s">
        <v>15</v>
      </c>
      <c r="E776" t="s">
        <v>26</v>
      </c>
      <c r="F776" t="s">
        <v>39</v>
      </c>
      <c r="G776" t="s">
        <v>1035</v>
      </c>
      <c r="H776" t="s">
        <v>1041</v>
      </c>
      <c r="I776" s="1">
        <v>43482</v>
      </c>
      <c r="J776" t="s">
        <v>1046</v>
      </c>
      <c r="K776" s="5">
        <v>0.69861111111111107</v>
      </c>
      <c r="L776" t="s">
        <v>24</v>
      </c>
      <c r="M776">
        <v>6.5650000000000004</v>
      </c>
      <c r="N776">
        <v>6</v>
      </c>
    </row>
    <row r="777" spans="1:14" x14ac:dyDescent="0.25">
      <c r="A777" t="s">
        <v>806</v>
      </c>
      <c r="B777" t="s">
        <v>37</v>
      </c>
      <c r="C777" t="s">
        <v>38</v>
      </c>
      <c r="D777" t="s">
        <v>22</v>
      </c>
      <c r="E777" t="s">
        <v>16</v>
      </c>
      <c r="F777" t="s">
        <v>39</v>
      </c>
      <c r="G777" t="s">
        <v>1036</v>
      </c>
      <c r="H777" t="s">
        <v>1041</v>
      </c>
      <c r="I777" s="1">
        <v>43487</v>
      </c>
      <c r="J777" t="s">
        <v>1046</v>
      </c>
      <c r="K777" s="5">
        <v>0.75555555555555554</v>
      </c>
      <c r="L777" t="s">
        <v>28</v>
      </c>
      <c r="M777">
        <v>7.2149999999999999</v>
      </c>
      <c r="N777">
        <v>8</v>
      </c>
    </row>
    <row r="778" spans="1:14" x14ac:dyDescent="0.25">
      <c r="A778" t="s">
        <v>807</v>
      </c>
      <c r="B778" t="s">
        <v>20</v>
      </c>
      <c r="C778" t="s">
        <v>21</v>
      </c>
      <c r="D778" t="s">
        <v>15</v>
      </c>
      <c r="E778" t="s">
        <v>26</v>
      </c>
      <c r="F778" t="s">
        <v>17</v>
      </c>
      <c r="G778" t="s">
        <v>1035</v>
      </c>
      <c r="H778" t="s">
        <v>1043</v>
      </c>
      <c r="I778" s="1">
        <v>43529</v>
      </c>
      <c r="J778" t="s">
        <v>1046</v>
      </c>
      <c r="K778" s="5">
        <v>0.75138888888888899</v>
      </c>
      <c r="L778" t="s">
        <v>28</v>
      </c>
      <c r="M778">
        <v>22.858499999999999</v>
      </c>
      <c r="N778">
        <v>4.2</v>
      </c>
    </row>
    <row r="779" spans="1:14" x14ac:dyDescent="0.25">
      <c r="A779" t="s">
        <v>808</v>
      </c>
      <c r="B779" t="s">
        <v>37</v>
      </c>
      <c r="C779" t="s">
        <v>38</v>
      </c>
      <c r="D779" t="s">
        <v>22</v>
      </c>
      <c r="E779" t="s">
        <v>26</v>
      </c>
      <c r="F779" t="s">
        <v>31</v>
      </c>
      <c r="G779" t="s">
        <v>1040</v>
      </c>
      <c r="H779" t="s">
        <v>1041</v>
      </c>
      <c r="I779" s="1">
        <v>43468</v>
      </c>
      <c r="J779" t="s">
        <v>1045</v>
      </c>
      <c r="K779" s="5">
        <v>0.54652777777777783</v>
      </c>
      <c r="L779" t="s">
        <v>24</v>
      </c>
      <c r="M779">
        <v>4.6689999999999996</v>
      </c>
      <c r="N779">
        <v>9.6</v>
      </c>
    </row>
    <row r="780" spans="1:14" x14ac:dyDescent="0.25">
      <c r="A780" t="s">
        <v>809</v>
      </c>
      <c r="B780" t="s">
        <v>20</v>
      </c>
      <c r="C780" t="s">
        <v>21</v>
      </c>
      <c r="D780" t="s">
        <v>15</v>
      </c>
      <c r="E780" t="s">
        <v>26</v>
      </c>
      <c r="F780" t="s">
        <v>31</v>
      </c>
      <c r="G780" t="s">
        <v>1037</v>
      </c>
      <c r="H780" t="s">
        <v>1043</v>
      </c>
      <c r="I780" s="1">
        <v>43544</v>
      </c>
      <c r="J780" t="s">
        <v>1046</v>
      </c>
      <c r="K780" s="5">
        <v>0.74444444444444446</v>
      </c>
      <c r="L780" t="s">
        <v>24</v>
      </c>
      <c r="M780">
        <v>6.3125</v>
      </c>
      <c r="N780">
        <v>6.1</v>
      </c>
    </row>
    <row r="781" spans="1:14" x14ac:dyDescent="0.25">
      <c r="A781" t="s">
        <v>810</v>
      </c>
      <c r="B781" t="s">
        <v>37</v>
      </c>
      <c r="C781" t="s">
        <v>38</v>
      </c>
      <c r="D781" t="s">
        <v>15</v>
      </c>
      <c r="E781" t="s">
        <v>26</v>
      </c>
      <c r="F781" t="s">
        <v>23</v>
      </c>
      <c r="G781" t="s">
        <v>1037</v>
      </c>
      <c r="H781" t="s">
        <v>1041</v>
      </c>
      <c r="I781" s="1">
        <v>43496</v>
      </c>
      <c r="J781" t="s">
        <v>1046</v>
      </c>
      <c r="K781" s="5">
        <v>0.85555555555555562</v>
      </c>
      <c r="L781" t="s">
        <v>18</v>
      </c>
      <c r="M781">
        <v>39.541499999999999</v>
      </c>
      <c r="N781">
        <v>5.6</v>
      </c>
    </row>
    <row r="782" spans="1:14" x14ac:dyDescent="0.25">
      <c r="A782" t="s">
        <v>811</v>
      </c>
      <c r="B782" t="s">
        <v>20</v>
      </c>
      <c r="C782" t="s">
        <v>21</v>
      </c>
      <c r="D782" t="s">
        <v>22</v>
      </c>
      <c r="E782" t="s">
        <v>26</v>
      </c>
      <c r="F782" t="s">
        <v>17</v>
      </c>
      <c r="G782" t="s">
        <v>1040</v>
      </c>
      <c r="H782" t="s">
        <v>1042</v>
      </c>
      <c r="I782" s="1">
        <v>43515</v>
      </c>
      <c r="J782" t="s">
        <v>1046</v>
      </c>
      <c r="K782" s="5">
        <v>0.80833333333333324</v>
      </c>
      <c r="L782" t="s">
        <v>24</v>
      </c>
      <c r="M782">
        <v>8.7200000000000006</v>
      </c>
      <c r="N782">
        <v>8.3000000000000007</v>
      </c>
    </row>
    <row r="783" spans="1:14" x14ac:dyDescent="0.25">
      <c r="A783" t="s">
        <v>812</v>
      </c>
      <c r="B783" t="s">
        <v>13</v>
      </c>
      <c r="C783" t="s">
        <v>14</v>
      </c>
      <c r="D783" t="s">
        <v>22</v>
      </c>
      <c r="E783" t="s">
        <v>16</v>
      </c>
      <c r="F783" t="s">
        <v>31</v>
      </c>
      <c r="G783" t="s">
        <v>1039</v>
      </c>
      <c r="H783" t="s">
        <v>1042</v>
      </c>
      <c r="I783" s="1">
        <v>43507</v>
      </c>
      <c r="J783" t="s">
        <v>1046</v>
      </c>
      <c r="K783" s="5">
        <v>0.67083333333333339</v>
      </c>
      <c r="L783" t="s">
        <v>18</v>
      </c>
      <c r="M783">
        <v>18.952000000000002</v>
      </c>
      <c r="N783">
        <v>7.8</v>
      </c>
    </row>
    <row r="784" spans="1:14" x14ac:dyDescent="0.25">
      <c r="A784" t="s">
        <v>813</v>
      </c>
      <c r="B784" t="s">
        <v>13</v>
      </c>
      <c r="C784" t="s">
        <v>14</v>
      </c>
      <c r="D784" t="s">
        <v>15</v>
      </c>
      <c r="E784" t="s">
        <v>16</v>
      </c>
      <c r="F784" t="s">
        <v>41</v>
      </c>
      <c r="G784" t="s">
        <v>1038</v>
      </c>
      <c r="H784" t="s">
        <v>1042</v>
      </c>
      <c r="I784" s="1">
        <v>43501</v>
      </c>
      <c r="J784" t="s">
        <v>1045</v>
      </c>
      <c r="K784" s="5">
        <v>0.59305555555555556</v>
      </c>
      <c r="L784" t="s">
        <v>28</v>
      </c>
      <c r="M784">
        <v>1.5309999999999999</v>
      </c>
      <c r="N784">
        <v>4.0999999999999996</v>
      </c>
    </row>
    <row r="785" spans="1:14" x14ac:dyDescent="0.25">
      <c r="A785" t="s">
        <v>814</v>
      </c>
      <c r="B785" t="s">
        <v>20</v>
      </c>
      <c r="C785" t="s">
        <v>21</v>
      </c>
      <c r="D785" t="s">
        <v>22</v>
      </c>
      <c r="E785" t="s">
        <v>16</v>
      </c>
      <c r="F785" t="s">
        <v>27</v>
      </c>
      <c r="G785" t="s">
        <v>1035</v>
      </c>
      <c r="H785" t="s">
        <v>1043</v>
      </c>
      <c r="I785" s="1">
        <v>43527</v>
      </c>
      <c r="J785" t="s">
        <v>1046</v>
      </c>
      <c r="K785" s="5">
        <v>0.73333333333333339</v>
      </c>
      <c r="L785" t="s">
        <v>24</v>
      </c>
      <c r="M785">
        <v>17.603999999999999</v>
      </c>
      <c r="N785">
        <v>8.8000000000000007</v>
      </c>
    </row>
    <row r="786" spans="1:14" x14ac:dyDescent="0.25">
      <c r="A786" t="s">
        <v>815</v>
      </c>
      <c r="B786" t="s">
        <v>20</v>
      </c>
      <c r="C786" t="s">
        <v>21</v>
      </c>
      <c r="D786" t="s">
        <v>15</v>
      </c>
      <c r="E786" t="s">
        <v>16</v>
      </c>
      <c r="F786" t="s">
        <v>17</v>
      </c>
      <c r="G786" t="s">
        <v>1034</v>
      </c>
      <c r="H786" t="s">
        <v>1042</v>
      </c>
      <c r="I786" s="1">
        <v>43520</v>
      </c>
      <c r="J786" t="s">
        <v>1045</v>
      </c>
      <c r="K786" s="5">
        <v>0.54722222222222217</v>
      </c>
      <c r="L786" t="s">
        <v>18</v>
      </c>
      <c r="M786">
        <v>2.54</v>
      </c>
      <c r="N786">
        <v>4.0999999999999996</v>
      </c>
    </row>
    <row r="787" spans="1:14" x14ac:dyDescent="0.25">
      <c r="A787" t="s">
        <v>816</v>
      </c>
      <c r="B787" t="s">
        <v>13</v>
      </c>
      <c r="C787" t="s">
        <v>14</v>
      </c>
      <c r="D787" t="s">
        <v>22</v>
      </c>
      <c r="E787" t="s">
        <v>26</v>
      </c>
      <c r="F787" t="s">
        <v>23</v>
      </c>
      <c r="G787" t="s">
        <v>1038</v>
      </c>
      <c r="H787" t="s">
        <v>1042</v>
      </c>
      <c r="I787" s="1">
        <v>43500</v>
      </c>
      <c r="J787" t="s">
        <v>1046</v>
      </c>
      <c r="K787" s="5">
        <v>0.67291666666666661</v>
      </c>
      <c r="L787" t="s">
        <v>28</v>
      </c>
      <c r="M787">
        <v>26.103000000000002</v>
      </c>
      <c r="N787">
        <v>9</v>
      </c>
    </row>
    <row r="788" spans="1:14" x14ac:dyDescent="0.25">
      <c r="A788" t="s">
        <v>817</v>
      </c>
      <c r="B788" t="s">
        <v>20</v>
      </c>
      <c r="C788" t="s">
        <v>21</v>
      </c>
      <c r="D788" t="s">
        <v>22</v>
      </c>
      <c r="E788" t="s">
        <v>26</v>
      </c>
      <c r="F788" t="s">
        <v>23</v>
      </c>
      <c r="G788" t="s">
        <v>1040</v>
      </c>
      <c r="H788" t="s">
        <v>1042</v>
      </c>
      <c r="I788" s="1">
        <v>43515</v>
      </c>
      <c r="J788" t="s">
        <v>1044</v>
      </c>
      <c r="K788" s="5">
        <v>0.48125000000000001</v>
      </c>
      <c r="L788" t="s">
        <v>18</v>
      </c>
      <c r="M788">
        <v>28.756</v>
      </c>
      <c r="N788">
        <v>5.5</v>
      </c>
    </row>
    <row r="789" spans="1:14" x14ac:dyDescent="0.25">
      <c r="A789" t="s">
        <v>818</v>
      </c>
      <c r="B789" t="s">
        <v>20</v>
      </c>
      <c r="C789" t="s">
        <v>21</v>
      </c>
      <c r="D789" t="s">
        <v>22</v>
      </c>
      <c r="E789" t="s">
        <v>16</v>
      </c>
      <c r="F789" t="s">
        <v>17</v>
      </c>
      <c r="G789" t="s">
        <v>1036</v>
      </c>
      <c r="H789" t="s">
        <v>1041</v>
      </c>
      <c r="I789" s="1">
        <v>43488</v>
      </c>
      <c r="J789" t="s">
        <v>1044</v>
      </c>
      <c r="K789" s="5">
        <v>0.4291666666666667</v>
      </c>
      <c r="L789" t="s">
        <v>28</v>
      </c>
      <c r="M789">
        <v>2.7475000000000001</v>
      </c>
      <c r="N789">
        <v>9.3000000000000007</v>
      </c>
    </row>
    <row r="790" spans="1:14" x14ac:dyDescent="0.25">
      <c r="A790" t="s">
        <v>819</v>
      </c>
      <c r="B790" t="s">
        <v>20</v>
      </c>
      <c r="C790" t="s">
        <v>21</v>
      </c>
      <c r="D790" t="s">
        <v>15</v>
      </c>
      <c r="E790" t="s">
        <v>26</v>
      </c>
      <c r="F790" t="s">
        <v>17</v>
      </c>
      <c r="G790" t="s">
        <v>1035</v>
      </c>
      <c r="H790" t="s">
        <v>1041</v>
      </c>
      <c r="I790" s="1">
        <v>43479</v>
      </c>
      <c r="J790" t="s">
        <v>1044</v>
      </c>
      <c r="K790" s="5">
        <v>0.4548611111111111</v>
      </c>
      <c r="L790" t="s">
        <v>28</v>
      </c>
      <c r="M790">
        <v>9.0704999999999991</v>
      </c>
      <c r="N790">
        <v>5.6</v>
      </c>
    </row>
    <row r="791" spans="1:14" x14ac:dyDescent="0.25">
      <c r="A791" t="s">
        <v>820</v>
      </c>
      <c r="B791" t="s">
        <v>13</v>
      </c>
      <c r="C791" t="s">
        <v>14</v>
      </c>
      <c r="D791" t="s">
        <v>22</v>
      </c>
      <c r="E791" t="s">
        <v>26</v>
      </c>
      <c r="F791" t="s">
        <v>31</v>
      </c>
      <c r="G791" t="s">
        <v>1035</v>
      </c>
      <c r="H791" t="s">
        <v>1041</v>
      </c>
      <c r="I791" s="1">
        <v>43482</v>
      </c>
      <c r="J791" t="s">
        <v>1045</v>
      </c>
      <c r="K791" s="5">
        <v>0.63541666666666663</v>
      </c>
      <c r="L791" t="s">
        <v>18</v>
      </c>
      <c r="M791">
        <v>20.618500000000001</v>
      </c>
      <c r="N791">
        <v>9.6999999999999993</v>
      </c>
    </row>
    <row r="792" spans="1:14" x14ac:dyDescent="0.25">
      <c r="A792" t="s">
        <v>821</v>
      </c>
      <c r="B792" t="s">
        <v>13</v>
      </c>
      <c r="C792" t="s">
        <v>14</v>
      </c>
      <c r="D792" t="s">
        <v>22</v>
      </c>
      <c r="E792" t="s">
        <v>26</v>
      </c>
      <c r="F792" t="s">
        <v>41</v>
      </c>
      <c r="G792" t="s">
        <v>1035</v>
      </c>
      <c r="H792" t="s">
        <v>1043</v>
      </c>
      <c r="I792" s="1">
        <v>43527</v>
      </c>
      <c r="J792" t="s">
        <v>1046</v>
      </c>
      <c r="K792" s="5">
        <v>0.83750000000000002</v>
      </c>
      <c r="L792" t="s">
        <v>28</v>
      </c>
      <c r="M792">
        <v>2.3205</v>
      </c>
      <c r="N792">
        <v>4</v>
      </c>
    </row>
    <row r="793" spans="1:14" x14ac:dyDescent="0.25">
      <c r="A793" t="s">
        <v>822</v>
      </c>
      <c r="B793" t="s">
        <v>20</v>
      </c>
      <c r="C793" t="s">
        <v>21</v>
      </c>
      <c r="D793" t="s">
        <v>15</v>
      </c>
      <c r="E793" t="s">
        <v>26</v>
      </c>
      <c r="F793" t="s">
        <v>17</v>
      </c>
      <c r="G793" t="s">
        <v>1039</v>
      </c>
      <c r="H793" t="s">
        <v>1042</v>
      </c>
      <c r="I793" s="1">
        <v>43511</v>
      </c>
      <c r="J793" t="s">
        <v>1046</v>
      </c>
      <c r="K793" s="5">
        <v>0.84791666666666676</v>
      </c>
      <c r="L793" t="s">
        <v>28</v>
      </c>
      <c r="M793">
        <v>13.71</v>
      </c>
      <c r="N793">
        <v>9.1999999999999993</v>
      </c>
    </row>
    <row r="794" spans="1:14" x14ac:dyDescent="0.25">
      <c r="A794" t="s">
        <v>823</v>
      </c>
      <c r="B794" t="s">
        <v>37</v>
      </c>
      <c r="C794" t="s">
        <v>38</v>
      </c>
      <c r="D794" t="s">
        <v>22</v>
      </c>
      <c r="E794" t="s">
        <v>16</v>
      </c>
      <c r="F794" t="s">
        <v>27</v>
      </c>
      <c r="G794" t="s">
        <v>1035</v>
      </c>
      <c r="H794" t="s">
        <v>1041</v>
      </c>
      <c r="I794" s="1">
        <v>43480</v>
      </c>
      <c r="J794" t="s">
        <v>1045</v>
      </c>
      <c r="K794" s="5">
        <v>0.57500000000000007</v>
      </c>
      <c r="L794" t="s">
        <v>28</v>
      </c>
      <c r="M794">
        <v>48.685000000000002</v>
      </c>
      <c r="N794">
        <v>4.9000000000000004</v>
      </c>
    </row>
    <row r="795" spans="1:14" x14ac:dyDescent="0.25">
      <c r="A795" t="s">
        <v>824</v>
      </c>
      <c r="B795" t="s">
        <v>13</v>
      </c>
      <c r="C795" t="s">
        <v>14</v>
      </c>
      <c r="D795" t="s">
        <v>15</v>
      </c>
      <c r="E795" t="s">
        <v>26</v>
      </c>
      <c r="F795" t="s">
        <v>23</v>
      </c>
      <c r="G795" t="s">
        <v>1034</v>
      </c>
      <c r="H795" t="s">
        <v>1042</v>
      </c>
      <c r="I795" s="1">
        <v>43523</v>
      </c>
      <c r="J795" t="s">
        <v>1045</v>
      </c>
      <c r="K795" s="5">
        <v>0.53611111111111109</v>
      </c>
      <c r="L795" t="s">
        <v>28</v>
      </c>
      <c r="M795">
        <v>32.409999999999997</v>
      </c>
      <c r="N795">
        <v>9.3000000000000007</v>
      </c>
    </row>
    <row r="796" spans="1:14" x14ac:dyDescent="0.25">
      <c r="A796" t="s">
        <v>825</v>
      </c>
      <c r="B796" t="s">
        <v>13</v>
      </c>
      <c r="C796" t="s">
        <v>14</v>
      </c>
      <c r="D796" t="s">
        <v>22</v>
      </c>
      <c r="E796" t="s">
        <v>16</v>
      </c>
      <c r="F796" t="s">
        <v>23</v>
      </c>
      <c r="G796" t="s">
        <v>1034</v>
      </c>
      <c r="H796" t="s">
        <v>1042</v>
      </c>
      <c r="I796" s="1">
        <v>43522</v>
      </c>
      <c r="J796" t="s">
        <v>1045</v>
      </c>
      <c r="K796" s="5">
        <v>0.51944444444444449</v>
      </c>
      <c r="L796" t="s">
        <v>28</v>
      </c>
      <c r="M796">
        <v>4.6609999999999996</v>
      </c>
      <c r="N796">
        <v>6.6</v>
      </c>
    </row>
    <row r="797" spans="1:14" x14ac:dyDescent="0.25">
      <c r="A797" t="s">
        <v>826</v>
      </c>
      <c r="B797" t="s">
        <v>37</v>
      </c>
      <c r="C797" t="s">
        <v>38</v>
      </c>
      <c r="D797" t="s">
        <v>22</v>
      </c>
      <c r="E797" t="s">
        <v>26</v>
      </c>
      <c r="F797" t="s">
        <v>41</v>
      </c>
      <c r="G797" t="s">
        <v>1036</v>
      </c>
      <c r="H797" t="s">
        <v>1043</v>
      </c>
      <c r="I797" s="1">
        <v>43539</v>
      </c>
      <c r="J797" t="s">
        <v>1046</v>
      </c>
      <c r="K797" s="5">
        <v>0.68472222222222223</v>
      </c>
      <c r="L797" t="s">
        <v>18</v>
      </c>
      <c r="M797">
        <v>2.718</v>
      </c>
      <c r="N797">
        <v>4.3</v>
      </c>
    </row>
    <row r="798" spans="1:14" x14ac:dyDescent="0.25">
      <c r="A798" t="s">
        <v>827</v>
      </c>
      <c r="B798" t="s">
        <v>20</v>
      </c>
      <c r="C798" t="s">
        <v>21</v>
      </c>
      <c r="D798" t="s">
        <v>15</v>
      </c>
      <c r="E798" t="s">
        <v>16</v>
      </c>
      <c r="F798" t="s">
        <v>27</v>
      </c>
      <c r="G798" t="s">
        <v>1036</v>
      </c>
      <c r="H798" t="s">
        <v>1041</v>
      </c>
      <c r="I798" s="1">
        <v>43489</v>
      </c>
      <c r="J798" t="s">
        <v>1045</v>
      </c>
      <c r="K798" s="5">
        <v>0.55833333333333335</v>
      </c>
      <c r="L798" t="s">
        <v>24</v>
      </c>
      <c r="M798">
        <v>3.0434999999999999</v>
      </c>
      <c r="N798">
        <v>5.5</v>
      </c>
    </row>
    <row r="799" spans="1:14" x14ac:dyDescent="0.25">
      <c r="A799" t="s">
        <v>828</v>
      </c>
      <c r="B799" t="s">
        <v>13</v>
      </c>
      <c r="C799" t="s">
        <v>14</v>
      </c>
      <c r="D799" t="s">
        <v>15</v>
      </c>
      <c r="E799" t="s">
        <v>16</v>
      </c>
      <c r="F799" t="s">
        <v>31</v>
      </c>
      <c r="G799" t="s">
        <v>1040</v>
      </c>
      <c r="H799" t="s">
        <v>1042</v>
      </c>
      <c r="I799" s="1">
        <v>43518</v>
      </c>
      <c r="J799" t="s">
        <v>1045</v>
      </c>
      <c r="K799" s="5">
        <v>0.63541666666666663</v>
      </c>
      <c r="L799" t="s">
        <v>24</v>
      </c>
      <c r="M799">
        <v>12.244999999999999</v>
      </c>
      <c r="N799">
        <v>8.1</v>
      </c>
    </row>
    <row r="800" spans="1:14" x14ac:dyDescent="0.25">
      <c r="A800" t="s">
        <v>829</v>
      </c>
      <c r="B800" t="s">
        <v>37</v>
      </c>
      <c r="C800" t="s">
        <v>38</v>
      </c>
      <c r="D800" t="s">
        <v>22</v>
      </c>
      <c r="E800" t="s">
        <v>26</v>
      </c>
      <c r="F800" t="s">
        <v>17</v>
      </c>
      <c r="G800" t="s">
        <v>1036</v>
      </c>
      <c r="H800" t="s">
        <v>1043</v>
      </c>
      <c r="I800" s="1">
        <v>43539</v>
      </c>
      <c r="J800" t="s">
        <v>1044</v>
      </c>
      <c r="K800" s="5">
        <v>0.4513888888888889</v>
      </c>
      <c r="L800" t="s">
        <v>28</v>
      </c>
      <c r="M800">
        <v>4.6390000000000002</v>
      </c>
      <c r="N800">
        <v>9.8000000000000007</v>
      </c>
    </row>
    <row r="801" spans="1:14" x14ac:dyDescent="0.25">
      <c r="A801" t="s">
        <v>830</v>
      </c>
      <c r="B801" t="s">
        <v>20</v>
      </c>
      <c r="C801" t="s">
        <v>21</v>
      </c>
      <c r="D801" t="s">
        <v>15</v>
      </c>
      <c r="E801" t="s">
        <v>26</v>
      </c>
      <c r="F801" t="s">
        <v>27</v>
      </c>
      <c r="G801" t="s">
        <v>1039</v>
      </c>
      <c r="H801" t="s">
        <v>1042</v>
      </c>
      <c r="I801" s="1">
        <v>43507</v>
      </c>
      <c r="J801" t="s">
        <v>1046</v>
      </c>
      <c r="K801" s="5">
        <v>0.77638888888888891</v>
      </c>
      <c r="L801" t="s">
        <v>18</v>
      </c>
      <c r="M801">
        <v>21.672499999999999</v>
      </c>
      <c r="N801">
        <v>9.4</v>
      </c>
    </row>
    <row r="802" spans="1:14" x14ac:dyDescent="0.25">
      <c r="A802" t="s">
        <v>831</v>
      </c>
      <c r="B802" t="s">
        <v>37</v>
      </c>
      <c r="C802" t="s">
        <v>38</v>
      </c>
      <c r="D802" t="s">
        <v>22</v>
      </c>
      <c r="E802" t="s">
        <v>26</v>
      </c>
      <c r="F802" t="s">
        <v>31</v>
      </c>
      <c r="G802" t="s">
        <v>1035</v>
      </c>
      <c r="H802" t="s">
        <v>1041</v>
      </c>
      <c r="I802" s="1">
        <v>43477</v>
      </c>
      <c r="J802" t="s">
        <v>1046</v>
      </c>
      <c r="K802" s="5">
        <v>0.69791666666666663</v>
      </c>
      <c r="L802" t="s">
        <v>18</v>
      </c>
      <c r="M802">
        <v>6.9029999999999996</v>
      </c>
      <c r="N802">
        <v>7.9</v>
      </c>
    </row>
    <row r="803" spans="1:14" x14ac:dyDescent="0.25">
      <c r="A803" t="s">
        <v>832</v>
      </c>
      <c r="B803" t="s">
        <v>20</v>
      </c>
      <c r="C803" t="s">
        <v>21</v>
      </c>
      <c r="D803" t="s">
        <v>15</v>
      </c>
      <c r="E803" t="s">
        <v>16</v>
      </c>
      <c r="F803" t="s">
        <v>23</v>
      </c>
      <c r="G803" t="s">
        <v>1035</v>
      </c>
      <c r="H803" t="s">
        <v>1043</v>
      </c>
      <c r="I803" s="1">
        <v>43527</v>
      </c>
      <c r="J803" t="s">
        <v>1046</v>
      </c>
      <c r="K803" s="5">
        <v>0.8125</v>
      </c>
      <c r="L803" t="s">
        <v>18</v>
      </c>
      <c r="M803">
        <v>12.08</v>
      </c>
      <c r="N803">
        <v>5.0999999999999996</v>
      </c>
    </row>
    <row r="804" spans="1:14" x14ac:dyDescent="0.25">
      <c r="A804" t="s">
        <v>833</v>
      </c>
      <c r="B804" t="s">
        <v>20</v>
      </c>
      <c r="C804" t="s">
        <v>21</v>
      </c>
      <c r="D804" t="s">
        <v>15</v>
      </c>
      <c r="E804" t="s">
        <v>26</v>
      </c>
      <c r="F804" t="s">
        <v>41</v>
      </c>
      <c r="G804" t="s">
        <v>1038</v>
      </c>
      <c r="H804" t="s">
        <v>1043</v>
      </c>
      <c r="I804" s="1">
        <v>43547</v>
      </c>
      <c r="J804" t="s">
        <v>1045</v>
      </c>
      <c r="K804" s="5">
        <v>0.55763888888888891</v>
      </c>
      <c r="L804" t="s">
        <v>18</v>
      </c>
      <c r="M804">
        <v>23.586500000000001</v>
      </c>
      <c r="N804">
        <v>6.9</v>
      </c>
    </row>
    <row r="805" spans="1:14" x14ac:dyDescent="0.25">
      <c r="A805" t="s">
        <v>834</v>
      </c>
      <c r="B805" t="s">
        <v>13</v>
      </c>
      <c r="C805" t="s">
        <v>14</v>
      </c>
      <c r="D805" t="s">
        <v>15</v>
      </c>
      <c r="E805" t="s">
        <v>16</v>
      </c>
      <c r="F805" t="s">
        <v>41</v>
      </c>
      <c r="G805" t="s">
        <v>1035</v>
      </c>
      <c r="H805" t="s">
        <v>1043</v>
      </c>
      <c r="I805" s="1">
        <v>43528</v>
      </c>
      <c r="J805" t="s">
        <v>1044</v>
      </c>
      <c r="K805" s="5">
        <v>0.4770833333333333</v>
      </c>
      <c r="L805" t="s">
        <v>24</v>
      </c>
      <c r="M805">
        <v>22.032</v>
      </c>
      <c r="N805">
        <v>8</v>
      </c>
    </row>
    <row r="806" spans="1:14" x14ac:dyDescent="0.25">
      <c r="A806" t="s">
        <v>835</v>
      </c>
      <c r="B806" t="s">
        <v>37</v>
      </c>
      <c r="C806" t="s">
        <v>38</v>
      </c>
      <c r="D806" t="s">
        <v>15</v>
      </c>
      <c r="E806" t="s">
        <v>16</v>
      </c>
      <c r="F806" t="s">
        <v>23</v>
      </c>
      <c r="G806" t="s">
        <v>1034</v>
      </c>
      <c r="H806" t="s">
        <v>1042</v>
      </c>
      <c r="I806" s="1">
        <v>43519</v>
      </c>
      <c r="J806" t="s">
        <v>1044</v>
      </c>
      <c r="K806" s="5">
        <v>0.46666666666666662</v>
      </c>
      <c r="L806" t="s">
        <v>24</v>
      </c>
      <c r="M806">
        <v>34.015500000000003</v>
      </c>
      <c r="N806">
        <v>8</v>
      </c>
    </row>
    <row r="807" spans="1:14" x14ac:dyDescent="0.25">
      <c r="A807" t="s">
        <v>836</v>
      </c>
      <c r="B807" t="s">
        <v>13</v>
      </c>
      <c r="C807" t="s">
        <v>14</v>
      </c>
      <c r="D807" t="s">
        <v>22</v>
      </c>
      <c r="E807" t="s">
        <v>16</v>
      </c>
      <c r="F807" t="s">
        <v>27</v>
      </c>
      <c r="G807" t="s">
        <v>1037</v>
      </c>
      <c r="H807" t="s">
        <v>1043</v>
      </c>
      <c r="I807" s="1">
        <v>43541</v>
      </c>
      <c r="J807" t="s">
        <v>1046</v>
      </c>
      <c r="K807" s="5">
        <v>0.69166666666666676</v>
      </c>
      <c r="L807" t="s">
        <v>24</v>
      </c>
      <c r="M807">
        <v>15.494</v>
      </c>
      <c r="N807">
        <v>4.2</v>
      </c>
    </row>
    <row r="808" spans="1:14" x14ac:dyDescent="0.25">
      <c r="A808" t="s">
        <v>837</v>
      </c>
      <c r="B808" t="s">
        <v>13</v>
      </c>
      <c r="C808" t="s">
        <v>14</v>
      </c>
      <c r="D808" t="s">
        <v>22</v>
      </c>
      <c r="E808" t="s">
        <v>16</v>
      </c>
      <c r="F808" t="s">
        <v>31</v>
      </c>
      <c r="G808" t="s">
        <v>1035</v>
      </c>
      <c r="H808" t="s">
        <v>1041</v>
      </c>
      <c r="I808" s="1">
        <v>43481</v>
      </c>
      <c r="J808" t="s">
        <v>1046</v>
      </c>
      <c r="K808" s="5">
        <v>0.77847222222222223</v>
      </c>
      <c r="L808" t="s">
        <v>28</v>
      </c>
      <c r="M808">
        <v>9.3179999999999996</v>
      </c>
      <c r="N808">
        <v>8.5</v>
      </c>
    </row>
    <row r="809" spans="1:14" x14ac:dyDescent="0.25">
      <c r="A809" t="s">
        <v>838</v>
      </c>
      <c r="B809" t="s">
        <v>13</v>
      </c>
      <c r="C809" t="s">
        <v>14</v>
      </c>
      <c r="D809" t="s">
        <v>22</v>
      </c>
      <c r="E809" t="s">
        <v>16</v>
      </c>
      <c r="F809" t="s">
        <v>23</v>
      </c>
      <c r="G809" t="s">
        <v>1034</v>
      </c>
      <c r="H809" t="s">
        <v>1041</v>
      </c>
      <c r="I809" s="1">
        <v>43473</v>
      </c>
      <c r="J809" t="s">
        <v>1046</v>
      </c>
      <c r="K809" s="5">
        <v>0.71666666666666667</v>
      </c>
      <c r="L809" t="s">
        <v>24</v>
      </c>
      <c r="M809">
        <v>10.045999999999999</v>
      </c>
      <c r="N809">
        <v>9</v>
      </c>
    </row>
    <row r="810" spans="1:14" x14ac:dyDescent="0.25">
      <c r="A810" t="s">
        <v>839</v>
      </c>
      <c r="B810" t="s">
        <v>37</v>
      </c>
      <c r="C810" t="s">
        <v>38</v>
      </c>
      <c r="D810" t="s">
        <v>22</v>
      </c>
      <c r="E810" t="s">
        <v>16</v>
      </c>
      <c r="F810" t="s">
        <v>17</v>
      </c>
      <c r="G810" t="s">
        <v>1035</v>
      </c>
      <c r="H810" t="s">
        <v>1041</v>
      </c>
      <c r="I810" s="1">
        <v>43479</v>
      </c>
      <c r="J810" t="s">
        <v>1044</v>
      </c>
      <c r="K810" s="5">
        <v>0.44305555555555554</v>
      </c>
      <c r="L810" t="s">
        <v>24</v>
      </c>
      <c r="M810">
        <v>0.88749999999999996</v>
      </c>
      <c r="N810">
        <v>8.6</v>
      </c>
    </row>
    <row r="811" spans="1:14" x14ac:dyDescent="0.25">
      <c r="A811" t="s">
        <v>840</v>
      </c>
      <c r="B811" t="s">
        <v>20</v>
      </c>
      <c r="C811" t="s">
        <v>21</v>
      </c>
      <c r="D811" t="s">
        <v>22</v>
      </c>
      <c r="E811" t="s">
        <v>16</v>
      </c>
      <c r="F811" t="s">
        <v>41</v>
      </c>
      <c r="G811" t="s">
        <v>1037</v>
      </c>
      <c r="H811" t="s">
        <v>1041</v>
      </c>
      <c r="I811" s="1">
        <v>43496</v>
      </c>
      <c r="J811" t="s">
        <v>1044</v>
      </c>
      <c r="K811" s="5">
        <v>0.43958333333333338</v>
      </c>
      <c r="L811" t="s">
        <v>18</v>
      </c>
      <c r="M811">
        <v>31.09</v>
      </c>
      <c r="N811">
        <v>6</v>
      </c>
    </row>
    <row r="812" spans="1:14" x14ac:dyDescent="0.25">
      <c r="A812" t="s">
        <v>841</v>
      </c>
      <c r="B812" t="s">
        <v>37</v>
      </c>
      <c r="C812" t="s">
        <v>38</v>
      </c>
      <c r="D812" t="s">
        <v>22</v>
      </c>
      <c r="E812" t="s">
        <v>26</v>
      </c>
      <c r="F812" t="s">
        <v>17</v>
      </c>
      <c r="G812" t="s">
        <v>1036</v>
      </c>
      <c r="H812" t="s">
        <v>1043</v>
      </c>
      <c r="I812" s="1">
        <v>43539</v>
      </c>
      <c r="J812" t="s">
        <v>1045</v>
      </c>
      <c r="K812" s="5">
        <v>0.60972222222222217</v>
      </c>
      <c r="L812" t="s">
        <v>18</v>
      </c>
      <c r="M812">
        <v>4.3</v>
      </c>
      <c r="N812">
        <v>6.2</v>
      </c>
    </row>
    <row r="813" spans="1:14" x14ac:dyDescent="0.25">
      <c r="A813" t="s">
        <v>842</v>
      </c>
      <c r="B813" t="s">
        <v>13</v>
      </c>
      <c r="C813" t="s">
        <v>14</v>
      </c>
      <c r="D813" t="s">
        <v>22</v>
      </c>
      <c r="E813" t="s">
        <v>16</v>
      </c>
      <c r="F813" t="s">
        <v>23</v>
      </c>
      <c r="G813" t="s">
        <v>1034</v>
      </c>
      <c r="H813" t="s">
        <v>1042</v>
      </c>
      <c r="I813" s="1">
        <v>43520</v>
      </c>
      <c r="J813" t="s">
        <v>1046</v>
      </c>
      <c r="K813" s="5">
        <v>0.75416666666666676</v>
      </c>
      <c r="L813" t="s">
        <v>28</v>
      </c>
      <c r="M813">
        <v>20.13</v>
      </c>
      <c r="N813">
        <v>5</v>
      </c>
    </row>
    <row r="814" spans="1:14" x14ac:dyDescent="0.25">
      <c r="A814" t="s">
        <v>843</v>
      </c>
      <c r="B814" t="s">
        <v>20</v>
      </c>
      <c r="C814" t="s">
        <v>21</v>
      </c>
      <c r="D814" t="s">
        <v>15</v>
      </c>
      <c r="E814" t="s">
        <v>16</v>
      </c>
      <c r="F814" t="s">
        <v>31</v>
      </c>
      <c r="G814" t="s">
        <v>1038</v>
      </c>
      <c r="H814" t="s">
        <v>1042</v>
      </c>
      <c r="I814" s="1">
        <v>43504</v>
      </c>
      <c r="J814" t="s">
        <v>1045</v>
      </c>
      <c r="K814" s="5">
        <v>0.53611111111111109</v>
      </c>
      <c r="L814" t="s">
        <v>28</v>
      </c>
      <c r="M814">
        <v>16.2425</v>
      </c>
      <c r="N814">
        <v>6.5</v>
      </c>
    </row>
    <row r="815" spans="1:14" x14ac:dyDescent="0.25">
      <c r="A815" t="s">
        <v>844</v>
      </c>
      <c r="B815" t="s">
        <v>13</v>
      </c>
      <c r="C815" t="s">
        <v>14</v>
      </c>
      <c r="D815" t="s">
        <v>22</v>
      </c>
      <c r="E815" t="s">
        <v>26</v>
      </c>
      <c r="F815" t="s">
        <v>23</v>
      </c>
      <c r="G815" t="s">
        <v>1037</v>
      </c>
      <c r="H815" t="s">
        <v>1043</v>
      </c>
      <c r="I815" s="1">
        <v>43546</v>
      </c>
      <c r="J815" t="s">
        <v>1045</v>
      </c>
      <c r="K815" s="5">
        <v>0.58333333333333337</v>
      </c>
      <c r="L815" t="s">
        <v>24</v>
      </c>
      <c r="M815">
        <v>4.7575000000000003</v>
      </c>
      <c r="N815">
        <v>6</v>
      </c>
    </row>
    <row r="816" spans="1:14" x14ac:dyDescent="0.25">
      <c r="A816" t="s">
        <v>845</v>
      </c>
      <c r="B816" t="s">
        <v>13</v>
      </c>
      <c r="C816" t="s">
        <v>14</v>
      </c>
      <c r="D816" t="s">
        <v>15</v>
      </c>
      <c r="E816" t="s">
        <v>16</v>
      </c>
      <c r="F816" t="s">
        <v>23</v>
      </c>
      <c r="G816" t="s">
        <v>1036</v>
      </c>
      <c r="H816" t="s">
        <v>1041</v>
      </c>
      <c r="I816" s="1">
        <v>43489</v>
      </c>
      <c r="J816" t="s">
        <v>1044</v>
      </c>
      <c r="K816" s="5">
        <v>0.45624999999999999</v>
      </c>
      <c r="L816" t="s">
        <v>24</v>
      </c>
      <c r="M816">
        <v>19.448</v>
      </c>
      <c r="N816">
        <v>5</v>
      </c>
    </row>
    <row r="817" spans="1:14" x14ac:dyDescent="0.25">
      <c r="A817" t="s">
        <v>846</v>
      </c>
      <c r="B817" t="s">
        <v>37</v>
      </c>
      <c r="C817" t="s">
        <v>38</v>
      </c>
      <c r="D817" t="s">
        <v>22</v>
      </c>
      <c r="E817" t="s">
        <v>16</v>
      </c>
      <c r="F817" t="s">
        <v>39</v>
      </c>
      <c r="G817" t="s">
        <v>1036</v>
      </c>
      <c r="H817" t="s">
        <v>1043</v>
      </c>
      <c r="I817" s="1">
        <v>43538</v>
      </c>
      <c r="J817" t="s">
        <v>1046</v>
      </c>
      <c r="K817" s="5">
        <v>0.69791666666666663</v>
      </c>
      <c r="L817" t="s">
        <v>18</v>
      </c>
      <c r="M817">
        <v>21.283999999999999</v>
      </c>
      <c r="N817">
        <v>5</v>
      </c>
    </row>
    <row r="818" spans="1:14" x14ac:dyDescent="0.25">
      <c r="A818" t="s">
        <v>847</v>
      </c>
      <c r="B818" t="s">
        <v>20</v>
      </c>
      <c r="C818" t="s">
        <v>21</v>
      </c>
      <c r="D818" t="s">
        <v>22</v>
      </c>
      <c r="E818" t="s">
        <v>16</v>
      </c>
      <c r="F818" t="s">
        <v>41</v>
      </c>
      <c r="G818" t="s">
        <v>1036</v>
      </c>
      <c r="H818" t="s">
        <v>1041</v>
      </c>
      <c r="I818" s="1">
        <v>43488</v>
      </c>
      <c r="J818" t="s">
        <v>1044</v>
      </c>
      <c r="K818" s="5">
        <v>0.46875</v>
      </c>
      <c r="L818" t="s">
        <v>24</v>
      </c>
      <c r="M818">
        <v>15.904</v>
      </c>
      <c r="N818">
        <v>9.1999999999999993</v>
      </c>
    </row>
    <row r="819" spans="1:14" x14ac:dyDescent="0.25">
      <c r="A819" t="s">
        <v>848</v>
      </c>
      <c r="B819" t="s">
        <v>13</v>
      </c>
      <c r="C819" t="s">
        <v>14</v>
      </c>
      <c r="D819" t="s">
        <v>22</v>
      </c>
      <c r="E819" t="s">
        <v>26</v>
      </c>
      <c r="F819" t="s">
        <v>39</v>
      </c>
      <c r="G819" t="s">
        <v>1036</v>
      </c>
      <c r="H819" t="s">
        <v>1041</v>
      </c>
      <c r="I819" s="1">
        <v>43484</v>
      </c>
      <c r="J819" t="s">
        <v>1046</v>
      </c>
      <c r="K819" s="5">
        <v>0.8534722222222223</v>
      </c>
      <c r="L819" t="s">
        <v>18</v>
      </c>
      <c r="M819">
        <v>13.552</v>
      </c>
      <c r="N819">
        <v>9.6</v>
      </c>
    </row>
    <row r="820" spans="1:14" x14ac:dyDescent="0.25">
      <c r="A820" t="s">
        <v>849</v>
      </c>
      <c r="B820" t="s">
        <v>37</v>
      </c>
      <c r="C820" t="s">
        <v>38</v>
      </c>
      <c r="D820" t="s">
        <v>15</v>
      </c>
      <c r="E820" t="s">
        <v>26</v>
      </c>
      <c r="F820" t="s">
        <v>17</v>
      </c>
      <c r="G820" t="s">
        <v>1037</v>
      </c>
      <c r="H820" t="s">
        <v>1041</v>
      </c>
      <c r="I820" s="1">
        <v>43492</v>
      </c>
      <c r="J820" t="s">
        <v>1046</v>
      </c>
      <c r="K820" s="5">
        <v>0.8354166666666667</v>
      </c>
      <c r="L820" t="s">
        <v>28</v>
      </c>
      <c r="M820">
        <v>19.231999999999999</v>
      </c>
      <c r="N820">
        <v>8.4</v>
      </c>
    </row>
    <row r="821" spans="1:14" x14ac:dyDescent="0.25">
      <c r="A821" t="s">
        <v>850</v>
      </c>
      <c r="B821" t="s">
        <v>37</v>
      </c>
      <c r="C821" t="s">
        <v>38</v>
      </c>
      <c r="D821" t="s">
        <v>15</v>
      </c>
      <c r="E821" t="s">
        <v>26</v>
      </c>
      <c r="F821" t="s">
        <v>39</v>
      </c>
      <c r="G821" t="s">
        <v>1038</v>
      </c>
      <c r="H821" t="s">
        <v>1042</v>
      </c>
      <c r="I821" s="1">
        <v>43499</v>
      </c>
      <c r="J821" t="s">
        <v>1045</v>
      </c>
      <c r="K821" s="5">
        <v>0.60763888888888895</v>
      </c>
      <c r="L821" t="s">
        <v>28</v>
      </c>
      <c r="M821">
        <v>11.79</v>
      </c>
      <c r="N821">
        <v>6</v>
      </c>
    </row>
    <row r="822" spans="1:14" x14ac:dyDescent="0.25">
      <c r="A822" t="s">
        <v>851</v>
      </c>
      <c r="B822" t="s">
        <v>37</v>
      </c>
      <c r="C822" t="s">
        <v>38</v>
      </c>
      <c r="D822" t="s">
        <v>22</v>
      </c>
      <c r="E822" t="s">
        <v>26</v>
      </c>
      <c r="F822" t="s">
        <v>23</v>
      </c>
      <c r="G822" t="s">
        <v>1038</v>
      </c>
      <c r="H822" t="s">
        <v>1043</v>
      </c>
      <c r="I822" s="1">
        <v>43549</v>
      </c>
      <c r="J822" t="s">
        <v>1046</v>
      </c>
      <c r="K822" s="5">
        <v>0.68888888888888899</v>
      </c>
      <c r="L822" t="s">
        <v>18</v>
      </c>
      <c r="M822">
        <v>10.577999999999999</v>
      </c>
      <c r="N822">
        <v>6.7</v>
      </c>
    </row>
    <row r="823" spans="1:14" x14ac:dyDescent="0.25">
      <c r="A823" t="s">
        <v>852</v>
      </c>
      <c r="B823" t="s">
        <v>13</v>
      </c>
      <c r="C823" t="s">
        <v>14</v>
      </c>
      <c r="D823" t="s">
        <v>15</v>
      </c>
      <c r="E823" t="s">
        <v>16</v>
      </c>
      <c r="F823" t="s">
        <v>27</v>
      </c>
      <c r="G823" t="s">
        <v>1034</v>
      </c>
      <c r="H823" t="s">
        <v>1042</v>
      </c>
      <c r="I823" s="1">
        <v>43520</v>
      </c>
      <c r="J823" t="s">
        <v>1044</v>
      </c>
      <c r="K823" s="5">
        <v>0.4236111111111111</v>
      </c>
      <c r="L823" t="s">
        <v>28</v>
      </c>
      <c r="M823">
        <v>4.7679999999999998</v>
      </c>
      <c r="N823">
        <v>4.0999999999999996</v>
      </c>
    </row>
    <row r="824" spans="1:14" x14ac:dyDescent="0.25">
      <c r="A824" t="s">
        <v>853</v>
      </c>
      <c r="B824" t="s">
        <v>20</v>
      </c>
      <c r="C824" t="s">
        <v>21</v>
      </c>
      <c r="D824" t="s">
        <v>15</v>
      </c>
      <c r="E824" t="s">
        <v>26</v>
      </c>
      <c r="F824" t="s">
        <v>31</v>
      </c>
      <c r="G824" t="s">
        <v>1038</v>
      </c>
      <c r="H824" t="s">
        <v>1042</v>
      </c>
      <c r="I824" s="1">
        <v>43503</v>
      </c>
      <c r="J824" t="s">
        <v>1045</v>
      </c>
      <c r="K824" s="5">
        <v>0.59375</v>
      </c>
      <c r="L824" t="s">
        <v>24</v>
      </c>
      <c r="M824">
        <v>0.50849999999999995</v>
      </c>
      <c r="N824">
        <v>5.9</v>
      </c>
    </row>
    <row r="825" spans="1:14" x14ac:dyDescent="0.25">
      <c r="A825" t="s">
        <v>854</v>
      </c>
      <c r="B825" t="s">
        <v>13</v>
      </c>
      <c r="C825" t="s">
        <v>14</v>
      </c>
      <c r="D825" t="s">
        <v>22</v>
      </c>
      <c r="E825" t="s">
        <v>16</v>
      </c>
      <c r="F825" t="s">
        <v>17</v>
      </c>
      <c r="G825" t="s">
        <v>1035</v>
      </c>
      <c r="H825" t="s">
        <v>1043</v>
      </c>
      <c r="I825" s="1">
        <v>43528</v>
      </c>
      <c r="J825" t="s">
        <v>1044</v>
      </c>
      <c r="K825" s="5">
        <v>0.4201388888888889</v>
      </c>
      <c r="L825" t="s">
        <v>24</v>
      </c>
      <c r="M825">
        <v>10.3065</v>
      </c>
      <c r="N825">
        <v>8.6999999999999993</v>
      </c>
    </row>
    <row r="826" spans="1:14" x14ac:dyDescent="0.25">
      <c r="A826" t="s">
        <v>855</v>
      </c>
      <c r="B826" t="s">
        <v>37</v>
      </c>
      <c r="C826" t="s">
        <v>38</v>
      </c>
      <c r="D826" t="s">
        <v>15</v>
      </c>
      <c r="E826" t="s">
        <v>16</v>
      </c>
      <c r="F826" t="s">
        <v>31</v>
      </c>
      <c r="G826" t="s">
        <v>1039</v>
      </c>
      <c r="H826" t="s">
        <v>1042</v>
      </c>
      <c r="I826" s="1">
        <v>43510</v>
      </c>
      <c r="J826" t="s">
        <v>1044</v>
      </c>
      <c r="K826" s="5">
        <v>0.48333333333333334</v>
      </c>
      <c r="L826" t="s">
        <v>28</v>
      </c>
      <c r="M826">
        <v>21.027999999999999</v>
      </c>
      <c r="N826">
        <v>4.5</v>
      </c>
    </row>
    <row r="827" spans="1:14" x14ac:dyDescent="0.25">
      <c r="A827" t="s">
        <v>856</v>
      </c>
      <c r="B827" t="s">
        <v>13</v>
      </c>
      <c r="C827" t="s">
        <v>14</v>
      </c>
      <c r="D827" t="s">
        <v>15</v>
      </c>
      <c r="E827" t="s">
        <v>16</v>
      </c>
      <c r="F827" t="s">
        <v>31</v>
      </c>
      <c r="G827" t="s">
        <v>1037</v>
      </c>
      <c r="H827" t="s">
        <v>1041</v>
      </c>
      <c r="I827" s="1">
        <v>43494</v>
      </c>
      <c r="J827" t="s">
        <v>1046</v>
      </c>
      <c r="K827" s="5">
        <v>0.76041666666666663</v>
      </c>
      <c r="L827" t="s">
        <v>28</v>
      </c>
      <c r="M827">
        <v>4.4020000000000001</v>
      </c>
      <c r="N827">
        <v>6.6</v>
      </c>
    </row>
    <row r="828" spans="1:14" x14ac:dyDescent="0.25">
      <c r="A828" t="s">
        <v>857</v>
      </c>
      <c r="B828" t="s">
        <v>37</v>
      </c>
      <c r="C828" t="s">
        <v>38</v>
      </c>
      <c r="D828" t="s">
        <v>15</v>
      </c>
      <c r="E828" t="s">
        <v>16</v>
      </c>
      <c r="F828" t="s">
        <v>17</v>
      </c>
      <c r="G828" t="s">
        <v>1037</v>
      </c>
      <c r="H828" t="s">
        <v>1041</v>
      </c>
      <c r="I828" s="1">
        <v>43493</v>
      </c>
      <c r="J828" t="s">
        <v>1045</v>
      </c>
      <c r="K828" s="5">
        <v>0.57847222222222217</v>
      </c>
      <c r="L828" t="s">
        <v>28</v>
      </c>
      <c r="M828">
        <v>32.4495</v>
      </c>
      <c r="N828">
        <v>7.7</v>
      </c>
    </row>
    <row r="829" spans="1:14" x14ac:dyDescent="0.25">
      <c r="A829" t="s">
        <v>858</v>
      </c>
      <c r="B829" t="s">
        <v>13</v>
      </c>
      <c r="C829" t="s">
        <v>14</v>
      </c>
      <c r="D829" t="s">
        <v>15</v>
      </c>
      <c r="E829" t="s">
        <v>26</v>
      </c>
      <c r="F829" t="s">
        <v>41</v>
      </c>
      <c r="G829" t="s">
        <v>1038</v>
      </c>
      <c r="H829" t="s">
        <v>1043</v>
      </c>
      <c r="I829" s="1">
        <v>43550</v>
      </c>
      <c r="J829" t="s">
        <v>1046</v>
      </c>
      <c r="K829" s="5">
        <v>0.77569444444444446</v>
      </c>
      <c r="L829" t="s">
        <v>28</v>
      </c>
      <c r="M829">
        <v>6.1920000000000002</v>
      </c>
      <c r="N829">
        <v>8.5</v>
      </c>
    </row>
    <row r="830" spans="1:14" x14ac:dyDescent="0.25">
      <c r="A830" t="s">
        <v>859</v>
      </c>
      <c r="B830" t="s">
        <v>20</v>
      </c>
      <c r="C830" t="s">
        <v>21</v>
      </c>
      <c r="D830" t="s">
        <v>22</v>
      </c>
      <c r="E830" t="s">
        <v>26</v>
      </c>
      <c r="F830" t="s">
        <v>23</v>
      </c>
      <c r="G830" t="s">
        <v>1038</v>
      </c>
      <c r="H830" t="s">
        <v>1043</v>
      </c>
      <c r="I830" s="1">
        <v>43548</v>
      </c>
      <c r="J830" t="s">
        <v>1046</v>
      </c>
      <c r="K830" s="5">
        <v>0.76874999999999993</v>
      </c>
      <c r="L830" t="s">
        <v>24</v>
      </c>
      <c r="M830">
        <v>32.475000000000001</v>
      </c>
      <c r="N830">
        <v>5.2</v>
      </c>
    </row>
    <row r="831" spans="1:14" x14ac:dyDescent="0.25">
      <c r="A831" t="s">
        <v>860</v>
      </c>
      <c r="B831" t="s">
        <v>13</v>
      </c>
      <c r="C831" t="s">
        <v>14</v>
      </c>
      <c r="D831" t="s">
        <v>15</v>
      </c>
      <c r="E831" t="s">
        <v>16</v>
      </c>
      <c r="F831" t="s">
        <v>23</v>
      </c>
      <c r="G831" t="s">
        <v>1040</v>
      </c>
      <c r="H831" t="s">
        <v>1041</v>
      </c>
      <c r="I831" s="1">
        <v>43466</v>
      </c>
      <c r="J831" t="s">
        <v>1045</v>
      </c>
      <c r="K831" s="5">
        <v>0.61249999999999993</v>
      </c>
      <c r="L831" t="s">
        <v>28</v>
      </c>
      <c r="M831">
        <v>37.11</v>
      </c>
      <c r="N831">
        <v>4.3</v>
      </c>
    </row>
    <row r="832" spans="1:14" x14ac:dyDescent="0.25">
      <c r="A832" t="s">
        <v>861</v>
      </c>
      <c r="B832" t="s">
        <v>13</v>
      </c>
      <c r="C832" t="s">
        <v>14</v>
      </c>
      <c r="D832" t="s">
        <v>22</v>
      </c>
      <c r="E832" t="s">
        <v>26</v>
      </c>
      <c r="F832" t="s">
        <v>23</v>
      </c>
      <c r="G832" t="s">
        <v>1036</v>
      </c>
      <c r="H832" t="s">
        <v>1041</v>
      </c>
      <c r="I832" s="1">
        <v>43489</v>
      </c>
      <c r="J832" t="s">
        <v>1046</v>
      </c>
      <c r="K832" s="5">
        <v>0.73819444444444438</v>
      </c>
      <c r="L832" t="s">
        <v>24</v>
      </c>
      <c r="M832">
        <v>4.2240000000000002</v>
      </c>
      <c r="N832">
        <v>7.6</v>
      </c>
    </row>
    <row r="833" spans="1:14" x14ac:dyDescent="0.25">
      <c r="A833" t="s">
        <v>862</v>
      </c>
      <c r="B833" t="s">
        <v>37</v>
      </c>
      <c r="C833" t="s">
        <v>38</v>
      </c>
      <c r="D833" t="s">
        <v>22</v>
      </c>
      <c r="E833" t="s">
        <v>26</v>
      </c>
      <c r="F833" t="s">
        <v>17</v>
      </c>
      <c r="G833" t="s">
        <v>1034</v>
      </c>
      <c r="H833" t="s">
        <v>1042</v>
      </c>
      <c r="I833" s="1">
        <v>43521</v>
      </c>
      <c r="J833" t="s">
        <v>1046</v>
      </c>
      <c r="K833" s="5">
        <v>0.77569444444444446</v>
      </c>
      <c r="L833" t="s">
        <v>24</v>
      </c>
      <c r="M833">
        <v>12.513999999999999</v>
      </c>
      <c r="N833">
        <v>9.5</v>
      </c>
    </row>
    <row r="834" spans="1:14" x14ac:dyDescent="0.25">
      <c r="A834" t="s">
        <v>863</v>
      </c>
      <c r="B834" t="s">
        <v>37</v>
      </c>
      <c r="C834" t="s">
        <v>38</v>
      </c>
      <c r="D834" t="s">
        <v>15</v>
      </c>
      <c r="E834" t="s">
        <v>16</v>
      </c>
      <c r="F834" t="s">
        <v>31</v>
      </c>
      <c r="G834" t="s">
        <v>1034</v>
      </c>
      <c r="H834" t="s">
        <v>1041</v>
      </c>
      <c r="I834" s="1">
        <v>43474</v>
      </c>
      <c r="J834" t="s">
        <v>1046</v>
      </c>
      <c r="K834" s="5">
        <v>0.69027777777777777</v>
      </c>
      <c r="L834" t="s">
        <v>24</v>
      </c>
      <c r="M834">
        <v>4.74</v>
      </c>
      <c r="N834">
        <v>4.0999999999999996</v>
      </c>
    </row>
    <row r="835" spans="1:14" x14ac:dyDescent="0.25">
      <c r="A835" t="s">
        <v>864</v>
      </c>
      <c r="B835" t="s">
        <v>13</v>
      </c>
      <c r="C835" t="s">
        <v>14</v>
      </c>
      <c r="D835" t="s">
        <v>15</v>
      </c>
      <c r="E835" t="s">
        <v>26</v>
      </c>
      <c r="F835" t="s">
        <v>17</v>
      </c>
      <c r="G835" t="s">
        <v>1039</v>
      </c>
      <c r="H835" t="s">
        <v>1042</v>
      </c>
      <c r="I835" s="1">
        <v>43510</v>
      </c>
      <c r="J835" t="s">
        <v>1045</v>
      </c>
      <c r="K835" s="5">
        <v>0.61249999999999993</v>
      </c>
      <c r="L835" t="s">
        <v>18</v>
      </c>
      <c r="M835">
        <v>4.5650000000000004</v>
      </c>
      <c r="N835">
        <v>9.1999999999999993</v>
      </c>
    </row>
    <row r="836" spans="1:14" x14ac:dyDescent="0.25">
      <c r="A836" t="s">
        <v>865</v>
      </c>
      <c r="B836" t="s">
        <v>37</v>
      </c>
      <c r="C836" t="s">
        <v>38</v>
      </c>
      <c r="D836" t="s">
        <v>15</v>
      </c>
      <c r="E836" t="s">
        <v>16</v>
      </c>
      <c r="F836" t="s">
        <v>27</v>
      </c>
      <c r="G836" t="s">
        <v>1036</v>
      </c>
      <c r="H836" t="s">
        <v>1043</v>
      </c>
      <c r="I836" s="1">
        <v>43536</v>
      </c>
      <c r="J836" t="s">
        <v>1044</v>
      </c>
      <c r="K836" s="5">
        <v>0.45902777777777781</v>
      </c>
      <c r="L836" t="s">
        <v>18</v>
      </c>
      <c r="M836">
        <v>14.2555</v>
      </c>
      <c r="N836">
        <v>5.4</v>
      </c>
    </row>
    <row r="837" spans="1:14" x14ac:dyDescent="0.25">
      <c r="A837" t="s">
        <v>866</v>
      </c>
      <c r="B837" t="s">
        <v>13</v>
      </c>
      <c r="C837" t="s">
        <v>14</v>
      </c>
      <c r="D837" t="s">
        <v>22</v>
      </c>
      <c r="E837" t="s">
        <v>26</v>
      </c>
      <c r="F837" t="s">
        <v>41</v>
      </c>
      <c r="G837" t="s">
        <v>1038</v>
      </c>
      <c r="H837" t="s">
        <v>1043</v>
      </c>
      <c r="I837" s="1">
        <v>43550</v>
      </c>
      <c r="J837" t="s">
        <v>1046</v>
      </c>
      <c r="K837" s="5">
        <v>0.8222222222222223</v>
      </c>
      <c r="L837" t="s">
        <v>24</v>
      </c>
      <c r="M837">
        <v>2.6190000000000002</v>
      </c>
      <c r="N837">
        <v>5.8</v>
      </c>
    </row>
    <row r="838" spans="1:14" x14ac:dyDescent="0.25">
      <c r="A838" t="s">
        <v>867</v>
      </c>
      <c r="B838" t="s">
        <v>13</v>
      </c>
      <c r="C838" t="s">
        <v>14</v>
      </c>
      <c r="D838" t="s">
        <v>15</v>
      </c>
      <c r="E838" t="s">
        <v>26</v>
      </c>
      <c r="F838" t="s">
        <v>41</v>
      </c>
      <c r="G838" t="s">
        <v>1034</v>
      </c>
      <c r="H838" t="s">
        <v>1041</v>
      </c>
      <c r="I838" s="1">
        <v>43474</v>
      </c>
      <c r="J838" t="s">
        <v>1045</v>
      </c>
      <c r="K838" s="5">
        <v>0.56527777777777777</v>
      </c>
      <c r="L838" t="s">
        <v>18</v>
      </c>
      <c r="M838">
        <v>9.6349999999999998</v>
      </c>
      <c r="N838">
        <v>5.6</v>
      </c>
    </row>
    <row r="839" spans="1:14" x14ac:dyDescent="0.25">
      <c r="A839" t="s">
        <v>868</v>
      </c>
      <c r="B839" t="s">
        <v>37</v>
      </c>
      <c r="C839" t="s">
        <v>38</v>
      </c>
      <c r="D839" t="s">
        <v>22</v>
      </c>
      <c r="E839" t="s">
        <v>26</v>
      </c>
      <c r="F839" t="s">
        <v>31</v>
      </c>
      <c r="G839" t="s">
        <v>1040</v>
      </c>
      <c r="H839" t="s">
        <v>1041</v>
      </c>
      <c r="I839" s="1">
        <v>43467</v>
      </c>
      <c r="J839" t="s">
        <v>1046</v>
      </c>
      <c r="K839" s="5">
        <v>0.83888888888888891</v>
      </c>
      <c r="L839" t="s">
        <v>28</v>
      </c>
      <c r="M839">
        <v>13.388999999999999</v>
      </c>
      <c r="N839">
        <v>5.0999999999999996</v>
      </c>
    </row>
    <row r="840" spans="1:14" x14ac:dyDescent="0.25">
      <c r="A840" t="s">
        <v>869</v>
      </c>
      <c r="B840" t="s">
        <v>20</v>
      </c>
      <c r="C840" t="s">
        <v>21</v>
      </c>
      <c r="D840" t="s">
        <v>22</v>
      </c>
      <c r="E840" t="s">
        <v>26</v>
      </c>
      <c r="F840" t="s">
        <v>23</v>
      </c>
      <c r="G840" t="s">
        <v>1035</v>
      </c>
      <c r="H840" t="s">
        <v>1041</v>
      </c>
      <c r="I840" s="1">
        <v>43480</v>
      </c>
      <c r="J840" t="s">
        <v>1045</v>
      </c>
      <c r="K840" s="5">
        <v>0.62569444444444444</v>
      </c>
      <c r="L840" t="s">
        <v>24</v>
      </c>
      <c r="M840">
        <v>27.934999999999999</v>
      </c>
      <c r="N840">
        <v>5.8</v>
      </c>
    </row>
    <row r="841" spans="1:14" x14ac:dyDescent="0.25">
      <c r="A841" t="s">
        <v>870</v>
      </c>
      <c r="B841" t="s">
        <v>20</v>
      </c>
      <c r="C841" t="s">
        <v>21</v>
      </c>
      <c r="D841" t="s">
        <v>15</v>
      </c>
      <c r="E841" t="s">
        <v>16</v>
      </c>
      <c r="F841" t="s">
        <v>31</v>
      </c>
      <c r="G841" t="s">
        <v>1040</v>
      </c>
      <c r="H841" t="s">
        <v>1041</v>
      </c>
      <c r="I841" s="1">
        <v>43466</v>
      </c>
      <c r="J841" t="s">
        <v>1044</v>
      </c>
      <c r="K841" s="5">
        <v>0.4861111111111111</v>
      </c>
      <c r="L841" t="s">
        <v>18</v>
      </c>
      <c r="M841">
        <v>8.766</v>
      </c>
      <c r="N841">
        <v>5</v>
      </c>
    </row>
    <row r="842" spans="1:14" x14ac:dyDescent="0.25">
      <c r="A842" t="s">
        <v>871</v>
      </c>
      <c r="B842" t="s">
        <v>13</v>
      </c>
      <c r="C842" t="s">
        <v>14</v>
      </c>
      <c r="D842" t="s">
        <v>22</v>
      </c>
      <c r="E842" t="s">
        <v>26</v>
      </c>
      <c r="F842" t="s">
        <v>41</v>
      </c>
      <c r="G842" t="s">
        <v>1039</v>
      </c>
      <c r="H842" t="s">
        <v>1042</v>
      </c>
      <c r="I842" s="1">
        <v>43511</v>
      </c>
      <c r="J842" t="s">
        <v>1045</v>
      </c>
      <c r="K842" s="5">
        <v>0.63958333333333328</v>
      </c>
      <c r="L842" t="s">
        <v>24</v>
      </c>
      <c r="M842">
        <v>7.7910000000000004</v>
      </c>
      <c r="N842">
        <v>7.9</v>
      </c>
    </row>
    <row r="843" spans="1:14" x14ac:dyDescent="0.25">
      <c r="A843" t="s">
        <v>872</v>
      </c>
      <c r="B843" t="s">
        <v>37</v>
      </c>
      <c r="C843" t="s">
        <v>38</v>
      </c>
      <c r="D843" t="s">
        <v>22</v>
      </c>
      <c r="E843" t="s">
        <v>26</v>
      </c>
      <c r="F843" t="s">
        <v>23</v>
      </c>
      <c r="G843" t="s">
        <v>1034</v>
      </c>
      <c r="H843" t="s">
        <v>1042</v>
      </c>
      <c r="I843" s="1">
        <v>43524</v>
      </c>
      <c r="J843" t="s">
        <v>1046</v>
      </c>
      <c r="K843" s="5">
        <v>0.73472222222222217</v>
      </c>
      <c r="L843" t="s">
        <v>24</v>
      </c>
      <c r="M843">
        <v>3.0150000000000001</v>
      </c>
      <c r="N843">
        <v>6</v>
      </c>
    </row>
    <row r="844" spans="1:14" x14ac:dyDescent="0.25">
      <c r="A844" t="s">
        <v>873</v>
      </c>
      <c r="B844" t="s">
        <v>13</v>
      </c>
      <c r="C844" t="s">
        <v>14</v>
      </c>
      <c r="D844" t="s">
        <v>15</v>
      </c>
      <c r="E844" t="s">
        <v>16</v>
      </c>
      <c r="F844" t="s">
        <v>31</v>
      </c>
      <c r="G844" t="s">
        <v>1035</v>
      </c>
      <c r="H844" t="s">
        <v>1043</v>
      </c>
      <c r="I844" s="1">
        <v>43526</v>
      </c>
      <c r="J844" t="s">
        <v>1046</v>
      </c>
      <c r="K844" s="5">
        <v>0.6777777777777777</v>
      </c>
      <c r="L844" t="s">
        <v>28</v>
      </c>
      <c r="M844">
        <v>3.9470000000000001</v>
      </c>
      <c r="N844">
        <v>5</v>
      </c>
    </row>
    <row r="845" spans="1:14" x14ac:dyDescent="0.25">
      <c r="A845" t="s">
        <v>874</v>
      </c>
      <c r="B845" t="s">
        <v>20</v>
      </c>
      <c r="C845" t="s">
        <v>21</v>
      </c>
      <c r="D845" t="s">
        <v>15</v>
      </c>
      <c r="E845" t="s">
        <v>16</v>
      </c>
      <c r="F845" t="s">
        <v>39</v>
      </c>
      <c r="G845" t="s">
        <v>1039</v>
      </c>
      <c r="H845" t="s">
        <v>1042</v>
      </c>
      <c r="I845" s="1">
        <v>43509</v>
      </c>
      <c r="J845" t="s">
        <v>1046</v>
      </c>
      <c r="K845" s="5">
        <v>0.76041666666666663</v>
      </c>
      <c r="L845" t="s">
        <v>28</v>
      </c>
      <c r="M845">
        <v>1.4870000000000001</v>
      </c>
      <c r="N845">
        <v>8.9</v>
      </c>
    </row>
    <row r="846" spans="1:14" x14ac:dyDescent="0.25">
      <c r="A846" t="s">
        <v>875</v>
      </c>
      <c r="B846" t="s">
        <v>13</v>
      </c>
      <c r="C846" t="s">
        <v>14</v>
      </c>
      <c r="D846" t="s">
        <v>22</v>
      </c>
      <c r="E846" t="s">
        <v>26</v>
      </c>
      <c r="F846" t="s">
        <v>41</v>
      </c>
      <c r="G846" t="s">
        <v>1037</v>
      </c>
      <c r="H846" t="s">
        <v>1041</v>
      </c>
      <c r="I846" s="1">
        <v>43491</v>
      </c>
      <c r="J846" t="s">
        <v>1045</v>
      </c>
      <c r="K846" s="5">
        <v>0.52986111111111112</v>
      </c>
      <c r="L846" t="s">
        <v>24</v>
      </c>
      <c r="M846">
        <v>1.0660000000000001</v>
      </c>
      <c r="N846">
        <v>5.9</v>
      </c>
    </row>
    <row r="847" spans="1:14" x14ac:dyDescent="0.25">
      <c r="A847" t="s">
        <v>876</v>
      </c>
      <c r="B847" t="s">
        <v>13</v>
      </c>
      <c r="C847" t="s">
        <v>14</v>
      </c>
      <c r="D847" t="s">
        <v>15</v>
      </c>
      <c r="E847" t="s">
        <v>26</v>
      </c>
      <c r="F847" t="s">
        <v>23</v>
      </c>
      <c r="G847" t="s">
        <v>1037</v>
      </c>
      <c r="H847" t="s">
        <v>1041</v>
      </c>
      <c r="I847" s="1">
        <v>43495</v>
      </c>
      <c r="J847" t="s">
        <v>1044</v>
      </c>
      <c r="K847" s="5">
        <v>0.48055555555555557</v>
      </c>
      <c r="L847" t="s">
        <v>28</v>
      </c>
      <c r="M847">
        <v>14.067</v>
      </c>
      <c r="N847">
        <v>5.9</v>
      </c>
    </row>
    <row r="848" spans="1:14" x14ac:dyDescent="0.25">
      <c r="A848" t="s">
        <v>877</v>
      </c>
      <c r="B848" t="s">
        <v>13</v>
      </c>
      <c r="C848" t="s">
        <v>14</v>
      </c>
      <c r="D848" t="s">
        <v>15</v>
      </c>
      <c r="E848" t="s">
        <v>26</v>
      </c>
      <c r="F848" t="s">
        <v>23</v>
      </c>
      <c r="G848" t="s">
        <v>1037</v>
      </c>
      <c r="H848" t="s">
        <v>1041</v>
      </c>
      <c r="I848" s="1">
        <v>43492</v>
      </c>
      <c r="J848" t="s">
        <v>1046</v>
      </c>
      <c r="K848" s="5">
        <v>0.75555555555555554</v>
      </c>
      <c r="L848" t="s">
        <v>18</v>
      </c>
      <c r="M848">
        <v>3.6629999999999998</v>
      </c>
      <c r="N848">
        <v>9.6999999999999993</v>
      </c>
    </row>
    <row r="849" spans="1:14" x14ac:dyDescent="0.25">
      <c r="A849" t="s">
        <v>878</v>
      </c>
      <c r="B849" t="s">
        <v>20</v>
      </c>
      <c r="C849" t="s">
        <v>21</v>
      </c>
      <c r="D849" t="s">
        <v>22</v>
      </c>
      <c r="E849" t="s">
        <v>16</v>
      </c>
      <c r="F849" t="s">
        <v>31</v>
      </c>
      <c r="G849" t="s">
        <v>1037</v>
      </c>
      <c r="H849" t="s">
        <v>1041</v>
      </c>
      <c r="I849" s="1">
        <v>43495</v>
      </c>
      <c r="J849" t="s">
        <v>1046</v>
      </c>
      <c r="K849" s="5">
        <v>0.71388888888888891</v>
      </c>
      <c r="L849" t="s">
        <v>28</v>
      </c>
      <c r="M849">
        <v>1.119</v>
      </c>
      <c r="N849">
        <v>8.6</v>
      </c>
    </row>
    <row r="850" spans="1:14" x14ac:dyDescent="0.25">
      <c r="A850" t="s">
        <v>879</v>
      </c>
      <c r="B850" t="s">
        <v>20</v>
      </c>
      <c r="C850" t="s">
        <v>21</v>
      </c>
      <c r="D850" t="s">
        <v>15</v>
      </c>
      <c r="E850" t="s">
        <v>16</v>
      </c>
      <c r="F850" t="s">
        <v>39</v>
      </c>
      <c r="G850" t="s">
        <v>1034</v>
      </c>
      <c r="H850" t="s">
        <v>1041</v>
      </c>
      <c r="I850" s="1">
        <v>43473</v>
      </c>
      <c r="J850" t="s">
        <v>1046</v>
      </c>
      <c r="K850" s="5">
        <v>0.81805555555555554</v>
      </c>
      <c r="L850" t="s">
        <v>24</v>
      </c>
      <c r="M850">
        <v>32.795999999999999</v>
      </c>
      <c r="N850">
        <v>4</v>
      </c>
    </row>
    <row r="851" spans="1:14" x14ac:dyDescent="0.25">
      <c r="A851" t="s">
        <v>880</v>
      </c>
      <c r="B851" t="s">
        <v>13</v>
      </c>
      <c r="C851" t="s">
        <v>14</v>
      </c>
      <c r="D851" t="s">
        <v>22</v>
      </c>
      <c r="E851" t="s">
        <v>16</v>
      </c>
      <c r="F851" t="s">
        <v>41</v>
      </c>
      <c r="G851" t="s">
        <v>1036</v>
      </c>
      <c r="H851" t="s">
        <v>1041</v>
      </c>
      <c r="I851" s="1">
        <v>43484</v>
      </c>
      <c r="J851" t="s">
        <v>1045</v>
      </c>
      <c r="K851" s="5">
        <v>0.5493055555555556</v>
      </c>
      <c r="L851" t="s">
        <v>24</v>
      </c>
      <c r="M851">
        <v>29.73</v>
      </c>
      <c r="N851">
        <v>4.2</v>
      </c>
    </row>
    <row r="852" spans="1:14" x14ac:dyDescent="0.25">
      <c r="A852" t="s">
        <v>881</v>
      </c>
      <c r="B852" t="s">
        <v>13</v>
      </c>
      <c r="C852" t="s">
        <v>14</v>
      </c>
      <c r="D852" t="s">
        <v>22</v>
      </c>
      <c r="E852" t="s">
        <v>26</v>
      </c>
      <c r="F852" t="s">
        <v>41</v>
      </c>
      <c r="G852" t="s">
        <v>1036</v>
      </c>
      <c r="H852" t="s">
        <v>1041</v>
      </c>
      <c r="I852" s="1">
        <v>43490</v>
      </c>
      <c r="J852" t="s">
        <v>1044</v>
      </c>
      <c r="K852" s="5">
        <v>0.46180555555555558</v>
      </c>
      <c r="L852" t="s">
        <v>24</v>
      </c>
      <c r="M852">
        <v>3.7050000000000001</v>
      </c>
      <c r="N852">
        <v>9.1999999999999993</v>
      </c>
    </row>
    <row r="853" spans="1:14" x14ac:dyDescent="0.25">
      <c r="A853" t="s">
        <v>882</v>
      </c>
      <c r="B853" t="s">
        <v>13</v>
      </c>
      <c r="C853" t="s">
        <v>14</v>
      </c>
      <c r="D853" t="s">
        <v>22</v>
      </c>
      <c r="E853" t="s">
        <v>16</v>
      </c>
      <c r="F853" t="s">
        <v>41</v>
      </c>
      <c r="G853" t="s">
        <v>1040</v>
      </c>
      <c r="H853" t="s">
        <v>1042</v>
      </c>
      <c r="I853" s="1">
        <v>43515</v>
      </c>
      <c r="J853" t="s">
        <v>1044</v>
      </c>
      <c r="K853" s="5">
        <v>0.42499999999999999</v>
      </c>
      <c r="L853" t="s">
        <v>18</v>
      </c>
      <c r="M853">
        <v>9.8480000000000008</v>
      </c>
      <c r="N853">
        <v>9.1999999999999993</v>
      </c>
    </row>
    <row r="854" spans="1:14" x14ac:dyDescent="0.25">
      <c r="A854" t="s">
        <v>883</v>
      </c>
      <c r="B854" t="s">
        <v>20</v>
      </c>
      <c r="C854" t="s">
        <v>21</v>
      </c>
      <c r="D854" t="s">
        <v>22</v>
      </c>
      <c r="E854" t="s">
        <v>26</v>
      </c>
      <c r="F854" t="s">
        <v>17</v>
      </c>
      <c r="G854" t="s">
        <v>1035</v>
      </c>
      <c r="H854" t="s">
        <v>1041</v>
      </c>
      <c r="I854" s="1">
        <v>43479</v>
      </c>
      <c r="J854" t="s">
        <v>1045</v>
      </c>
      <c r="K854" s="5">
        <v>0.65416666666666667</v>
      </c>
      <c r="L854" t="s">
        <v>18</v>
      </c>
      <c r="M854">
        <v>18.616499999999998</v>
      </c>
      <c r="N854">
        <v>5</v>
      </c>
    </row>
    <row r="855" spans="1:14" x14ac:dyDescent="0.25">
      <c r="A855" t="s">
        <v>884</v>
      </c>
      <c r="B855" t="s">
        <v>37</v>
      </c>
      <c r="C855" t="s">
        <v>38</v>
      </c>
      <c r="D855" t="s">
        <v>22</v>
      </c>
      <c r="E855" t="s">
        <v>16</v>
      </c>
      <c r="F855" t="s">
        <v>23</v>
      </c>
      <c r="G855" t="s">
        <v>1034</v>
      </c>
      <c r="H855" t="s">
        <v>1042</v>
      </c>
      <c r="I855" s="1">
        <v>43521</v>
      </c>
      <c r="J855" t="s">
        <v>1044</v>
      </c>
      <c r="K855" s="5">
        <v>0.49861111111111112</v>
      </c>
      <c r="L855" t="s">
        <v>18</v>
      </c>
      <c r="M855">
        <v>26.395</v>
      </c>
      <c r="N855">
        <v>10</v>
      </c>
    </row>
    <row r="856" spans="1:14" x14ac:dyDescent="0.25">
      <c r="A856" t="s">
        <v>885</v>
      </c>
      <c r="B856" t="s">
        <v>13</v>
      </c>
      <c r="C856" t="s">
        <v>14</v>
      </c>
      <c r="D856" t="s">
        <v>15</v>
      </c>
      <c r="E856" t="s">
        <v>16</v>
      </c>
      <c r="F856" t="s">
        <v>17</v>
      </c>
      <c r="G856" t="s">
        <v>1036</v>
      </c>
      <c r="H856" t="s">
        <v>1041</v>
      </c>
      <c r="I856" s="1">
        <v>43488</v>
      </c>
      <c r="J856" t="s">
        <v>1045</v>
      </c>
      <c r="K856" s="5">
        <v>0.59791666666666665</v>
      </c>
      <c r="L856" t="s">
        <v>18</v>
      </c>
      <c r="M856">
        <v>23.987500000000001</v>
      </c>
      <c r="N856">
        <v>8.8000000000000007</v>
      </c>
    </row>
    <row r="857" spans="1:14" x14ac:dyDescent="0.25">
      <c r="A857" t="s">
        <v>886</v>
      </c>
      <c r="B857" t="s">
        <v>37</v>
      </c>
      <c r="C857" t="s">
        <v>38</v>
      </c>
      <c r="D857" t="s">
        <v>22</v>
      </c>
      <c r="E857" t="s">
        <v>16</v>
      </c>
      <c r="F857" t="s">
        <v>41</v>
      </c>
      <c r="G857" t="s">
        <v>1040</v>
      </c>
      <c r="H857" t="s">
        <v>1042</v>
      </c>
      <c r="I857" s="1">
        <v>43512</v>
      </c>
      <c r="J857" t="s">
        <v>1044</v>
      </c>
      <c r="K857" s="5">
        <v>0.45277777777777778</v>
      </c>
      <c r="L857" t="s">
        <v>24</v>
      </c>
      <c r="M857">
        <v>16.429500000000001</v>
      </c>
      <c r="N857">
        <v>4.2</v>
      </c>
    </row>
    <row r="858" spans="1:14" x14ac:dyDescent="0.25">
      <c r="A858" t="s">
        <v>887</v>
      </c>
      <c r="B858" t="s">
        <v>37</v>
      </c>
      <c r="C858" t="s">
        <v>38</v>
      </c>
      <c r="D858" t="s">
        <v>22</v>
      </c>
      <c r="E858" t="s">
        <v>26</v>
      </c>
      <c r="F858" t="s">
        <v>39</v>
      </c>
      <c r="G858" t="s">
        <v>1040</v>
      </c>
      <c r="H858" t="s">
        <v>1041</v>
      </c>
      <c r="I858" s="1">
        <v>43466</v>
      </c>
      <c r="J858" t="s">
        <v>1046</v>
      </c>
      <c r="K858" s="5">
        <v>0.81319444444444444</v>
      </c>
      <c r="L858" t="s">
        <v>24</v>
      </c>
      <c r="M858">
        <v>8.4480000000000004</v>
      </c>
      <c r="N858">
        <v>6.3</v>
      </c>
    </row>
    <row r="859" spans="1:14" x14ac:dyDescent="0.25">
      <c r="A859" t="s">
        <v>888</v>
      </c>
      <c r="B859" t="s">
        <v>13</v>
      </c>
      <c r="C859" t="s">
        <v>14</v>
      </c>
      <c r="D859" t="s">
        <v>15</v>
      </c>
      <c r="E859" t="s">
        <v>16</v>
      </c>
      <c r="F859" t="s">
        <v>27</v>
      </c>
      <c r="G859" t="s">
        <v>1035</v>
      </c>
      <c r="H859" t="s">
        <v>1043</v>
      </c>
      <c r="I859" s="1">
        <v>43531</v>
      </c>
      <c r="J859" t="s">
        <v>1046</v>
      </c>
      <c r="K859" s="5">
        <v>0.77430555555555547</v>
      </c>
      <c r="L859" t="s">
        <v>24</v>
      </c>
      <c r="M859">
        <v>5.6619999999999999</v>
      </c>
      <c r="N859">
        <v>8.1999999999999993</v>
      </c>
    </row>
    <row r="860" spans="1:14" x14ac:dyDescent="0.25">
      <c r="A860" t="s">
        <v>889</v>
      </c>
      <c r="B860" t="s">
        <v>37</v>
      </c>
      <c r="C860" t="s">
        <v>38</v>
      </c>
      <c r="D860" t="s">
        <v>22</v>
      </c>
      <c r="E860" t="s">
        <v>26</v>
      </c>
      <c r="F860" t="s">
        <v>17</v>
      </c>
      <c r="G860" t="s">
        <v>1039</v>
      </c>
      <c r="H860" t="s">
        <v>1042</v>
      </c>
      <c r="I860" s="1">
        <v>43511</v>
      </c>
      <c r="J860" t="s">
        <v>1045</v>
      </c>
      <c r="K860" s="5">
        <v>0.57708333333333328</v>
      </c>
      <c r="L860" t="s">
        <v>24</v>
      </c>
      <c r="M860">
        <v>17.277000000000001</v>
      </c>
      <c r="N860">
        <v>5.0999999999999996</v>
      </c>
    </row>
    <row r="861" spans="1:14" x14ac:dyDescent="0.25">
      <c r="A861" t="s">
        <v>890</v>
      </c>
      <c r="B861" t="s">
        <v>13</v>
      </c>
      <c r="C861" t="s">
        <v>14</v>
      </c>
      <c r="D861" t="s">
        <v>15</v>
      </c>
      <c r="E861" t="s">
        <v>16</v>
      </c>
      <c r="F861" t="s">
        <v>39</v>
      </c>
      <c r="G861" t="s">
        <v>1036</v>
      </c>
      <c r="H861" t="s">
        <v>1041</v>
      </c>
      <c r="I861" s="1">
        <v>43488</v>
      </c>
      <c r="J861" t="s">
        <v>1045</v>
      </c>
      <c r="K861" s="5">
        <v>0.52430555555555558</v>
      </c>
      <c r="L861" t="s">
        <v>24</v>
      </c>
      <c r="M861">
        <v>21.433499999999999</v>
      </c>
      <c r="N861">
        <v>5</v>
      </c>
    </row>
    <row r="862" spans="1:14" x14ac:dyDescent="0.25">
      <c r="A862" t="s">
        <v>891</v>
      </c>
      <c r="B862" t="s">
        <v>20</v>
      </c>
      <c r="C862" t="s">
        <v>21</v>
      </c>
      <c r="D862" t="s">
        <v>15</v>
      </c>
      <c r="E862" t="s">
        <v>16</v>
      </c>
      <c r="F862" t="s">
        <v>27</v>
      </c>
      <c r="G862" t="s">
        <v>1040</v>
      </c>
      <c r="H862" t="s">
        <v>1042</v>
      </c>
      <c r="I862" s="1">
        <v>43516</v>
      </c>
      <c r="J862" t="s">
        <v>1045</v>
      </c>
      <c r="K862" s="5">
        <v>0.55833333333333335</v>
      </c>
      <c r="L862" t="s">
        <v>18</v>
      </c>
      <c r="M862">
        <v>4.3135000000000003</v>
      </c>
      <c r="N862">
        <v>7</v>
      </c>
    </row>
    <row r="863" spans="1:14" x14ac:dyDescent="0.25">
      <c r="A863" t="s">
        <v>892</v>
      </c>
      <c r="B863" t="s">
        <v>13</v>
      </c>
      <c r="C863" t="s">
        <v>14</v>
      </c>
      <c r="D863" t="s">
        <v>15</v>
      </c>
      <c r="E863" t="s">
        <v>26</v>
      </c>
      <c r="F863" t="s">
        <v>31</v>
      </c>
      <c r="G863" t="s">
        <v>1034</v>
      </c>
      <c r="H863" t="s">
        <v>1041</v>
      </c>
      <c r="I863" s="1">
        <v>43473</v>
      </c>
      <c r="J863" t="s">
        <v>1046</v>
      </c>
      <c r="K863" s="5">
        <v>0.75416666666666676</v>
      </c>
      <c r="L863" t="s">
        <v>18</v>
      </c>
      <c r="M863">
        <v>1.276</v>
      </c>
      <c r="N863">
        <v>7.8</v>
      </c>
    </row>
    <row r="864" spans="1:14" x14ac:dyDescent="0.25">
      <c r="A864" t="s">
        <v>893</v>
      </c>
      <c r="B864" t="s">
        <v>37</v>
      </c>
      <c r="C864" t="s">
        <v>38</v>
      </c>
      <c r="D864" t="s">
        <v>22</v>
      </c>
      <c r="E864" t="s">
        <v>16</v>
      </c>
      <c r="F864" t="s">
        <v>27</v>
      </c>
      <c r="G864" t="s">
        <v>1037</v>
      </c>
      <c r="H864" t="s">
        <v>1043</v>
      </c>
      <c r="I864" s="1">
        <v>43541</v>
      </c>
      <c r="J864" t="s">
        <v>1044</v>
      </c>
      <c r="K864" s="5">
        <v>0.49652777777777773</v>
      </c>
      <c r="L864" t="s">
        <v>28</v>
      </c>
      <c r="M864">
        <v>5.0759999999999996</v>
      </c>
      <c r="N864">
        <v>4.3</v>
      </c>
    </row>
    <row r="865" spans="1:14" x14ac:dyDescent="0.25">
      <c r="A865" t="s">
        <v>894</v>
      </c>
      <c r="B865" t="s">
        <v>37</v>
      </c>
      <c r="C865" t="s">
        <v>38</v>
      </c>
      <c r="D865" t="s">
        <v>22</v>
      </c>
      <c r="E865" t="s">
        <v>16</v>
      </c>
      <c r="F865" t="s">
        <v>27</v>
      </c>
      <c r="G865" t="s">
        <v>1035</v>
      </c>
      <c r="H865" t="s">
        <v>1041</v>
      </c>
      <c r="I865" s="1">
        <v>43477</v>
      </c>
      <c r="J865" t="s">
        <v>1044</v>
      </c>
      <c r="K865" s="5">
        <v>0.48749999999999999</v>
      </c>
      <c r="L865" t="s">
        <v>24</v>
      </c>
      <c r="M865">
        <v>17.874500000000001</v>
      </c>
      <c r="N865">
        <v>7</v>
      </c>
    </row>
    <row r="866" spans="1:14" x14ac:dyDescent="0.25">
      <c r="A866" t="s">
        <v>895</v>
      </c>
      <c r="B866" t="s">
        <v>13</v>
      </c>
      <c r="C866" t="s">
        <v>14</v>
      </c>
      <c r="D866" t="s">
        <v>15</v>
      </c>
      <c r="E866" t="s">
        <v>16</v>
      </c>
      <c r="F866" t="s">
        <v>23</v>
      </c>
      <c r="G866" t="s">
        <v>1034</v>
      </c>
      <c r="H866" t="s">
        <v>1041</v>
      </c>
      <c r="I866" s="1">
        <v>43473</v>
      </c>
      <c r="J866" t="s">
        <v>1045</v>
      </c>
      <c r="K866" s="5">
        <v>0.60416666666666663</v>
      </c>
      <c r="L866" t="s">
        <v>24</v>
      </c>
      <c r="M866">
        <v>11.938499999999999</v>
      </c>
      <c r="N866">
        <v>6.6</v>
      </c>
    </row>
    <row r="867" spans="1:14" x14ac:dyDescent="0.25">
      <c r="A867" t="s">
        <v>896</v>
      </c>
      <c r="B867" t="s">
        <v>20</v>
      </c>
      <c r="C867" t="s">
        <v>21</v>
      </c>
      <c r="D867" t="s">
        <v>15</v>
      </c>
      <c r="E867" t="s">
        <v>26</v>
      </c>
      <c r="F867" t="s">
        <v>17</v>
      </c>
      <c r="G867" t="s">
        <v>1037</v>
      </c>
      <c r="H867" t="s">
        <v>1041</v>
      </c>
      <c r="I867" s="1">
        <v>43491</v>
      </c>
      <c r="J867" t="s">
        <v>1045</v>
      </c>
      <c r="K867" s="5">
        <v>0.63263888888888886</v>
      </c>
      <c r="L867" t="s">
        <v>18</v>
      </c>
      <c r="M867">
        <v>5.0715000000000003</v>
      </c>
      <c r="N867">
        <v>7.3</v>
      </c>
    </row>
    <row r="868" spans="1:14" x14ac:dyDescent="0.25">
      <c r="A868" t="s">
        <v>897</v>
      </c>
      <c r="B868" t="s">
        <v>37</v>
      </c>
      <c r="C868" t="s">
        <v>38</v>
      </c>
      <c r="D868" t="s">
        <v>15</v>
      </c>
      <c r="E868" t="s">
        <v>26</v>
      </c>
      <c r="F868" t="s">
        <v>31</v>
      </c>
      <c r="G868" t="s">
        <v>1036</v>
      </c>
      <c r="H868" t="s">
        <v>1043</v>
      </c>
      <c r="I868" s="1">
        <v>43539</v>
      </c>
      <c r="J868" t="s">
        <v>1045</v>
      </c>
      <c r="K868" s="5">
        <v>0.6166666666666667</v>
      </c>
      <c r="L868" t="s">
        <v>28</v>
      </c>
      <c r="M868">
        <v>36.212000000000003</v>
      </c>
      <c r="N868">
        <v>6.5</v>
      </c>
    </row>
    <row r="869" spans="1:14" x14ac:dyDescent="0.25">
      <c r="A869" t="s">
        <v>898</v>
      </c>
      <c r="B869" t="s">
        <v>20</v>
      </c>
      <c r="C869" t="s">
        <v>21</v>
      </c>
      <c r="D869" t="s">
        <v>15</v>
      </c>
      <c r="E869" t="s">
        <v>16</v>
      </c>
      <c r="F869" t="s">
        <v>17</v>
      </c>
      <c r="G869" t="s">
        <v>1035</v>
      </c>
      <c r="H869" t="s">
        <v>1041</v>
      </c>
      <c r="I869" s="1">
        <v>43482</v>
      </c>
      <c r="J869" t="s">
        <v>1045</v>
      </c>
      <c r="K869" s="5">
        <v>0.52500000000000002</v>
      </c>
      <c r="L869" t="s">
        <v>18</v>
      </c>
      <c r="M869">
        <v>6.282</v>
      </c>
      <c r="N869">
        <v>4.9000000000000004</v>
      </c>
    </row>
    <row r="870" spans="1:14" x14ac:dyDescent="0.25">
      <c r="A870" t="s">
        <v>899</v>
      </c>
      <c r="B870" t="s">
        <v>20</v>
      </c>
      <c r="C870" t="s">
        <v>21</v>
      </c>
      <c r="D870" t="s">
        <v>15</v>
      </c>
      <c r="E870" t="s">
        <v>26</v>
      </c>
      <c r="F870" t="s">
        <v>39</v>
      </c>
      <c r="G870" t="s">
        <v>1034</v>
      </c>
      <c r="H870" t="s">
        <v>1041</v>
      </c>
      <c r="I870" s="1">
        <v>43473</v>
      </c>
      <c r="J870" t="s">
        <v>1046</v>
      </c>
      <c r="K870" s="5">
        <v>0.79791666666666661</v>
      </c>
      <c r="L870" t="s">
        <v>28</v>
      </c>
      <c r="M870">
        <v>3.6465000000000001</v>
      </c>
      <c r="N870">
        <v>4.3</v>
      </c>
    </row>
    <row r="871" spans="1:14" x14ac:dyDescent="0.25">
      <c r="A871" t="s">
        <v>900</v>
      </c>
      <c r="B871" t="s">
        <v>13</v>
      </c>
      <c r="C871" t="s">
        <v>14</v>
      </c>
      <c r="D871" t="s">
        <v>22</v>
      </c>
      <c r="E871" t="s">
        <v>26</v>
      </c>
      <c r="F871" t="s">
        <v>31</v>
      </c>
      <c r="G871" t="s">
        <v>1034</v>
      </c>
      <c r="H871" t="s">
        <v>1041</v>
      </c>
      <c r="I871" s="1">
        <v>43471</v>
      </c>
      <c r="J871" t="s">
        <v>1045</v>
      </c>
      <c r="K871" s="5">
        <v>0.56597222222222221</v>
      </c>
      <c r="L871" t="s">
        <v>18</v>
      </c>
      <c r="M871">
        <v>12.917999999999999</v>
      </c>
      <c r="N871">
        <v>9.3000000000000007</v>
      </c>
    </row>
    <row r="872" spans="1:14" x14ac:dyDescent="0.25">
      <c r="A872" t="s">
        <v>901</v>
      </c>
      <c r="B872" t="s">
        <v>13</v>
      </c>
      <c r="C872" t="s">
        <v>14</v>
      </c>
      <c r="D872" t="s">
        <v>15</v>
      </c>
      <c r="E872" t="s">
        <v>26</v>
      </c>
      <c r="F872" t="s">
        <v>39</v>
      </c>
      <c r="G872" t="s">
        <v>1040</v>
      </c>
      <c r="H872" t="s">
        <v>1042</v>
      </c>
      <c r="I872" s="1">
        <v>43512</v>
      </c>
      <c r="J872" t="s">
        <v>1044</v>
      </c>
      <c r="K872" s="5">
        <v>0.43958333333333338</v>
      </c>
      <c r="L872" t="s">
        <v>28</v>
      </c>
      <c r="M872">
        <v>8.6869999999999994</v>
      </c>
      <c r="N872">
        <v>7.1</v>
      </c>
    </row>
    <row r="873" spans="1:14" x14ac:dyDescent="0.25">
      <c r="A873" t="s">
        <v>902</v>
      </c>
      <c r="B873" t="s">
        <v>20</v>
      </c>
      <c r="C873" t="s">
        <v>21</v>
      </c>
      <c r="D873" t="s">
        <v>22</v>
      </c>
      <c r="E873" t="s">
        <v>26</v>
      </c>
      <c r="F873" t="s">
        <v>41</v>
      </c>
      <c r="G873" t="s">
        <v>1036</v>
      </c>
      <c r="H873" t="s">
        <v>1043</v>
      </c>
      <c r="I873" s="1">
        <v>43537</v>
      </c>
      <c r="J873" t="s">
        <v>1045</v>
      </c>
      <c r="K873" s="5">
        <v>0.65625</v>
      </c>
      <c r="L873" t="s">
        <v>18</v>
      </c>
      <c r="M873">
        <v>2.8250000000000002</v>
      </c>
      <c r="N873">
        <v>9.6</v>
      </c>
    </row>
    <row r="874" spans="1:14" x14ac:dyDescent="0.25">
      <c r="A874" t="s">
        <v>903</v>
      </c>
      <c r="B874" t="s">
        <v>37</v>
      </c>
      <c r="C874" t="s">
        <v>38</v>
      </c>
      <c r="D874" t="s">
        <v>15</v>
      </c>
      <c r="E874" t="s">
        <v>16</v>
      </c>
      <c r="F874" t="s">
        <v>23</v>
      </c>
      <c r="G874" t="s">
        <v>1037</v>
      </c>
      <c r="H874" t="s">
        <v>1041</v>
      </c>
      <c r="I874" s="1">
        <v>43493</v>
      </c>
      <c r="J874" t="s">
        <v>1044</v>
      </c>
      <c r="K874" s="5">
        <v>0.49374999999999997</v>
      </c>
      <c r="L874" t="s">
        <v>24</v>
      </c>
      <c r="M874">
        <v>10.715</v>
      </c>
      <c r="N874">
        <v>6.2</v>
      </c>
    </row>
    <row r="875" spans="1:14" x14ac:dyDescent="0.25">
      <c r="A875" t="s">
        <v>904</v>
      </c>
      <c r="B875" t="s">
        <v>13</v>
      </c>
      <c r="C875" t="s">
        <v>14</v>
      </c>
      <c r="D875" t="s">
        <v>15</v>
      </c>
      <c r="E875" t="s">
        <v>26</v>
      </c>
      <c r="F875" t="s">
        <v>31</v>
      </c>
      <c r="G875" t="s">
        <v>1035</v>
      </c>
      <c r="H875" t="s">
        <v>1041</v>
      </c>
      <c r="I875" s="1">
        <v>43483</v>
      </c>
      <c r="J875" t="s">
        <v>1046</v>
      </c>
      <c r="K875" s="5">
        <v>0.72638888888888886</v>
      </c>
      <c r="L875" t="s">
        <v>24</v>
      </c>
      <c r="M875">
        <v>26.718</v>
      </c>
      <c r="N875">
        <v>9.9</v>
      </c>
    </row>
    <row r="876" spans="1:14" x14ac:dyDescent="0.25">
      <c r="A876" t="s">
        <v>905</v>
      </c>
      <c r="B876" t="s">
        <v>13</v>
      </c>
      <c r="C876" t="s">
        <v>14</v>
      </c>
      <c r="D876" t="s">
        <v>15</v>
      </c>
      <c r="E876" t="s">
        <v>26</v>
      </c>
      <c r="F876" t="s">
        <v>27</v>
      </c>
      <c r="G876" t="s">
        <v>1037</v>
      </c>
      <c r="H876" t="s">
        <v>1043</v>
      </c>
      <c r="I876" s="1">
        <v>43543</v>
      </c>
      <c r="J876" t="s">
        <v>1044</v>
      </c>
      <c r="K876" s="5">
        <v>0.49444444444444446</v>
      </c>
      <c r="L876" t="s">
        <v>28</v>
      </c>
      <c r="M876">
        <v>4.6580000000000004</v>
      </c>
      <c r="N876">
        <v>5.9</v>
      </c>
    </row>
    <row r="877" spans="1:14" x14ac:dyDescent="0.25">
      <c r="A877" t="s">
        <v>906</v>
      </c>
      <c r="B877" t="s">
        <v>20</v>
      </c>
      <c r="C877" t="s">
        <v>21</v>
      </c>
      <c r="D877" t="s">
        <v>22</v>
      </c>
      <c r="E877" t="s">
        <v>26</v>
      </c>
      <c r="F877" t="s">
        <v>27</v>
      </c>
      <c r="G877" t="s">
        <v>1036</v>
      </c>
      <c r="H877" t="s">
        <v>1043</v>
      </c>
      <c r="I877" s="1">
        <v>43539</v>
      </c>
      <c r="J877" t="s">
        <v>1045</v>
      </c>
      <c r="K877" s="5">
        <v>0.58611111111111114</v>
      </c>
      <c r="L877" t="s">
        <v>18</v>
      </c>
      <c r="M877">
        <v>26.103999999999999</v>
      </c>
      <c r="N877">
        <v>6.3</v>
      </c>
    </row>
    <row r="878" spans="1:14" x14ac:dyDescent="0.25">
      <c r="A878" t="s">
        <v>907</v>
      </c>
      <c r="B878" t="s">
        <v>20</v>
      </c>
      <c r="C878" t="s">
        <v>21</v>
      </c>
      <c r="D878" t="s">
        <v>15</v>
      </c>
      <c r="E878" t="s">
        <v>26</v>
      </c>
      <c r="F878" t="s">
        <v>41</v>
      </c>
      <c r="G878" t="s">
        <v>1039</v>
      </c>
      <c r="H878" t="s">
        <v>1042</v>
      </c>
      <c r="I878" s="1">
        <v>43508</v>
      </c>
      <c r="J878" t="s">
        <v>1046</v>
      </c>
      <c r="K878" s="5">
        <v>0.74236111111111114</v>
      </c>
      <c r="L878" t="s">
        <v>24</v>
      </c>
      <c r="M878">
        <v>2.6175000000000002</v>
      </c>
      <c r="N878">
        <v>4</v>
      </c>
    </row>
    <row r="879" spans="1:14" x14ac:dyDescent="0.25">
      <c r="A879" t="s">
        <v>908</v>
      </c>
      <c r="B879" t="s">
        <v>37</v>
      </c>
      <c r="C879" t="s">
        <v>38</v>
      </c>
      <c r="D879" t="s">
        <v>15</v>
      </c>
      <c r="E879" t="s">
        <v>26</v>
      </c>
      <c r="F879" t="s">
        <v>23</v>
      </c>
      <c r="G879" t="s">
        <v>1034</v>
      </c>
      <c r="H879" t="s">
        <v>1042</v>
      </c>
      <c r="I879" s="1">
        <v>43521</v>
      </c>
      <c r="J879" t="s">
        <v>1046</v>
      </c>
      <c r="K879" s="5">
        <v>0.84652777777777777</v>
      </c>
      <c r="L879" t="s">
        <v>24</v>
      </c>
      <c r="M879">
        <v>1.9875</v>
      </c>
      <c r="N879">
        <v>6.1</v>
      </c>
    </row>
    <row r="880" spans="1:14" x14ac:dyDescent="0.25">
      <c r="A880" t="s">
        <v>909</v>
      </c>
      <c r="B880" t="s">
        <v>13</v>
      </c>
      <c r="C880" t="s">
        <v>14</v>
      </c>
      <c r="D880" t="s">
        <v>22</v>
      </c>
      <c r="E880" t="s">
        <v>16</v>
      </c>
      <c r="F880" t="s">
        <v>23</v>
      </c>
      <c r="G880" t="s">
        <v>1037</v>
      </c>
      <c r="H880" t="s">
        <v>1043</v>
      </c>
      <c r="I880" s="1">
        <v>43545</v>
      </c>
      <c r="J880" t="s">
        <v>1046</v>
      </c>
      <c r="K880" s="5">
        <v>0.67222222222222217</v>
      </c>
      <c r="L880" t="s">
        <v>28</v>
      </c>
      <c r="M880">
        <v>36.008000000000003</v>
      </c>
      <c r="N880">
        <v>4.5</v>
      </c>
    </row>
    <row r="881" spans="1:14" x14ac:dyDescent="0.25">
      <c r="A881" t="s">
        <v>910</v>
      </c>
      <c r="B881" t="s">
        <v>37</v>
      </c>
      <c r="C881" t="s">
        <v>38</v>
      </c>
      <c r="D881" t="s">
        <v>15</v>
      </c>
      <c r="E881" t="s">
        <v>16</v>
      </c>
      <c r="F881" t="s">
        <v>23</v>
      </c>
      <c r="G881" t="s">
        <v>1036</v>
      </c>
      <c r="H881" t="s">
        <v>1041</v>
      </c>
      <c r="I881" s="1">
        <v>43484</v>
      </c>
      <c r="J881" t="s">
        <v>1044</v>
      </c>
      <c r="K881" s="5">
        <v>0.4284722222222222</v>
      </c>
      <c r="L881" t="s">
        <v>18</v>
      </c>
      <c r="M881">
        <v>4.84</v>
      </c>
      <c r="N881">
        <v>8.6</v>
      </c>
    </row>
    <row r="882" spans="1:14" x14ac:dyDescent="0.25">
      <c r="A882" t="s">
        <v>911</v>
      </c>
      <c r="B882" t="s">
        <v>37</v>
      </c>
      <c r="C882" t="s">
        <v>38</v>
      </c>
      <c r="D882" t="s">
        <v>15</v>
      </c>
      <c r="E882" t="s">
        <v>16</v>
      </c>
      <c r="F882" t="s">
        <v>39</v>
      </c>
      <c r="G882" t="s">
        <v>1034</v>
      </c>
      <c r="H882" t="s">
        <v>1041</v>
      </c>
      <c r="I882" s="1">
        <v>43473</v>
      </c>
      <c r="J882" t="s">
        <v>1045</v>
      </c>
      <c r="K882" s="5">
        <v>0.60069444444444442</v>
      </c>
      <c r="L882" t="s">
        <v>18</v>
      </c>
      <c r="M882">
        <v>16.605</v>
      </c>
      <c r="N882">
        <v>6</v>
      </c>
    </row>
    <row r="883" spans="1:14" x14ac:dyDescent="0.25">
      <c r="A883" t="s">
        <v>912</v>
      </c>
      <c r="B883" t="s">
        <v>20</v>
      </c>
      <c r="C883" t="s">
        <v>21</v>
      </c>
      <c r="D883" t="s">
        <v>15</v>
      </c>
      <c r="E883" t="s">
        <v>16</v>
      </c>
      <c r="F883" t="s">
        <v>41</v>
      </c>
      <c r="G883" t="s">
        <v>1039</v>
      </c>
      <c r="H883" t="s">
        <v>1043</v>
      </c>
      <c r="I883" s="1">
        <v>43554</v>
      </c>
      <c r="J883" t="s">
        <v>1045</v>
      </c>
      <c r="K883" s="5">
        <v>0.53541666666666665</v>
      </c>
      <c r="L883" t="s">
        <v>28</v>
      </c>
      <c r="M883">
        <v>4.0720000000000001</v>
      </c>
      <c r="N883">
        <v>9.5</v>
      </c>
    </row>
    <row r="884" spans="1:14" x14ac:dyDescent="0.25">
      <c r="A884" t="s">
        <v>913</v>
      </c>
      <c r="B884" t="s">
        <v>37</v>
      </c>
      <c r="C884" t="s">
        <v>38</v>
      </c>
      <c r="D884" t="s">
        <v>15</v>
      </c>
      <c r="E884" t="s">
        <v>26</v>
      </c>
      <c r="F884" t="s">
        <v>31</v>
      </c>
      <c r="G884" t="s">
        <v>1040</v>
      </c>
      <c r="H884" t="s">
        <v>1042</v>
      </c>
      <c r="I884" s="1">
        <v>43516</v>
      </c>
      <c r="J884" t="s">
        <v>1045</v>
      </c>
      <c r="K884" s="5">
        <v>0.63750000000000007</v>
      </c>
      <c r="L884" t="s">
        <v>28</v>
      </c>
      <c r="M884">
        <v>15.994999999999999</v>
      </c>
      <c r="N884">
        <v>9.9</v>
      </c>
    </row>
    <row r="885" spans="1:14" x14ac:dyDescent="0.25">
      <c r="A885" t="s">
        <v>914</v>
      </c>
      <c r="B885" t="s">
        <v>13</v>
      </c>
      <c r="C885" t="s">
        <v>14</v>
      </c>
      <c r="D885" t="s">
        <v>15</v>
      </c>
      <c r="E885" t="s">
        <v>16</v>
      </c>
      <c r="F885" t="s">
        <v>27</v>
      </c>
      <c r="G885" t="s">
        <v>1039</v>
      </c>
      <c r="H885" t="s">
        <v>1043</v>
      </c>
      <c r="I885" s="1">
        <v>43554</v>
      </c>
      <c r="J885" t="s">
        <v>1045</v>
      </c>
      <c r="K885" s="5">
        <v>0.53125</v>
      </c>
      <c r="L885" t="s">
        <v>18</v>
      </c>
      <c r="M885">
        <v>10.326000000000001</v>
      </c>
      <c r="N885">
        <v>7.5</v>
      </c>
    </row>
    <row r="886" spans="1:14" x14ac:dyDescent="0.25">
      <c r="A886" t="s">
        <v>915</v>
      </c>
      <c r="B886" t="s">
        <v>13</v>
      </c>
      <c r="C886" t="s">
        <v>14</v>
      </c>
      <c r="D886" t="s">
        <v>15</v>
      </c>
      <c r="E886" t="s">
        <v>16</v>
      </c>
      <c r="F886" t="s">
        <v>39</v>
      </c>
      <c r="G886" t="s">
        <v>1037</v>
      </c>
      <c r="H886" t="s">
        <v>1043</v>
      </c>
      <c r="I886" s="1">
        <v>43543</v>
      </c>
      <c r="J886" t="s">
        <v>1045</v>
      </c>
      <c r="K886" s="5">
        <v>0.56736111111111109</v>
      </c>
      <c r="L886" t="s">
        <v>24</v>
      </c>
      <c r="M886">
        <v>8.3339999999999996</v>
      </c>
      <c r="N886">
        <v>7.6</v>
      </c>
    </row>
    <row r="887" spans="1:14" x14ac:dyDescent="0.25">
      <c r="A887" t="s">
        <v>916</v>
      </c>
      <c r="B887" t="s">
        <v>13</v>
      </c>
      <c r="C887" t="s">
        <v>14</v>
      </c>
      <c r="D887" t="s">
        <v>22</v>
      </c>
      <c r="E887" t="s">
        <v>26</v>
      </c>
      <c r="F887" t="s">
        <v>31</v>
      </c>
      <c r="G887" t="s">
        <v>1035</v>
      </c>
      <c r="H887" t="s">
        <v>1041</v>
      </c>
      <c r="I887" s="1">
        <v>43478</v>
      </c>
      <c r="J887" t="s">
        <v>1044</v>
      </c>
      <c r="K887" s="5">
        <v>0.41875000000000001</v>
      </c>
      <c r="L887" t="s">
        <v>24</v>
      </c>
      <c r="M887">
        <v>15.952999999999999</v>
      </c>
      <c r="N887">
        <v>5</v>
      </c>
    </row>
    <row r="888" spans="1:14" x14ac:dyDescent="0.25">
      <c r="A888" t="s">
        <v>917</v>
      </c>
      <c r="B888" t="s">
        <v>13</v>
      </c>
      <c r="C888" t="s">
        <v>14</v>
      </c>
      <c r="D888" t="s">
        <v>15</v>
      </c>
      <c r="E888" t="s">
        <v>26</v>
      </c>
      <c r="F888" t="s">
        <v>39</v>
      </c>
      <c r="G888" t="s">
        <v>1038</v>
      </c>
      <c r="H888" t="s">
        <v>1042</v>
      </c>
      <c r="I888" s="1">
        <v>43501</v>
      </c>
      <c r="J888" t="s">
        <v>1046</v>
      </c>
      <c r="K888" s="5">
        <v>0.8208333333333333</v>
      </c>
      <c r="L888" t="s">
        <v>18</v>
      </c>
      <c r="M888">
        <v>4.3949999999999996</v>
      </c>
      <c r="N888">
        <v>6.7</v>
      </c>
    </row>
    <row r="889" spans="1:14" x14ac:dyDescent="0.25">
      <c r="A889" t="s">
        <v>918</v>
      </c>
      <c r="B889" t="s">
        <v>13</v>
      </c>
      <c r="C889" t="s">
        <v>14</v>
      </c>
      <c r="D889" t="s">
        <v>15</v>
      </c>
      <c r="E889" t="s">
        <v>16</v>
      </c>
      <c r="F889" t="s">
        <v>23</v>
      </c>
      <c r="G889" t="s">
        <v>1038</v>
      </c>
      <c r="H889" t="s">
        <v>1043</v>
      </c>
      <c r="I889" s="1">
        <v>43547</v>
      </c>
      <c r="J889" t="s">
        <v>1045</v>
      </c>
      <c r="K889" s="5">
        <v>0.55138888888888882</v>
      </c>
      <c r="L889" t="s">
        <v>18</v>
      </c>
      <c r="M889">
        <v>36.734999999999999</v>
      </c>
      <c r="N889">
        <v>9.5</v>
      </c>
    </row>
    <row r="890" spans="1:14" x14ac:dyDescent="0.25">
      <c r="A890" t="s">
        <v>919</v>
      </c>
      <c r="B890" t="s">
        <v>20</v>
      </c>
      <c r="C890" t="s">
        <v>21</v>
      </c>
      <c r="D890" t="s">
        <v>22</v>
      </c>
      <c r="E890" t="s">
        <v>16</v>
      </c>
      <c r="F890" t="s">
        <v>41</v>
      </c>
      <c r="G890" t="s">
        <v>1036</v>
      </c>
      <c r="H890" t="s">
        <v>1043</v>
      </c>
      <c r="I890" s="1">
        <v>43537</v>
      </c>
      <c r="J890" t="s">
        <v>1045</v>
      </c>
      <c r="K890" s="5">
        <v>0.53263888888888888</v>
      </c>
      <c r="L890" t="s">
        <v>18</v>
      </c>
      <c r="M890">
        <v>4.8760000000000003</v>
      </c>
      <c r="N890">
        <v>6.8</v>
      </c>
    </row>
    <row r="891" spans="1:14" x14ac:dyDescent="0.25">
      <c r="A891" t="s">
        <v>920</v>
      </c>
      <c r="B891" t="s">
        <v>13</v>
      </c>
      <c r="C891" t="s">
        <v>14</v>
      </c>
      <c r="D891" t="s">
        <v>15</v>
      </c>
      <c r="E891" t="s">
        <v>26</v>
      </c>
      <c r="F891" t="s">
        <v>31</v>
      </c>
      <c r="G891" t="s">
        <v>1037</v>
      </c>
      <c r="H891" t="s">
        <v>1043</v>
      </c>
      <c r="I891" s="1">
        <v>43541</v>
      </c>
      <c r="J891" t="s">
        <v>1046</v>
      </c>
      <c r="K891" s="5">
        <v>0.82847222222222217</v>
      </c>
      <c r="L891" t="s">
        <v>18</v>
      </c>
      <c r="M891">
        <v>38.46</v>
      </c>
      <c r="N891">
        <v>5.6</v>
      </c>
    </row>
    <row r="892" spans="1:14" x14ac:dyDescent="0.25">
      <c r="A892" t="s">
        <v>921</v>
      </c>
      <c r="B892" t="s">
        <v>20</v>
      </c>
      <c r="C892" t="s">
        <v>21</v>
      </c>
      <c r="D892" t="s">
        <v>22</v>
      </c>
      <c r="E892" t="s">
        <v>16</v>
      </c>
      <c r="F892" t="s">
        <v>17</v>
      </c>
      <c r="G892" t="s">
        <v>1040</v>
      </c>
      <c r="H892" t="s">
        <v>1042</v>
      </c>
      <c r="I892" s="1">
        <v>43517</v>
      </c>
      <c r="J892" t="s">
        <v>1044</v>
      </c>
      <c r="K892" s="5">
        <v>0.43472222222222223</v>
      </c>
      <c r="L892" t="s">
        <v>24</v>
      </c>
      <c r="M892">
        <v>20.914999999999999</v>
      </c>
      <c r="N892">
        <v>7.2</v>
      </c>
    </row>
    <row r="893" spans="1:14" x14ac:dyDescent="0.25">
      <c r="A893" t="s">
        <v>922</v>
      </c>
      <c r="B893" t="s">
        <v>37</v>
      </c>
      <c r="C893" t="s">
        <v>38</v>
      </c>
      <c r="D893" t="s">
        <v>22</v>
      </c>
      <c r="E893" t="s">
        <v>16</v>
      </c>
      <c r="F893" t="s">
        <v>23</v>
      </c>
      <c r="G893" t="s">
        <v>1038</v>
      </c>
      <c r="H893" t="s">
        <v>1042</v>
      </c>
      <c r="I893" s="1">
        <v>43503</v>
      </c>
      <c r="J893" t="s">
        <v>1045</v>
      </c>
      <c r="K893" s="5">
        <v>0.62916666666666665</v>
      </c>
      <c r="L893" t="s">
        <v>24</v>
      </c>
      <c r="M893">
        <v>23.164000000000001</v>
      </c>
      <c r="N893">
        <v>8.1</v>
      </c>
    </row>
    <row r="894" spans="1:14" x14ac:dyDescent="0.25">
      <c r="A894" t="s">
        <v>923</v>
      </c>
      <c r="B894" t="s">
        <v>20</v>
      </c>
      <c r="C894" t="s">
        <v>21</v>
      </c>
      <c r="D894" t="s">
        <v>15</v>
      </c>
      <c r="E894" t="s">
        <v>16</v>
      </c>
      <c r="F894" t="s">
        <v>41</v>
      </c>
      <c r="G894" t="s">
        <v>1035</v>
      </c>
      <c r="H894" t="s">
        <v>1043</v>
      </c>
      <c r="I894" s="1">
        <v>43526</v>
      </c>
      <c r="J894" t="s">
        <v>1046</v>
      </c>
      <c r="K894" s="5">
        <v>0.69097222222222221</v>
      </c>
      <c r="L894" t="s">
        <v>28</v>
      </c>
      <c r="M894">
        <v>23.122499999999999</v>
      </c>
      <c r="N894">
        <v>8.6</v>
      </c>
    </row>
    <row r="895" spans="1:14" x14ac:dyDescent="0.25">
      <c r="A895" t="s">
        <v>924</v>
      </c>
      <c r="B895" t="s">
        <v>37</v>
      </c>
      <c r="C895" t="s">
        <v>38</v>
      </c>
      <c r="D895" t="s">
        <v>22</v>
      </c>
      <c r="E895" t="s">
        <v>26</v>
      </c>
      <c r="F895" t="s">
        <v>23</v>
      </c>
      <c r="G895" t="s">
        <v>1035</v>
      </c>
      <c r="H895" t="s">
        <v>1043</v>
      </c>
      <c r="I895" s="1">
        <v>43530</v>
      </c>
      <c r="J895" t="s">
        <v>1046</v>
      </c>
      <c r="K895" s="5">
        <v>0.87291666666666667</v>
      </c>
      <c r="L895" t="s">
        <v>24</v>
      </c>
      <c r="M895">
        <v>7.0949999999999998</v>
      </c>
      <c r="N895">
        <v>9.4</v>
      </c>
    </row>
    <row r="896" spans="1:14" x14ac:dyDescent="0.25">
      <c r="A896" t="s">
        <v>925</v>
      </c>
      <c r="B896" t="s">
        <v>37</v>
      </c>
      <c r="C896" t="s">
        <v>38</v>
      </c>
      <c r="D896" t="s">
        <v>15</v>
      </c>
      <c r="E896" t="s">
        <v>26</v>
      </c>
      <c r="F896" t="s">
        <v>23</v>
      </c>
      <c r="G896" t="s">
        <v>1038</v>
      </c>
      <c r="H896" t="s">
        <v>1042</v>
      </c>
      <c r="I896" s="1">
        <v>43502</v>
      </c>
      <c r="J896" t="s">
        <v>1045</v>
      </c>
      <c r="K896" s="5">
        <v>0.63611111111111118</v>
      </c>
      <c r="L896" t="s">
        <v>28</v>
      </c>
      <c r="M896">
        <v>15.135</v>
      </c>
      <c r="N896">
        <v>8.9</v>
      </c>
    </row>
    <row r="897" spans="1:14" x14ac:dyDescent="0.25">
      <c r="A897" t="s">
        <v>926</v>
      </c>
      <c r="B897" t="s">
        <v>37</v>
      </c>
      <c r="C897" t="s">
        <v>38</v>
      </c>
      <c r="D897" t="s">
        <v>22</v>
      </c>
      <c r="E897" t="s">
        <v>26</v>
      </c>
      <c r="F897" t="s">
        <v>17</v>
      </c>
      <c r="G897" t="s">
        <v>1037</v>
      </c>
      <c r="H897" t="s">
        <v>1041</v>
      </c>
      <c r="I897" s="1">
        <v>43493</v>
      </c>
      <c r="J897" t="s">
        <v>1046</v>
      </c>
      <c r="K897" s="5">
        <v>0.74097222222222225</v>
      </c>
      <c r="L897" t="s">
        <v>28</v>
      </c>
      <c r="M897">
        <v>39.664000000000001</v>
      </c>
      <c r="N897">
        <v>4.2</v>
      </c>
    </row>
    <row r="898" spans="1:14" x14ac:dyDescent="0.25">
      <c r="A898" t="s">
        <v>927</v>
      </c>
      <c r="B898" t="s">
        <v>20</v>
      </c>
      <c r="C898" t="s">
        <v>21</v>
      </c>
      <c r="D898" t="s">
        <v>22</v>
      </c>
      <c r="E898" t="s">
        <v>26</v>
      </c>
      <c r="F898" t="s">
        <v>41</v>
      </c>
      <c r="G898" t="s">
        <v>1035</v>
      </c>
      <c r="H898" t="s">
        <v>1041</v>
      </c>
      <c r="I898" s="1">
        <v>43483</v>
      </c>
      <c r="J898" t="s">
        <v>1046</v>
      </c>
      <c r="K898" s="5">
        <v>0.68263888888888891</v>
      </c>
      <c r="L898" t="s">
        <v>18</v>
      </c>
      <c r="M898">
        <v>21.259</v>
      </c>
      <c r="N898">
        <v>5</v>
      </c>
    </row>
    <row r="899" spans="1:14" x14ac:dyDescent="0.25">
      <c r="A899" t="s">
        <v>928</v>
      </c>
      <c r="B899" t="s">
        <v>20</v>
      </c>
      <c r="C899" t="s">
        <v>21</v>
      </c>
      <c r="D899" t="s">
        <v>15</v>
      </c>
      <c r="E899" t="s">
        <v>16</v>
      </c>
      <c r="F899" t="s">
        <v>39</v>
      </c>
      <c r="G899" t="s">
        <v>1038</v>
      </c>
      <c r="H899" t="s">
        <v>1042</v>
      </c>
      <c r="I899" s="1">
        <v>43501</v>
      </c>
      <c r="J899" t="s">
        <v>1044</v>
      </c>
      <c r="K899" s="5">
        <v>0.4284722222222222</v>
      </c>
      <c r="L899" t="s">
        <v>24</v>
      </c>
      <c r="M899">
        <v>14.180999999999999</v>
      </c>
      <c r="N899">
        <v>8.8000000000000007</v>
      </c>
    </row>
    <row r="900" spans="1:14" x14ac:dyDescent="0.25">
      <c r="A900" t="s">
        <v>929</v>
      </c>
      <c r="B900" t="s">
        <v>20</v>
      </c>
      <c r="C900" t="s">
        <v>21</v>
      </c>
      <c r="D900" t="s">
        <v>15</v>
      </c>
      <c r="E900" t="s">
        <v>26</v>
      </c>
      <c r="F900" t="s">
        <v>17</v>
      </c>
      <c r="G900" t="s">
        <v>1035</v>
      </c>
      <c r="H900" t="s">
        <v>1043</v>
      </c>
      <c r="I900" s="1">
        <v>43526</v>
      </c>
      <c r="J900" t="s">
        <v>1045</v>
      </c>
      <c r="K900" s="5">
        <v>0.57638888888888895</v>
      </c>
      <c r="L900" t="s">
        <v>24</v>
      </c>
      <c r="M900">
        <v>29.96</v>
      </c>
      <c r="N900">
        <v>5.3</v>
      </c>
    </row>
    <row r="901" spans="1:14" x14ac:dyDescent="0.25">
      <c r="A901" t="s">
        <v>930</v>
      </c>
      <c r="B901" t="s">
        <v>13</v>
      </c>
      <c r="C901" t="s">
        <v>14</v>
      </c>
      <c r="D901" t="s">
        <v>15</v>
      </c>
      <c r="E901" t="s">
        <v>26</v>
      </c>
      <c r="F901" t="s">
        <v>39</v>
      </c>
      <c r="G901" t="s">
        <v>1039</v>
      </c>
      <c r="H901" t="s">
        <v>1042</v>
      </c>
      <c r="I901" s="1">
        <v>43505</v>
      </c>
      <c r="J901" t="s">
        <v>1046</v>
      </c>
      <c r="K901" s="5">
        <v>0.80347222222222225</v>
      </c>
      <c r="L901" t="s">
        <v>18</v>
      </c>
      <c r="M901">
        <v>15.768000000000001</v>
      </c>
      <c r="N901">
        <v>4.5999999999999996</v>
      </c>
    </row>
    <row r="902" spans="1:14" x14ac:dyDescent="0.25">
      <c r="A902" t="s">
        <v>931</v>
      </c>
      <c r="B902" t="s">
        <v>20</v>
      </c>
      <c r="C902" t="s">
        <v>21</v>
      </c>
      <c r="D902" t="s">
        <v>15</v>
      </c>
      <c r="E902" t="s">
        <v>16</v>
      </c>
      <c r="F902" t="s">
        <v>23</v>
      </c>
      <c r="G902" t="s">
        <v>1035</v>
      </c>
      <c r="H902" t="s">
        <v>1041</v>
      </c>
      <c r="I902" s="1">
        <v>43479</v>
      </c>
      <c r="J902" t="s">
        <v>1045</v>
      </c>
      <c r="K902" s="5">
        <v>0.58333333333333337</v>
      </c>
      <c r="L902" t="s">
        <v>28</v>
      </c>
      <c r="M902">
        <v>20.178000000000001</v>
      </c>
      <c r="N902">
        <v>7.5</v>
      </c>
    </row>
    <row r="903" spans="1:14" x14ac:dyDescent="0.25">
      <c r="A903" t="s">
        <v>932</v>
      </c>
      <c r="B903" t="s">
        <v>37</v>
      </c>
      <c r="C903" t="s">
        <v>38</v>
      </c>
      <c r="D903" t="s">
        <v>22</v>
      </c>
      <c r="E903" t="s">
        <v>26</v>
      </c>
      <c r="F903" t="s">
        <v>27</v>
      </c>
      <c r="G903" t="s">
        <v>1039</v>
      </c>
      <c r="H903" t="s">
        <v>1042</v>
      </c>
      <c r="I903" s="1">
        <v>43505</v>
      </c>
      <c r="J903" t="s">
        <v>1045</v>
      </c>
      <c r="K903" s="5">
        <v>0.50138888888888888</v>
      </c>
      <c r="L903" t="s">
        <v>18</v>
      </c>
      <c r="M903">
        <v>9.1940000000000008</v>
      </c>
      <c r="N903">
        <v>5.0999999999999996</v>
      </c>
    </row>
    <row r="904" spans="1:14" x14ac:dyDescent="0.25">
      <c r="A904" t="s">
        <v>933</v>
      </c>
      <c r="B904" t="s">
        <v>13</v>
      </c>
      <c r="C904" t="s">
        <v>14</v>
      </c>
      <c r="D904" t="s">
        <v>15</v>
      </c>
      <c r="E904" t="s">
        <v>16</v>
      </c>
      <c r="F904" t="s">
        <v>17</v>
      </c>
      <c r="G904" t="s">
        <v>1038</v>
      </c>
      <c r="H904" t="s">
        <v>1043</v>
      </c>
      <c r="I904" s="1">
        <v>43550</v>
      </c>
      <c r="J904" t="s">
        <v>1046</v>
      </c>
      <c r="K904" s="5">
        <v>0.84791666666666676</v>
      </c>
      <c r="L904" t="s">
        <v>28</v>
      </c>
      <c r="M904">
        <v>6.9325000000000001</v>
      </c>
      <c r="N904">
        <v>4.2</v>
      </c>
    </row>
    <row r="905" spans="1:14" x14ac:dyDescent="0.25">
      <c r="A905" t="s">
        <v>934</v>
      </c>
      <c r="B905" t="s">
        <v>13</v>
      </c>
      <c r="C905" t="s">
        <v>14</v>
      </c>
      <c r="D905" t="s">
        <v>22</v>
      </c>
      <c r="E905" t="s">
        <v>26</v>
      </c>
      <c r="F905" t="s">
        <v>39</v>
      </c>
      <c r="G905" t="s">
        <v>1037</v>
      </c>
      <c r="H905" t="s">
        <v>1041</v>
      </c>
      <c r="I905" s="1">
        <v>43493</v>
      </c>
      <c r="J905" t="s">
        <v>1046</v>
      </c>
      <c r="K905" s="5">
        <v>0.73263888888888884</v>
      </c>
      <c r="L905" t="s">
        <v>24</v>
      </c>
      <c r="M905">
        <v>4.0354999999999999</v>
      </c>
      <c r="N905">
        <v>8.1</v>
      </c>
    </row>
    <row r="906" spans="1:14" x14ac:dyDescent="0.25">
      <c r="A906" t="s">
        <v>935</v>
      </c>
      <c r="B906" t="s">
        <v>20</v>
      </c>
      <c r="C906" t="s">
        <v>21</v>
      </c>
      <c r="D906" t="s">
        <v>22</v>
      </c>
      <c r="E906" t="s">
        <v>16</v>
      </c>
      <c r="F906" t="s">
        <v>17</v>
      </c>
      <c r="G906" t="s">
        <v>1039</v>
      </c>
      <c r="H906" t="s">
        <v>1042</v>
      </c>
      <c r="I906" s="1">
        <v>43510</v>
      </c>
      <c r="J906" t="s">
        <v>1045</v>
      </c>
      <c r="K906" s="5">
        <v>0.52916666666666667</v>
      </c>
      <c r="L906" t="s">
        <v>18</v>
      </c>
      <c r="M906">
        <v>5.8319999999999999</v>
      </c>
      <c r="N906">
        <v>6</v>
      </c>
    </row>
    <row r="907" spans="1:14" x14ac:dyDescent="0.25">
      <c r="A907" t="s">
        <v>936</v>
      </c>
      <c r="B907" t="s">
        <v>20</v>
      </c>
      <c r="C907" t="s">
        <v>21</v>
      </c>
      <c r="D907" t="s">
        <v>15</v>
      </c>
      <c r="E907" t="s">
        <v>16</v>
      </c>
      <c r="F907" t="s">
        <v>27</v>
      </c>
      <c r="G907" t="s">
        <v>1038</v>
      </c>
      <c r="H907" t="s">
        <v>1043</v>
      </c>
      <c r="I907" s="1">
        <v>43548</v>
      </c>
      <c r="J907" t="s">
        <v>1046</v>
      </c>
      <c r="K907" s="5">
        <v>0.74722222222222223</v>
      </c>
      <c r="L907" t="s">
        <v>24</v>
      </c>
      <c r="M907">
        <v>15.676</v>
      </c>
      <c r="N907">
        <v>7.9</v>
      </c>
    </row>
    <row r="908" spans="1:14" x14ac:dyDescent="0.25">
      <c r="A908" t="s">
        <v>937</v>
      </c>
      <c r="B908" t="s">
        <v>20</v>
      </c>
      <c r="C908" t="s">
        <v>21</v>
      </c>
      <c r="D908" t="s">
        <v>22</v>
      </c>
      <c r="E908" t="s">
        <v>26</v>
      </c>
      <c r="F908" t="s">
        <v>17</v>
      </c>
      <c r="G908" t="s">
        <v>1039</v>
      </c>
      <c r="H908" t="s">
        <v>1042</v>
      </c>
      <c r="I908" s="1">
        <v>43505</v>
      </c>
      <c r="J908" t="s">
        <v>1046</v>
      </c>
      <c r="K908" s="5">
        <v>0.79027777777777775</v>
      </c>
      <c r="L908" t="s">
        <v>28</v>
      </c>
      <c r="M908">
        <v>42.305</v>
      </c>
      <c r="N908">
        <v>8.8000000000000007</v>
      </c>
    </row>
    <row r="909" spans="1:14" x14ac:dyDescent="0.25">
      <c r="A909" t="s">
        <v>938</v>
      </c>
      <c r="B909" t="s">
        <v>37</v>
      </c>
      <c r="C909" t="s">
        <v>38</v>
      </c>
      <c r="D909" t="s">
        <v>22</v>
      </c>
      <c r="E909" t="s">
        <v>16</v>
      </c>
      <c r="F909" t="s">
        <v>17</v>
      </c>
      <c r="G909" t="s">
        <v>1038</v>
      </c>
      <c r="H909" t="s">
        <v>1043</v>
      </c>
      <c r="I909" s="1">
        <v>43548</v>
      </c>
      <c r="J909" t="s">
        <v>1045</v>
      </c>
      <c r="K909" s="5">
        <v>0.58888888888888891</v>
      </c>
      <c r="L909" t="s">
        <v>28</v>
      </c>
      <c r="M909">
        <v>20.72</v>
      </c>
      <c r="N909">
        <v>6.6</v>
      </c>
    </row>
    <row r="910" spans="1:14" x14ac:dyDescent="0.25">
      <c r="A910" t="s">
        <v>939</v>
      </c>
      <c r="B910" t="s">
        <v>13</v>
      </c>
      <c r="C910" t="s">
        <v>14</v>
      </c>
      <c r="D910" t="s">
        <v>15</v>
      </c>
      <c r="E910" t="s">
        <v>16</v>
      </c>
      <c r="F910" t="s">
        <v>39</v>
      </c>
      <c r="G910" t="s">
        <v>1038</v>
      </c>
      <c r="H910" t="s">
        <v>1043</v>
      </c>
      <c r="I910" s="1">
        <v>43551</v>
      </c>
      <c r="J910" t="s">
        <v>1046</v>
      </c>
      <c r="K910" s="5">
        <v>0.6875</v>
      </c>
      <c r="L910" t="s">
        <v>18</v>
      </c>
      <c r="M910">
        <v>7.9539999999999997</v>
      </c>
      <c r="N910">
        <v>6.2</v>
      </c>
    </row>
    <row r="911" spans="1:14" x14ac:dyDescent="0.25">
      <c r="A911" t="s">
        <v>940</v>
      </c>
      <c r="B911" t="s">
        <v>37</v>
      </c>
      <c r="C911" t="s">
        <v>38</v>
      </c>
      <c r="D911" t="s">
        <v>22</v>
      </c>
      <c r="E911" t="s">
        <v>16</v>
      </c>
      <c r="F911" t="s">
        <v>27</v>
      </c>
      <c r="G911" t="s">
        <v>1037</v>
      </c>
      <c r="H911" t="s">
        <v>1041</v>
      </c>
      <c r="I911" s="1">
        <v>43492</v>
      </c>
      <c r="J911" t="s">
        <v>1044</v>
      </c>
      <c r="K911" s="5">
        <v>0.44722222222222219</v>
      </c>
      <c r="L911" t="s">
        <v>28</v>
      </c>
      <c r="M911">
        <v>24.504999999999999</v>
      </c>
      <c r="N911">
        <v>4.2</v>
      </c>
    </row>
    <row r="912" spans="1:14" x14ac:dyDescent="0.25">
      <c r="A912" t="s">
        <v>941</v>
      </c>
      <c r="B912" t="s">
        <v>37</v>
      </c>
      <c r="C912" t="s">
        <v>38</v>
      </c>
      <c r="D912" t="s">
        <v>15</v>
      </c>
      <c r="E912" t="s">
        <v>16</v>
      </c>
      <c r="F912" t="s">
        <v>39</v>
      </c>
      <c r="G912" t="s">
        <v>1038</v>
      </c>
      <c r="H912" t="s">
        <v>1043</v>
      </c>
      <c r="I912" s="1">
        <v>43551</v>
      </c>
      <c r="J912" t="s">
        <v>1046</v>
      </c>
      <c r="K912" s="5">
        <v>0.8534722222222223</v>
      </c>
      <c r="L912" t="s">
        <v>28</v>
      </c>
      <c r="M912">
        <v>4.3724999999999996</v>
      </c>
      <c r="N912">
        <v>7.3</v>
      </c>
    </row>
    <row r="913" spans="1:14" x14ac:dyDescent="0.25">
      <c r="A913" t="s">
        <v>942</v>
      </c>
      <c r="B913" t="s">
        <v>20</v>
      </c>
      <c r="C913" t="s">
        <v>21</v>
      </c>
      <c r="D913" t="s">
        <v>22</v>
      </c>
      <c r="E913" t="s">
        <v>16</v>
      </c>
      <c r="F913" t="s">
        <v>23</v>
      </c>
      <c r="G913" t="s">
        <v>1036</v>
      </c>
      <c r="H913" t="s">
        <v>1041</v>
      </c>
      <c r="I913" s="1">
        <v>43484</v>
      </c>
      <c r="J913" t="s">
        <v>1044</v>
      </c>
      <c r="K913" s="5">
        <v>0.48819444444444443</v>
      </c>
      <c r="L913" t="s">
        <v>18</v>
      </c>
      <c r="M913">
        <v>11.226000000000001</v>
      </c>
      <c r="N913">
        <v>8.6</v>
      </c>
    </row>
    <row r="914" spans="1:14" x14ac:dyDescent="0.25">
      <c r="A914" t="s">
        <v>943</v>
      </c>
      <c r="B914" t="s">
        <v>13</v>
      </c>
      <c r="C914" t="s">
        <v>14</v>
      </c>
      <c r="D914" t="s">
        <v>22</v>
      </c>
      <c r="E914" t="s">
        <v>16</v>
      </c>
      <c r="F914" t="s">
        <v>27</v>
      </c>
      <c r="G914" t="s">
        <v>1038</v>
      </c>
      <c r="H914" t="s">
        <v>1042</v>
      </c>
      <c r="I914" s="1">
        <v>43503</v>
      </c>
      <c r="J914" t="s">
        <v>1044</v>
      </c>
      <c r="K914" s="5">
        <v>0.42291666666666666</v>
      </c>
      <c r="L914" t="s">
        <v>24</v>
      </c>
      <c r="M914">
        <v>37.247999999999998</v>
      </c>
      <c r="N914">
        <v>6.8</v>
      </c>
    </row>
    <row r="915" spans="1:14" x14ac:dyDescent="0.25">
      <c r="A915" t="s">
        <v>944</v>
      </c>
      <c r="B915" t="s">
        <v>13</v>
      </c>
      <c r="C915" t="s">
        <v>14</v>
      </c>
      <c r="D915" t="s">
        <v>15</v>
      </c>
      <c r="E915" t="s">
        <v>26</v>
      </c>
      <c r="F915" t="s">
        <v>41</v>
      </c>
      <c r="G915" t="s">
        <v>1037</v>
      </c>
      <c r="H915" t="s">
        <v>1041</v>
      </c>
      <c r="I915" s="1">
        <v>43496</v>
      </c>
      <c r="J915" t="s">
        <v>1044</v>
      </c>
      <c r="K915" s="5">
        <v>0.41666666666666669</v>
      </c>
      <c r="L915" t="s">
        <v>18</v>
      </c>
      <c r="M915">
        <v>20.536000000000001</v>
      </c>
      <c r="N915">
        <v>7.6</v>
      </c>
    </row>
    <row r="916" spans="1:14" x14ac:dyDescent="0.25">
      <c r="A916" t="s">
        <v>945</v>
      </c>
      <c r="B916" t="s">
        <v>13</v>
      </c>
      <c r="C916" t="s">
        <v>14</v>
      </c>
      <c r="D916" t="s">
        <v>15</v>
      </c>
      <c r="E916" t="s">
        <v>16</v>
      </c>
      <c r="F916" t="s">
        <v>39</v>
      </c>
      <c r="G916" t="s">
        <v>1034</v>
      </c>
      <c r="H916" t="s">
        <v>1042</v>
      </c>
      <c r="I916" s="1">
        <v>43521</v>
      </c>
      <c r="J916" t="s">
        <v>1046</v>
      </c>
      <c r="K916" s="5">
        <v>0.78125</v>
      </c>
      <c r="L916" t="s">
        <v>24</v>
      </c>
      <c r="M916">
        <v>14.94</v>
      </c>
      <c r="N916">
        <v>5.8</v>
      </c>
    </row>
    <row r="917" spans="1:14" x14ac:dyDescent="0.25">
      <c r="A917" t="s">
        <v>946</v>
      </c>
      <c r="B917" t="s">
        <v>20</v>
      </c>
      <c r="C917" t="s">
        <v>21</v>
      </c>
      <c r="D917" t="s">
        <v>22</v>
      </c>
      <c r="E917" t="s">
        <v>16</v>
      </c>
      <c r="F917" t="s">
        <v>23</v>
      </c>
      <c r="G917" t="s">
        <v>1038</v>
      </c>
      <c r="H917" t="s">
        <v>1042</v>
      </c>
      <c r="I917" s="1">
        <v>43498</v>
      </c>
      <c r="J917" t="s">
        <v>1045</v>
      </c>
      <c r="K917" s="5">
        <v>0.52777777777777779</v>
      </c>
      <c r="L917" t="s">
        <v>24</v>
      </c>
      <c r="M917">
        <v>10.647</v>
      </c>
      <c r="N917">
        <v>4.0999999999999996</v>
      </c>
    </row>
    <row r="918" spans="1:14" x14ac:dyDescent="0.25">
      <c r="A918" t="s">
        <v>947</v>
      </c>
      <c r="B918" t="s">
        <v>20</v>
      </c>
      <c r="C918" t="s">
        <v>21</v>
      </c>
      <c r="D918" t="s">
        <v>15</v>
      </c>
      <c r="E918" t="s">
        <v>26</v>
      </c>
      <c r="F918" t="s">
        <v>31</v>
      </c>
      <c r="G918" t="s">
        <v>1036</v>
      </c>
      <c r="H918" t="s">
        <v>1043</v>
      </c>
      <c r="I918" s="1">
        <v>43538</v>
      </c>
      <c r="J918" t="s">
        <v>1045</v>
      </c>
      <c r="K918" s="5">
        <v>0.65</v>
      </c>
      <c r="L918" t="s">
        <v>28</v>
      </c>
      <c r="M918">
        <v>2.1425000000000001</v>
      </c>
      <c r="N918">
        <v>9.3000000000000007</v>
      </c>
    </row>
    <row r="919" spans="1:14" x14ac:dyDescent="0.25">
      <c r="A919" t="s">
        <v>948</v>
      </c>
      <c r="B919" t="s">
        <v>13</v>
      </c>
      <c r="C919" t="s">
        <v>14</v>
      </c>
      <c r="D919" t="s">
        <v>22</v>
      </c>
      <c r="E919" t="s">
        <v>16</v>
      </c>
      <c r="F919" t="s">
        <v>41</v>
      </c>
      <c r="G919" t="s">
        <v>1036</v>
      </c>
      <c r="H919" t="s">
        <v>1043</v>
      </c>
      <c r="I919" s="1">
        <v>43535</v>
      </c>
      <c r="J919" t="s">
        <v>1045</v>
      </c>
      <c r="K919" s="5">
        <v>0.50277777777777777</v>
      </c>
      <c r="L919" t="s">
        <v>24</v>
      </c>
      <c r="M919">
        <v>18.934000000000001</v>
      </c>
      <c r="N919">
        <v>6.8</v>
      </c>
    </row>
    <row r="920" spans="1:14" x14ac:dyDescent="0.25">
      <c r="A920" t="s">
        <v>949</v>
      </c>
      <c r="B920" t="s">
        <v>37</v>
      </c>
      <c r="C920" t="s">
        <v>38</v>
      </c>
      <c r="D920" t="s">
        <v>22</v>
      </c>
      <c r="E920" t="s">
        <v>26</v>
      </c>
      <c r="F920" t="s">
        <v>27</v>
      </c>
      <c r="G920" t="s">
        <v>1040</v>
      </c>
      <c r="H920" t="s">
        <v>1042</v>
      </c>
      <c r="I920" s="1">
        <v>43518</v>
      </c>
      <c r="J920" t="s">
        <v>1044</v>
      </c>
      <c r="K920" s="5">
        <v>0.47638888888888892</v>
      </c>
      <c r="L920" t="s">
        <v>18</v>
      </c>
      <c r="M920">
        <v>10.345499999999999</v>
      </c>
      <c r="N920">
        <v>8.6999999999999993</v>
      </c>
    </row>
    <row r="921" spans="1:14" x14ac:dyDescent="0.25">
      <c r="A921" t="s">
        <v>950</v>
      </c>
      <c r="B921" t="s">
        <v>37</v>
      </c>
      <c r="C921" t="s">
        <v>38</v>
      </c>
      <c r="D921" t="s">
        <v>15</v>
      </c>
      <c r="E921" t="s">
        <v>16</v>
      </c>
      <c r="F921" t="s">
        <v>23</v>
      </c>
      <c r="G921" t="s">
        <v>1035</v>
      </c>
      <c r="H921" t="s">
        <v>1043</v>
      </c>
      <c r="I921" s="1">
        <v>43526</v>
      </c>
      <c r="J921" t="s">
        <v>1045</v>
      </c>
      <c r="K921" s="5">
        <v>0.52500000000000002</v>
      </c>
      <c r="L921" t="s">
        <v>18</v>
      </c>
      <c r="M921">
        <v>3.9390000000000001</v>
      </c>
      <c r="N921">
        <v>6.3</v>
      </c>
    </row>
    <row r="922" spans="1:14" x14ac:dyDescent="0.25">
      <c r="A922" t="s">
        <v>951</v>
      </c>
      <c r="B922" t="s">
        <v>20</v>
      </c>
      <c r="C922" t="s">
        <v>21</v>
      </c>
      <c r="D922" t="s">
        <v>15</v>
      </c>
      <c r="E922" t="s">
        <v>16</v>
      </c>
      <c r="F922" t="s">
        <v>27</v>
      </c>
      <c r="G922" t="s">
        <v>1036</v>
      </c>
      <c r="H922" t="s">
        <v>1043</v>
      </c>
      <c r="I922" s="1">
        <v>43534</v>
      </c>
      <c r="J922" t="s">
        <v>1045</v>
      </c>
      <c r="K922" s="5">
        <v>0.62916666666666665</v>
      </c>
      <c r="L922" t="s">
        <v>28</v>
      </c>
      <c r="M922">
        <v>16.105499999999999</v>
      </c>
      <c r="N922">
        <v>5.0999999999999996</v>
      </c>
    </row>
    <row r="923" spans="1:14" x14ac:dyDescent="0.25">
      <c r="A923" t="s">
        <v>952</v>
      </c>
      <c r="B923" t="s">
        <v>37</v>
      </c>
      <c r="C923" t="s">
        <v>38</v>
      </c>
      <c r="D923" t="s">
        <v>22</v>
      </c>
      <c r="E923" t="s">
        <v>16</v>
      </c>
      <c r="F923" t="s">
        <v>27</v>
      </c>
      <c r="G923" t="s">
        <v>1038</v>
      </c>
      <c r="H923" t="s">
        <v>1042</v>
      </c>
      <c r="I923" s="1">
        <v>43504</v>
      </c>
      <c r="J923" t="s">
        <v>1044</v>
      </c>
      <c r="K923" s="5">
        <v>0.45694444444444443</v>
      </c>
      <c r="L923" t="s">
        <v>24</v>
      </c>
      <c r="M923">
        <v>4.9109999999999996</v>
      </c>
      <c r="N923">
        <v>7</v>
      </c>
    </row>
    <row r="924" spans="1:14" x14ac:dyDescent="0.25">
      <c r="A924" t="s">
        <v>953</v>
      </c>
      <c r="B924" t="s">
        <v>20</v>
      </c>
      <c r="C924" t="s">
        <v>21</v>
      </c>
      <c r="D924" t="s">
        <v>15</v>
      </c>
      <c r="E924" t="s">
        <v>16</v>
      </c>
      <c r="F924" t="s">
        <v>27</v>
      </c>
      <c r="G924" t="s">
        <v>1040</v>
      </c>
      <c r="H924" t="s">
        <v>1042</v>
      </c>
      <c r="I924" s="1">
        <v>43518</v>
      </c>
      <c r="J924" t="s">
        <v>1045</v>
      </c>
      <c r="K924" s="5">
        <v>0.50694444444444442</v>
      </c>
      <c r="L924" t="s">
        <v>28</v>
      </c>
      <c r="M924">
        <v>1.2729999999999999</v>
      </c>
      <c r="N924">
        <v>5.2</v>
      </c>
    </row>
    <row r="925" spans="1:14" x14ac:dyDescent="0.25">
      <c r="A925" t="s">
        <v>954</v>
      </c>
      <c r="B925" t="s">
        <v>20</v>
      </c>
      <c r="C925" t="s">
        <v>21</v>
      </c>
      <c r="D925" t="s">
        <v>22</v>
      </c>
      <c r="E925" t="s">
        <v>16</v>
      </c>
      <c r="F925" t="s">
        <v>31</v>
      </c>
      <c r="G925" t="s">
        <v>1034</v>
      </c>
      <c r="H925" t="s">
        <v>1041</v>
      </c>
      <c r="I925" s="1">
        <v>43475</v>
      </c>
      <c r="J925" t="s">
        <v>1044</v>
      </c>
      <c r="K925" s="5">
        <v>0.4381944444444445</v>
      </c>
      <c r="L925" t="s">
        <v>28</v>
      </c>
      <c r="M925">
        <v>29.099</v>
      </c>
      <c r="N925">
        <v>6.6</v>
      </c>
    </row>
    <row r="926" spans="1:14" x14ac:dyDescent="0.25">
      <c r="A926" t="s">
        <v>955</v>
      </c>
      <c r="B926" t="s">
        <v>20</v>
      </c>
      <c r="C926" t="s">
        <v>21</v>
      </c>
      <c r="D926" t="s">
        <v>15</v>
      </c>
      <c r="E926" t="s">
        <v>16</v>
      </c>
      <c r="F926" t="s">
        <v>31</v>
      </c>
      <c r="G926" t="s">
        <v>1036</v>
      </c>
      <c r="H926" t="s">
        <v>1043</v>
      </c>
      <c r="I926" s="1">
        <v>43538</v>
      </c>
      <c r="J926" t="s">
        <v>1045</v>
      </c>
      <c r="K926" s="5">
        <v>0.5756944444444444</v>
      </c>
      <c r="L926" t="s">
        <v>18</v>
      </c>
      <c r="M926">
        <v>10.566000000000001</v>
      </c>
      <c r="N926">
        <v>6.5</v>
      </c>
    </row>
    <row r="927" spans="1:14" x14ac:dyDescent="0.25">
      <c r="A927" t="s">
        <v>956</v>
      </c>
      <c r="B927" t="s">
        <v>37</v>
      </c>
      <c r="C927" t="s">
        <v>38</v>
      </c>
      <c r="D927" t="s">
        <v>22</v>
      </c>
      <c r="E927" t="s">
        <v>16</v>
      </c>
      <c r="F927" t="s">
        <v>23</v>
      </c>
      <c r="G927" t="s">
        <v>1034</v>
      </c>
      <c r="H927" t="s">
        <v>1041</v>
      </c>
      <c r="I927" s="1">
        <v>43475</v>
      </c>
      <c r="J927" t="s">
        <v>1044</v>
      </c>
      <c r="K927" s="5">
        <v>0.46527777777777773</v>
      </c>
      <c r="L927" t="s">
        <v>18</v>
      </c>
      <c r="M927">
        <v>2.7559999999999998</v>
      </c>
      <c r="N927">
        <v>9</v>
      </c>
    </row>
    <row r="928" spans="1:14" x14ac:dyDescent="0.25">
      <c r="A928" t="s">
        <v>957</v>
      </c>
      <c r="B928" t="s">
        <v>37</v>
      </c>
      <c r="C928" t="s">
        <v>38</v>
      </c>
      <c r="D928" t="s">
        <v>15</v>
      </c>
      <c r="E928" t="s">
        <v>26</v>
      </c>
      <c r="F928" t="s">
        <v>31</v>
      </c>
      <c r="G928" t="s">
        <v>1039</v>
      </c>
      <c r="H928" t="s">
        <v>1042</v>
      </c>
      <c r="I928" s="1">
        <v>43511</v>
      </c>
      <c r="J928" t="s">
        <v>1046</v>
      </c>
      <c r="K928" s="5">
        <v>0.73472222222222217</v>
      </c>
      <c r="L928" t="s">
        <v>28</v>
      </c>
      <c r="M928">
        <v>4.4154999999999998</v>
      </c>
      <c r="N928">
        <v>5.2</v>
      </c>
    </row>
    <row r="929" spans="1:14" x14ac:dyDescent="0.25">
      <c r="A929" t="s">
        <v>958</v>
      </c>
      <c r="B929" t="s">
        <v>13</v>
      </c>
      <c r="C929" t="s">
        <v>14</v>
      </c>
      <c r="D929" t="s">
        <v>15</v>
      </c>
      <c r="E929" t="s">
        <v>16</v>
      </c>
      <c r="F929" t="s">
        <v>17</v>
      </c>
      <c r="G929" t="s">
        <v>1035</v>
      </c>
      <c r="H929" t="s">
        <v>1041</v>
      </c>
      <c r="I929" s="1">
        <v>43478</v>
      </c>
      <c r="J929" t="s">
        <v>1046</v>
      </c>
      <c r="K929" s="5">
        <v>0.74583333333333324</v>
      </c>
      <c r="L929" t="s">
        <v>28</v>
      </c>
      <c r="M929">
        <v>17.829000000000001</v>
      </c>
      <c r="N929">
        <v>6.8</v>
      </c>
    </row>
    <row r="930" spans="1:14" x14ac:dyDescent="0.25">
      <c r="A930" t="s">
        <v>959</v>
      </c>
      <c r="B930" t="s">
        <v>37</v>
      </c>
      <c r="C930" t="s">
        <v>38</v>
      </c>
      <c r="D930" t="s">
        <v>22</v>
      </c>
      <c r="E930" t="s">
        <v>16</v>
      </c>
      <c r="F930" t="s">
        <v>23</v>
      </c>
      <c r="G930" t="s">
        <v>1039</v>
      </c>
      <c r="H930" t="s">
        <v>1042</v>
      </c>
      <c r="I930" s="1">
        <v>43511</v>
      </c>
      <c r="J930" t="s">
        <v>1046</v>
      </c>
      <c r="K930" s="5">
        <v>0.86875000000000002</v>
      </c>
      <c r="L930" t="s">
        <v>28</v>
      </c>
      <c r="M930">
        <v>39.712499999999999</v>
      </c>
      <c r="N930">
        <v>7.6</v>
      </c>
    </row>
    <row r="931" spans="1:14" x14ac:dyDescent="0.25">
      <c r="A931" t="s">
        <v>960</v>
      </c>
      <c r="B931" t="s">
        <v>37</v>
      </c>
      <c r="C931" t="s">
        <v>38</v>
      </c>
      <c r="D931" t="s">
        <v>22</v>
      </c>
      <c r="E931" t="s">
        <v>26</v>
      </c>
      <c r="F931" t="s">
        <v>31</v>
      </c>
      <c r="G931" t="s">
        <v>1035</v>
      </c>
      <c r="H931" t="s">
        <v>1043</v>
      </c>
      <c r="I931" s="1">
        <v>43526</v>
      </c>
      <c r="J931" t="s">
        <v>1046</v>
      </c>
      <c r="K931" s="5">
        <v>0.80972222222222223</v>
      </c>
      <c r="L931" t="s">
        <v>18</v>
      </c>
      <c r="M931">
        <v>2.5310000000000001</v>
      </c>
      <c r="N931">
        <v>7.2</v>
      </c>
    </row>
    <row r="932" spans="1:14" x14ac:dyDescent="0.25">
      <c r="A932" t="s">
        <v>961</v>
      </c>
      <c r="B932" t="s">
        <v>37</v>
      </c>
      <c r="C932" t="s">
        <v>38</v>
      </c>
      <c r="D932" t="s">
        <v>22</v>
      </c>
      <c r="E932" t="s">
        <v>26</v>
      </c>
      <c r="F932" t="s">
        <v>27</v>
      </c>
      <c r="G932" t="s">
        <v>1038</v>
      </c>
      <c r="H932" t="s">
        <v>1043</v>
      </c>
      <c r="I932" s="1">
        <v>43548</v>
      </c>
      <c r="J932" t="s">
        <v>1045</v>
      </c>
      <c r="K932" s="5">
        <v>0.56458333333333333</v>
      </c>
      <c r="L932" t="s">
        <v>18</v>
      </c>
      <c r="M932">
        <v>29.975999999999999</v>
      </c>
      <c r="N932">
        <v>7.1</v>
      </c>
    </row>
    <row r="933" spans="1:14" x14ac:dyDescent="0.25">
      <c r="A933" t="s">
        <v>962</v>
      </c>
      <c r="B933" t="s">
        <v>20</v>
      </c>
      <c r="C933" t="s">
        <v>21</v>
      </c>
      <c r="D933" t="s">
        <v>15</v>
      </c>
      <c r="E933" t="s">
        <v>16</v>
      </c>
      <c r="F933" t="s">
        <v>41</v>
      </c>
      <c r="G933" t="s">
        <v>1038</v>
      </c>
      <c r="H933" t="s">
        <v>1042</v>
      </c>
      <c r="I933" s="1">
        <v>43498</v>
      </c>
      <c r="J933" t="s">
        <v>1045</v>
      </c>
      <c r="K933" s="5">
        <v>0.58680555555555558</v>
      </c>
      <c r="L933" t="s">
        <v>28</v>
      </c>
      <c r="M933">
        <v>8.3350000000000009</v>
      </c>
      <c r="N933">
        <v>9.5</v>
      </c>
    </row>
    <row r="934" spans="1:14" x14ac:dyDescent="0.25">
      <c r="A934" t="s">
        <v>963</v>
      </c>
      <c r="B934" t="s">
        <v>13</v>
      </c>
      <c r="C934" t="s">
        <v>14</v>
      </c>
      <c r="D934" t="s">
        <v>22</v>
      </c>
      <c r="E934" t="s">
        <v>16</v>
      </c>
      <c r="F934" t="s">
        <v>39</v>
      </c>
      <c r="G934" t="s">
        <v>1034</v>
      </c>
      <c r="H934" t="s">
        <v>1042</v>
      </c>
      <c r="I934" s="1">
        <v>43523</v>
      </c>
      <c r="J934" t="s">
        <v>1044</v>
      </c>
      <c r="K934" s="5">
        <v>0.4861111111111111</v>
      </c>
      <c r="L934" t="s">
        <v>18</v>
      </c>
      <c r="M934">
        <v>37.22</v>
      </c>
      <c r="N934">
        <v>5.0999999999999996</v>
      </c>
    </row>
    <row r="935" spans="1:14" x14ac:dyDescent="0.25">
      <c r="A935" t="s">
        <v>964</v>
      </c>
      <c r="B935" t="s">
        <v>20</v>
      </c>
      <c r="C935" t="s">
        <v>21</v>
      </c>
      <c r="D935" t="s">
        <v>22</v>
      </c>
      <c r="E935" t="s">
        <v>26</v>
      </c>
      <c r="F935" t="s">
        <v>17</v>
      </c>
      <c r="G935" t="s">
        <v>1036</v>
      </c>
      <c r="H935" t="s">
        <v>1041</v>
      </c>
      <c r="I935" s="1">
        <v>43485</v>
      </c>
      <c r="J935" t="s">
        <v>1045</v>
      </c>
      <c r="K935" s="5">
        <v>0.51874999999999993</v>
      </c>
      <c r="L935" t="s">
        <v>18</v>
      </c>
      <c r="M935">
        <v>22.428000000000001</v>
      </c>
      <c r="N935">
        <v>7.6</v>
      </c>
    </row>
    <row r="936" spans="1:14" x14ac:dyDescent="0.25">
      <c r="A936" t="s">
        <v>965</v>
      </c>
      <c r="B936" t="s">
        <v>37</v>
      </c>
      <c r="C936" t="s">
        <v>38</v>
      </c>
      <c r="D936" t="s">
        <v>22</v>
      </c>
      <c r="E936" t="s">
        <v>16</v>
      </c>
      <c r="F936" t="s">
        <v>27</v>
      </c>
      <c r="G936" t="s">
        <v>1040</v>
      </c>
      <c r="H936" t="s">
        <v>1041</v>
      </c>
      <c r="I936" s="1">
        <v>43468</v>
      </c>
      <c r="J936" t="s">
        <v>1046</v>
      </c>
      <c r="K936" s="5">
        <v>0.85</v>
      </c>
      <c r="L936" t="s">
        <v>18</v>
      </c>
      <c r="M936">
        <v>18.945</v>
      </c>
      <c r="N936">
        <v>9.8000000000000007</v>
      </c>
    </row>
    <row r="937" spans="1:14" x14ac:dyDescent="0.25">
      <c r="A937" t="s">
        <v>966</v>
      </c>
      <c r="B937" t="s">
        <v>20</v>
      </c>
      <c r="C937" t="s">
        <v>21</v>
      </c>
      <c r="D937" t="s">
        <v>15</v>
      </c>
      <c r="E937" t="s">
        <v>26</v>
      </c>
      <c r="F937" t="s">
        <v>27</v>
      </c>
      <c r="G937" t="s">
        <v>1036</v>
      </c>
      <c r="H937" t="s">
        <v>1041</v>
      </c>
      <c r="I937" s="1">
        <v>43489</v>
      </c>
      <c r="J937" t="s">
        <v>1046</v>
      </c>
      <c r="K937" s="5">
        <v>0.87430555555555556</v>
      </c>
      <c r="L937" t="s">
        <v>18</v>
      </c>
      <c r="M937">
        <v>12.858000000000001</v>
      </c>
      <c r="N937">
        <v>5.0999999999999996</v>
      </c>
    </row>
    <row r="938" spans="1:14" x14ac:dyDescent="0.25">
      <c r="A938" t="s">
        <v>967</v>
      </c>
      <c r="B938" t="s">
        <v>20</v>
      </c>
      <c r="C938" t="s">
        <v>21</v>
      </c>
      <c r="D938" t="s">
        <v>22</v>
      </c>
      <c r="E938" t="s">
        <v>16</v>
      </c>
      <c r="F938" t="s">
        <v>17</v>
      </c>
      <c r="G938" t="s">
        <v>1034</v>
      </c>
      <c r="H938" t="s">
        <v>1041</v>
      </c>
      <c r="I938" s="1">
        <v>43470</v>
      </c>
      <c r="J938" t="s">
        <v>1046</v>
      </c>
      <c r="K938" s="5">
        <v>0.82500000000000007</v>
      </c>
      <c r="L938" t="s">
        <v>18</v>
      </c>
      <c r="M938">
        <v>27.611499999999999</v>
      </c>
      <c r="N938">
        <v>7.5</v>
      </c>
    </row>
    <row r="939" spans="1:14" x14ac:dyDescent="0.25">
      <c r="A939" t="s">
        <v>968</v>
      </c>
      <c r="B939" t="s">
        <v>13</v>
      </c>
      <c r="C939" t="s">
        <v>14</v>
      </c>
      <c r="D939" t="s">
        <v>22</v>
      </c>
      <c r="E939" t="s">
        <v>16</v>
      </c>
      <c r="F939" t="s">
        <v>31</v>
      </c>
      <c r="G939" t="s">
        <v>1039</v>
      </c>
      <c r="H939" t="s">
        <v>1043</v>
      </c>
      <c r="I939" s="1">
        <v>43554</v>
      </c>
      <c r="J939" t="s">
        <v>1044</v>
      </c>
      <c r="K939" s="5">
        <v>0.4291666666666667</v>
      </c>
      <c r="L939" t="s">
        <v>24</v>
      </c>
      <c r="M939">
        <v>22.37</v>
      </c>
      <c r="N939">
        <v>7.4</v>
      </c>
    </row>
    <row r="940" spans="1:14" x14ac:dyDescent="0.25">
      <c r="A940" t="s">
        <v>969</v>
      </c>
      <c r="B940" t="s">
        <v>13</v>
      </c>
      <c r="C940" t="s">
        <v>14</v>
      </c>
      <c r="D940" t="s">
        <v>15</v>
      </c>
      <c r="E940" t="s">
        <v>16</v>
      </c>
      <c r="F940" t="s">
        <v>17</v>
      </c>
      <c r="G940" t="s">
        <v>1040</v>
      </c>
      <c r="H940" t="s">
        <v>1042</v>
      </c>
      <c r="I940" s="1">
        <v>43513</v>
      </c>
      <c r="J940" t="s">
        <v>1046</v>
      </c>
      <c r="K940" s="5">
        <v>0.68541666666666667</v>
      </c>
      <c r="L940" t="s">
        <v>24</v>
      </c>
      <c r="M940">
        <v>13.813499999999999</v>
      </c>
      <c r="N940">
        <v>4.2</v>
      </c>
    </row>
    <row r="941" spans="1:14" x14ac:dyDescent="0.25">
      <c r="A941" t="s">
        <v>970</v>
      </c>
      <c r="B941" t="s">
        <v>20</v>
      </c>
      <c r="C941" t="s">
        <v>21</v>
      </c>
      <c r="D941" t="s">
        <v>22</v>
      </c>
      <c r="E941" t="s">
        <v>16</v>
      </c>
      <c r="F941" t="s">
        <v>39</v>
      </c>
      <c r="G941" t="s">
        <v>1037</v>
      </c>
      <c r="H941" t="s">
        <v>1043</v>
      </c>
      <c r="I941" s="1">
        <v>43545</v>
      </c>
      <c r="J941" t="s">
        <v>1046</v>
      </c>
      <c r="K941" s="5">
        <v>0.71111111111111114</v>
      </c>
      <c r="L941" t="s">
        <v>18</v>
      </c>
      <c r="M941">
        <v>17.187000000000001</v>
      </c>
      <c r="N941">
        <v>5.9</v>
      </c>
    </row>
    <row r="942" spans="1:14" x14ac:dyDescent="0.25">
      <c r="A942" t="s">
        <v>971</v>
      </c>
      <c r="B942" t="s">
        <v>13</v>
      </c>
      <c r="C942" t="s">
        <v>14</v>
      </c>
      <c r="D942" t="s">
        <v>22</v>
      </c>
      <c r="E942" t="s">
        <v>26</v>
      </c>
      <c r="F942" t="s">
        <v>39</v>
      </c>
      <c r="G942" t="s">
        <v>1035</v>
      </c>
      <c r="H942" t="s">
        <v>1043</v>
      </c>
      <c r="I942" s="1">
        <v>43526</v>
      </c>
      <c r="J942" t="s">
        <v>1046</v>
      </c>
      <c r="K942" s="5">
        <v>0.7597222222222223</v>
      </c>
      <c r="L942" t="s">
        <v>18</v>
      </c>
      <c r="M942">
        <v>13.304</v>
      </c>
      <c r="N942">
        <v>6.9</v>
      </c>
    </row>
    <row r="943" spans="1:14" x14ac:dyDescent="0.25">
      <c r="A943" t="s">
        <v>972</v>
      </c>
      <c r="B943" t="s">
        <v>20</v>
      </c>
      <c r="C943" t="s">
        <v>21</v>
      </c>
      <c r="D943" t="s">
        <v>15</v>
      </c>
      <c r="E943" t="s">
        <v>26</v>
      </c>
      <c r="F943" t="s">
        <v>41</v>
      </c>
      <c r="G943" t="s">
        <v>1038</v>
      </c>
      <c r="H943" t="s">
        <v>1043</v>
      </c>
      <c r="I943" s="1">
        <v>43551</v>
      </c>
      <c r="J943" t="s">
        <v>1044</v>
      </c>
      <c r="K943" s="5">
        <v>0.4465277777777778</v>
      </c>
      <c r="L943" t="s">
        <v>24</v>
      </c>
      <c r="M943">
        <v>44.918999999999997</v>
      </c>
      <c r="N943">
        <v>6.6</v>
      </c>
    </row>
    <row r="944" spans="1:14" x14ac:dyDescent="0.25">
      <c r="A944" t="s">
        <v>973</v>
      </c>
      <c r="B944" t="s">
        <v>13</v>
      </c>
      <c r="C944" t="s">
        <v>14</v>
      </c>
      <c r="D944" t="s">
        <v>22</v>
      </c>
      <c r="E944" t="s">
        <v>16</v>
      </c>
      <c r="F944" t="s">
        <v>27</v>
      </c>
      <c r="G944" t="s">
        <v>1036</v>
      </c>
      <c r="H944" t="s">
        <v>1041</v>
      </c>
      <c r="I944" s="1">
        <v>43484</v>
      </c>
      <c r="J944" t="s">
        <v>1046</v>
      </c>
      <c r="K944" s="5">
        <v>0.8125</v>
      </c>
      <c r="L944" t="s">
        <v>18</v>
      </c>
      <c r="M944">
        <v>22.84</v>
      </c>
      <c r="N944">
        <v>5.7</v>
      </c>
    </row>
    <row r="945" spans="1:14" x14ac:dyDescent="0.25">
      <c r="A945" t="s">
        <v>974</v>
      </c>
      <c r="B945" t="s">
        <v>13</v>
      </c>
      <c r="C945" t="s">
        <v>14</v>
      </c>
      <c r="D945" t="s">
        <v>22</v>
      </c>
      <c r="E945" t="s">
        <v>26</v>
      </c>
      <c r="F945" t="s">
        <v>17</v>
      </c>
      <c r="G945" t="s">
        <v>1040</v>
      </c>
      <c r="H945" t="s">
        <v>1042</v>
      </c>
      <c r="I945" s="1">
        <v>43515</v>
      </c>
      <c r="J945" t="s">
        <v>1045</v>
      </c>
      <c r="K945" s="5">
        <v>0.62013888888888891</v>
      </c>
      <c r="L945" t="s">
        <v>28</v>
      </c>
      <c r="M945">
        <v>12.6975</v>
      </c>
      <c r="N945">
        <v>5.3</v>
      </c>
    </row>
    <row r="946" spans="1:14" x14ac:dyDescent="0.25">
      <c r="A946" t="s">
        <v>975</v>
      </c>
      <c r="B946" t="s">
        <v>13</v>
      </c>
      <c r="C946" t="s">
        <v>14</v>
      </c>
      <c r="D946" t="s">
        <v>15</v>
      </c>
      <c r="E946" t="s">
        <v>26</v>
      </c>
      <c r="F946" t="s">
        <v>17</v>
      </c>
      <c r="G946" t="s">
        <v>1038</v>
      </c>
      <c r="H946" t="s">
        <v>1043</v>
      </c>
      <c r="I946" s="1">
        <v>43552</v>
      </c>
      <c r="J946" t="s">
        <v>1046</v>
      </c>
      <c r="K946" s="5">
        <v>0.84305555555555556</v>
      </c>
      <c r="L946" t="s">
        <v>24</v>
      </c>
      <c r="M946">
        <v>3.528</v>
      </c>
      <c r="N946">
        <v>4.2</v>
      </c>
    </row>
    <row r="947" spans="1:14" x14ac:dyDescent="0.25">
      <c r="A947" t="s">
        <v>976</v>
      </c>
      <c r="B947" t="s">
        <v>13</v>
      </c>
      <c r="C947" t="s">
        <v>14</v>
      </c>
      <c r="D947" t="s">
        <v>22</v>
      </c>
      <c r="E947" t="s">
        <v>16</v>
      </c>
      <c r="F947" t="s">
        <v>23</v>
      </c>
      <c r="G947" t="s">
        <v>1034</v>
      </c>
      <c r="H947" t="s">
        <v>1041</v>
      </c>
      <c r="I947" s="1">
        <v>43470</v>
      </c>
      <c r="J947" t="s">
        <v>1044</v>
      </c>
      <c r="K947" s="5">
        <v>0.49374999999999997</v>
      </c>
      <c r="L947" t="s">
        <v>28</v>
      </c>
      <c r="M947">
        <v>32.857999999999997</v>
      </c>
      <c r="N947">
        <v>7.3</v>
      </c>
    </row>
    <row r="948" spans="1:14" x14ac:dyDescent="0.25">
      <c r="A948" t="s">
        <v>977</v>
      </c>
      <c r="B948" t="s">
        <v>20</v>
      </c>
      <c r="C948" t="s">
        <v>21</v>
      </c>
      <c r="D948" t="s">
        <v>15</v>
      </c>
      <c r="E948" t="s">
        <v>26</v>
      </c>
      <c r="F948" t="s">
        <v>23</v>
      </c>
      <c r="G948" t="s">
        <v>1038</v>
      </c>
      <c r="H948" t="s">
        <v>1043</v>
      </c>
      <c r="I948" s="1">
        <v>43550</v>
      </c>
      <c r="J948" t="s">
        <v>1045</v>
      </c>
      <c r="K948" s="5">
        <v>0.59236111111111112</v>
      </c>
      <c r="L948" t="s">
        <v>28</v>
      </c>
      <c r="M948">
        <v>8.4250000000000007</v>
      </c>
      <c r="N948">
        <v>5.3</v>
      </c>
    </row>
    <row r="949" spans="1:14" x14ac:dyDescent="0.25">
      <c r="A949" t="s">
        <v>978</v>
      </c>
      <c r="B949" t="s">
        <v>37</v>
      </c>
      <c r="C949" t="s">
        <v>38</v>
      </c>
      <c r="D949" t="s">
        <v>15</v>
      </c>
      <c r="E949" t="s">
        <v>26</v>
      </c>
      <c r="F949" t="s">
        <v>41</v>
      </c>
      <c r="G949" t="s">
        <v>1038</v>
      </c>
      <c r="H949" t="s">
        <v>1042</v>
      </c>
      <c r="I949" s="1">
        <v>43499</v>
      </c>
      <c r="J949" t="s">
        <v>1046</v>
      </c>
      <c r="K949" s="5">
        <v>0.84236111111111101</v>
      </c>
      <c r="L949" t="s">
        <v>18</v>
      </c>
      <c r="M949">
        <v>2.6890000000000001</v>
      </c>
      <c r="N949">
        <v>4.7</v>
      </c>
    </row>
    <row r="950" spans="1:14" x14ac:dyDescent="0.25">
      <c r="A950" t="s">
        <v>979</v>
      </c>
      <c r="B950" t="s">
        <v>20</v>
      </c>
      <c r="C950" t="s">
        <v>21</v>
      </c>
      <c r="D950" t="s">
        <v>15</v>
      </c>
      <c r="E950" t="s">
        <v>26</v>
      </c>
      <c r="F950" t="s">
        <v>27</v>
      </c>
      <c r="G950" t="s">
        <v>1038</v>
      </c>
      <c r="H950" t="s">
        <v>1042</v>
      </c>
      <c r="I950" s="1">
        <v>43502</v>
      </c>
      <c r="J950" t="s">
        <v>1046</v>
      </c>
      <c r="K950" s="5">
        <v>0.78055555555555556</v>
      </c>
      <c r="L950" t="s">
        <v>18</v>
      </c>
      <c r="M950">
        <v>8.9525000000000006</v>
      </c>
      <c r="N950">
        <v>7.9</v>
      </c>
    </row>
    <row r="951" spans="1:14" x14ac:dyDescent="0.25">
      <c r="A951" t="s">
        <v>980</v>
      </c>
      <c r="B951" t="s">
        <v>37</v>
      </c>
      <c r="C951" t="s">
        <v>38</v>
      </c>
      <c r="D951" t="s">
        <v>22</v>
      </c>
      <c r="E951" t="s">
        <v>16</v>
      </c>
      <c r="F951" t="s">
        <v>39</v>
      </c>
      <c r="G951" t="s">
        <v>1034</v>
      </c>
      <c r="H951" t="s">
        <v>1042</v>
      </c>
      <c r="I951" s="1">
        <v>43520</v>
      </c>
      <c r="J951" t="s">
        <v>1045</v>
      </c>
      <c r="K951" s="5">
        <v>0.60138888888888886</v>
      </c>
      <c r="L951" t="s">
        <v>18</v>
      </c>
      <c r="M951">
        <v>10.571999999999999</v>
      </c>
      <c r="N951">
        <v>8.9</v>
      </c>
    </row>
    <row r="952" spans="1:14" x14ac:dyDescent="0.25">
      <c r="A952" t="s">
        <v>981</v>
      </c>
      <c r="B952" t="s">
        <v>37</v>
      </c>
      <c r="C952" t="s">
        <v>38</v>
      </c>
      <c r="D952" t="s">
        <v>15</v>
      </c>
      <c r="E952" t="s">
        <v>26</v>
      </c>
      <c r="F952" t="s">
        <v>17</v>
      </c>
      <c r="G952" t="s">
        <v>1040</v>
      </c>
      <c r="H952" t="s">
        <v>1042</v>
      </c>
      <c r="I952" s="1">
        <v>43517</v>
      </c>
      <c r="J952" t="s">
        <v>1045</v>
      </c>
      <c r="K952" s="5">
        <v>0.52777777777777779</v>
      </c>
      <c r="L952" t="s">
        <v>18</v>
      </c>
      <c r="M952">
        <v>5.9865000000000004</v>
      </c>
      <c r="N952">
        <v>9.3000000000000007</v>
      </c>
    </row>
    <row r="953" spans="1:14" x14ac:dyDescent="0.25">
      <c r="A953" t="s">
        <v>982</v>
      </c>
      <c r="B953" t="s">
        <v>37</v>
      </c>
      <c r="C953" t="s">
        <v>38</v>
      </c>
      <c r="D953" t="s">
        <v>15</v>
      </c>
      <c r="E953" t="s">
        <v>16</v>
      </c>
      <c r="F953" t="s">
        <v>27</v>
      </c>
      <c r="G953" t="s">
        <v>1034</v>
      </c>
      <c r="H953" t="s">
        <v>1041</v>
      </c>
      <c r="I953" s="1">
        <v>43474</v>
      </c>
      <c r="J953" t="s">
        <v>1046</v>
      </c>
      <c r="K953" s="5">
        <v>0.77986111111111101</v>
      </c>
      <c r="L953" t="s">
        <v>18</v>
      </c>
      <c r="M953">
        <v>3.2850000000000001</v>
      </c>
      <c r="N953">
        <v>4.7</v>
      </c>
    </row>
    <row r="954" spans="1:14" x14ac:dyDescent="0.25">
      <c r="A954" t="s">
        <v>983</v>
      </c>
      <c r="B954" t="s">
        <v>37</v>
      </c>
      <c r="C954" t="s">
        <v>38</v>
      </c>
      <c r="D954" t="s">
        <v>15</v>
      </c>
      <c r="E954" t="s">
        <v>16</v>
      </c>
      <c r="F954" t="s">
        <v>39</v>
      </c>
      <c r="G954" t="s">
        <v>1034</v>
      </c>
      <c r="H954" t="s">
        <v>1042</v>
      </c>
      <c r="I954" s="1">
        <v>43521</v>
      </c>
      <c r="J954" t="s">
        <v>1045</v>
      </c>
      <c r="K954" s="5">
        <v>0.55694444444444446</v>
      </c>
      <c r="L954" t="s">
        <v>18</v>
      </c>
      <c r="M954">
        <v>12.57</v>
      </c>
      <c r="N954">
        <v>8.6999999999999993</v>
      </c>
    </row>
    <row r="955" spans="1:14" x14ac:dyDescent="0.25">
      <c r="A955" t="s">
        <v>984</v>
      </c>
      <c r="B955" t="s">
        <v>20</v>
      </c>
      <c r="C955" t="s">
        <v>21</v>
      </c>
      <c r="D955" t="s">
        <v>15</v>
      </c>
      <c r="E955" t="s">
        <v>16</v>
      </c>
      <c r="F955" t="s">
        <v>39</v>
      </c>
      <c r="G955" t="s">
        <v>1035</v>
      </c>
      <c r="H955" t="s">
        <v>1041</v>
      </c>
      <c r="I955" s="1">
        <v>43478</v>
      </c>
      <c r="J955" t="s">
        <v>1045</v>
      </c>
      <c r="K955" s="5">
        <v>0.58194444444444449</v>
      </c>
      <c r="L955" t="s">
        <v>24</v>
      </c>
      <c r="M955">
        <v>4.2080000000000002</v>
      </c>
      <c r="N955">
        <v>7.6</v>
      </c>
    </row>
    <row r="956" spans="1:14" x14ac:dyDescent="0.25">
      <c r="A956" t="s">
        <v>985</v>
      </c>
      <c r="B956" t="s">
        <v>37</v>
      </c>
      <c r="C956" t="s">
        <v>38</v>
      </c>
      <c r="D956" t="s">
        <v>15</v>
      </c>
      <c r="E956" t="s">
        <v>26</v>
      </c>
      <c r="F956" t="s">
        <v>27</v>
      </c>
      <c r="G956" t="s">
        <v>1039</v>
      </c>
      <c r="H956" t="s">
        <v>1042</v>
      </c>
      <c r="I956" s="1">
        <v>43505</v>
      </c>
      <c r="J956" t="s">
        <v>1044</v>
      </c>
      <c r="K956" s="5">
        <v>0.48958333333333331</v>
      </c>
      <c r="L956" t="s">
        <v>24</v>
      </c>
      <c r="M956">
        <v>19.773</v>
      </c>
      <c r="N956">
        <v>5.7</v>
      </c>
    </row>
    <row r="957" spans="1:14" x14ac:dyDescent="0.25">
      <c r="A957" t="s">
        <v>986</v>
      </c>
      <c r="B957" t="s">
        <v>13</v>
      </c>
      <c r="C957" t="s">
        <v>14</v>
      </c>
      <c r="D957" t="s">
        <v>22</v>
      </c>
      <c r="E957" t="s">
        <v>16</v>
      </c>
      <c r="F957" t="s">
        <v>41</v>
      </c>
      <c r="G957" t="s">
        <v>1034</v>
      </c>
      <c r="H957" t="s">
        <v>1041</v>
      </c>
      <c r="I957" s="1">
        <v>43471</v>
      </c>
      <c r="J957" t="s">
        <v>1044</v>
      </c>
      <c r="K957" s="5">
        <v>0.49374999999999997</v>
      </c>
      <c r="L957" t="s">
        <v>24</v>
      </c>
      <c r="M957">
        <v>14.8995</v>
      </c>
      <c r="N957">
        <v>6.8</v>
      </c>
    </row>
    <row r="958" spans="1:14" x14ac:dyDescent="0.25">
      <c r="A958" t="s">
        <v>987</v>
      </c>
      <c r="B958" t="s">
        <v>20</v>
      </c>
      <c r="C958" t="s">
        <v>21</v>
      </c>
      <c r="D958" t="s">
        <v>15</v>
      </c>
      <c r="E958" t="s">
        <v>26</v>
      </c>
      <c r="F958" t="s">
        <v>39</v>
      </c>
      <c r="G958" t="s">
        <v>1034</v>
      </c>
      <c r="H958" t="s">
        <v>1041</v>
      </c>
      <c r="I958" s="1">
        <v>43475</v>
      </c>
      <c r="J958" t="s">
        <v>1046</v>
      </c>
      <c r="K958" s="5">
        <v>0.71944444444444444</v>
      </c>
      <c r="L958" t="s">
        <v>24</v>
      </c>
      <c r="M958">
        <v>22.720500000000001</v>
      </c>
      <c r="N958">
        <v>5.4</v>
      </c>
    </row>
    <row r="959" spans="1:14" x14ac:dyDescent="0.25">
      <c r="A959" t="s">
        <v>988</v>
      </c>
      <c r="B959" t="s">
        <v>37</v>
      </c>
      <c r="C959" t="s">
        <v>38</v>
      </c>
      <c r="D959" t="s">
        <v>22</v>
      </c>
      <c r="E959" t="s">
        <v>26</v>
      </c>
      <c r="F959" t="s">
        <v>23</v>
      </c>
      <c r="G959" t="s">
        <v>1038</v>
      </c>
      <c r="H959" t="s">
        <v>1042</v>
      </c>
      <c r="I959" s="1">
        <v>43503</v>
      </c>
      <c r="J959" t="s">
        <v>1045</v>
      </c>
      <c r="K959" s="5">
        <v>0.66319444444444442</v>
      </c>
      <c r="L959" t="s">
        <v>24</v>
      </c>
      <c r="M959">
        <v>13.805999999999999</v>
      </c>
      <c r="N959">
        <v>7.1</v>
      </c>
    </row>
    <row r="960" spans="1:14" x14ac:dyDescent="0.25">
      <c r="A960" t="s">
        <v>989</v>
      </c>
      <c r="B960" t="s">
        <v>20</v>
      </c>
      <c r="C960" t="s">
        <v>21</v>
      </c>
      <c r="D960" t="s">
        <v>22</v>
      </c>
      <c r="E960" t="s">
        <v>16</v>
      </c>
      <c r="F960" t="s">
        <v>27</v>
      </c>
      <c r="G960" t="s">
        <v>1034</v>
      </c>
      <c r="H960" t="s">
        <v>1041</v>
      </c>
      <c r="I960" s="1">
        <v>43474</v>
      </c>
      <c r="J960" t="s">
        <v>1045</v>
      </c>
      <c r="K960" s="5">
        <v>0.50486111111111109</v>
      </c>
      <c r="L960" t="s">
        <v>24</v>
      </c>
      <c r="M960">
        <v>7.9</v>
      </c>
      <c r="N960">
        <v>7.8</v>
      </c>
    </row>
    <row r="961" spans="1:14" x14ac:dyDescent="0.25">
      <c r="A961" t="s">
        <v>990</v>
      </c>
      <c r="B961" t="s">
        <v>13</v>
      </c>
      <c r="C961" t="s">
        <v>14</v>
      </c>
      <c r="D961" t="s">
        <v>15</v>
      </c>
      <c r="E961" t="s">
        <v>16</v>
      </c>
      <c r="F961" t="s">
        <v>39</v>
      </c>
      <c r="G961" t="s">
        <v>1040</v>
      </c>
      <c r="H961" t="s">
        <v>1042</v>
      </c>
      <c r="I961" s="1">
        <v>43515</v>
      </c>
      <c r="J961" t="s">
        <v>1045</v>
      </c>
      <c r="K961" s="5">
        <v>0.62986111111111109</v>
      </c>
      <c r="L961" t="s">
        <v>24</v>
      </c>
      <c r="M961">
        <v>44.396999999999998</v>
      </c>
      <c r="N961">
        <v>8.4</v>
      </c>
    </row>
    <row r="962" spans="1:14" x14ac:dyDescent="0.25">
      <c r="A962" t="s">
        <v>991</v>
      </c>
      <c r="B962" t="s">
        <v>20</v>
      </c>
      <c r="C962" t="s">
        <v>21</v>
      </c>
      <c r="D962" t="s">
        <v>15</v>
      </c>
      <c r="E962" t="s">
        <v>26</v>
      </c>
      <c r="F962" t="s">
        <v>41</v>
      </c>
      <c r="G962" t="s">
        <v>1037</v>
      </c>
      <c r="H962" t="s">
        <v>1043</v>
      </c>
      <c r="I962" s="1">
        <v>43542</v>
      </c>
      <c r="J962" t="s">
        <v>1045</v>
      </c>
      <c r="K962" s="5">
        <v>0.64513888888888882</v>
      </c>
      <c r="L962" t="s">
        <v>24</v>
      </c>
      <c r="M962">
        <v>4.5990000000000002</v>
      </c>
      <c r="N962">
        <v>9.8000000000000007</v>
      </c>
    </row>
    <row r="963" spans="1:14" x14ac:dyDescent="0.25">
      <c r="A963" t="s">
        <v>992</v>
      </c>
      <c r="B963" t="s">
        <v>13</v>
      </c>
      <c r="C963" t="s">
        <v>14</v>
      </c>
      <c r="D963" t="s">
        <v>15</v>
      </c>
      <c r="E963" t="s">
        <v>26</v>
      </c>
      <c r="F963" t="s">
        <v>23</v>
      </c>
      <c r="G963" t="s">
        <v>1038</v>
      </c>
      <c r="H963" t="s">
        <v>1042</v>
      </c>
      <c r="I963" s="1">
        <v>43501</v>
      </c>
      <c r="J963" t="s">
        <v>1046</v>
      </c>
      <c r="K963" s="5">
        <v>0.78125</v>
      </c>
      <c r="L963" t="s">
        <v>24</v>
      </c>
      <c r="M963">
        <v>2.089</v>
      </c>
      <c r="N963">
        <v>9.8000000000000007</v>
      </c>
    </row>
    <row r="964" spans="1:14" x14ac:dyDescent="0.25">
      <c r="A964" t="s">
        <v>993</v>
      </c>
      <c r="B964" t="s">
        <v>13</v>
      </c>
      <c r="C964" t="s">
        <v>14</v>
      </c>
      <c r="D964" t="s">
        <v>22</v>
      </c>
      <c r="E964" t="s">
        <v>16</v>
      </c>
      <c r="F964" t="s">
        <v>41</v>
      </c>
      <c r="G964" t="s">
        <v>1037</v>
      </c>
      <c r="H964" t="s">
        <v>1043</v>
      </c>
      <c r="I964" s="1">
        <v>43543</v>
      </c>
      <c r="J964" t="s">
        <v>1045</v>
      </c>
      <c r="K964" s="5">
        <v>0.64097222222222217</v>
      </c>
      <c r="L964" t="s">
        <v>28</v>
      </c>
      <c r="M964">
        <v>0.77500000000000002</v>
      </c>
      <c r="N964">
        <v>7.4</v>
      </c>
    </row>
    <row r="965" spans="1:14" x14ac:dyDescent="0.25">
      <c r="A965" t="s">
        <v>994</v>
      </c>
      <c r="B965" t="s">
        <v>20</v>
      </c>
      <c r="C965" t="s">
        <v>21</v>
      </c>
      <c r="D965" t="s">
        <v>15</v>
      </c>
      <c r="E965" t="s">
        <v>26</v>
      </c>
      <c r="F965" t="s">
        <v>23</v>
      </c>
      <c r="G965" t="s">
        <v>1039</v>
      </c>
      <c r="H965" t="s">
        <v>1043</v>
      </c>
      <c r="I965" s="1">
        <v>43554</v>
      </c>
      <c r="J965" t="s">
        <v>1046</v>
      </c>
      <c r="K965" s="5">
        <v>0.85902777777777783</v>
      </c>
      <c r="L965" t="s">
        <v>24</v>
      </c>
      <c r="M965">
        <v>14.523</v>
      </c>
      <c r="N965">
        <v>6.7</v>
      </c>
    </row>
    <row r="966" spans="1:14" x14ac:dyDescent="0.25">
      <c r="A966" t="s">
        <v>995</v>
      </c>
      <c r="B966" t="s">
        <v>37</v>
      </c>
      <c r="C966" t="s">
        <v>38</v>
      </c>
      <c r="D966" t="s">
        <v>22</v>
      </c>
      <c r="E966" t="s">
        <v>26</v>
      </c>
      <c r="F966" t="s">
        <v>39</v>
      </c>
      <c r="G966" t="s">
        <v>1037</v>
      </c>
      <c r="H966" t="s">
        <v>1041</v>
      </c>
      <c r="I966" s="1">
        <v>43491</v>
      </c>
      <c r="J966" t="s">
        <v>1045</v>
      </c>
      <c r="K966" s="5">
        <v>0.6118055555555556</v>
      </c>
      <c r="L966" t="s">
        <v>28</v>
      </c>
      <c r="M966">
        <v>3.3330000000000002</v>
      </c>
      <c r="N966">
        <v>6.4</v>
      </c>
    </row>
    <row r="967" spans="1:14" x14ac:dyDescent="0.25">
      <c r="A967" t="s">
        <v>996</v>
      </c>
      <c r="B967" t="s">
        <v>37</v>
      </c>
      <c r="C967" t="s">
        <v>38</v>
      </c>
      <c r="D967" t="s">
        <v>22</v>
      </c>
      <c r="E967" t="s">
        <v>16</v>
      </c>
      <c r="F967" t="s">
        <v>23</v>
      </c>
      <c r="G967" t="s">
        <v>1035</v>
      </c>
      <c r="H967" t="s">
        <v>1043</v>
      </c>
      <c r="I967" s="1">
        <v>43526</v>
      </c>
      <c r="J967" t="s">
        <v>1046</v>
      </c>
      <c r="K967" s="5">
        <v>0.76250000000000007</v>
      </c>
      <c r="L967" t="s">
        <v>28</v>
      </c>
      <c r="M967">
        <v>3.827</v>
      </c>
      <c r="N967">
        <v>5.8</v>
      </c>
    </row>
    <row r="968" spans="1:14" x14ac:dyDescent="0.25">
      <c r="A968" t="s">
        <v>997</v>
      </c>
      <c r="B968" t="s">
        <v>13</v>
      </c>
      <c r="C968" t="s">
        <v>14</v>
      </c>
      <c r="D968" t="s">
        <v>22</v>
      </c>
      <c r="E968" t="s">
        <v>16</v>
      </c>
      <c r="F968" t="s">
        <v>27</v>
      </c>
      <c r="G968" t="s">
        <v>1035</v>
      </c>
      <c r="H968" t="s">
        <v>1043</v>
      </c>
      <c r="I968" s="1">
        <v>43528</v>
      </c>
      <c r="J968" t="s">
        <v>1045</v>
      </c>
      <c r="K968" s="5">
        <v>0.64374999999999993</v>
      </c>
      <c r="L968" t="s">
        <v>18</v>
      </c>
      <c r="M968">
        <v>14.984999999999999</v>
      </c>
      <c r="N968">
        <v>7.2</v>
      </c>
    </row>
    <row r="969" spans="1:14" x14ac:dyDescent="0.25">
      <c r="A969" t="s">
        <v>998</v>
      </c>
      <c r="B969" t="s">
        <v>13</v>
      </c>
      <c r="C969" t="s">
        <v>14</v>
      </c>
      <c r="D969" t="s">
        <v>15</v>
      </c>
      <c r="E969" t="s">
        <v>26</v>
      </c>
      <c r="F969" t="s">
        <v>27</v>
      </c>
      <c r="G969" t="s">
        <v>1035</v>
      </c>
      <c r="H969" t="s">
        <v>1041</v>
      </c>
      <c r="I969" s="1">
        <v>43478</v>
      </c>
      <c r="J969" t="s">
        <v>1045</v>
      </c>
      <c r="K969" s="5">
        <v>0.53819444444444442</v>
      </c>
      <c r="L969" t="s">
        <v>28</v>
      </c>
      <c r="M969">
        <v>12.1515</v>
      </c>
      <c r="N969">
        <v>9.3000000000000007</v>
      </c>
    </row>
    <row r="970" spans="1:14" x14ac:dyDescent="0.25">
      <c r="A970" t="s">
        <v>999</v>
      </c>
      <c r="B970" t="s">
        <v>13</v>
      </c>
      <c r="C970" t="s">
        <v>14</v>
      </c>
      <c r="D970" t="s">
        <v>22</v>
      </c>
      <c r="E970" t="s">
        <v>16</v>
      </c>
      <c r="F970" t="s">
        <v>17</v>
      </c>
      <c r="G970" t="s">
        <v>1038</v>
      </c>
      <c r="H970" t="s">
        <v>1043</v>
      </c>
      <c r="I970" s="1">
        <v>43549</v>
      </c>
      <c r="J970" t="s">
        <v>1046</v>
      </c>
      <c r="K970" s="5">
        <v>0.75138888888888899</v>
      </c>
      <c r="L970" t="s">
        <v>24</v>
      </c>
      <c r="M970">
        <v>2.37</v>
      </c>
      <c r="N970">
        <v>9.5</v>
      </c>
    </row>
    <row r="971" spans="1:14" x14ac:dyDescent="0.25">
      <c r="A971" t="s">
        <v>1000</v>
      </c>
      <c r="B971" t="s">
        <v>37</v>
      </c>
      <c r="C971" t="s">
        <v>38</v>
      </c>
      <c r="D971" t="s">
        <v>15</v>
      </c>
      <c r="E971" t="s">
        <v>16</v>
      </c>
      <c r="F971" t="s">
        <v>23</v>
      </c>
      <c r="G971" t="s">
        <v>1036</v>
      </c>
      <c r="H971" t="s">
        <v>1043</v>
      </c>
      <c r="I971" s="1">
        <v>43535</v>
      </c>
      <c r="J971" t="s">
        <v>1046</v>
      </c>
      <c r="K971" s="5">
        <v>0.8222222222222223</v>
      </c>
      <c r="L971" t="s">
        <v>28</v>
      </c>
      <c r="M971">
        <v>8.6225000000000005</v>
      </c>
      <c r="N971">
        <v>9</v>
      </c>
    </row>
    <row r="972" spans="1:14" x14ac:dyDescent="0.25">
      <c r="A972" t="s">
        <v>1001</v>
      </c>
      <c r="B972" t="s">
        <v>37</v>
      </c>
      <c r="C972" t="s">
        <v>38</v>
      </c>
      <c r="D972" t="s">
        <v>15</v>
      </c>
      <c r="E972" t="s">
        <v>16</v>
      </c>
      <c r="F972" t="s">
        <v>39</v>
      </c>
      <c r="G972" t="s">
        <v>1040</v>
      </c>
      <c r="H972" t="s">
        <v>1041</v>
      </c>
      <c r="I972" s="1">
        <v>43466</v>
      </c>
      <c r="J972" t="s">
        <v>1044</v>
      </c>
      <c r="K972" s="5">
        <v>0.48333333333333334</v>
      </c>
      <c r="L972" t="s">
        <v>28</v>
      </c>
      <c r="M972">
        <v>42.314999999999998</v>
      </c>
      <c r="N972">
        <v>9</v>
      </c>
    </row>
    <row r="973" spans="1:14" x14ac:dyDescent="0.25">
      <c r="A973" t="s">
        <v>1002</v>
      </c>
      <c r="B973" t="s">
        <v>37</v>
      </c>
      <c r="C973" t="s">
        <v>38</v>
      </c>
      <c r="D973" t="s">
        <v>15</v>
      </c>
      <c r="E973" t="s">
        <v>26</v>
      </c>
      <c r="F973" t="s">
        <v>27</v>
      </c>
      <c r="G973" t="s">
        <v>1039</v>
      </c>
      <c r="H973" t="s">
        <v>1042</v>
      </c>
      <c r="I973" s="1">
        <v>43506</v>
      </c>
      <c r="J973" t="s">
        <v>1045</v>
      </c>
      <c r="K973" s="5">
        <v>0.57708333333333328</v>
      </c>
      <c r="L973" t="s">
        <v>18</v>
      </c>
      <c r="M973">
        <v>12.9185</v>
      </c>
      <c r="N973">
        <v>6.7</v>
      </c>
    </row>
    <row r="974" spans="1:14" x14ac:dyDescent="0.25">
      <c r="A974" t="s">
        <v>1003</v>
      </c>
      <c r="B974" t="s">
        <v>37</v>
      </c>
      <c r="C974" t="s">
        <v>38</v>
      </c>
      <c r="D974" t="s">
        <v>22</v>
      </c>
      <c r="E974" t="s">
        <v>26</v>
      </c>
      <c r="F974" t="s">
        <v>23</v>
      </c>
      <c r="G974" t="s">
        <v>1037</v>
      </c>
      <c r="H974" t="s">
        <v>1041</v>
      </c>
      <c r="I974" s="1">
        <v>43491</v>
      </c>
      <c r="J974" t="s">
        <v>1045</v>
      </c>
      <c r="K974" s="5">
        <v>0.63680555555555551</v>
      </c>
      <c r="L974" t="s">
        <v>24</v>
      </c>
      <c r="M974">
        <v>30.478000000000002</v>
      </c>
      <c r="N974">
        <v>5.5</v>
      </c>
    </row>
    <row r="975" spans="1:14" x14ac:dyDescent="0.25">
      <c r="A975" t="s">
        <v>1004</v>
      </c>
      <c r="B975" t="s">
        <v>13</v>
      </c>
      <c r="C975" t="s">
        <v>14</v>
      </c>
      <c r="D975" t="s">
        <v>22</v>
      </c>
      <c r="E975" t="s">
        <v>26</v>
      </c>
      <c r="F975" t="s">
        <v>27</v>
      </c>
      <c r="G975" t="s">
        <v>1039</v>
      </c>
      <c r="H975" t="s">
        <v>1042</v>
      </c>
      <c r="I975" s="1">
        <v>43507</v>
      </c>
      <c r="J975" t="s">
        <v>1045</v>
      </c>
      <c r="K975" s="5">
        <v>0.64513888888888882</v>
      </c>
      <c r="L975" t="s">
        <v>24</v>
      </c>
      <c r="M975">
        <v>12.012</v>
      </c>
      <c r="N975">
        <v>5.4</v>
      </c>
    </row>
    <row r="976" spans="1:14" x14ac:dyDescent="0.25">
      <c r="A976" t="s">
        <v>1005</v>
      </c>
      <c r="B976" t="s">
        <v>20</v>
      </c>
      <c r="C976" t="s">
        <v>21</v>
      </c>
      <c r="D976" t="s">
        <v>22</v>
      </c>
      <c r="E976" t="s">
        <v>26</v>
      </c>
      <c r="F976" t="s">
        <v>41</v>
      </c>
      <c r="G976" t="s">
        <v>1038</v>
      </c>
      <c r="H976" t="s">
        <v>1042</v>
      </c>
      <c r="I976" s="1">
        <v>43503</v>
      </c>
      <c r="J976" t="s">
        <v>1046</v>
      </c>
      <c r="K976" s="5">
        <v>0.74930555555555556</v>
      </c>
      <c r="L976" t="s">
        <v>24</v>
      </c>
      <c r="M976">
        <v>8.6129999999999995</v>
      </c>
      <c r="N976">
        <v>8.1999999999999993</v>
      </c>
    </row>
    <row r="977" spans="1:14" x14ac:dyDescent="0.25">
      <c r="A977" t="s">
        <v>1006</v>
      </c>
      <c r="B977" t="s">
        <v>37</v>
      </c>
      <c r="C977" t="s">
        <v>38</v>
      </c>
      <c r="D977" t="s">
        <v>15</v>
      </c>
      <c r="E977" t="s">
        <v>26</v>
      </c>
      <c r="F977" t="s">
        <v>41</v>
      </c>
      <c r="G977" t="s">
        <v>1035</v>
      </c>
      <c r="H977" t="s">
        <v>1043</v>
      </c>
      <c r="I977" s="1">
        <v>43530</v>
      </c>
      <c r="J977" t="s">
        <v>1044</v>
      </c>
      <c r="K977" s="5">
        <v>0.49652777777777773</v>
      </c>
      <c r="L977" t="s">
        <v>28</v>
      </c>
      <c r="M977">
        <v>4.992</v>
      </c>
      <c r="N977">
        <v>7</v>
      </c>
    </row>
    <row r="978" spans="1:14" x14ac:dyDescent="0.25">
      <c r="A978" t="s">
        <v>1007</v>
      </c>
      <c r="B978" t="s">
        <v>13</v>
      </c>
      <c r="C978" t="s">
        <v>14</v>
      </c>
      <c r="D978" t="s">
        <v>22</v>
      </c>
      <c r="E978" t="s">
        <v>16</v>
      </c>
      <c r="F978" t="s">
        <v>39</v>
      </c>
      <c r="G978" t="s">
        <v>1035</v>
      </c>
      <c r="H978" t="s">
        <v>1043</v>
      </c>
      <c r="I978" s="1">
        <v>43528</v>
      </c>
      <c r="J978" t="s">
        <v>1044</v>
      </c>
      <c r="K978" s="5">
        <v>0.44375000000000003</v>
      </c>
      <c r="L978" t="s">
        <v>24</v>
      </c>
      <c r="M978">
        <v>14.932</v>
      </c>
      <c r="N978">
        <v>8.5</v>
      </c>
    </row>
    <row r="979" spans="1:14" x14ac:dyDescent="0.25">
      <c r="A979" t="s">
        <v>1008</v>
      </c>
      <c r="B979" t="s">
        <v>37</v>
      </c>
      <c r="C979" t="s">
        <v>38</v>
      </c>
      <c r="D979" t="s">
        <v>15</v>
      </c>
      <c r="E979" t="s">
        <v>26</v>
      </c>
      <c r="F979" t="s">
        <v>39</v>
      </c>
      <c r="G979" t="s">
        <v>1034</v>
      </c>
      <c r="H979" t="s">
        <v>1042</v>
      </c>
      <c r="I979" s="1">
        <v>43522</v>
      </c>
      <c r="J979" t="s">
        <v>1045</v>
      </c>
      <c r="K979" s="5">
        <v>0.63194444444444442</v>
      </c>
      <c r="L979" t="s">
        <v>18</v>
      </c>
      <c r="M979">
        <v>7.98</v>
      </c>
      <c r="N979">
        <v>4.9000000000000004</v>
      </c>
    </row>
    <row r="980" spans="1:14" x14ac:dyDescent="0.25">
      <c r="A980" t="s">
        <v>1009</v>
      </c>
      <c r="B980" t="s">
        <v>37</v>
      </c>
      <c r="C980" t="s">
        <v>38</v>
      </c>
      <c r="D980" t="s">
        <v>22</v>
      </c>
      <c r="E980" t="s">
        <v>16</v>
      </c>
      <c r="F980" t="s">
        <v>23</v>
      </c>
      <c r="G980" t="s">
        <v>1036</v>
      </c>
      <c r="H980" t="s">
        <v>1043</v>
      </c>
      <c r="I980" s="1">
        <v>43534</v>
      </c>
      <c r="J980" t="s">
        <v>1046</v>
      </c>
      <c r="K980" s="5">
        <v>0.75694444444444453</v>
      </c>
      <c r="L980" t="s">
        <v>28</v>
      </c>
      <c r="M980">
        <v>1.2725</v>
      </c>
      <c r="N980">
        <v>5.0999999999999996</v>
      </c>
    </row>
    <row r="981" spans="1:14" x14ac:dyDescent="0.25">
      <c r="A981" t="s">
        <v>1010</v>
      </c>
      <c r="B981" t="s">
        <v>37</v>
      </c>
      <c r="C981" t="s">
        <v>38</v>
      </c>
      <c r="D981" t="s">
        <v>22</v>
      </c>
      <c r="E981" t="s">
        <v>16</v>
      </c>
      <c r="F981" t="s">
        <v>39</v>
      </c>
      <c r="G981" t="s">
        <v>1038</v>
      </c>
      <c r="H981" t="s">
        <v>1042</v>
      </c>
      <c r="I981" s="1">
        <v>43500</v>
      </c>
      <c r="J981" t="s">
        <v>1046</v>
      </c>
      <c r="K981" s="5">
        <v>0.86319444444444438</v>
      </c>
      <c r="L981" t="s">
        <v>28</v>
      </c>
      <c r="M981">
        <v>3.3885000000000001</v>
      </c>
      <c r="N981">
        <v>6.5</v>
      </c>
    </row>
    <row r="982" spans="1:14" x14ac:dyDescent="0.25">
      <c r="A982" t="s">
        <v>1011</v>
      </c>
      <c r="B982" t="s">
        <v>20</v>
      </c>
      <c r="C982" t="s">
        <v>21</v>
      </c>
      <c r="D982" t="s">
        <v>15</v>
      </c>
      <c r="E982" t="s">
        <v>26</v>
      </c>
      <c r="F982" t="s">
        <v>39</v>
      </c>
      <c r="G982" t="s">
        <v>1036</v>
      </c>
      <c r="H982" t="s">
        <v>1041</v>
      </c>
      <c r="I982" s="1">
        <v>43484</v>
      </c>
      <c r="J982" t="s">
        <v>1045</v>
      </c>
      <c r="K982" s="5">
        <v>0.53194444444444444</v>
      </c>
      <c r="L982" t="s">
        <v>24</v>
      </c>
      <c r="M982">
        <v>11.917999999999999</v>
      </c>
      <c r="N982">
        <v>9.8000000000000007</v>
      </c>
    </row>
    <row r="983" spans="1:14" x14ac:dyDescent="0.25">
      <c r="A983" t="s">
        <v>1012</v>
      </c>
      <c r="B983" t="s">
        <v>13</v>
      </c>
      <c r="C983" t="s">
        <v>14</v>
      </c>
      <c r="D983" t="s">
        <v>22</v>
      </c>
      <c r="E983" t="s">
        <v>26</v>
      </c>
      <c r="F983" t="s">
        <v>17</v>
      </c>
      <c r="G983" t="s">
        <v>1036</v>
      </c>
      <c r="H983" t="s">
        <v>1041</v>
      </c>
      <c r="I983" s="1">
        <v>43488</v>
      </c>
      <c r="J983" t="s">
        <v>1046</v>
      </c>
      <c r="K983" s="5">
        <v>0.73888888888888893</v>
      </c>
      <c r="L983" t="s">
        <v>24</v>
      </c>
      <c r="M983">
        <v>11.63</v>
      </c>
      <c r="N983">
        <v>8.4</v>
      </c>
    </row>
    <row r="984" spans="1:14" x14ac:dyDescent="0.25">
      <c r="A984" t="s">
        <v>1013</v>
      </c>
      <c r="B984" t="s">
        <v>13</v>
      </c>
      <c r="C984" t="s">
        <v>14</v>
      </c>
      <c r="D984" t="s">
        <v>15</v>
      </c>
      <c r="E984" t="s">
        <v>16</v>
      </c>
      <c r="F984" t="s">
        <v>31</v>
      </c>
      <c r="G984" t="s">
        <v>1036</v>
      </c>
      <c r="H984" t="s">
        <v>1043</v>
      </c>
      <c r="I984" s="1">
        <v>43538</v>
      </c>
      <c r="J984" t="s">
        <v>1045</v>
      </c>
      <c r="K984" s="5">
        <v>0.59652777777777777</v>
      </c>
      <c r="L984" t="s">
        <v>18</v>
      </c>
      <c r="M984">
        <v>43.866</v>
      </c>
      <c r="N984">
        <v>7.4</v>
      </c>
    </row>
    <row r="985" spans="1:14" x14ac:dyDescent="0.25">
      <c r="A985" t="s">
        <v>1014</v>
      </c>
      <c r="B985" t="s">
        <v>20</v>
      </c>
      <c r="C985" t="s">
        <v>21</v>
      </c>
      <c r="D985" t="s">
        <v>22</v>
      </c>
      <c r="E985" t="s">
        <v>26</v>
      </c>
      <c r="F985" t="s">
        <v>17</v>
      </c>
      <c r="G985" t="s">
        <v>1036</v>
      </c>
      <c r="H985" t="s">
        <v>1041</v>
      </c>
      <c r="I985" s="1">
        <v>43488</v>
      </c>
      <c r="J985" t="s">
        <v>1044</v>
      </c>
      <c r="K985" s="5">
        <v>0.43958333333333338</v>
      </c>
      <c r="L985" t="s">
        <v>24</v>
      </c>
      <c r="M985">
        <v>34.985999999999997</v>
      </c>
      <c r="N985">
        <v>6.1</v>
      </c>
    </row>
    <row r="986" spans="1:14" x14ac:dyDescent="0.25">
      <c r="A986" t="s">
        <v>1015</v>
      </c>
      <c r="B986" t="s">
        <v>20</v>
      </c>
      <c r="C986" t="s">
        <v>21</v>
      </c>
      <c r="D986" t="s">
        <v>22</v>
      </c>
      <c r="E986" t="s">
        <v>26</v>
      </c>
      <c r="F986" t="s">
        <v>23</v>
      </c>
      <c r="G986" t="s">
        <v>1034</v>
      </c>
      <c r="H986" t="s">
        <v>1041</v>
      </c>
      <c r="I986" s="1">
        <v>43474</v>
      </c>
      <c r="J986" t="s">
        <v>1044</v>
      </c>
      <c r="K986" s="5">
        <v>0.4861111111111111</v>
      </c>
      <c r="L986" t="s">
        <v>24</v>
      </c>
      <c r="M986">
        <v>33.729500000000002</v>
      </c>
      <c r="N986">
        <v>6</v>
      </c>
    </row>
    <row r="987" spans="1:14" x14ac:dyDescent="0.25">
      <c r="A987" t="s">
        <v>1016</v>
      </c>
      <c r="B987" t="s">
        <v>37</v>
      </c>
      <c r="C987" t="s">
        <v>38</v>
      </c>
      <c r="D987" t="s">
        <v>22</v>
      </c>
      <c r="E987" t="s">
        <v>16</v>
      </c>
      <c r="F987" t="s">
        <v>41</v>
      </c>
      <c r="G987" t="s">
        <v>1038</v>
      </c>
      <c r="H987" t="s">
        <v>1042</v>
      </c>
      <c r="I987" s="1">
        <v>43503</v>
      </c>
      <c r="J987" t="s">
        <v>1046</v>
      </c>
      <c r="K987" s="5">
        <v>0.8125</v>
      </c>
      <c r="L987" t="s">
        <v>18</v>
      </c>
      <c r="M987">
        <v>15.9275</v>
      </c>
      <c r="N987">
        <v>8.5</v>
      </c>
    </row>
    <row r="988" spans="1:14" x14ac:dyDescent="0.25">
      <c r="A988" t="s">
        <v>1017</v>
      </c>
      <c r="B988" t="s">
        <v>37</v>
      </c>
      <c r="C988" t="s">
        <v>38</v>
      </c>
      <c r="D988" t="s">
        <v>22</v>
      </c>
      <c r="E988" t="s">
        <v>16</v>
      </c>
      <c r="F988" t="s">
        <v>17</v>
      </c>
      <c r="G988" t="s">
        <v>1040</v>
      </c>
      <c r="H988" t="s">
        <v>1042</v>
      </c>
      <c r="I988" s="1">
        <v>43514</v>
      </c>
      <c r="J988" t="s">
        <v>1045</v>
      </c>
      <c r="K988" s="5">
        <v>0.61249999999999993</v>
      </c>
      <c r="L988" t="s">
        <v>18</v>
      </c>
      <c r="M988">
        <v>1.476</v>
      </c>
      <c r="N988">
        <v>4.3</v>
      </c>
    </row>
    <row r="989" spans="1:14" x14ac:dyDescent="0.25">
      <c r="A989" t="s">
        <v>1018</v>
      </c>
      <c r="B989" t="s">
        <v>37</v>
      </c>
      <c r="C989" t="s">
        <v>38</v>
      </c>
      <c r="D989" t="s">
        <v>15</v>
      </c>
      <c r="E989" t="s">
        <v>26</v>
      </c>
      <c r="F989" t="s">
        <v>17</v>
      </c>
      <c r="G989" t="s">
        <v>1040</v>
      </c>
      <c r="H989" t="s">
        <v>1041</v>
      </c>
      <c r="I989" s="1">
        <v>43468</v>
      </c>
      <c r="J989" t="s">
        <v>1046</v>
      </c>
      <c r="K989" s="5">
        <v>0.79722222222222217</v>
      </c>
      <c r="L989" t="s">
        <v>28</v>
      </c>
      <c r="M989">
        <v>24.8</v>
      </c>
      <c r="N989">
        <v>6.2</v>
      </c>
    </row>
    <row r="990" spans="1:14" x14ac:dyDescent="0.25">
      <c r="A990" t="s">
        <v>1019</v>
      </c>
      <c r="B990" t="s">
        <v>20</v>
      </c>
      <c r="C990" t="s">
        <v>21</v>
      </c>
      <c r="D990" t="s">
        <v>15</v>
      </c>
      <c r="E990" t="s">
        <v>26</v>
      </c>
      <c r="F990" t="s">
        <v>23</v>
      </c>
      <c r="G990" t="s">
        <v>1038</v>
      </c>
      <c r="H990" t="s">
        <v>1043</v>
      </c>
      <c r="I990" s="1">
        <v>43553</v>
      </c>
      <c r="J990" t="s">
        <v>1046</v>
      </c>
      <c r="K990" s="5">
        <v>0.79999999999999993</v>
      </c>
      <c r="L990" t="s">
        <v>18</v>
      </c>
      <c r="M990">
        <v>41.17</v>
      </c>
      <c r="N990">
        <v>4.3</v>
      </c>
    </row>
    <row r="991" spans="1:14" x14ac:dyDescent="0.25">
      <c r="A991" t="s">
        <v>1020</v>
      </c>
      <c r="B991" t="s">
        <v>37</v>
      </c>
      <c r="C991" t="s">
        <v>38</v>
      </c>
      <c r="D991" t="s">
        <v>15</v>
      </c>
      <c r="E991" t="s">
        <v>26</v>
      </c>
      <c r="F991" t="s">
        <v>17</v>
      </c>
      <c r="G991" t="s">
        <v>1037</v>
      </c>
      <c r="H991" t="s">
        <v>1041</v>
      </c>
      <c r="I991" s="1">
        <v>43493</v>
      </c>
      <c r="J991" t="s">
        <v>1045</v>
      </c>
      <c r="K991" s="5">
        <v>0.65694444444444444</v>
      </c>
      <c r="L991" t="s">
        <v>28</v>
      </c>
      <c r="M991">
        <v>30.148</v>
      </c>
      <c r="N991">
        <v>8.4</v>
      </c>
    </row>
    <row r="992" spans="1:14" x14ac:dyDescent="0.25">
      <c r="A992" t="s">
        <v>1021</v>
      </c>
      <c r="B992" t="s">
        <v>13</v>
      </c>
      <c r="C992" t="s">
        <v>14</v>
      </c>
      <c r="D992" t="s">
        <v>22</v>
      </c>
      <c r="E992" t="s">
        <v>16</v>
      </c>
      <c r="F992" t="s">
        <v>39</v>
      </c>
      <c r="G992" t="s">
        <v>1037</v>
      </c>
      <c r="H992" t="s">
        <v>1043</v>
      </c>
      <c r="I992" s="1">
        <v>43546</v>
      </c>
      <c r="J992" t="s">
        <v>1046</v>
      </c>
      <c r="K992" s="5">
        <v>0.79583333333333339</v>
      </c>
      <c r="L992" t="s">
        <v>28</v>
      </c>
      <c r="M992">
        <v>14.14</v>
      </c>
      <c r="N992">
        <v>4.5</v>
      </c>
    </row>
    <row r="993" spans="1:14" x14ac:dyDescent="0.25">
      <c r="A993" t="s">
        <v>1022</v>
      </c>
      <c r="B993" t="s">
        <v>37</v>
      </c>
      <c r="C993" t="s">
        <v>38</v>
      </c>
      <c r="D993" t="s">
        <v>22</v>
      </c>
      <c r="E993" t="s">
        <v>16</v>
      </c>
      <c r="F993" t="s">
        <v>31</v>
      </c>
      <c r="H993" t="s">
        <v>1041</v>
      </c>
      <c r="I993" s="1">
        <v>43489</v>
      </c>
      <c r="J993" t="s">
        <v>1046</v>
      </c>
      <c r="K993" s="5">
        <v>0.75694444444444453</v>
      </c>
      <c r="L993" t="s">
        <v>18</v>
      </c>
      <c r="M993">
        <v>38.299999999999997</v>
      </c>
      <c r="N993">
        <v>6</v>
      </c>
    </row>
    <row r="994" spans="1:14" x14ac:dyDescent="0.25">
      <c r="A994" t="s">
        <v>1023</v>
      </c>
      <c r="B994" t="s">
        <v>13</v>
      </c>
      <c r="C994" t="s">
        <v>14</v>
      </c>
      <c r="D994" t="s">
        <v>22</v>
      </c>
      <c r="E994" t="s">
        <v>26</v>
      </c>
      <c r="F994" t="s">
        <v>23</v>
      </c>
      <c r="G994" t="s">
        <v>1036</v>
      </c>
      <c r="H994" t="s">
        <v>1043</v>
      </c>
      <c r="I994" s="1">
        <v>43534</v>
      </c>
      <c r="J994" t="s">
        <v>1046</v>
      </c>
      <c r="K994" s="5">
        <v>0.8652777777777777</v>
      </c>
      <c r="L994" t="s">
        <v>18</v>
      </c>
      <c r="M994">
        <v>5.8029999999999999</v>
      </c>
      <c r="N994">
        <v>8.8000000000000007</v>
      </c>
    </row>
    <row r="995" spans="1:14" x14ac:dyDescent="0.25">
      <c r="A995" t="s">
        <v>1024</v>
      </c>
      <c r="B995" t="s">
        <v>37</v>
      </c>
      <c r="C995" t="s">
        <v>38</v>
      </c>
      <c r="D995" t="s">
        <v>22</v>
      </c>
      <c r="E995" t="s">
        <v>26</v>
      </c>
      <c r="F995" t="s">
        <v>41</v>
      </c>
      <c r="G995" t="s">
        <v>1040</v>
      </c>
      <c r="H995" t="s">
        <v>1042</v>
      </c>
      <c r="I995" s="1">
        <v>43518</v>
      </c>
      <c r="J995" t="s">
        <v>1046</v>
      </c>
      <c r="K995" s="5">
        <v>0.77430555555555547</v>
      </c>
      <c r="L995" t="s">
        <v>18</v>
      </c>
      <c r="M995">
        <v>8.7449999999999992</v>
      </c>
      <c r="N995">
        <v>6.6</v>
      </c>
    </row>
    <row r="996" spans="1:14" x14ac:dyDescent="0.25">
      <c r="A996" t="s">
        <v>1025</v>
      </c>
      <c r="B996" t="s">
        <v>20</v>
      </c>
      <c r="C996" t="s">
        <v>21</v>
      </c>
      <c r="D996" t="s">
        <v>15</v>
      </c>
      <c r="E996" t="s">
        <v>16</v>
      </c>
      <c r="F996" t="s">
        <v>23</v>
      </c>
      <c r="G996" t="s">
        <v>1040</v>
      </c>
      <c r="H996" t="s">
        <v>1042</v>
      </c>
      <c r="I996" s="1">
        <v>43514</v>
      </c>
      <c r="J996" t="s">
        <v>1044</v>
      </c>
      <c r="K996" s="5">
        <v>0.4861111111111111</v>
      </c>
      <c r="L996" t="s">
        <v>18</v>
      </c>
      <c r="M996">
        <v>3.0474999999999999</v>
      </c>
      <c r="N996">
        <v>5.9</v>
      </c>
    </row>
    <row r="997" spans="1:14" x14ac:dyDescent="0.25">
      <c r="A997" t="s">
        <v>1026</v>
      </c>
      <c r="B997" t="s">
        <v>20</v>
      </c>
      <c r="C997" t="s">
        <v>21</v>
      </c>
      <c r="D997" t="s">
        <v>22</v>
      </c>
      <c r="E997" t="s">
        <v>26</v>
      </c>
      <c r="F997" t="s">
        <v>17</v>
      </c>
      <c r="G997" t="s">
        <v>1037</v>
      </c>
      <c r="H997" t="s">
        <v>1041</v>
      </c>
      <c r="I997" s="1">
        <v>43494</v>
      </c>
      <c r="J997" t="s">
        <v>1045</v>
      </c>
      <c r="K997" s="5">
        <v>0.57361111111111118</v>
      </c>
      <c r="L997" t="s">
        <v>18</v>
      </c>
      <c r="M997">
        <v>2.0175000000000001</v>
      </c>
      <c r="N997">
        <v>6.2</v>
      </c>
    </row>
    <row r="998" spans="1:14" x14ac:dyDescent="0.25">
      <c r="A998" t="s">
        <v>1027</v>
      </c>
      <c r="B998" t="s">
        <v>37</v>
      </c>
      <c r="C998" t="s">
        <v>38</v>
      </c>
      <c r="D998" t="s">
        <v>22</v>
      </c>
      <c r="E998" t="s">
        <v>16</v>
      </c>
      <c r="F998" t="s">
        <v>27</v>
      </c>
      <c r="G998" t="s">
        <v>1035</v>
      </c>
      <c r="H998" t="s">
        <v>1043</v>
      </c>
      <c r="I998" s="1">
        <v>43526</v>
      </c>
      <c r="J998" t="s">
        <v>1046</v>
      </c>
      <c r="K998" s="5">
        <v>0.71944444444444444</v>
      </c>
      <c r="L998" t="s">
        <v>18</v>
      </c>
      <c r="M998">
        <v>48.69</v>
      </c>
      <c r="N998">
        <v>4.4000000000000004</v>
      </c>
    </row>
    <row r="999" spans="1:14" x14ac:dyDescent="0.25">
      <c r="A999" t="s">
        <v>1028</v>
      </c>
      <c r="B999" t="s">
        <v>13</v>
      </c>
      <c r="C999" t="s">
        <v>14</v>
      </c>
      <c r="D999" t="s">
        <v>15</v>
      </c>
      <c r="E999" t="s">
        <v>26</v>
      </c>
      <c r="F999" t="s">
        <v>39</v>
      </c>
      <c r="G999" t="s">
        <v>1039</v>
      </c>
      <c r="H999" t="s">
        <v>1042</v>
      </c>
      <c r="I999" s="1">
        <v>43505</v>
      </c>
      <c r="J999" t="s">
        <v>1045</v>
      </c>
      <c r="K999" s="5">
        <v>0.55694444444444446</v>
      </c>
      <c r="L999" t="s">
        <v>24</v>
      </c>
      <c r="M999">
        <v>1.5920000000000001</v>
      </c>
      <c r="N999">
        <v>7.7</v>
      </c>
    </row>
    <row r="1000" spans="1:14" x14ac:dyDescent="0.25">
      <c r="A1000" t="s">
        <v>1029</v>
      </c>
      <c r="B1000" t="s">
        <v>13</v>
      </c>
      <c r="C1000" t="s">
        <v>14</v>
      </c>
      <c r="D1000" t="s">
        <v>22</v>
      </c>
      <c r="E1000" t="s">
        <v>26</v>
      </c>
      <c r="F1000" t="s">
        <v>27</v>
      </c>
      <c r="G1000" t="s">
        <v>1040</v>
      </c>
      <c r="H1000" t="s">
        <v>1042</v>
      </c>
      <c r="I1000" s="1">
        <v>43518</v>
      </c>
      <c r="J1000" t="s">
        <v>1045</v>
      </c>
      <c r="K1000" s="5">
        <v>0.6479166666666667</v>
      </c>
      <c r="L1000" t="s">
        <v>24</v>
      </c>
      <c r="M1000">
        <v>3.2909999999999999</v>
      </c>
      <c r="N1000">
        <v>4.0999999999999996</v>
      </c>
    </row>
    <row r="1001" spans="1:14" x14ac:dyDescent="0.25">
      <c r="A1001" t="s">
        <v>1030</v>
      </c>
      <c r="B1001" t="s">
        <v>13</v>
      </c>
      <c r="C1001" t="s">
        <v>14</v>
      </c>
      <c r="D1001" t="s">
        <v>15</v>
      </c>
      <c r="E1001" t="s">
        <v>16</v>
      </c>
      <c r="F1001" t="s">
        <v>41</v>
      </c>
      <c r="G1001" t="s">
        <v>1040</v>
      </c>
      <c r="H1001" t="s">
        <v>1042</v>
      </c>
      <c r="I1001" s="1">
        <v>43514</v>
      </c>
      <c r="J1001" t="s">
        <v>1045</v>
      </c>
      <c r="K1001" s="5">
        <v>0.56111111111111112</v>
      </c>
      <c r="L1001" t="s">
        <v>24</v>
      </c>
      <c r="M1001">
        <v>30.919</v>
      </c>
      <c r="N1001">
        <v>6.6</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workbookViewId="0">
      <selection activeCell="E2" sqref="E2"/>
    </sheetView>
  </sheetViews>
  <sheetFormatPr defaultRowHeight="15" x14ac:dyDescent="0.25"/>
  <cols>
    <col min="1" max="1" width="11" bestFit="1" customWidth="1"/>
    <col min="2" max="2" width="12.42578125" bestFit="1" customWidth="1"/>
    <col min="4" max="5" width="12.42578125" bestFit="1" customWidth="1"/>
    <col min="6" max="6" width="14.42578125" bestFit="1" customWidth="1"/>
  </cols>
  <sheetData>
    <row r="1" spans="1:7" x14ac:dyDescent="0.25">
      <c r="B1">
        <f>GETPIVOTDATA("Invoice ID",$A$3)</f>
        <v>1000</v>
      </c>
      <c r="G1">
        <f>GETPIVOTDATA("Rating",$F$2)</f>
        <v>6.9727000000000032</v>
      </c>
    </row>
    <row r="2" spans="1:7" x14ac:dyDescent="0.25">
      <c r="B2">
        <f>GETPIVOTDATA("gross income",$D$2)</f>
        <v>15379.369000000002</v>
      </c>
      <c r="D2" t="s">
        <v>1051</v>
      </c>
      <c r="E2" s="13">
        <f>GETPIVOTDATA("gross income",$D$2)</f>
        <v>15379.369000000002</v>
      </c>
      <c r="F2" t="s">
        <v>1054</v>
      </c>
    </row>
    <row r="3" spans="1:7" x14ac:dyDescent="0.25">
      <c r="A3" t="s">
        <v>1055</v>
      </c>
      <c r="D3" s="11">
        <v>15379.369000000002</v>
      </c>
      <c r="F3" s="6">
        <v>6.9727000000000032</v>
      </c>
    </row>
    <row r="4" spans="1:7" x14ac:dyDescent="0.25">
      <c r="A4">
        <v>1000</v>
      </c>
    </row>
    <row r="8" spans="1:7" x14ac:dyDescent="0.25">
      <c r="A8" s="3" t="s">
        <v>4</v>
      </c>
      <c r="B8" t="s">
        <v>1051</v>
      </c>
      <c r="D8" s="3" t="s">
        <v>1050</v>
      </c>
      <c r="E8" t="s">
        <v>1051</v>
      </c>
    </row>
    <row r="9" spans="1:7" x14ac:dyDescent="0.25">
      <c r="A9" s="12" t="s">
        <v>16</v>
      </c>
      <c r="B9" s="11">
        <v>7994.425000000002</v>
      </c>
      <c r="D9" s="4" t="s">
        <v>1046</v>
      </c>
      <c r="E9" s="11">
        <v>6589.0915000000041</v>
      </c>
    </row>
    <row r="10" spans="1:7" x14ac:dyDescent="0.25">
      <c r="A10" s="12" t="s">
        <v>26</v>
      </c>
      <c r="B10" s="11">
        <v>7384.9440000000022</v>
      </c>
      <c r="D10" s="4" t="s">
        <v>1045</v>
      </c>
      <c r="E10" s="11">
        <v>5847.4769999999962</v>
      </c>
    </row>
    <row r="11" spans="1:7" x14ac:dyDescent="0.25">
      <c r="D11" s="4" t="s">
        <v>1044</v>
      </c>
      <c r="E11" s="11">
        <v>2942.8005000000003</v>
      </c>
    </row>
    <row r="13" spans="1:7" x14ac:dyDescent="0.25">
      <c r="A13" s="3" t="s">
        <v>2</v>
      </c>
      <c r="B13" t="s">
        <v>1047</v>
      </c>
      <c r="D13" s="3" t="s">
        <v>1032</v>
      </c>
      <c r="E13" t="s">
        <v>1047</v>
      </c>
    </row>
    <row r="14" spans="1:7" x14ac:dyDescent="0.25">
      <c r="A14" s="12" t="s">
        <v>38</v>
      </c>
      <c r="B14" s="11">
        <v>332</v>
      </c>
      <c r="D14" s="4" t="s">
        <v>1036</v>
      </c>
      <c r="E14">
        <v>178</v>
      </c>
    </row>
    <row r="15" spans="1:7" x14ac:dyDescent="0.25">
      <c r="A15" s="12" t="s">
        <v>21</v>
      </c>
      <c r="B15" s="11">
        <v>328</v>
      </c>
      <c r="D15" s="4" t="s">
        <v>1035</v>
      </c>
      <c r="E15">
        <v>169</v>
      </c>
    </row>
    <row r="16" spans="1:7" x14ac:dyDescent="0.25">
      <c r="A16" s="12" t="s">
        <v>14</v>
      </c>
      <c r="B16" s="11">
        <v>340</v>
      </c>
      <c r="D16" s="4" t="s">
        <v>1038</v>
      </c>
      <c r="E16">
        <v>168</v>
      </c>
    </row>
    <row r="17" spans="1:5" x14ac:dyDescent="0.25">
      <c r="D17" s="4" t="s">
        <v>1037</v>
      </c>
      <c r="E17">
        <v>155</v>
      </c>
    </row>
    <row r="18" spans="1:5" x14ac:dyDescent="0.25">
      <c r="A18" s="3" t="s">
        <v>1048</v>
      </c>
      <c r="B18" t="s">
        <v>1051</v>
      </c>
      <c r="D18" s="4" t="s">
        <v>1034</v>
      </c>
      <c r="E18">
        <v>145</v>
      </c>
    </row>
    <row r="19" spans="1:5" x14ac:dyDescent="0.25">
      <c r="A19" s="4" t="s">
        <v>15</v>
      </c>
      <c r="B19" s="11">
        <v>7820.1640000000016</v>
      </c>
      <c r="D19" s="4" t="s">
        <v>1040</v>
      </c>
      <c r="E19">
        <v>98</v>
      </c>
    </row>
    <row r="20" spans="1:5" x14ac:dyDescent="0.25">
      <c r="A20" s="4" t="s">
        <v>22</v>
      </c>
      <c r="B20" s="11">
        <v>7559.2050000000027</v>
      </c>
      <c r="D20" s="4" t="s">
        <v>1039</v>
      </c>
      <c r="E20">
        <v>86</v>
      </c>
    </row>
    <row r="21" spans="1:5" x14ac:dyDescent="0.25">
      <c r="D21" s="4" t="s">
        <v>1052</v>
      </c>
      <c r="E21">
        <v>1</v>
      </c>
    </row>
    <row r="22" spans="1:5" x14ac:dyDescent="0.25">
      <c r="A22" s="3" t="s">
        <v>1049</v>
      </c>
      <c r="B22" t="s">
        <v>1051</v>
      </c>
    </row>
    <row r="23" spans="1:5" x14ac:dyDescent="0.25">
      <c r="A23" s="4" t="s">
        <v>23</v>
      </c>
      <c r="B23" s="11">
        <v>2587.5015000000017</v>
      </c>
      <c r="D23" s="3" t="s">
        <v>1053</v>
      </c>
      <c r="E23" t="s">
        <v>1051</v>
      </c>
    </row>
    <row r="24" spans="1:5" x14ac:dyDescent="0.25">
      <c r="A24" s="4" t="s">
        <v>41</v>
      </c>
      <c r="B24" s="11">
        <v>2585.9949999999999</v>
      </c>
      <c r="D24" s="4" t="s">
        <v>1041</v>
      </c>
      <c r="E24" s="11">
        <v>5537.7079999999987</v>
      </c>
    </row>
    <row r="25" spans="1:5" x14ac:dyDescent="0.25">
      <c r="A25" s="4" t="s">
        <v>39</v>
      </c>
      <c r="B25" s="11">
        <v>2673.5639999999994</v>
      </c>
      <c r="D25" s="4" t="s">
        <v>1042</v>
      </c>
      <c r="E25" s="11">
        <v>4629.4940000000006</v>
      </c>
    </row>
    <row r="26" spans="1:5" x14ac:dyDescent="0.25">
      <c r="A26" s="4" t="s">
        <v>17</v>
      </c>
      <c r="B26" s="11">
        <v>2342.5589999999993</v>
      </c>
      <c r="D26" s="4" t="s">
        <v>1043</v>
      </c>
      <c r="E26" s="11">
        <v>5212.1670000000058</v>
      </c>
    </row>
    <row r="27" spans="1:5" x14ac:dyDescent="0.25">
      <c r="A27" s="4" t="s">
        <v>27</v>
      </c>
      <c r="B27" s="11">
        <v>2564.8530000000019</v>
      </c>
    </row>
    <row r="28" spans="1:5" x14ac:dyDescent="0.25">
      <c r="A28" s="4" t="s">
        <v>31</v>
      </c>
      <c r="B28" s="11">
        <v>2624.8964999999994</v>
      </c>
    </row>
    <row r="29" spans="1:5" x14ac:dyDescent="0.25">
      <c r="D29" s="3" t="s">
        <v>1</v>
      </c>
      <c r="E29" t="s">
        <v>1051</v>
      </c>
    </row>
    <row r="30" spans="1:5" x14ac:dyDescent="0.25">
      <c r="D30" s="4" t="s">
        <v>13</v>
      </c>
      <c r="E30" s="11">
        <v>5057.1605000000018</v>
      </c>
    </row>
    <row r="31" spans="1:5" x14ac:dyDescent="0.25">
      <c r="D31" s="4" t="s">
        <v>37</v>
      </c>
      <c r="E31" s="11">
        <v>5057.0320000000029</v>
      </c>
    </row>
    <row r="32" spans="1:5" x14ac:dyDescent="0.25">
      <c r="D32" s="4" t="s">
        <v>20</v>
      </c>
      <c r="E32" s="11">
        <v>5265.1765000000023</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F1" workbookViewId="0">
      <selection activeCell="M17" sqref="M17"/>
    </sheetView>
  </sheetViews>
  <sheetFormatPr defaultRowHeight="15" x14ac:dyDescent="0.25"/>
  <cols>
    <col min="1" max="1" width="11.85546875" customWidth="1"/>
    <col min="4" max="4" width="16.140625" customWidth="1"/>
    <col min="5" max="5" width="9.85546875" customWidth="1"/>
    <col min="6" max="6" width="21.140625" customWidth="1"/>
    <col min="7" max="7" width="20.5703125" customWidth="1"/>
    <col min="8" max="8" width="10" customWidth="1"/>
    <col min="9" max="9" width="15" customWidth="1"/>
    <col min="10" max="10" width="9.85546875" customWidth="1"/>
    <col min="12" max="12" width="11" customWidth="1"/>
    <col min="13" max="13" width="14.7109375" customWidth="1"/>
  </cols>
  <sheetData>
    <row r="1" spans="1:14" x14ac:dyDescent="0.25">
      <c r="A1" t="s">
        <v>0</v>
      </c>
      <c r="B1" t="s">
        <v>1</v>
      </c>
      <c r="C1" t="s">
        <v>2</v>
      </c>
      <c r="D1" t="s">
        <v>3</v>
      </c>
      <c r="E1" t="s">
        <v>4</v>
      </c>
      <c r="F1" t="s">
        <v>5</v>
      </c>
      <c r="G1" t="s">
        <v>1032</v>
      </c>
      <c r="H1" t="s">
        <v>1033</v>
      </c>
      <c r="I1" t="s">
        <v>7</v>
      </c>
      <c r="J1" t="s">
        <v>1031</v>
      </c>
      <c r="K1" t="s">
        <v>8</v>
      </c>
      <c r="L1" t="s">
        <v>9</v>
      </c>
      <c r="M1" t="s">
        <v>10</v>
      </c>
      <c r="N1" t="s">
        <v>11</v>
      </c>
    </row>
    <row r="2" spans="1:14" x14ac:dyDescent="0.25">
      <c r="A2" s="7" t="s">
        <v>12</v>
      </c>
      <c r="B2" s="7" t="s">
        <v>13</v>
      </c>
      <c r="C2" s="7" t="s">
        <v>14</v>
      </c>
      <c r="D2" s="7" t="s">
        <v>15</v>
      </c>
      <c r="E2" s="7" t="s">
        <v>16</v>
      </c>
      <c r="F2" s="7" t="s">
        <v>17</v>
      </c>
      <c r="G2" s="7" t="str">
        <f>TEXT(I2/7,"dddd")</f>
        <v>Sunday</v>
      </c>
      <c r="H2" s="7" t="str">
        <f>TEXT(I2,"mmm")</f>
        <v>Jan</v>
      </c>
      <c r="I2" s="8">
        <v>43470</v>
      </c>
      <c r="J2" s="8" t="str">
        <f t="shared" ref="J2:J65" si="0">IF(AND(K2&gt;=TIME(9,0,0),K2&lt;TIME(12,0,0)),"Morning",IF(AND(K2&gt;=TIME(12,0,0),K2&lt;TIME(16,0,0)),"Afternoon","Evening"))</f>
        <v>Afternoon</v>
      </c>
      <c r="K2" s="9">
        <v>0.54722222222222217</v>
      </c>
      <c r="L2" s="7" t="s">
        <v>18</v>
      </c>
      <c r="M2" s="10">
        <v>26.141500000000001</v>
      </c>
      <c r="N2" s="7">
        <v>9.1</v>
      </c>
    </row>
    <row r="3" spans="1:14" x14ac:dyDescent="0.25">
      <c r="A3" s="7" t="s">
        <v>19</v>
      </c>
      <c r="B3" s="7" t="s">
        <v>20</v>
      </c>
      <c r="C3" s="7" t="s">
        <v>21</v>
      </c>
      <c r="D3" s="7" t="s">
        <v>22</v>
      </c>
      <c r="E3" s="7" t="s">
        <v>16</v>
      </c>
      <c r="F3" s="7" t="s">
        <v>23</v>
      </c>
      <c r="G3" s="7" t="str">
        <f t="shared" ref="G3:G66" si="1">TEXT(I3/7,"dddd")</f>
        <v>Monday</v>
      </c>
      <c r="H3" s="7" t="str">
        <f t="shared" ref="H3:H66" si="2">TEXT(I3,"mmm")</f>
        <v>Mar</v>
      </c>
      <c r="I3" s="8">
        <v>43532</v>
      </c>
      <c r="J3" s="8" t="str">
        <f t="shared" si="0"/>
        <v>Morning</v>
      </c>
      <c r="K3" s="9">
        <v>0.4368055555555555</v>
      </c>
      <c r="L3" s="7" t="s">
        <v>24</v>
      </c>
      <c r="M3" s="10">
        <v>3.82</v>
      </c>
      <c r="N3" s="7">
        <v>9.6</v>
      </c>
    </row>
    <row r="4" spans="1:14" x14ac:dyDescent="0.25">
      <c r="A4" s="7" t="s">
        <v>25</v>
      </c>
      <c r="B4" s="7" t="s">
        <v>13</v>
      </c>
      <c r="C4" s="7" t="s">
        <v>14</v>
      </c>
      <c r="D4" s="7" t="s">
        <v>22</v>
      </c>
      <c r="E4" s="7" t="s">
        <v>26</v>
      </c>
      <c r="F4" s="7" t="s">
        <v>27</v>
      </c>
      <c r="G4" s="7" t="str">
        <f t="shared" si="1"/>
        <v>Monday</v>
      </c>
      <c r="H4" s="7" t="str">
        <f t="shared" si="2"/>
        <v>Mar</v>
      </c>
      <c r="I4" s="8">
        <v>43527</v>
      </c>
      <c r="J4" s="8" t="str">
        <f t="shared" si="0"/>
        <v>Afternoon</v>
      </c>
      <c r="K4" s="9">
        <v>0.55763888888888891</v>
      </c>
      <c r="L4" s="7" t="s">
        <v>28</v>
      </c>
      <c r="M4" s="10">
        <v>16.215499999999999</v>
      </c>
      <c r="N4" s="7">
        <v>7.4</v>
      </c>
    </row>
    <row r="5" spans="1:14" x14ac:dyDescent="0.25">
      <c r="A5" s="7" t="s">
        <v>29</v>
      </c>
      <c r="B5" s="7" t="s">
        <v>13</v>
      </c>
      <c r="C5" s="7" t="s">
        <v>14</v>
      </c>
      <c r="D5" s="7" t="s">
        <v>15</v>
      </c>
      <c r="E5" s="7" t="s">
        <v>26</v>
      </c>
      <c r="F5" s="7" t="s">
        <v>17</v>
      </c>
      <c r="G5" s="7" t="str">
        <f t="shared" si="1"/>
        <v>Wednesday</v>
      </c>
      <c r="H5" s="7" t="str">
        <f t="shared" si="2"/>
        <v>Jan</v>
      </c>
      <c r="I5" s="8">
        <v>43492</v>
      </c>
      <c r="J5" s="8" t="str">
        <f t="shared" si="0"/>
        <v>Evening</v>
      </c>
      <c r="K5" s="9">
        <v>0.85625000000000007</v>
      </c>
      <c r="L5" s="7" t="s">
        <v>18</v>
      </c>
      <c r="M5" s="10">
        <v>23.288</v>
      </c>
      <c r="N5" s="7">
        <v>8.4</v>
      </c>
    </row>
    <row r="6" spans="1:14" x14ac:dyDescent="0.25">
      <c r="A6" s="7" t="s">
        <v>30</v>
      </c>
      <c r="B6" s="7" t="s">
        <v>13</v>
      </c>
      <c r="C6" s="7" t="s">
        <v>14</v>
      </c>
      <c r="D6" s="7" t="s">
        <v>22</v>
      </c>
      <c r="E6" s="7" t="s">
        <v>26</v>
      </c>
      <c r="F6" s="7" t="s">
        <v>31</v>
      </c>
      <c r="G6" s="7" t="str">
        <f t="shared" si="1"/>
        <v>Thursday</v>
      </c>
      <c r="H6" s="7" t="str">
        <f t="shared" si="2"/>
        <v>Feb</v>
      </c>
      <c r="I6" s="8">
        <v>43504</v>
      </c>
      <c r="J6" s="8" t="str">
        <f t="shared" si="0"/>
        <v>Morning</v>
      </c>
      <c r="K6" s="9">
        <v>0.44236111111111115</v>
      </c>
      <c r="L6" s="7" t="s">
        <v>18</v>
      </c>
      <c r="M6" s="10">
        <v>30.208500000000001</v>
      </c>
      <c r="N6" s="7">
        <v>5.3</v>
      </c>
    </row>
    <row r="7" spans="1:14" x14ac:dyDescent="0.25">
      <c r="A7" s="7" t="s">
        <v>32</v>
      </c>
      <c r="B7" s="7" t="s">
        <v>20</v>
      </c>
      <c r="C7" s="7" t="s">
        <v>21</v>
      </c>
      <c r="D7" s="7" t="s">
        <v>22</v>
      </c>
      <c r="E7" s="7" t="s">
        <v>26</v>
      </c>
      <c r="F7" s="7" t="s">
        <v>23</v>
      </c>
      <c r="G7" s="7" t="str">
        <f t="shared" si="1"/>
        <v>Thursday</v>
      </c>
      <c r="H7" s="7" t="str">
        <f t="shared" si="2"/>
        <v>Mar</v>
      </c>
      <c r="I7" s="8">
        <v>43549</v>
      </c>
      <c r="J7" s="8" t="str">
        <f t="shared" si="0"/>
        <v>Evening</v>
      </c>
      <c r="K7" s="9">
        <v>0.77083333333333337</v>
      </c>
      <c r="L7" s="7" t="s">
        <v>18</v>
      </c>
      <c r="M7" s="10">
        <v>29.886500000000002</v>
      </c>
      <c r="N7" s="7">
        <v>4.0999999999999996</v>
      </c>
    </row>
    <row r="8" spans="1:14" x14ac:dyDescent="0.25">
      <c r="A8" s="7" t="s">
        <v>33</v>
      </c>
      <c r="B8" s="7" t="s">
        <v>13</v>
      </c>
      <c r="C8" s="7" t="s">
        <v>14</v>
      </c>
      <c r="D8" s="7" t="s">
        <v>15</v>
      </c>
      <c r="E8" s="7" t="s">
        <v>16</v>
      </c>
      <c r="F8" s="7" t="s">
        <v>23</v>
      </c>
      <c r="G8" s="7" t="str">
        <f t="shared" si="1"/>
        <v>Sunday</v>
      </c>
      <c r="H8" s="7" t="str">
        <f t="shared" si="2"/>
        <v>Feb</v>
      </c>
      <c r="I8" s="8">
        <v>43521</v>
      </c>
      <c r="J8" s="8" t="str">
        <f t="shared" si="0"/>
        <v>Afternoon</v>
      </c>
      <c r="K8" s="9">
        <v>0.60833333333333328</v>
      </c>
      <c r="L8" s="7" t="s">
        <v>18</v>
      </c>
      <c r="M8" s="10">
        <v>20.652000000000001</v>
      </c>
      <c r="N8" s="7">
        <v>5.8</v>
      </c>
    </row>
    <row r="9" spans="1:14" x14ac:dyDescent="0.25">
      <c r="A9" s="7" t="s">
        <v>34</v>
      </c>
      <c r="B9" s="7" t="s">
        <v>20</v>
      </c>
      <c r="C9" s="7" t="s">
        <v>21</v>
      </c>
      <c r="D9" s="7" t="s">
        <v>22</v>
      </c>
      <c r="E9" s="7" t="s">
        <v>16</v>
      </c>
      <c r="F9" s="7" t="s">
        <v>27</v>
      </c>
      <c r="G9" s="7" t="str">
        <f t="shared" si="1"/>
        <v>Sunday</v>
      </c>
      <c r="H9" s="7" t="str">
        <f t="shared" si="2"/>
        <v>Feb</v>
      </c>
      <c r="I9" s="8">
        <v>43520</v>
      </c>
      <c r="J9" s="8" t="str">
        <f t="shared" si="0"/>
        <v>Morning</v>
      </c>
      <c r="K9" s="9">
        <v>0.48472222222222222</v>
      </c>
      <c r="L9" s="7" t="s">
        <v>18</v>
      </c>
      <c r="M9" s="10">
        <v>36.78</v>
      </c>
      <c r="N9" s="7">
        <v>8</v>
      </c>
    </row>
    <row r="10" spans="1:14" x14ac:dyDescent="0.25">
      <c r="A10" s="7" t="s">
        <v>35</v>
      </c>
      <c r="B10" s="7" t="s">
        <v>13</v>
      </c>
      <c r="C10" s="7" t="s">
        <v>14</v>
      </c>
      <c r="D10" s="7" t="s">
        <v>15</v>
      </c>
      <c r="E10" s="7" t="s">
        <v>16</v>
      </c>
      <c r="F10" s="7" t="s">
        <v>17</v>
      </c>
      <c r="G10" s="7" t="str">
        <f t="shared" si="1"/>
        <v>Sunday</v>
      </c>
      <c r="H10" s="7" t="str">
        <f t="shared" si="2"/>
        <v>Jan</v>
      </c>
      <c r="I10" s="8">
        <v>43475</v>
      </c>
      <c r="J10" s="8" t="str">
        <f t="shared" si="0"/>
        <v>Evening</v>
      </c>
      <c r="K10" s="9">
        <v>0.71875</v>
      </c>
      <c r="L10" s="7" t="s">
        <v>28</v>
      </c>
      <c r="M10" s="10">
        <v>3.6259999999999999</v>
      </c>
      <c r="N10" s="7">
        <v>7.2</v>
      </c>
    </row>
    <row r="11" spans="1:14" x14ac:dyDescent="0.25">
      <c r="A11" s="7" t="s">
        <v>36</v>
      </c>
      <c r="B11" s="7" t="s">
        <v>37</v>
      </c>
      <c r="C11" s="7" t="s">
        <v>38</v>
      </c>
      <c r="D11" s="7" t="s">
        <v>15</v>
      </c>
      <c r="E11" s="7" t="s">
        <v>16</v>
      </c>
      <c r="F11" s="7" t="s">
        <v>39</v>
      </c>
      <c r="G11" s="7" t="str">
        <f t="shared" si="1"/>
        <v>Saturday</v>
      </c>
      <c r="H11" s="7" t="str">
        <f t="shared" si="2"/>
        <v>Feb</v>
      </c>
      <c r="I11" s="8">
        <v>43516</v>
      </c>
      <c r="J11" s="8" t="str">
        <f t="shared" si="0"/>
        <v>Afternoon</v>
      </c>
      <c r="K11" s="9">
        <v>0.56041666666666667</v>
      </c>
      <c r="L11" s="7" t="s">
        <v>28</v>
      </c>
      <c r="M11" s="10">
        <v>8.2260000000000009</v>
      </c>
      <c r="N11" s="7">
        <v>5.9</v>
      </c>
    </row>
    <row r="12" spans="1:14" x14ac:dyDescent="0.25">
      <c r="A12" s="7" t="s">
        <v>40</v>
      </c>
      <c r="B12" s="7" t="s">
        <v>37</v>
      </c>
      <c r="C12" s="7" t="s">
        <v>38</v>
      </c>
      <c r="D12" s="7" t="s">
        <v>15</v>
      </c>
      <c r="E12" s="7" t="s">
        <v>16</v>
      </c>
      <c r="F12" s="7" t="s">
        <v>41</v>
      </c>
      <c r="G12" s="7" t="str">
        <f t="shared" si="1"/>
        <v>Thursday</v>
      </c>
      <c r="H12" s="7" t="str">
        <f t="shared" si="2"/>
        <v>Feb</v>
      </c>
      <c r="I12" s="8">
        <v>43502</v>
      </c>
      <c r="J12" s="8" t="str">
        <f t="shared" si="0"/>
        <v>Evening</v>
      </c>
      <c r="K12" s="9">
        <v>0.75486111111111109</v>
      </c>
      <c r="L12" s="7" t="s">
        <v>18</v>
      </c>
      <c r="M12" s="10">
        <v>2.8959999999999999</v>
      </c>
      <c r="N12" s="7">
        <v>4.5</v>
      </c>
    </row>
    <row r="13" spans="1:14" x14ac:dyDescent="0.25">
      <c r="A13" s="7" t="s">
        <v>42</v>
      </c>
      <c r="B13" s="7" t="s">
        <v>37</v>
      </c>
      <c r="C13" s="7" t="s">
        <v>38</v>
      </c>
      <c r="D13" s="7" t="s">
        <v>15</v>
      </c>
      <c r="E13" s="7" t="s">
        <v>26</v>
      </c>
      <c r="F13" s="7" t="s">
        <v>23</v>
      </c>
      <c r="G13" s="7" t="str">
        <f t="shared" si="1"/>
        <v>Tuesday</v>
      </c>
      <c r="H13" s="7" t="str">
        <f t="shared" si="2"/>
        <v>Mar</v>
      </c>
      <c r="I13" s="8">
        <v>43533</v>
      </c>
      <c r="J13" s="8" t="str">
        <f t="shared" si="0"/>
        <v>Evening</v>
      </c>
      <c r="K13" s="9">
        <v>0.7104166666666667</v>
      </c>
      <c r="L13" s="7" t="s">
        <v>24</v>
      </c>
      <c r="M13" s="10">
        <v>5.1020000000000003</v>
      </c>
      <c r="N13" s="7">
        <v>6.8</v>
      </c>
    </row>
    <row r="14" spans="1:14" x14ac:dyDescent="0.25">
      <c r="A14" s="7" t="s">
        <v>43</v>
      </c>
      <c r="B14" s="7" t="s">
        <v>13</v>
      </c>
      <c r="C14" s="7" t="s">
        <v>14</v>
      </c>
      <c r="D14" s="7" t="s">
        <v>22</v>
      </c>
      <c r="E14" s="7" t="s">
        <v>16</v>
      </c>
      <c r="F14" s="7" t="s">
        <v>23</v>
      </c>
      <c r="G14" s="7" t="str">
        <f t="shared" si="1"/>
        <v>Friday</v>
      </c>
      <c r="H14" s="7" t="str">
        <f t="shared" si="2"/>
        <v>Feb</v>
      </c>
      <c r="I14" s="8">
        <v>43508</v>
      </c>
      <c r="J14" s="8" t="str">
        <f t="shared" si="0"/>
        <v>Morning</v>
      </c>
      <c r="K14" s="9">
        <v>0.43402777777777773</v>
      </c>
      <c r="L14" s="7" t="s">
        <v>18</v>
      </c>
      <c r="M14" s="10">
        <v>11.737500000000001</v>
      </c>
      <c r="N14" s="7">
        <v>7.1</v>
      </c>
    </row>
    <row r="15" spans="1:14" x14ac:dyDescent="0.25">
      <c r="A15" s="7" t="s">
        <v>44</v>
      </c>
      <c r="B15" s="7" t="s">
        <v>13</v>
      </c>
      <c r="C15" s="7" t="s">
        <v>14</v>
      </c>
      <c r="D15" s="7" t="s">
        <v>22</v>
      </c>
      <c r="E15" s="7" t="s">
        <v>26</v>
      </c>
      <c r="F15" s="7" t="s">
        <v>39</v>
      </c>
      <c r="G15" s="7" t="str">
        <f t="shared" si="1"/>
        <v>Thursday</v>
      </c>
      <c r="H15" s="7" t="str">
        <f t="shared" si="2"/>
        <v>Feb</v>
      </c>
      <c r="I15" s="8">
        <v>43503</v>
      </c>
      <c r="J15" s="8" t="str">
        <f t="shared" si="0"/>
        <v>Evening</v>
      </c>
      <c r="K15" s="9">
        <v>0.70000000000000007</v>
      </c>
      <c r="L15" s="7" t="s">
        <v>18</v>
      </c>
      <c r="M15" s="10">
        <v>21.594999999999999</v>
      </c>
      <c r="N15" s="7">
        <v>8.1999999999999993</v>
      </c>
    </row>
    <row r="16" spans="1:14" x14ac:dyDescent="0.25">
      <c r="A16" s="7" t="s">
        <v>45</v>
      </c>
      <c r="B16" s="7" t="s">
        <v>13</v>
      </c>
      <c r="C16" s="7" t="s">
        <v>14</v>
      </c>
      <c r="D16" s="7" t="s">
        <v>22</v>
      </c>
      <c r="E16" s="7" t="s">
        <v>16</v>
      </c>
      <c r="F16" s="7" t="s">
        <v>17</v>
      </c>
      <c r="G16" s="7" t="str">
        <f t="shared" si="1"/>
        <v>Thursday</v>
      </c>
      <c r="H16" s="7" t="str">
        <f t="shared" si="2"/>
        <v>Mar</v>
      </c>
      <c r="I16" s="8">
        <v>43553</v>
      </c>
      <c r="J16" s="8" t="str">
        <f t="shared" si="0"/>
        <v>Evening</v>
      </c>
      <c r="K16" s="9">
        <v>0.80625000000000002</v>
      </c>
      <c r="L16" s="7" t="s">
        <v>24</v>
      </c>
      <c r="M16" s="10">
        <v>35.69</v>
      </c>
      <c r="N16" s="7">
        <v>5.7</v>
      </c>
    </row>
    <row r="17" spans="1:14" x14ac:dyDescent="0.25">
      <c r="A17" s="7" t="s">
        <v>46</v>
      </c>
      <c r="B17" s="7" t="s">
        <v>37</v>
      </c>
      <c r="C17" s="7" t="s">
        <v>38</v>
      </c>
      <c r="D17" s="7" t="s">
        <v>15</v>
      </c>
      <c r="E17" s="7" t="s">
        <v>16</v>
      </c>
      <c r="F17" s="7" t="s">
        <v>31</v>
      </c>
      <c r="G17" s="7" t="str">
        <f t="shared" si="1"/>
        <v>Monday</v>
      </c>
      <c r="H17" s="7" t="str">
        <f t="shared" si="2"/>
        <v>Jan</v>
      </c>
      <c r="I17" s="8">
        <v>43480</v>
      </c>
      <c r="J17" s="8" t="str">
        <f t="shared" si="0"/>
        <v>Evening</v>
      </c>
      <c r="K17" s="9">
        <v>0.67986111111111114</v>
      </c>
      <c r="L17" s="7" t="s">
        <v>24</v>
      </c>
      <c r="M17" s="10">
        <v>28.116</v>
      </c>
      <c r="N17" s="7">
        <v>4.5</v>
      </c>
    </row>
    <row r="18" spans="1:14" x14ac:dyDescent="0.25">
      <c r="A18" s="7" t="s">
        <v>47</v>
      </c>
      <c r="B18" s="7" t="s">
        <v>13</v>
      </c>
      <c r="C18" s="7" t="s">
        <v>14</v>
      </c>
      <c r="D18" s="7" t="s">
        <v>15</v>
      </c>
      <c r="E18" s="7" t="s">
        <v>16</v>
      </c>
      <c r="F18" s="7" t="s">
        <v>17</v>
      </c>
      <c r="G18" s="7" t="str">
        <f t="shared" si="1"/>
        <v>Tuesday</v>
      </c>
      <c r="H18" s="7" t="str">
        <f t="shared" si="2"/>
        <v>Mar</v>
      </c>
      <c r="I18" s="8">
        <v>43535</v>
      </c>
      <c r="J18" s="8" t="str">
        <f t="shared" si="0"/>
        <v>Morning</v>
      </c>
      <c r="K18" s="9">
        <v>0.4604166666666667</v>
      </c>
      <c r="L18" s="7" t="s">
        <v>28</v>
      </c>
      <c r="M18" s="10">
        <v>24.125499999999999</v>
      </c>
      <c r="N18" s="7">
        <v>4.5999999999999996</v>
      </c>
    </row>
    <row r="19" spans="1:14" x14ac:dyDescent="0.25">
      <c r="A19" s="7" t="s">
        <v>48</v>
      </c>
      <c r="B19" s="7" t="s">
        <v>13</v>
      </c>
      <c r="C19" s="7" t="s">
        <v>14</v>
      </c>
      <c r="D19" s="7" t="s">
        <v>22</v>
      </c>
      <c r="E19" s="7" t="s">
        <v>26</v>
      </c>
      <c r="F19" s="7" t="s">
        <v>31</v>
      </c>
      <c r="G19" s="7" t="str">
        <f t="shared" si="1"/>
        <v>Saturday</v>
      </c>
      <c r="H19" s="7" t="str">
        <f t="shared" si="2"/>
        <v>Jan</v>
      </c>
      <c r="I19" s="8">
        <v>43466</v>
      </c>
      <c r="J19" s="8" t="str">
        <f t="shared" si="0"/>
        <v>Morning</v>
      </c>
      <c r="K19" s="9">
        <v>0.44375000000000003</v>
      </c>
      <c r="L19" s="7" t="s">
        <v>28</v>
      </c>
      <c r="M19" s="10">
        <v>21.783000000000001</v>
      </c>
      <c r="N19" s="7">
        <v>6.9</v>
      </c>
    </row>
    <row r="20" spans="1:14" x14ac:dyDescent="0.25">
      <c r="A20" s="7" t="s">
        <v>49</v>
      </c>
      <c r="B20" s="7" t="s">
        <v>13</v>
      </c>
      <c r="C20" s="7" t="s">
        <v>14</v>
      </c>
      <c r="D20" s="7" t="s">
        <v>22</v>
      </c>
      <c r="E20" s="7" t="s">
        <v>26</v>
      </c>
      <c r="F20" s="7" t="s">
        <v>39</v>
      </c>
      <c r="G20" s="7" t="str">
        <f t="shared" si="1"/>
        <v>Tuesday</v>
      </c>
      <c r="H20" s="7" t="str">
        <f t="shared" si="2"/>
        <v>Jan</v>
      </c>
      <c r="I20" s="8">
        <v>43486</v>
      </c>
      <c r="J20" s="8" t="str">
        <f t="shared" si="0"/>
        <v>Evening</v>
      </c>
      <c r="K20" s="9">
        <v>0.75</v>
      </c>
      <c r="L20" s="7" t="s">
        <v>28</v>
      </c>
      <c r="M20" s="10">
        <v>8.2004999999999999</v>
      </c>
      <c r="N20" s="7">
        <v>8.6</v>
      </c>
    </row>
    <row r="21" spans="1:14" x14ac:dyDescent="0.25">
      <c r="A21" s="7" t="s">
        <v>50</v>
      </c>
      <c r="B21" s="7" t="s">
        <v>37</v>
      </c>
      <c r="C21" s="7" t="s">
        <v>38</v>
      </c>
      <c r="D21" s="7" t="s">
        <v>22</v>
      </c>
      <c r="E21" s="7" t="s">
        <v>16</v>
      </c>
      <c r="F21" s="7" t="s">
        <v>27</v>
      </c>
      <c r="G21" s="7" t="str">
        <f t="shared" si="1"/>
        <v>Tuesday</v>
      </c>
      <c r="H21" s="7" t="str">
        <f t="shared" si="2"/>
        <v>Mar</v>
      </c>
      <c r="I21" s="8">
        <v>43535</v>
      </c>
      <c r="J21" s="8" t="str">
        <f t="shared" si="0"/>
        <v>Afternoon</v>
      </c>
      <c r="K21" s="9">
        <v>0.64583333333333337</v>
      </c>
      <c r="L21" s="7" t="s">
        <v>18</v>
      </c>
      <c r="M21" s="10">
        <v>4.03</v>
      </c>
      <c r="N21" s="7">
        <v>4.4000000000000004</v>
      </c>
    </row>
    <row r="22" spans="1:14" x14ac:dyDescent="0.25">
      <c r="A22" s="7" t="s">
        <v>51</v>
      </c>
      <c r="B22" s="7" t="s">
        <v>20</v>
      </c>
      <c r="C22" s="7" t="s">
        <v>21</v>
      </c>
      <c r="D22" s="7" t="s">
        <v>15</v>
      </c>
      <c r="E22" s="7" t="s">
        <v>26</v>
      </c>
      <c r="F22" s="7" t="s">
        <v>23</v>
      </c>
      <c r="G22" s="7" t="str">
        <f t="shared" si="1"/>
        <v>Sunday</v>
      </c>
      <c r="H22" s="7" t="str">
        <f t="shared" si="2"/>
        <v>Feb</v>
      </c>
      <c r="I22" s="8">
        <v>43521</v>
      </c>
      <c r="J22" s="8" t="str">
        <f t="shared" si="0"/>
        <v>Morning</v>
      </c>
      <c r="K22" s="9">
        <v>0.47500000000000003</v>
      </c>
      <c r="L22" s="7" t="s">
        <v>18</v>
      </c>
      <c r="M22" s="10">
        <v>21.51</v>
      </c>
      <c r="N22" s="7">
        <v>4.8</v>
      </c>
    </row>
    <row r="23" spans="1:14" x14ac:dyDescent="0.25">
      <c r="A23" s="7" t="s">
        <v>52</v>
      </c>
      <c r="B23" s="7" t="s">
        <v>37</v>
      </c>
      <c r="C23" s="7" t="s">
        <v>38</v>
      </c>
      <c r="D23" s="7" t="s">
        <v>22</v>
      </c>
      <c r="E23" s="7" t="s">
        <v>26</v>
      </c>
      <c r="F23" s="7" t="s">
        <v>17</v>
      </c>
      <c r="G23" s="7" t="str">
        <f t="shared" si="1"/>
        <v>Monday</v>
      </c>
      <c r="H23" s="7" t="str">
        <f t="shared" si="2"/>
        <v>Mar</v>
      </c>
      <c r="I23" s="8">
        <v>43529</v>
      </c>
      <c r="J23" s="8" t="str">
        <f t="shared" si="0"/>
        <v>Morning</v>
      </c>
      <c r="K23" s="9">
        <v>0.44444444444444442</v>
      </c>
      <c r="L23" s="7" t="s">
        <v>18</v>
      </c>
      <c r="M23" s="10">
        <v>13.196999999999999</v>
      </c>
      <c r="N23" s="7">
        <v>5.0999999999999996</v>
      </c>
    </row>
    <row r="24" spans="1:14" x14ac:dyDescent="0.25">
      <c r="A24" s="7" t="s">
        <v>53</v>
      </c>
      <c r="B24" s="7" t="s">
        <v>37</v>
      </c>
      <c r="C24" s="7" t="s">
        <v>38</v>
      </c>
      <c r="D24" s="7" t="s">
        <v>22</v>
      </c>
      <c r="E24" s="7" t="s">
        <v>26</v>
      </c>
      <c r="F24" s="7" t="s">
        <v>27</v>
      </c>
      <c r="G24" s="7" t="str">
        <f t="shared" si="1"/>
        <v>Tuesday</v>
      </c>
      <c r="H24" s="7" t="str">
        <f t="shared" si="2"/>
        <v>Mar</v>
      </c>
      <c r="I24" s="8">
        <v>43539</v>
      </c>
      <c r="J24" s="8" t="str">
        <f t="shared" si="0"/>
        <v>Afternoon</v>
      </c>
      <c r="K24" s="9">
        <v>0.51388888888888895</v>
      </c>
      <c r="L24" s="7" t="s">
        <v>28</v>
      </c>
      <c r="M24" s="10">
        <v>3.32</v>
      </c>
      <c r="N24" s="7">
        <v>4.4000000000000004</v>
      </c>
    </row>
    <row r="25" spans="1:14" x14ac:dyDescent="0.25">
      <c r="A25" s="7" t="s">
        <v>54</v>
      </c>
      <c r="B25" s="7" t="s">
        <v>13</v>
      </c>
      <c r="C25" s="7" t="s">
        <v>14</v>
      </c>
      <c r="D25" s="7" t="s">
        <v>22</v>
      </c>
      <c r="E25" s="7" t="s">
        <v>26</v>
      </c>
      <c r="F25" s="7" t="s">
        <v>23</v>
      </c>
      <c r="G25" s="7" t="str">
        <f t="shared" si="1"/>
        <v>Saturday</v>
      </c>
      <c r="H25" s="7" t="str">
        <f t="shared" si="2"/>
        <v>Feb</v>
      </c>
      <c r="I25" s="8">
        <v>43513</v>
      </c>
      <c r="J25" s="8" t="str">
        <f t="shared" si="0"/>
        <v>Morning</v>
      </c>
      <c r="K25" s="9">
        <v>0.46875</v>
      </c>
      <c r="L25" s="7" t="s">
        <v>18</v>
      </c>
      <c r="M25" s="10">
        <v>8.64</v>
      </c>
      <c r="N25" s="7">
        <v>9.9</v>
      </c>
    </row>
    <row r="26" spans="1:14" x14ac:dyDescent="0.25">
      <c r="A26" s="7" t="s">
        <v>55</v>
      </c>
      <c r="B26" s="7" t="s">
        <v>13</v>
      </c>
      <c r="C26" s="7" t="s">
        <v>14</v>
      </c>
      <c r="D26" s="7" t="s">
        <v>15</v>
      </c>
      <c r="E26" s="7" t="s">
        <v>26</v>
      </c>
      <c r="F26" s="7" t="s">
        <v>31</v>
      </c>
      <c r="G26" s="7" t="str">
        <f t="shared" si="1"/>
        <v>Monday</v>
      </c>
      <c r="H26" s="7" t="str">
        <f t="shared" si="2"/>
        <v>Mar</v>
      </c>
      <c r="I26" s="8">
        <v>43526</v>
      </c>
      <c r="J26" s="8" t="str">
        <f t="shared" si="0"/>
        <v>Evening</v>
      </c>
      <c r="K26" s="9">
        <v>0.73333333333333339</v>
      </c>
      <c r="L26" s="7" t="s">
        <v>18</v>
      </c>
      <c r="M26" s="10">
        <v>13.294499999999999</v>
      </c>
      <c r="N26" s="7">
        <v>6</v>
      </c>
    </row>
    <row r="27" spans="1:14" x14ac:dyDescent="0.25">
      <c r="A27" s="7" t="s">
        <v>56</v>
      </c>
      <c r="B27" s="7" t="s">
        <v>13</v>
      </c>
      <c r="C27" s="7" t="s">
        <v>14</v>
      </c>
      <c r="D27" s="7" t="s">
        <v>15</v>
      </c>
      <c r="E27" s="7" t="s">
        <v>16</v>
      </c>
      <c r="F27" s="7" t="s">
        <v>27</v>
      </c>
      <c r="G27" s="7" t="str">
        <f t="shared" si="1"/>
        <v>Wednesday</v>
      </c>
      <c r="H27" s="7" t="str">
        <f t="shared" si="2"/>
        <v>Mar</v>
      </c>
      <c r="I27" s="8">
        <v>43546</v>
      </c>
      <c r="J27" s="8" t="str">
        <f t="shared" si="0"/>
        <v>Evening</v>
      </c>
      <c r="K27" s="9">
        <v>0.80555555555555547</v>
      </c>
      <c r="L27" s="7" t="s">
        <v>28</v>
      </c>
      <c r="M27" s="10">
        <v>21.036000000000001</v>
      </c>
      <c r="N27" s="7">
        <v>8.5</v>
      </c>
    </row>
    <row r="28" spans="1:14" x14ac:dyDescent="0.25">
      <c r="A28" s="7" t="s">
        <v>57</v>
      </c>
      <c r="B28" s="7" t="s">
        <v>37</v>
      </c>
      <c r="C28" s="7" t="s">
        <v>38</v>
      </c>
      <c r="D28" s="7" t="s">
        <v>22</v>
      </c>
      <c r="E28" s="7" t="s">
        <v>26</v>
      </c>
      <c r="F28" s="7" t="s">
        <v>41</v>
      </c>
      <c r="G28" s="7" t="str">
        <f t="shared" si="1"/>
        <v>Thursday</v>
      </c>
      <c r="H28" s="7" t="str">
        <f t="shared" si="2"/>
        <v>Feb</v>
      </c>
      <c r="I28" s="8">
        <v>43504</v>
      </c>
      <c r="J28" s="8" t="str">
        <f t="shared" si="0"/>
        <v>Afternoon</v>
      </c>
      <c r="K28" s="9">
        <v>0.64652777777777781</v>
      </c>
      <c r="L28" s="7" t="s">
        <v>24</v>
      </c>
      <c r="M28" s="10">
        <v>1.6759999999999999</v>
      </c>
      <c r="N28" s="7">
        <v>6.7</v>
      </c>
    </row>
    <row r="29" spans="1:14" x14ac:dyDescent="0.25">
      <c r="A29" s="7" t="s">
        <v>58</v>
      </c>
      <c r="B29" s="7" t="s">
        <v>13</v>
      </c>
      <c r="C29" s="7" t="s">
        <v>14</v>
      </c>
      <c r="D29" s="7" t="s">
        <v>22</v>
      </c>
      <c r="E29" s="7" t="s">
        <v>16</v>
      </c>
      <c r="F29" s="7" t="s">
        <v>41</v>
      </c>
      <c r="G29" s="7" t="str">
        <f t="shared" si="1"/>
        <v>Tuesday</v>
      </c>
      <c r="H29" s="7" t="str">
        <f t="shared" si="2"/>
        <v>Mar</v>
      </c>
      <c r="I29" s="8">
        <v>43534</v>
      </c>
      <c r="J29" s="8" t="str">
        <f t="shared" si="0"/>
        <v>Afternoon</v>
      </c>
      <c r="K29" s="9">
        <v>0.51180555555555551</v>
      </c>
      <c r="L29" s="7" t="s">
        <v>28</v>
      </c>
      <c r="M29" s="10">
        <v>8.7669999999999995</v>
      </c>
      <c r="N29" s="7">
        <v>7.7</v>
      </c>
    </row>
    <row r="30" spans="1:14" x14ac:dyDescent="0.25">
      <c r="A30" s="7" t="s">
        <v>59</v>
      </c>
      <c r="B30" s="7" t="s">
        <v>37</v>
      </c>
      <c r="C30" s="7" t="s">
        <v>38</v>
      </c>
      <c r="D30" s="7" t="s">
        <v>22</v>
      </c>
      <c r="E30" s="7" t="s">
        <v>16</v>
      </c>
      <c r="F30" s="7" t="s">
        <v>39</v>
      </c>
      <c r="G30" s="7" t="str">
        <f t="shared" si="1"/>
        <v>Tuesday</v>
      </c>
      <c r="H30" s="7" t="str">
        <f t="shared" si="2"/>
        <v>Jan</v>
      </c>
      <c r="I30" s="8">
        <v>43490</v>
      </c>
      <c r="J30" s="8" t="str">
        <f t="shared" si="0"/>
        <v>Evening</v>
      </c>
      <c r="K30" s="9">
        <v>0.82500000000000007</v>
      </c>
      <c r="L30" s="7" t="s">
        <v>24</v>
      </c>
      <c r="M30" s="10">
        <v>22.09</v>
      </c>
      <c r="N30" s="7">
        <v>9.6</v>
      </c>
    </row>
    <row r="31" spans="1:14" x14ac:dyDescent="0.25">
      <c r="A31" s="7" t="s">
        <v>60</v>
      </c>
      <c r="B31" s="7" t="s">
        <v>13</v>
      </c>
      <c r="C31" s="7" t="s">
        <v>14</v>
      </c>
      <c r="D31" s="7" t="s">
        <v>22</v>
      </c>
      <c r="E31" s="7" t="s">
        <v>26</v>
      </c>
      <c r="F31" s="7" t="s">
        <v>17</v>
      </c>
      <c r="G31" s="7" t="str">
        <f t="shared" si="1"/>
        <v>Tuesday</v>
      </c>
      <c r="H31" s="7" t="str">
        <f t="shared" si="2"/>
        <v>Mar</v>
      </c>
      <c r="I31" s="8">
        <v>43539</v>
      </c>
      <c r="J31" s="8" t="str">
        <f t="shared" si="0"/>
        <v>Afternoon</v>
      </c>
      <c r="K31" s="9">
        <v>0.65</v>
      </c>
      <c r="L31" s="7" t="s">
        <v>24</v>
      </c>
      <c r="M31" s="10">
        <v>11.2005</v>
      </c>
      <c r="N31" s="7">
        <v>7.4</v>
      </c>
    </row>
    <row r="32" spans="1:14" x14ac:dyDescent="0.25">
      <c r="A32" s="7" t="s">
        <v>61</v>
      </c>
      <c r="B32" s="7" t="s">
        <v>37</v>
      </c>
      <c r="C32" s="7" t="s">
        <v>38</v>
      </c>
      <c r="D32" s="7" t="s">
        <v>22</v>
      </c>
      <c r="E32" s="7" t="s">
        <v>26</v>
      </c>
      <c r="F32" s="7" t="s">
        <v>41</v>
      </c>
      <c r="G32" s="7" t="str">
        <f t="shared" si="1"/>
        <v>Sunday</v>
      </c>
      <c r="H32" s="7" t="str">
        <f t="shared" si="2"/>
        <v>Feb</v>
      </c>
      <c r="I32" s="8">
        <v>43521</v>
      </c>
      <c r="J32" s="8" t="str">
        <f t="shared" si="0"/>
        <v>Evening</v>
      </c>
      <c r="K32" s="9">
        <v>0.81874999999999998</v>
      </c>
      <c r="L32" s="7" t="s">
        <v>28</v>
      </c>
      <c r="M32" s="10">
        <v>23.532499999999999</v>
      </c>
      <c r="N32" s="7">
        <v>4.8</v>
      </c>
    </row>
    <row r="33" spans="1:14" x14ac:dyDescent="0.25">
      <c r="A33" s="7" t="s">
        <v>62</v>
      </c>
      <c r="B33" s="7" t="s">
        <v>37</v>
      </c>
      <c r="C33" s="7" t="s">
        <v>38</v>
      </c>
      <c r="D33" s="7" t="s">
        <v>15</v>
      </c>
      <c r="E33" s="7" t="s">
        <v>26</v>
      </c>
      <c r="F33" s="7" t="s">
        <v>31</v>
      </c>
      <c r="G33" s="7" t="str">
        <f t="shared" si="1"/>
        <v>Wednesday</v>
      </c>
      <c r="H33" s="7" t="str">
        <f t="shared" si="2"/>
        <v>Jan</v>
      </c>
      <c r="I33" s="8">
        <v>43493</v>
      </c>
      <c r="J33" s="8" t="str">
        <f t="shared" si="0"/>
        <v>Afternoon</v>
      </c>
      <c r="K33" s="9">
        <v>0.52986111111111112</v>
      </c>
      <c r="L33" s="7" t="s">
        <v>24</v>
      </c>
      <c r="M33" s="10">
        <v>35.131500000000003</v>
      </c>
      <c r="N33" s="7">
        <v>4.5</v>
      </c>
    </row>
    <row r="34" spans="1:14" x14ac:dyDescent="0.25">
      <c r="A34" s="7" t="s">
        <v>63</v>
      </c>
      <c r="B34" s="7" t="s">
        <v>37</v>
      </c>
      <c r="C34" s="7" t="s">
        <v>38</v>
      </c>
      <c r="D34" s="7" t="s">
        <v>22</v>
      </c>
      <c r="E34" s="7" t="s">
        <v>26</v>
      </c>
      <c r="F34" s="7" t="s">
        <v>31</v>
      </c>
      <c r="G34" s="7" t="str">
        <f t="shared" si="1"/>
        <v>Sunday</v>
      </c>
      <c r="H34" s="7" t="str">
        <f t="shared" si="2"/>
        <v>Jan</v>
      </c>
      <c r="I34" s="8">
        <v>43475</v>
      </c>
      <c r="J34" s="8" t="str">
        <f t="shared" si="0"/>
        <v>Afternoon</v>
      </c>
      <c r="K34" s="9">
        <v>0.61736111111111114</v>
      </c>
      <c r="L34" s="7" t="s">
        <v>24</v>
      </c>
      <c r="M34" s="10">
        <v>33.512</v>
      </c>
      <c r="N34" s="7">
        <v>5.0999999999999996</v>
      </c>
    </row>
    <row r="35" spans="1:14" x14ac:dyDescent="0.25">
      <c r="A35" s="7" t="s">
        <v>64</v>
      </c>
      <c r="B35" s="7" t="s">
        <v>13</v>
      </c>
      <c r="C35" s="7" t="s">
        <v>14</v>
      </c>
      <c r="D35" s="7" t="s">
        <v>22</v>
      </c>
      <c r="E35" s="7" t="s">
        <v>26</v>
      </c>
      <c r="F35" s="7" t="s">
        <v>17</v>
      </c>
      <c r="G35" s="7" t="str">
        <f t="shared" si="1"/>
        <v>Tuesday</v>
      </c>
      <c r="H35" s="7" t="str">
        <f t="shared" si="2"/>
        <v>Mar</v>
      </c>
      <c r="I35" s="8">
        <v>43539</v>
      </c>
      <c r="J35" s="8" t="str">
        <f t="shared" si="0"/>
        <v>Morning</v>
      </c>
      <c r="K35" s="9">
        <v>0.42499999999999999</v>
      </c>
      <c r="L35" s="7" t="s">
        <v>28</v>
      </c>
      <c r="M35" s="10">
        <v>9.6579999999999995</v>
      </c>
      <c r="N35" s="7">
        <v>5.0999999999999996</v>
      </c>
    </row>
    <row r="36" spans="1:14" x14ac:dyDescent="0.25">
      <c r="A36" s="7" t="s">
        <v>65</v>
      </c>
      <c r="B36" s="7" t="s">
        <v>20</v>
      </c>
      <c r="C36" s="7" t="s">
        <v>21</v>
      </c>
      <c r="D36" s="7" t="s">
        <v>15</v>
      </c>
      <c r="E36" s="7" t="s">
        <v>16</v>
      </c>
      <c r="F36" s="7" t="s">
        <v>39</v>
      </c>
      <c r="G36" s="7" t="str">
        <f t="shared" si="1"/>
        <v>Thursday</v>
      </c>
      <c r="H36" s="7" t="str">
        <f t="shared" si="2"/>
        <v>Feb</v>
      </c>
      <c r="I36" s="8">
        <v>43502</v>
      </c>
      <c r="J36" s="8" t="str">
        <f t="shared" si="0"/>
        <v>Morning</v>
      </c>
      <c r="K36" s="9">
        <v>0.4458333333333333</v>
      </c>
      <c r="L36" s="7" t="s">
        <v>18</v>
      </c>
      <c r="M36" s="10">
        <v>19.884</v>
      </c>
      <c r="N36" s="7">
        <v>7.5</v>
      </c>
    </row>
    <row r="37" spans="1:14" x14ac:dyDescent="0.25">
      <c r="A37" s="7" t="s">
        <v>66</v>
      </c>
      <c r="B37" s="7" t="s">
        <v>20</v>
      </c>
      <c r="C37" s="7" t="s">
        <v>21</v>
      </c>
      <c r="D37" s="7" t="s">
        <v>15</v>
      </c>
      <c r="E37" s="7" t="s">
        <v>16</v>
      </c>
      <c r="F37" s="7" t="s">
        <v>31</v>
      </c>
      <c r="G37" s="7" t="str">
        <f t="shared" si="1"/>
        <v>Sunday</v>
      </c>
      <c r="H37" s="7" t="str">
        <f t="shared" si="2"/>
        <v>Jan</v>
      </c>
      <c r="I37" s="8">
        <v>43472</v>
      </c>
      <c r="J37" s="8" t="str">
        <f t="shared" si="0"/>
        <v>Afternoon</v>
      </c>
      <c r="K37" s="9">
        <v>0.51944444444444449</v>
      </c>
      <c r="L37" s="7" t="s">
        <v>18</v>
      </c>
      <c r="M37" s="10">
        <v>3.4060000000000001</v>
      </c>
      <c r="N37" s="7">
        <v>6.8</v>
      </c>
    </row>
    <row r="38" spans="1:14" x14ac:dyDescent="0.25">
      <c r="A38" s="7" t="s">
        <v>67</v>
      </c>
      <c r="B38" s="7" t="s">
        <v>13</v>
      </c>
      <c r="C38" s="7" t="s">
        <v>14</v>
      </c>
      <c r="D38" s="7" t="s">
        <v>15</v>
      </c>
      <c r="E38" s="7" t="s">
        <v>26</v>
      </c>
      <c r="F38" s="7" t="s">
        <v>31</v>
      </c>
      <c r="G38" s="7" t="str">
        <f t="shared" si="1"/>
        <v>Tuesday</v>
      </c>
      <c r="H38" s="7" t="str">
        <f t="shared" si="2"/>
        <v>Mar</v>
      </c>
      <c r="I38" s="8">
        <v>43534</v>
      </c>
      <c r="J38" s="8" t="str">
        <f t="shared" si="0"/>
        <v>Evening</v>
      </c>
      <c r="K38" s="9">
        <v>0.80208333333333337</v>
      </c>
      <c r="L38" s="7" t="s">
        <v>18</v>
      </c>
      <c r="M38" s="10">
        <v>15.654999999999999</v>
      </c>
      <c r="N38" s="7">
        <v>7</v>
      </c>
    </row>
    <row r="39" spans="1:14" x14ac:dyDescent="0.25">
      <c r="A39" s="7" t="s">
        <v>68</v>
      </c>
      <c r="B39" s="7" t="s">
        <v>13</v>
      </c>
      <c r="C39" s="7" t="s">
        <v>14</v>
      </c>
      <c r="D39" s="7" t="s">
        <v>22</v>
      </c>
      <c r="E39" s="7" t="s">
        <v>16</v>
      </c>
      <c r="F39" s="7" t="s">
        <v>23</v>
      </c>
      <c r="G39" s="7" t="str">
        <f t="shared" si="1"/>
        <v>Monday</v>
      </c>
      <c r="H39" s="7" t="str">
        <f t="shared" si="2"/>
        <v>Jan</v>
      </c>
      <c r="I39" s="8">
        <v>43480</v>
      </c>
      <c r="J39" s="8" t="str">
        <f t="shared" si="0"/>
        <v>Evening</v>
      </c>
      <c r="K39" s="9">
        <v>0.72013888888888899</v>
      </c>
      <c r="L39" s="7" t="s">
        <v>18</v>
      </c>
      <c r="M39" s="10">
        <v>27.396000000000001</v>
      </c>
      <c r="N39" s="7">
        <v>4.7</v>
      </c>
    </row>
    <row r="40" spans="1:14" x14ac:dyDescent="0.25">
      <c r="A40" s="7" t="s">
        <v>69</v>
      </c>
      <c r="B40" s="7" t="s">
        <v>20</v>
      </c>
      <c r="C40" s="7" t="s">
        <v>21</v>
      </c>
      <c r="D40" s="7" t="s">
        <v>22</v>
      </c>
      <c r="E40" s="7" t="s">
        <v>16</v>
      </c>
      <c r="F40" s="7" t="s">
        <v>17</v>
      </c>
      <c r="G40" s="7" t="str">
        <f t="shared" si="1"/>
        <v>Thursday</v>
      </c>
      <c r="H40" s="7" t="str">
        <f t="shared" si="2"/>
        <v>Mar</v>
      </c>
      <c r="I40" s="8">
        <v>43547</v>
      </c>
      <c r="J40" s="8" t="str">
        <f t="shared" si="0"/>
        <v>Afternoon</v>
      </c>
      <c r="K40" s="9">
        <v>0.55833333333333335</v>
      </c>
      <c r="L40" s="7" t="s">
        <v>18</v>
      </c>
      <c r="M40" s="10">
        <v>21.968</v>
      </c>
      <c r="N40" s="7">
        <v>7.6</v>
      </c>
    </row>
    <row r="41" spans="1:14" x14ac:dyDescent="0.25">
      <c r="A41" s="7" t="s">
        <v>70</v>
      </c>
      <c r="B41" s="7" t="s">
        <v>37</v>
      </c>
      <c r="C41" s="7" t="s">
        <v>38</v>
      </c>
      <c r="D41" s="7" t="s">
        <v>15</v>
      </c>
      <c r="E41" s="7" t="s">
        <v>26</v>
      </c>
      <c r="F41" s="7" t="s">
        <v>27</v>
      </c>
      <c r="G41" s="7" t="str">
        <f t="shared" si="1"/>
        <v>Monday</v>
      </c>
      <c r="H41" s="7" t="str">
        <f t="shared" si="2"/>
        <v>Mar</v>
      </c>
      <c r="I41" s="8">
        <v>43527</v>
      </c>
      <c r="J41" s="8" t="str">
        <f t="shared" si="0"/>
        <v>Afternoon</v>
      </c>
      <c r="K41" s="9">
        <v>0.54236111111111118</v>
      </c>
      <c r="L41" s="7" t="s">
        <v>24</v>
      </c>
      <c r="M41" s="10">
        <v>12.048</v>
      </c>
      <c r="N41" s="7">
        <v>7.7</v>
      </c>
    </row>
    <row r="42" spans="1:14" x14ac:dyDescent="0.25">
      <c r="A42" s="7" t="s">
        <v>71</v>
      </c>
      <c r="B42" s="7" t="s">
        <v>37</v>
      </c>
      <c r="C42" s="7" t="s">
        <v>38</v>
      </c>
      <c r="D42" s="7" t="s">
        <v>15</v>
      </c>
      <c r="E42" s="7" t="s">
        <v>16</v>
      </c>
      <c r="F42" s="7" t="s">
        <v>27</v>
      </c>
      <c r="G42" s="7" t="str">
        <f t="shared" si="1"/>
        <v>Monday</v>
      </c>
      <c r="H42" s="7" t="str">
        <f t="shared" si="2"/>
        <v>Jan</v>
      </c>
      <c r="I42" s="8">
        <v>43482</v>
      </c>
      <c r="J42" s="8" t="str">
        <f t="shared" si="0"/>
        <v>Evening</v>
      </c>
      <c r="K42" s="9">
        <v>0.78125</v>
      </c>
      <c r="L42" s="7" t="s">
        <v>18</v>
      </c>
      <c r="M42" s="10">
        <v>4.3360000000000003</v>
      </c>
      <c r="N42" s="7">
        <v>7.9</v>
      </c>
    </row>
    <row r="43" spans="1:14" x14ac:dyDescent="0.25">
      <c r="A43" s="7" t="s">
        <v>72</v>
      </c>
      <c r="B43" s="7" t="s">
        <v>20</v>
      </c>
      <c r="C43" s="7" t="s">
        <v>21</v>
      </c>
      <c r="D43" s="7" t="s">
        <v>15</v>
      </c>
      <c r="E43" s="7" t="s">
        <v>26</v>
      </c>
      <c r="F43" s="7" t="s">
        <v>27</v>
      </c>
      <c r="G43" s="7" t="str">
        <f t="shared" si="1"/>
        <v>Thursday</v>
      </c>
      <c r="H43" s="7" t="str">
        <f t="shared" si="2"/>
        <v>Feb</v>
      </c>
      <c r="I43" s="8">
        <v>43498</v>
      </c>
      <c r="J43" s="8" t="str">
        <f t="shared" si="0"/>
        <v>Morning</v>
      </c>
      <c r="K43" s="9">
        <v>0.42430555555555555</v>
      </c>
      <c r="L43" s="7" t="s">
        <v>24</v>
      </c>
      <c r="M43" s="10">
        <v>5.6109999999999998</v>
      </c>
      <c r="N43" s="7">
        <v>6.3</v>
      </c>
    </row>
    <row r="44" spans="1:14" x14ac:dyDescent="0.25">
      <c r="A44" s="7" t="s">
        <v>73</v>
      </c>
      <c r="B44" s="7" t="s">
        <v>37</v>
      </c>
      <c r="C44" s="7" t="s">
        <v>38</v>
      </c>
      <c r="D44" s="7" t="s">
        <v>15</v>
      </c>
      <c r="E44" s="7" t="s">
        <v>16</v>
      </c>
      <c r="F44" s="7" t="s">
        <v>31</v>
      </c>
      <c r="G44" s="7" t="str">
        <f t="shared" si="1"/>
        <v>Thursday</v>
      </c>
      <c r="H44" s="7" t="str">
        <f t="shared" si="2"/>
        <v>Feb</v>
      </c>
      <c r="I44" s="8">
        <v>43504</v>
      </c>
      <c r="J44" s="8" t="str">
        <f t="shared" si="0"/>
        <v>Afternoon</v>
      </c>
      <c r="K44" s="9">
        <v>0.54375000000000007</v>
      </c>
      <c r="L44" s="7" t="s">
        <v>24</v>
      </c>
      <c r="M44" s="10">
        <v>20.736000000000001</v>
      </c>
      <c r="N44" s="7">
        <v>5.6</v>
      </c>
    </row>
    <row r="45" spans="1:14" x14ac:dyDescent="0.25">
      <c r="A45" s="7" t="s">
        <v>74</v>
      </c>
      <c r="B45" s="7" t="s">
        <v>20</v>
      </c>
      <c r="C45" s="7" t="s">
        <v>21</v>
      </c>
      <c r="D45" s="7" t="s">
        <v>15</v>
      </c>
      <c r="E45" s="7" t="s">
        <v>16</v>
      </c>
      <c r="F45" s="7" t="s">
        <v>39</v>
      </c>
      <c r="G45" s="7" t="str">
        <f t="shared" si="1"/>
        <v>Monday</v>
      </c>
      <c r="H45" s="7" t="str">
        <f t="shared" si="2"/>
        <v>Mar</v>
      </c>
      <c r="I45" s="8">
        <v>43528</v>
      </c>
      <c r="J45" s="8" t="str">
        <f t="shared" si="0"/>
        <v>Evening</v>
      </c>
      <c r="K45" s="9">
        <v>0.86041666666666661</v>
      </c>
      <c r="L45" s="7" t="s">
        <v>24</v>
      </c>
      <c r="M45" s="10">
        <v>39.479999999999997</v>
      </c>
      <c r="N45" s="7">
        <v>7.6</v>
      </c>
    </row>
    <row r="46" spans="1:14" x14ac:dyDescent="0.25">
      <c r="A46" s="7" t="s">
        <v>75</v>
      </c>
      <c r="B46" s="7" t="s">
        <v>20</v>
      </c>
      <c r="C46" s="7" t="s">
        <v>21</v>
      </c>
      <c r="D46" s="7" t="s">
        <v>15</v>
      </c>
      <c r="E46" s="7" t="s">
        <v>26</v>
      </c>
      <c r="F46" s="7" t="s">
        <v>17</v>
      </c>
      <c r="G46" s="7" t="str">
        <f t="shared" si="1"/>
        <v>Wednesday</v>
      </c>
      <c r="H46" s="7" t="str">
        <f t="shared" si="2"/>
        <v>Mar</v>
      </c>
      <c r="I46" s="8">
        <v>43540</v>
      </c>
      <c r="J46" s="8" t="str">
        <f t="shared" si="0"/>
        <v>Evening</v>
      </c>
      <c r="K46" s="9">
        <v>0.82430555555555562</v>
      </c>
      <c r="L46" s="7" t="s">
        <v>24</v>
      </c>
      <c r="M46" s="10">
        <v>1.5369999999999999</v>
      </c>
      <c r="N46" s="7">
        <v>7.2</v>
      </c>
    </row>
    <row r="47" spans="1:14" x14ac:dyDescent="0.25">
      <c r="A47" s="7" t="s">
        <v>76</v>
      </c>
      <c r="B47" s="7" t="s">
        <v>37</v>
      </c>
      <c r="C47" s="7" t="s">
        <v>38</v>
      </c>
      <c r="D47" s="7" t="s">
        <v>15</v>
      </c>
      <c r="E47" s="7" t="s">
        <v>16</v>
      </c>
      <c r="F47" s="7" t="s">
        <v>23</v>
      </c>
      <c r="G47" s="7" t="str">
        <f t="shared" si="1"/>
        <v>Tuesday</v>
      </c>
      <c r="H47" s="7" t="str">
        <f t="shared" si="2"/>
        <v>Mar</v>
      </c>
      <c r="I47" s="8">
        <v>43533</v>
      </c>
      <c r="J47" s="8" t="str">
        <f t="shared" si="0"/>
        <v>Evening</v>
      </c>
      <c r="K47" s="9">
        <v>0.75</v>
      </c>
      <c r="L47" s="7" t="s">
        <v>24</v>
      </c>
      <c r="M47" s="10">
        <v>18.792000000000002</v>
      </c>
      <c r="N47" s="7">
        <v>9.5</v>
      </c>
    </row>
    <row r="48" spans="1:14" x14ac:dyDescent="0.25">
      <c r="A48" s="7" t="s">
        <v>77</v>
      </c>
      <c r="B48" s="7" t="s">
        <v>37</v>
      </c>
      <c r="C48" s="7" t="s">
        <v>38</v>
      </c>
      <c r="D48" s="7" t="s">
        <v>15</v>
      </c>
      <c r="E48" s="7" t="s">
        <v>26</v>
      </c>
      <c r="F48" s="7" t="s">
        <v>17</v>
      </c>
      <c r="G48" s="7" t="str">
        <f t="shared" si="1"/>
        <v>Sunday</v>
      </c>
      <c r="H48" s="7" t="str">
        <f t="shared" si="2"/>
        <v>Feb</v>
      </c>
      <c r="I48" s="8">
        <v>43523</v>
      </c>
      <c r="J48" s="8" t="str">
        <f t="shared" si="0"/>
        <v>Evening</v>
      </c>
      <c r="K48" s="9">
        <v>0.72499999999999998</v>
      </c>
      <c r="L48" s="7" t="s">
        <v>28</v>
      </c>
      <c r="M48" s="10">
        <v>25.5105</v>
      </c>
      <c r="N48" s="7">
        <v>8.4</v>
      </c>
    </row>
    <row r="49" spans="1:14" x14ac:dyDescent="0.25">
      <c r="A49" s="7" t="s">
        <v>78</v>
      </c>
      <c r="B49" s="7" t="s">
        <v>37</v>
      </c>
      <c r="C49" s="7" t="s">
        <v>38</v>
      </c>
      <c r="D49" s="7" t="s">
        <v>15</v>
      </c>
      <c r="E49" s="7" t="s">
        <v>16</v>
      </c>
      <c r="F49" s="7" t="s">
        <v>39</v>
      </c>
      <c r="G49" s="7" t="str">
        <f t="shared" si="1"/>
        <v>Thursday</v>
      </c>
      <c r="H49" s="7" t="str">
        <f t="shared" si="2"/>
        <v>Feb</v>
      </c>
      <c r="I49" s="8">
        <v>43502</v>
      </c>
      <c r="J49" s="8" t="str">
        <f t="shared" si="0"/>
        <v>Afternoon</v>
      </c>
      <c r="K49" s="9">
        <v>0.65763888888888888</v>
      </c>
      <c r="L49" s="7" t="s">
        <v>18</v>
      </c>
      <c r="M49" s="10">
        <v>9.0045000000000002</v>
      </c>
      <c r="N49" s="7">
        <v>4.0999999999999996</v>
      </c>
    </row>
    <row r="50" spans="1:14" x14ac:dyDescent="0.25">
      <c r="A50" s="7" t="s">
        <v>79</v>
      </c>
      <c r="B50" s="7" t="s">
        <v>37</v>
      </c>
      <c r="C50" s="7" t="s">
        <v>38</v>
      </c>
      <c r="D50" s="7" t="s">
        <v>15</v>
      </c>
      <c r="E50" s="7" t="s">
        <v>26</v>
      </c>
      <c r="F50" s="7" t="s">
        <v>23</v>
      </c>
      <c r="G50" s="7" t="str">
        <f t="shared" si="1"/>
        <v>Friday</v>
      </c>
      <c r="H50" s="7" t="str">
        <f t="shared" si="2"/>
        <v>Feb</v>
      </c>
      <c r="I50" s="8">
        <v>43506</v>
      </c>
      <c r="J50" s="8" t="str">
        <f t="shared" si="0"/>
        <v>Afternoon</v>
      </c>
      <c r="K50" s="9">
        <v>0.53125</v>
      </c>
      <c r="L50" s="7" t="s">
        <v>28</v>
      </c>
      <c r="M50" s="10">
        <v>5.6790000000000003</v>
      </c>
      <c r="N50" s="7">
        <v>8.1</v>
      </c>
    </row>
    <row r="51" spans="1:14" x14ac:dyDescent="0.25">
      <c r="A51" s="7" t="s">
        <v>80</v>
      </c>
      <c r="B51" s="7" t="s">
        <v>20</v>
      </c>
      <c r="C51" s="7" t="s">
        <v>21</v>
      </c>
      <c r="D51" s="7" t="s">
        <v>15</v>
      </c>
      <c r="E51" s="7" t="s">
        <v>16</v>
      </c>
      <c r="F51" s="7" t="s">
        <v>41</v>
      </c>
      <c r="G51" s="7" t="str">
        <f t="shared" si="1"/>
        <v>Wednesday</v>
      </c>
      <c r="H51" s="7" t="str">
        <f t="shared" si="2"/>
        <v>Mar</v>
      </c>
      <c r="I51" s="8">
        <v>43543</v>
      </c>
      <c r="J51" s="8" t="str">
        <f t="shared" si="0"/>
        <v>Evening</v>
      </c>
      <c r="K51" s="9">
        <v>0.71388888888888891</v>
      </c>
      <c r="L51" s="7" t="s">
        <v>18</v>
      </c>
      <c r="M51" s="10">
        <v>41.314999999999998</v>
      </c>
      <c r="N51" s="7">
        <v>7.9</v>
      </c>
    </row>
    <row r="52" spans="1:14" x14ac:dyDescent="0.25">
      <c r="A52" s="7" t="s">
        <v>81</v>
      </c>
      <c r="B52" s="7" t="s">
        <v>20</v>
      </c>
      <c r="C52" s="7" t="s">
        <v>21</v>
      </c>
      <c r="D52" s="7" t="s">
        <v>15</v>
      </c>
      <c r="E52" s="7" t="s">
        <v>26</v>
      </c>
      <c r="F52" s="7" t="s">
        <v>39</v>
      </c>
      <c r="G52" s="7" t="str">
        <f t="shared" si="1"/>
        <v>Thursday</v>
      </c>
      <c r="H52" s="7" t="str">
        <f t="shared" si="2"/>
        <v>Feb</v>
      </c>
      <c r="I52" s="8">
        <v>43499</v>
      </c>
      <c r="J52" s="8" t="str">
        <f t="shared" si="0"/>
        <v>Morning</v>
      </c>
      <c r="K52" s="9">
        <v>0.42986111111111108</v>
      </c>
      <c r="L52" s="7" t="s">
        <v>24</v>
      </c>
      <c r="M52" s="10">
        <v>31.99</v>
      </c>
      <c r="N52" s="7">
        <v>9.5</v>
      </c>
    </row>
    <row r="53" spans="1:14" x14ac:dyDescent="0.25">
      <c r="A53" s="7" t="s">
        <v>82</v>
      </c>
      <c r="B53" s="7" t="s">
        <v>13</v>
      </c>
      <c r="C53" s="7" t="s">
        <v>14</v>
      </c>
      <c r="D53" s="7" t="s">
        <v>15</v>
      </c>
      <c r="E53" s="7" t="s">
        <v>16</v>
      </c>
      <c r="F53" s="7" t="s">
        <v>39</v>
      </c>
      <c r="G53" s="7" t="str">
        <f t="shared" si="1"/>
        <v>Friday</v>
      </c>
      <c r="H53" s="7" t="str">
        <f t="shared" si="2"/>
        <v>Feb</v>
      </c>
      <c r="I53" s="8">
        <v>43506</v>
      </c>
      <c r="J53" s="8" t="str">
        <f t="shared" si="0"/>
        <v>Afternoon</v>
      </c>
      <c r="K53" s="9">
        <v>0.63194444444444442</v>
      </c>
      <c r="L53" s="7" t="s">
        <v>24</v>
      </c>
      <c r="M53" s="10">
        <v>11.147500000000001</v>
      </c>
      <c r="N53" s="7">
        <v>8.5</v>
      </c>
    </row>
    <row r="54" spans="1:14" x14ac:dyDescent="0.25">
      <c r="A54" s="7" t="s">
        <v>83</v>
      </c>
      <c r="B54" s="7" t="s">
        <v>37</v>
      </c>
      <c r="C54" s="7" t="s">
        <v>38</v>
      </c>
      <c r="D54" s="7" t="s">
        <v>15</v>
      </c>
      <c r="E54" s="7" t="s">
        <v>16</v>
      </c>
      <c r="F54" s="7" t="s">
        <v>41</v>
      </c>
      <c r="G54" s="7" t="str">
        <f t="shared" si="1"/>
        <v>Wednesday</v>
      </c>
      <c r="H54" s="7" t="str">
        <f t="shared" si="2"/>
        <v>Mar</v>
      </c>
      <c r="I54" s="8">
        <v>43546</v>
      </c>
      <c r="J54" s="8" t="str">
        <f t="shared" si="0"/>
        <v>Afternoon</v>
      </c>
      <c r="K54" s="9">
        <v>0.61249999999999993</v>
      </c>
      <c r="L54" s="7" t="s">
        <v>18</v>
      </c>
      <c r="M54" s="10">
        <v>3.5739999999999998</v>
      </c>
      <c r="N54" s="7">
        <v>6.5</v>
      </c>
    </row>
    <row r="55" spans="1:14" x14ac:dyDescent="0.25">
      <c r="A55" s="7" t="s">
        <v>84</v>
      </c>
      <c r="B55" s="7" t="s">
        <v>20</v>
      </c>
      <c r="C55" s="7" t="s">
        <v>21</v>
      </c>
      <c r="D55" s="7" t="s">
        <v>15</v>
      </c>
      <c r="E55" s="7" t="s">
        <v>26</v>
      </c>
      <c r="F55" s="7" t="s">
        <v>41</v>
      </c>
      <c r="G55" s="7" t="str">
        <f t="shared" si="1"/>
        <v>Tuesday</v>
      </c>
      <c r="H55" s="7" t="str">
        <f t="shared" si="2"/>
        <v>Jan</v>
      </c>
      <c r="I55" s="8">
        <v>43490</v>
      </c>
      <c r="J55" s="8" t="str">
        <f t="shared" si="0"/>
        <v>Afternoon</v>
      </c>
      <c r="K55" s="9">
        <v>0.65694444444444444</v>
      </c>
      <c r="L55" s="7" t="s">
        <v>28</v>
      </c>
      <c r="M55" s="10">
        <v>0.77149999999999996</v>
      </c>
      <c r="N55" s="7">
        <v>6.1</v>
      </c>
    </row>
    <row r="56" spans="1:14" x14ac:dyDescent="0.25">
      <c r="A56" s="7" t="s">
        <v>85</v>
      </c>
      <c r="B56" s="7" t="s">
        <v>37</v>
      </c>
      <c r="C56" s="7" t="s">
        <v>38</v>
      </c>
      <c r="D56" s="7" t="s">
        <v>22</v>
      </c>
      <c r="E56" s="7" t="s">
        <v>26</v>
      </c>
      <c r="F56" s="7" t="s">
        <v>27</v>
      </c>
      <c r="G56" s="7" t="str">
        <f t="shared" si="1"/>
        <v>Monday</v>
      </c>
      <c r="H56" s="7" t="str">
        <f t="shared" si="2"/>
        <v>Mar</v>
      </c>
      <c r="I56" s="8">
        <v>43531</v>
      </c>
      <c r="J56" s="8" t="str">
        <f t="shared" si="0"/>
        <v>Morning</v>
      </c>
      <c r="K56" s="9">
        <v>0.49236111111111108</v>
      </c>
      <c r="L56" s="7" t="s">
        <v>18</v>
      </c>
      <c r="M56" s="10">
        <v>1.6160000000000001</v>
      </c>
      <c r="N56" s="7">
        <v>6.5</v>
      </c>
    </row>
    <row r="57" spans="1:14" x14ac:dyDescent="0.25">
      <c r="A57" s="7" t="s">
        <v>86</v>
      </c>
      <c r="B57" s="7" t="s">
        <v>20</v>
      </c>
      <c r="C57" s="7" t="s">
        <v>21</v>
      </c>
      <c r="D57" s="7" t="s">
        <v>22</v>
      </c>
      <c r="E57" s="7" t="s">
        <v>16</v>
      </c>
      <c r="F57" s="7" t="s">
        <v>23</v>
      </c>
      <c r="G57" s="7" t="str">
        <f t="shared" si="1"/>
        <v>Sunday</v>
      </c>
      <c r="H57" s="7" t="str">
        <f t="shared" si="2"/>
        <v>Feb</v>
      </c>
      <c r="I57" s="8">
        <v>43524</v>
      </c>
      <c r="J57" s="8" t="str">
        <f t="shared" si="0"/>
        <v>Evening</v>
      </c>
      <c r="K57" s="9">
        <v>0.79236111111111107</v>
      </c>
      <c r="L57" s="7" t="s">
        <v>24</v>
      </c>
      <c r="M57" s="10">
        <v>34.392000000000003</v>
      </c>
      <c r="N57" s="7">
        <v>8.1999999999999993</v>
      </c>
    </row>
    <row r="58" spans="1:14" x14ac:dyDescent="0.25">
      <c r="A58" s="7" t="s">
        <v>87</v>
      </c>
      <c r="B58" s="7" t="s">
        <v>13</v>
      </c>
      <c r="C58" s="7" t="s">
        <v>14</v>
      </c>
      <c r="D58" s="7" t="s">
        <v>15</v>
      </c>
      <c r="E58" s="7" t="s">
        <v>26</v>
      </c>
      <c r="F58" s="7" t="s">
        <v>27</v>
      </c>
      <c r="G58" s="7" t="str">
        <f t="shared" si="1"/>
        <v>Thursday</v>
      </c>
      <c r="H58" s="7" t="str">
        <f t="shared" si="2"/>
        <v>Mar</v>
      </c>
      <c r="I58" s="8">
        <v>43551</v>
      </c>
      <c r="J58" s="8" t="str">
        <f t="shared" si="0"/>
        <v>Morning</v>
      </c>
      <c r="K58" s="9">
        <v>0.47638888888888892</v>
      </c>
      <c r="L58" s="7" t="s">
        <v>24</v>
      </c>
      <c r="M58" s="10">
        <v>4.4340000000000002</v>
      </c>
      <c r="N58" s="7">
        <v>5.8</v>
      </c>
    </row>
    <row r="59" spans="1:14" x14ac:dyDescent="0.25">
      <c r="A59" s="7" t="s">
        <v>88</v>
      </c>
      <c r="B59" s="7" t="s">
        <v>13</v>
      </c>
      <c r="C59" s="7" t="s">
        <v>14</v>
      </c>
      <c r="D59" s="7" t="s">
        <v>22</v>
      </c>
      <c r="E59" s="7" t="s">
        <v>26</v>
      </c>
      <c r="F59" s="7" t="s">
        <v>17</v>
      </c>
      <c r="G59" s="7" t="str">
        <f t="shared" si="1"/>
        <v>Thursday</v>
      </c>
      <c r="H59" s="7" t="str">
        <f t="shared" si="2"/>
        <v>Feb</v>
      </c>
      <c r="I59" s="8">
        <v>43503</v>
      </c>
      <c r="J59" s="8" t="str">
        <f t="shared" si="0"/>
        <v>Morning</v>
      </c>
      <c r="K59" s="9">
        <v>0.4777777777777778</v>
      </c>
      <c r="L59" s="7" t="s">
        <v>18</v>
      </c>
      <c r="M59" s="10">
        <v>35.840000000000003</v>
      </c>
      <c r="N59" s="7">
        <v>6.6</v>
      </c>
    </row>
    <row r="60" spans="1:14" x14ac:dyDescent="0.25">
      <c r="A60" s="7" t="s">
        <v>89</v>
      </c>
      <c r="B60" s="7" t="s">
        <v>13</v>
      </c>
      <c r="C60" s="7" t="s">
        <v>14</v>
      </c>
      <c r="D60" s="7" t="s">
        <v>15</v>
      </c>
      <c r="E60" s="7" t="s">
        <v>16</v>
      </c>
      <c r="F60" s="7" t="s">
        <v>27</v>
      </c>
      <c r="G60" s="7" t="str">
        <f t="shared" si="1"/>
        <v>Tuesday</v>
      </c>
      <c r="H60" s="7" t="str">
        <f t="shared" si="2"/>
        <v>Jan</v>
      </c>
      <c r="I60" s="8">
        <v>43485</v>
      </c>
      <c r="J60" s="8" t="str">
        <f t="shared" si="0"/>
        <v>Afternoon</v>
      </c>
      <c r="K60" s="9">
        <v>0.66319444444444442</v>
      </c>
      <c r="L60" s="7" t="s">
        <v>24</v>
      </c>
      <c r="M60" s="10">
        <v>36.174999999999997</v>
      </c>
      <c r="N60" s="7">
        <v>5.4</v>
      </c>
    </row>
    <row r="61" spans="1:14" x14ac:dyDescent="0.25">
      <c r="A61" s="7" t="s">
        <v>90</v>
      </c>
      <c r="B61" s="7" t="s">
        <v>20</v>
      </c>
      <c r="C61" s="7" t="s">
        <v>21</v>
      </c>
      <c r="D61" s="7" t="s">
        <v>22</v>
      </c>
      <c r="E61" s="7" t="s">
        <v>26</v>
      </c>
      <c r="F61" s="7" t="s">
        <v>23</v>
      </c>
      <c r="G61" s="7" t="str">
        <f t="shared" si="1"/>
        <v>Tuesday</v>
      </c>
      <c r="H61" s="7" t="str">
        <f t="shared" si="2"/>
        <v>Mar</v>
      </c>
      <c r="I61" s="8">
        <v>43536</v>
      </c>
      <c r="J61" s="8" t="str">
        <f t="shared" si="0"/>
        <v>Evening</v>
      </c>
      <c r="K61" s="9">
        <v>0.85833333333333339</v>
      </c>
      <c r="L61" s="7" t="s">
        <v>24</v>
      </c>
      <c r="M61" s="10">
        <v>9.1829999999999998</v>
      </c>
      <c r="N61" s="7">
        <v>9.3000000000000007</v>
      </c>
    </row>
    <row r="62" spans="1:14" x14ac:dyDescent="0.25">
      <c r="A62" s="7" t="s">
        <v>91</v>
      </c>
      <c r="B62" s="7" t="s">
        <v>20</v>
      </c>
      <c r="C62" s="7" t="s">
        <v>21</v>
      </c>
      <c r="D62" s="7" t="s">
        <v>15</v>
      </c>
      <c r="E62" s="7" t="s">
        <v>16</v>
      </c>
      <c r="F62" s="7" t="s">
        <v>31</v>
      </c>
      <c r="G62" s="7" t="str">
        <f t="shared" si="1"/>
        <v>Friday</v>
      </c>
      <c r="H62" s="7" t="str">
        <f t="shared" si="2"/>
        <v>Feb</v>
      </c>
      <c r="I62" s="8">
        <v>43511</v>
      </c>
      <c r="J62" s="8" t="str">
        <f t="shared" si="0"/>
        <v>Evening</v>
      </c>
      <c r="K62" s="9">
        <v>0.74097222222222225</v>
      </c>
      <c r="L62" s="7" t="s">
        <v>28</v>
      </c>
      <c r="M62" s="10">
        <v>3.7109999999999999</v>
      </c>
      <c r="N62" s="7">
        <v>10</v>
      </c>
    </row>
    <row r="63" spans="1:14" x14ac:dyDescent="0.25">
      <c r="A63" s="7" t="s">
        <v>92</v>
      </c>
      <c r="B63" s="7" t="s">
        <v>20</v>
      </c>
      <c r="C63" s="7" t="s">
        <v>21</v>
      </c>
      <c r="D63" s="7" t="s">
        <v>22</v>
      </c>
      <c r="E63" s="7" t="s">
        <v>26</v>
      </c>
      <c r="F63" s="7" t="s">
        <v>27</v>
      </c>
      <c r="G63" s="7" t="str">
        <f t="shared" si="1"/>
        <v>Sunday</v>
      </c>
      <c r="H63" s="7" t="str">
        <f t="shared" si="2"/>
        <v>Feb</v>
      </c>
      <c r="I63" s="8">
        <v>43520</v>
      </c>
      <c r="J63" s="8" t="str">
        <f t="shared" si="0"/>
        <v>Morning</v>
      </c>
      <c r="K63" s="9">
        <v>0.4548611111111111</v>
      </c>
      <c r="L63" s="7" t="s">
        <v>18</v>
      </c>
      <c r="M63" s="10">
        <v>16.719000000000001</v>
      </c>
      <c r="N63" s="7">
        <v>7</v>
      </c>
    </row>
    <row r="64" spans="1:14" x14ac:dyDescent="0.25">
      <c r="A64" s="7" t="s">
        <v>93</v>
      </c>
      <c r="B64" s="7" t="s">
        <v>37</v>
      </c>
      <c r="C64" s="7" t="s">
        <v>38</v>
      </c>
      <c r="D64" s="7" t="s">
        <v>15</v>
      </c>
      <c r="E64" s="7" t="s">
        <v>16</v>
      </c>
      <c r="F64" s="7" t="s">
        <v>31</v>
      </c>
      <c r="G64" s="7" t="str">
        <f t="shared" si="1"/>
        <v>Thursday</v>
      </c>
      <c r="H64" s="7" t="str">
        <f t="shared" si="2"/>
        <v>Feb</v>
      </c>
      <c r="I64" s="8">
        <v>43499</v>
      </c>
      <c r="J64" s="8" t="str">
        <f t="shared" si="0"/>
        <v>Afternoon</v>
      </c>
      <c r="K64" s="9">
        <v>0.56944444444444442</v>
      </c>
      <c r="L64" s="7" t="s">
        <v>18</v>
      </c>
      <c r="M64" s="10">
        <v>24.781500000000001</v>
      </c>
      <c r="N64" s="7">
        <v>10</v>
      </c>
    </row>
    <row r="65" spans="1:14" x14ac:dyDescent="0.25">
      <c r="A65" s="7" t="s">
        <v>94</v>
      </c>
      <c r="B65" s="7" t="s">
        <v>13</v>
      </c>
      <c r="C65" s="7" t="s">
        <v>14</v>
      </c>
      <c r="D65" s="7" t="s">
        <v>15</v>
      </c>
      <c r="E65" s="7" t="s">
        <v>26</v>
      </c>
      <c r="F65" s="7" t="s">
        <v>31</v>
      </c>
      <c r="G65" s="7" t="str">
        <f t="shared" si="1"/>
        <v>Monday</v>
      </c>
      <c r="H65" s="7" t="str">
        <f t="shared" si="2"/>
        <v>Mar</v>
      </c>
      <c r="I65" s="8">
        <v>43530</v>
      </c>
      <c r="J65" s="8" t="str">
        <f t="shared" si="0"/>
        <v>Afternoon</v>
      </c>
      <c r="K65" s="9">
        <v>0.51874999999999993</v>
      </c>
      <c r="L65" s="7" t="s">
        <v>28</v>
      </c>
      <c r="M65" s="10">
        <v>7.9050000000000002</v>
      </c>
      <c r="N65" s="7">
        <v>8.6</v>
      </c>
    </row>
    <row r="66" spans="1:14" x14ac:dyDescent="0.25">
      <c r="A66" s="7" t="s">
        <v>95</v>
      </c>
      <c r="B66" s="7" t="s">
        <v>37</v>
      </c>
      <c r="C66" s="7" t="s">
        <v>38</v>
      </c>
      <c r="D66" s="7" t="s">
        <v>15</v>
      </c>
      <c r="E66" s="7" t="s">
        <v>26</v>
      </c>
      <c r="F66" s="7" t="s">
        <v>17</v>
      </c>
      <c r="G66" s="7" t="str">
        <f t="shared" si="1"/>
        <v>Friday</v>
      </c>
      <c r="H66" s="7" t="str">
        <f t="shared" si="2"/>
        <v>Feb</v>
      </c>
      <c r="I66" s="8">
        <v>43510</v>
      </c>
      <c r="J66" s="8" t="str">
        <f t="shared" ref="J66:J129" si="3">IF(AND(K66&gt;=TIME(9,0,0),K66&lt;TIME(12,0,0)),"Morning",IF(AND(K66&gt;=TIME(12,0,0),K66&lt;TIME(16,0,0)),"Afternoon","Evening"))</f>
        <v>Afternoon</v>
      </c>
      <c r="K66" s="9">
        <v>0.60763888888888895</v>
      </c>
      <c r="L66" s="7" t="s">
        <v>24</v>
      </c>
      <c r="M66" s="10">
        <v>15.148</v>
      </c>
      <c r="N66" s="7">
        <v>7.6</v>
      </c>
    </row>
    <row r="67" spans="1:14" x14ac:dyDescent="0.25">
      <c r="A67" s="7" t="s">
        <v>96</v>
      </c>
      <c r="B67" s="7" t="s">
        <v>13</v>
      </c>
      <c r="C67" s="7" t="s">
        <v>14</v>
      </c>
      <c r="D67" s="7" t="s">
        <v>15</v>
      </c>
      <c r="E67" s="7" t="s">
        <v>26</v>
      </c>
      <c r="F67" s="7" t="s">
        <v>17</v>
      </c>
      <c r="G67" s="7" t="str">
        <f t="shared" ref="G67:G130" si="4">TEXT(I67/7,"dddd")</f>
        <v>Tuesday</v>
      </c>
      <c r="H67" s="7" t="str">
        <f t="shared" ref="H67:H130" si="5">TEXT(I67,"mmm")</f>
        <v>Mar</v>
      </c>
      <c r="I67" s="8">
        <v>43537</v>
      </c>
      <c r="J67" s="8" t="str">
        <f t="shared" si="3"/>
        <v>Evening</v>
      </c>
      <c r="K67" s="9">
        <v>0.69444444444444453</v>
      </c>
      <c r="L67" s="7" t="s">
        <v>24</v>
      </c>
      <c r="M67" s="10">
        <v>7.9349999999999996</v>
      </c>
      <c r="N67" s="7">
        <v>5.8</v>
      </c>
    </row>
    <row r="68" spans="1:14" x14ac:dyDescent="0.25">
      <c r="A68" s="7" t="s">
        <v>97</v>
      </c>
      <c r="B68" s="7" t="s">
        <v>20</v>
      </c>
      <c r="C68" s="7" t="s">
        <v>21</v>
      </c>
      <c r="D68" s="7" t="s">
        <v>22</v>
      </c>
      <c r="E68" s="7" t="s">
        <v>16</v>
      </c>
      <c r="F68" s="7" t="s">
        <v>17</v>
      </c>
      <c r="G68" s="7" t="str">
        <f t="shared" si="4"/>
        <v>Friday</v>
      </c>
      <c r="H68" s="7" t="str">
        <f t="shared" si="5"/>
        <v>Feb</v>
      </c>
      <c r="I68" s="8">
        <v>43506</v>
      </c>
      <c r="J68" s="8" t="str">
        <f t="shared" si="3"/>
        <v>Afternoon</v>
      </c>
      <c r="K68" s="9">
        <v>0.65486111111111112</v>
      </c>
      <c r="L68" s="7" t="s">
        <v>18</v>
      </c>
      <c r="M68" s="10">
        <v>3.347</v>
      </c>
      <c r="N68" s="7">
        <v>6.7</v>
      </c>
    </row>
    <row r="69" spans="1:14" x14ac:dyDescent="0.25">
      <c r="A69" s="7" t="s">
        <v>98</v>
      </c>
      <c r="B69" s="7" t="s">
        <v>37</v>
      </c>
      <c r="C69" s="7" t="s">
        <v>38</v>
      </c>
      <c r="D69" s="7" t="s">
        <v>15</v>
      </c>
      <c r="E69" s="7" t="s">
        <v>16</v>
      </c>
      <c r="F69" s="7" t="s">
        <v>41</v>
      </c>
      <c r="G69" s="7" t="str">
        <f t="shared" si="4"/>
        <v>Sunday</v>
      </c>
      <c r="H69" s="7" t="str">
        <f t="shared" si="5"/>
        <v>Jan</v>
      </c>
      <c r="I69" s="8">
        <v>43472</v>
      </c>
      <c r="J69" s="8" t="str">
        <f t="shared" si="3"/>
        <v>Afternoon</v>
      </c>
      <c r="K69" s="9">
        <v>0.62569444444444444</v>
      </c>
      <c r="L69" s="7" t="s">
        <v>18</v>
      </c>
      <c r="M69" s="10">
        <v>29.283000000000001</v>
      </c>
      <c r="N69" s="7">
        <v>9.9</v>
      </c>
    </row>
    <row r="70" spans="1:14" x14ac:dyDescent="0.25">
      <c r="A70" s="7" t="s">
        <v>99</v>
      </c>
      <c r="B70" s="7" t="s">
        <v>13</v>
      </c>
      <c r="C70" s="7" t="s">
        <v>14</v>
      </c>
      <c r="D70" s="7" t="s">
        <v>22</v>
      </c>
      <c r="E70" s="7" t="s">
        <v>26</v>
      </c>
      <c r="F70" s="7" t="s">
        <v>31</v>
      </c>
      <c r="G70" s="7" t="str">
        <f t="shared" si="4"/>
        <v>Tuesday</v>
      </c>
      <c r="H70" s="7" t="str">
        <f t="shared" si="5"/>
        <v>Jan</v>
      </c>
      <c r="I70" s="8">
        <v>43489</v>
      </c>
      <c r="J70" s="8" t="str">
        <f t="shared" si="3"/>
        <v>Morning</v>
      </c>
      <c r="K70" s="9">
        <v>0.41944444444444445</v>
      </c>
      <c r="L70" s="7" t="s">
        <v>24</v>
      </c>
      <c r="M70" s="10">
        <v>39.384999999999998</v>
      </c>
      <c r="N70" s="7">
        <v>6.4</v>
      </c>
    </row>
    <row r="71" spans="1:14" x14ac:dyDescent="0.25">
      <c r="A71" s="7" t="s">
        <v>100</v>
      </c>
      <c r="B71" s="7" t="s">
        <v>13</v>
      </c>
      <c r="C71" s="7" t="s">
        <v>14</v>
      </c>
      <c r="D71" s="7" t="s">
        <v>15</v>
      </c>
      <c r="E71" s="7" t="s">
        <v>16</v>
      </c>
      <c r="F71" s="7" t="s">
        <v>17</v>
      </c>
      <c r="G71" s="7" t="str">
        <f t="shared" si="4"/>
        <v>Thursday</v>
      </c>
      <c r="H71" s="7" t="str">
        <f t="shared" si="5"/>
        <v>Feb</v>
      </c>
      <c r="I71" s="8">
        <v>43498</v>
      </c>
      <c r="J71" s="8" t="str">
        <f t="shared" si="3"/>
        <v>Evening</v>
      </c>
      <c r="K71" s="9">
        <v>0.78472222222222221</v>
      </c>
      <c r="L71" s="7" t="s">
        <v>24</v>
      </c>
      <c r="M71" s="10">
        <v>0.91649999999999998</v>
      </c>
      <c r="N71" s="7">
        <v>4.3</v>
      </c>
    </row>
    <row r="72" spans="1:14" x14ac:dyDescent="0.25">
      <c r="A72" s="7" t="s">
        <v>101</v>
      </c>
      <c r="B72" s="7" t="s">
        <v>20</v>
      </c>
      <c r="C72" s="7" t="s">
        <v>21</v>
      </c>
      <c r="D72" s="7" t="s">
        <v>22</v>
      </c>
      <c r="E72" s="7" t="s">
        <v>26</v>
      </c>
      <c r="F72" s="7" t="s">
        <v>39</v>
      </c>
      <c r="G72" s="7" t="str">
        <f t="shared" si="4"/>
        <v>Sunday</v>
      </c>
      <c r="H72" s="7" t="str">
        <f t="shared" si="5"/>
        <v>Jan</v>
      </c>
      <c r="I72" s="8">
        <v>43471</v>
      </c>
      <c r="J72" s="8" t="str">
        <f t="shared" si="3"/>
        <v>Afternoon</v>
      </c>
      <c r="K72" s="9">
        <v>0.53194444444444444</v>
      </c>
      <c r="L72" s="7" t="s">
        <v>28</v>
      </c>
      <c r="M72" s="10">
        <v>44.74</v>
      </c>
      <c r="N72" s="7">
        <v>9.6</v>
      </c>
    </row>
    <row r="73" spans="1:14" x14ac:dyDescent="0.25">
      <c r="A73" s="7" t="s">
        <v>102</v>
      </c>
      <c r="B73" s="7" t="s">
        <v>20</v>
      </c>
      <c r="C73" s="7" t="s">
        <v>21</v>
      </c>
      <c r="D73" s="7" t="s">
        <v>22</v>
      </c>
      <c r="E73" s="7" t="s">
        <v>26</v>
      </c>
      <c r="F73" s="7" t="s">
        <v>41</v>
      </c>
      <c r="G73" s="7" t="str">
        <f t="shared" si="4"/>
        <v>Friday</v>
      </c>
      <c r="H73" s="7" t="str">
        <f t="shared" si="5"/>
        <v>Feb</v>
      </c>
      <c r="I73" s="8">
        <v>43507</v>
      </c>
      <c r="J73" s="8" t="str">
        <f t="shared" si="3"/>
        <v>Evening</v>
      </c>
      <c r="K73" s="9">
        <v>0.67986111111111114</v>
      </c>
      <c r="L73" s="7" t="s">
        <v>24</v>
      </c>
      <c r="M73" s="10">
        <v>31.06</v>
      </c>
      <c r="N73" s="7">
        <v>5.9</v>
      </c>
    </row>
    <row r="74" spans="1:14" x14ac:dyDescent="0.25">
      <c r="A74" s="7" t="s">
        <v>103</v>
      </c>
      <c r="B74" s="7" t="s">
        <v>37</v>
      </c>
      <c r="C74" s="7" t="s">
        <v>38</v>
      </c>
      <c r="D74" s="7" t="s">
        <v>15</v>
      </c>
      <c r="E74" s="7" t="s">
        <v>16</v>
      </c>
      <c r="F74" s="7" t="s">
        <v>39</v>
      </c>
      <c r="G74" s="7" t="str">
        <f t="shared" si="4"/>
        <v>Monday</v>
      </c>
      <c r="H74" s="7" t="str">
        <f t="shared" si="5"/>
        <v>Mar</v>
      </c>
      <c r="I74" s="8">
        <v>43529</v>
      </c>
      <c r="J74" s="8" t="str">
        <f t="shared" si="3"/>
        <v>Evening</v>
      </c>
      <c r="K74" s="9">
        <v>0.76180555555555562</v>
      </c>
      <c r="L74" s="7" t="s">
        <v>18</v>
      </c>
      <c r="M74" s="10">
        <v>7.2779999999999996</v>
      </c>
      <c r="N74" s="7">
        <v>4</v>
      </c>
    </row>
    <row r="75" spans="1:14" x14ac:dyDescent="0.25">
      <c r="A75" s="7" t="s">
        <v>104</v>
      </c>
      <c r="B75" s="7" t="s">
        <v>20</v>
      </c>
      <c r="C75" s="7" t="s">
        <v>21</v>
      </c>
      <c r="D75" s="7" t="s">
        <v>22</v>
      </c>
      <c r="E75" s="7" t="s">
        <v>16</v>
      </c>
      <c r="F75" s="7" t="s">
        <v>23</v>
      </c>
      <c r="G75" s="7" t="str">
        <f t="shared" si="4"/>
        <v>Tuesday</v>
      </c>
      <c r="H75" s="7" t="str">
        <f t="shared" si="5"/>
        <v>Mar</v>
      </c>
      <c r="I75" s="8">
        <v>43533</v>
      </c>
      <c r="J75" s="8" t="str">
        <f t="shared" si="3"/>
        <v>Evening</v>
      </c>
      <c r="K75" s="9">
        <v>0.76458333333333339</v>
      </c>
      <c r="L75" s="7" t="s">
        <v>24</v>
      </c>
      <c r="M75" s="10">
        <v>22.773</v>
      </c>
      <c r="N75" s="7">
        <v>8.6999999999999993</v>
      </c>
    </row>
    <row r="76" spans="1:14" x14ac:dyDescent="0.25">
      <c r="A76" s="7" t="s">
        <v>105</v>
      </c>
      <c r="B76" s="7" t="s">
        <v>13</v>
      </c>
      <c r="C76" s="7" t="s">
        <v>14</v>
      </c>
      <c r="D76" s="7" t="s">
        <v>22</v>
      </c>
      <c r="E76" s="7" t="s">
        <v>26</v>
      </c>
      <c r="F76" s="7" t="s">
        <v>27</v>
      </c>
      <c r="G76" s="7" t="str">
        <f t="shared" si="4"/>
        <v>Tuesday</v>
      </c>
      <c r="H76" s="7" t="str">
        <f t="shared" si="5"/>
        <v>Jan</v>
      </c>
      <c r="I76" s="8">
        <v>43487</v>
      </c>
      <c r="J76" s="8" t="str">
        <f t="shared" si="3"/>
        <v>Morning</v>
      </c>
      <c r="K76" s="9">
        <v>0.4548611111111111</v>
      </c>
      <c r="L76" s="7" t="s">
        <v>18</v>
      </c>
      <c r="M76" s="10">
        <v>33.601500000000001</v>
      </c>
      <c r="N76" s="7">
        <v>9.4</v>
      </c>
    </row>
    <row r="77" spans="1:14" x14ac:dyDescent="0.25">
      <c r="A77" s="7" t="s">
        <v>106</v>
      </c>
      <c r="B77" s="7" t="s">
        <v>20</v>
      </c>
      <c r="C77" s="7" t="s">
        <v>21</v>
      </c>
      <c r="D77" s="7" t="s">
        <v>22</v>
      </c>
      <c r="E77" s="7" t="s">
        <v>16</v>
      </c>
      <c r="F77" s="7" t="s">
        <v>23</v>
      </c>
      <c r="G77" s="7" t="str">
        <f t="shared" si="4"/>
        <v>Monday</v>
      </c>
      <c r="H77" s="7" t="str">
        <f t="shared" si="5"/>
        <v>Jan</v>
      </c>
      <c r="I77" s="8">
        <v>43478</v>
      </c>
      <c r="J77" s="8" t="str">
        <f t="shared" si="3"/>
        <v>Evening</v>
      </c>
      <c r="K77" s="9">
        <v>0.71111111111111114</v>
      </c>
      <c r="L77" s="7" t="s">
        <v>28</v>
      </c>
      <c r="M77" s="10">
        <v>20.824999999999999</v>
      </c>
      <c r="N77" s="7">
        <v>5.4</v>
      </c>
    </row>
    <row r="78" spans="1:14" x14ac:dyDescent="0.25">
      <c r="A78" s="7" t="s">
        <v>107</v>
      </c>
      <c r="B78" s="7" t="s">
        <v>20</v>
      </c>
      <c r="C78" s="7" t="s">
        <v>21</v>
      </c>
      <c r="D78" s="7" t="s">
        <v>15</v>
      </c>
      <c r="E78" s="7" t="s">
        <v>26</v>
      </c>
      <c r="F78" s="7" t="s">
        <v>41</v>
      </c>
      <c r="G78" s="7" t="str">
        <f t="shared" si="4"/>
        <v>Sunday</v>
      </c>
      <c r="H78" s="7" t="str">
        <f t="shared" si="5"/>
        <v>Jan</v>
      </c>
      <c r="I78" s="8">
        <v>43474</v>
      </c>
      <c r="J78" s="8" t="str">
        <f t="shared" si="3"/>
        <v>Afternoon</v>
      </c>
      <c r="K78" s="9">
        <v>0.59722222222222221</v>
      </c>
      <c r="L78" s="7" t="s">
        <v>28</v>
      </c>
      <c r="M78" s="10">
        <v>22.068000000000001</v>
      </c>
      <c r="N78" s="7">
        <v>8.6</v>
      </c>
    </row>
    <row r="79" spans="1:14" x14ac:dyDescent="0.25">
      <c r="A79" s="7" t="s">
        <v>108</v>
      </c>
      <c r="B79" s="7" t="s">
        <v>13</v>
      </c>
      <c r="C79" s="7" t="s">
        <v>14</v>
      </c>
      <c r="D79" s="7" t="s">
        <v>15</v>
      </c>
      <c r="E79" s="7" t="s">
        <v>16</v>
      </c>
      <c r="F79" s="7" t="s">
        <v>41</v>
      </c>
      <c r="G79" s="7" t="str">
        <f t="shared" si="4"/>
        <v>Monday</v>
      </c>
      <c r="H79" s="7" t="str">
        <f t="shared" si="5"/>
        <v>Jan</v>
      </c>
      <c r="I79" s="8">
        <v>43477</v>
      </c>
      <c r="J79" s="8" t="str">
        <f t="shared" si="3"/>
        <v>Afternoon</v>
      </c>
      <c r="K79" s="9">
        <v>0.65833333333333333</v>
      </c>
      <c r="L79" s="7" t="s">
        <v>28</v>
      </c>
      <c r="M79" s="10">
        <v>9.0045000000000002</v>
      </c>
      <c r="N79" s="7">
        <v>5.7</v>
      </c>
    </row>
    <row r="80" spans="1:14" x14ac:dyDescent="0.25">
      <c r="A80" s="7" t="s">
        <v>109</v>
      </c>
      <c r="B80" s="7" t="s">
        <v>20</v>
      </c>
      <c r="C80" s="7" t="s">
        <v>21</v>
      </c>
      <c r="D80" s="7" t="s">
        <v>15</v>
      </c>
      <c r="E80" s="7" t="s">
        <v>16</v>
      </c>
      <c r="F80" s="7" t="s">
        <v>39</v>
      </c>
      <c r="G80" s="7" t="str">
        <f t="shared" si="4"/>
        <v>Monday</v>
      </c>
      <c r="H80" s="7" t="str">
        <f t="shared" si="5"/>
        <v>Mar</v>
      </c>
      <c r="I80" s="8">
        <v>43529</v>
      </c>
      <c r="J80" s="8" t="str">
        <f t="shared" si="3"/>
        <v>Evening</v>
      </c>
      <c r="K80" s="9">
        <v>0.68333333333333324</v>
      </c>
      <c r="L80" s="7" t="s">
        <v>18</v>
      </c>
      <c r="M80" s="10">
        <v>39.155000000000001</v>
      </c>
      <c r="N80" s="7">
        <v>6.6</v>
      </c>
    </row>
    <row r="81" spans="1:14" x14ac:dyDescent="0.25">
      <c r="A81" s="7" t="s">
        <v>110</v>
      </c>
      <c r="B81" s="7" t="s">
        <v>20</v>
      </c>
      <c r="C81" s="7" t="s">
        <v>21</v>
      </c>
      <c r="D81" s="7" t="s">
        <v>22</v>
      </c>
      <c r="E81" s="7" t="s">
        <v>16</v>
      </c>
      <c r="F81" s="7" t="s">
        <v>17</v>
      </c>
      <c r="G81" s="7" t="str">
        <f t="shared" si="4"/>
        <v>Tuesday</v>
      </c>
      <c r="H81" s="7" t="str">
        <f t="shared" si="5"/>
        <v>Jan</v>
      </c>
      <c r="I81" s="8">
        <v>43487</v>
      </c>
      <c r="J81" s="8" t="str">
        <f t="shared" si="3"/>
        <v>Evening</v>
      </c>
      <c r="K81" s="9">
        <v>0.78888888888888886</v>
      </c>
      <c r="L81" s="7" t="s">
        <v>24</v>
      </c>
      <c r="M81" s="10">
        <v>5.0949999999999998</v>
      </c>
      <c r="N81" s="7">
        <v>6</v>
      </c>
    </row>
    <row r="82" spans="1:14" x14ac:dyDescent="0.25">
      <c r="A82" s="7" t="s">
        <v>111</v>
      </c>
      <c r="B82" s="7" t="s">
        <v>20</v>
      </c>
      <c r="C82" s="7" t="s">
        <v>21</v>
      </c>
      <c r="D82" s="7" t="s">
        <v>22</v>
      </c>
      <c r="E82" s="7" t="s">
        <v>16</v>
      </c>
      <c r="F82" s="7" t="s">
        <v>17</v>
      </c>
      <c r="G82" s="7" t="str">
        <f t="shared" si="4"/>
        <v>Tuesday</v>
      </c>
      <c r="H82" s="7" t="str">
        <f t="shared" si="5"/>
        <v>Jan</v>
      </c>
      <c r="I82" s="8">
        <v>43486</v>
      </c>
      <c r="J82" s="8" t="str">
        <f t="shared" si="3"/>
        <v>Afternoon</v>
      </c>
      <c r="K82" s="9">
        <v>0.61249999999999993</v>
      </c>
      <c r="L82" s="7" t="s">
        <v>28</v>
      </c>
      <c r="M82" s="10">
        <v>29.757000000000001</v>
      </c>
      <c r="N82" s="7">
        <v>5.5</v>
      </c>
    </row>
    <row r="83" spans="1:14" x14ac:dyDescent="0.25">
      <c r="A83" s="7" t="s">
        <v>112</v>
      </c>
      <c r="B83" s="7" t="s">
        <v>37</v>
      </c>
      <c r="C83" s="7" t="s">
        <v>38</v>
      </c>
      <c r="D83" s="7" t="s">
        <v>22</v>
      </c>
      <c r="E83" s="7" t="s">
        <v>16</v>
      </c>
      <c r="F83" s="7" t="s">
        <v>39</v>
      </c>
      <c r="G83" s="7" t="str">
        <f t="shared" si="4"/>
        <v>Wednesday</v>
      </c>
      <c r="H83" s="7" t="str">
        <f t="shared" si="5"/>
        <v>Jan</v>
      </c>
      <c r="I83" s="8">
        <v>43491</v>
      </c>
      <c r="J83" s="8" t="str">
        <f t="shared" si="3"/>
        <v>Evening</v>
      </c>
      <c r="K83" s="9">
        <v>0.8305555555555556</v>
      </c>
      <c r="L83" s="7" t="s">
        <v>18</v>
      </c>
      <c r="M83" s="10">
        <v>14.502000000000001</v>
      </c>
      <c r="N83" s="7">
        <v>6.4</v>
      </c>
    </row>
    <row r="84" spans="1:14" x14ac:dyDescent="0.25">
      <c r="A84" s="7" t="s">
        <v>113</v>
      </c>
      <c r="B84" s="7" t="s">
        <v>20</v>
      </c>
      <c r="C84" s="7" t="s">
        <v>21</v>
      </c>
      <c r="D84" s="7" t="s">
        <v>22</v>
      </c>
      <c r="E84" s="7" t="s">
        <v>26</v>
      </c>
      <c r="F84" s="7" t="s">
        <v>39</v>
      </c>
      <c r="G84" s="7" t="str">
        <f t="shared" si="4"/>
        <v>Tuesday</v>
      </c>
      <c r="H84" s="7" t="str">
        <f t="shared" si="5"/>
        <v>Jan</v>
      </c>
      <c r="I84" s="8">
        <v>43488</v>
      </c>
      <c r="J84" s="8" t="str">
        <f t="shared" si="3"/>
        <v>Evening</v>
      </c>
      <c r="K84" s="9">
        <v>0.77569444444444446</v>
      </c>
      <c r="L84" s="7" t="s">
        <v>18</v>
      </c>
      <c r="M84" s="10">
        <v>7.7</v>
      </c>
      <c r="N84" s="7">
        <v>6.6</v>
      </c>
    </row>
    <row r="85" spans="1:14" x14ac:dyDescent="0.25">
      <c r="A85" s="7" t="s">
        <v>114</v>
      </c>
      <c r="B85" s="7" t="s">
        <v>20</v>
      </c>
      <c r="C85" s="7" t="s">
        <v>21</v>
      </c>
      <c r="D85" s="7" t="s">
        <v>15</v>
      </c>
      <c r="E85" s="7" t="s">
        <v>16</v>
      </c>
      <c r="F85" s="7" t="s">
        <v>39</v>
      </c>
      <c r="G85" s="7" t="str">
        <f t="shared" si="4"/>
        <v>Sunday</v>
      </c>
      <c r="H85" s="7" t="str">
        <f t="shared" si="5"/>
        <v>Feb</v>
      </c>
      <c r="I85" s="8">
        <v>43519</v>
      </c>
      <c r="J85" s="8" t="str">
        <f t="shared" si="3"/>
        <v>Evening</v>
      </c>
      <c r="K85" s="9">
        <v>0.78125</v>
      </c>
      <c r="L85" s="7" t="s">
        <v>28</v>
      </c>
      <c r="M85" s="10">
        <v>16.071999999999999</v>
      </c>
      <c r="N85" s="7">
        <v>8.3000000000000007</v>
      </c>
    </row>
    <row r="86" spans="1:14" x14ac:dyDescent="0.25">
      <c r="A86" s="7" t="s">
        <v>115</v>
      </c>
      <c r="B86" s="7" t="s">
        <v>20</v>
      </c>
      <c r="C86" s="7" t="s">
        <v>21</v>
      </c>
      <c r="D86" s="7" t="s">
        <v>15</v>
      </c>
      <c r="E86" s="7" t="s">
        <v>26</v>
      </c>
      <c r="F86" s="7" t="s">
        <v>31</v>
      </c>
      <c r="G86" s="7" t="str">
        <f t="shared" si="4"/>
        <v>Tuesday</v>
      </c>
      <c r="H86" s="7" t="str">
        <f t="shared" si="5"/>
        <v>Mar</v>
      </c>
      <c r="I86" s="8">
        <v>43533</v>
      </c>
      <c r="J86" s="8" t="str">
        <f t="shared" si="3"/>
        <v>Morning</v>
      </c>
      <c r="K86" s="9">
        <v>0.4284722222222222</v>
      </c>
      <c r="L86" s="7" t="s">
        <v>24</v>
      </c>
      <c r="M86" s="10">
        <v>12.227499999999999</v>
      </c>
      <c r="N86" s="7">
        <v>6.6</v>
      </c>
    </row>
    <row r="87" spans="1:14" x14ac:dyDescent="0.25">
      <c r="A87" s="7" t="s">
        <v>116</v>
      </c>
      <c r="B87" s="7" t="s">
        <v>20</v>
      </c>
      <c r="C87" s="7" t="s">
        <v>21</v>
      </c>
      <c r="D87" s="7" t="s">
        <v>22</v>
      </c>
      <c r="E87" s="7" t="s">
        <v>16</v>
      </c>
      <c r="F87" s="7" t="s">
        <v>31</v>
      </c>
      <c r="G87" s="7" t="str">
        <f t="shared" si="4"/>
        <v>Monday</v>
      </c>
      <c r="H87" s="7" t="str">
        <f t="shared" si="5"/>
        <v>Mar</v>
      </c>
      <c r="I87" s="8">
        <v>43529</v>
      </c>
      <c r="J87" s="8" t="str">
        <f t="shared" si="3"/>
        <v>Afternoon</v>
      </c>
      <c r="K87" s="9">
        <v>0.60486111111111118</v>
      </c>
      <c r="L87" s="7" t="s">
        <v>18</v>
      </c>
      <c r="M87" s="10">
        <v>29.071000000000002</v>
      </c>
      <c r="N87" s="7">
        <v>4</v>
      </c>
    </row>
    <row r="88" spans="1:14" x14ac:dyDescent="0.25">
      <c r="A88" s="7" t="s">
        <v>117</v>
      </c>
      <c r="B88" s="7" t="s">
        <v>20</v>
      </c>
      <c r="C88" s="7" t="s">
        <v>21</v>
      </c>
      <c r="D88" s="7" t="s">
        <v>22</v>
      </c>
      <c r="E88" s="7" t="s">
        <v>26</v>
      </c>
      <c r="F88" s="7" t="s">
        <v>41</v>
      </c>
      <c r="G88" s="7" t="str">
        <f t="shared" si="4"/>
        <v>Thursday</v>
      </c>
      <c r="H88" s="7" t="str">
        <f t="shared" si="5"/>
        <v>Mar</v>
      </c>
      <c r="I88" s="8">
        <v>43549</v>
      </c>
      <c r="J88" s="8" t="str">
        <f t="shared" si="3"/>
        <v>Morning</v>
      </c>
      <c r="K88" s="9">
        <v>0.43263888888888885</v>
      </c>
      <c r="L88" s="7" t="s">
        <v>24</v>
      </c>
      <c r="M88" s="10">
        <v>19.13</v>
      </c>
      <c r="N88" s="7">
        <v>9.9</v>
      </c>
    </row>
    <row r="89" spans="1:14" x14ac:dyDescent="0.25">
      <c r="A89" s="7" t="s">
        <v>118</v>
      </c>
      <c r="B89" s="7" t="s">
        <v>13</v>
      </c>
      <c r="C89" s="7" t="s">
        <v>14</v>
      </c>
      <c r="D89" s="7" t="s">
        <v>15</v>
      </c>
      <c r="E89" s="7" t="s">
        <v>26</v>
      </c>
      <c r="F89" s="7" t="s">
        <v>39</v>
      </c>
      <c r="G89" s="7" t="str">
        <f t="shared" si="4"/>
        <v>Thursday</v>
      </c>
      <c r="H89" s="7" t="str">
        <f t="shared" si="5"/>
        <v>Mar</v>
      </c>
      <c r="I89" s="8">
        <v>43551</v>
      </c>
      <c r="J89" s="8" t="str">
        <f t="shared" si="3"/>
        <v>Evening</v>
      </c>
      <c r="K89" s="9">
        <v>0.85763888888888884</v>
      </c>
      <c r="L89" s="7" t="s">
        <v>28</v>
      </c>
      <c r="M89" s="10">
        <v>17.283000000000001</v>
      </c>
      <c r="N89" s="7">
        <v>7.3</v>
      </c>
    </row>
    <row r="90" spans="1:14" x14ac:dyDescent="0.25">
      <c r="A90" s="7" t="s">
        <v>119</v>
      </c>
      <c r="B90" s="7" t="s">
        <v>13</v>
      </c>
      <c r="C90" s="7" t="s">
        <v>14</v>
      </c>
      <c r="D90" s="7" t="s">
        <v>22</v>
      </c>
      <c r="E90" s="7" t="s">
        <v>26</v>
      </c>
      <c r="F90" s="7" t="s">
        <v>31</v>
      </c>
      <c r="G90" s="7" t="str">
        <f t="shared" si="4"/>
        <v>Saturday</v>
      </c>
      <c r="H90" s="7" t="str">
        <f t="shared" si="5"/>
        <v>Jan</v>
      </c>
      <c r="I90" s="8">
        <v>43467</v>
      </c>
      <c r="J90" s="8" t="str">
        <f t="shared" si="3"/>
        <v>Evening</v>
      </c>
      <c r="K90" s="9">
        <v>0.70624999999999993</v>
      </c>
      <c r="L90" s="7" t="s">
        <v>24</v>
      </c>
      <c r="M90" s="10">
        <v>2.1234999999999999</v>
      </c>
      <c r="N90" s="7">
        <v>5.7</v>
      </c>
    </row>
    <row r="91" spans="1:14" x14ac:dyDescent="0.25">
      <c r="A91" s="7" t="s">
        <v>120</v>
      </c>
      <c r="B91" s="7" t="s">
        <v>37</v>
      </c>
      <c r="C91" s="7" t="s">
        <v>38</v>
      </c>
      <c r="D91" s="7" t="s">
        <v>22</v>
      </c>
      <c r="E91" s="7" t="s">
        <v>16</v>
      </c>
      <c r="F91" s="7" t="s">
        <v>17</v>
      </c>
      <c r="G91" s="7" t="str">
        <f t="shared" si="4"/>
        <v>Sunday</v>
      </c>
      <c r="H91" s="7" t="str">
        <f t="shared" si="5"/>
        <v>Feb</v>
      </c>
      <c r="I91" s="8">
        <v>43523</v>
      </c>
      <c r="J91" s="8" t="str">
        <f t="shared" si="3"/>
        <v>Evening</v>
      </c>
      <c r="K91" s="9">
        <v>0.74652777777777779</v>
      </c>
      <c r="L91" s="7" t="s">
        <v>24</v>
      </c>
      <c r="M91" s="10">
        <v>23.097000000000001</v>
      </c>
      <c r="N91" s="7">
        <v>6.1</v>
      </c>
    </row>
    <row r="92" spans="1:14" x14ac:dyDescent="0.25">
      <c r="A92" s="7" t="s">
        <v>121</v>
      </c>
      <c r="B92" s="7" t="s">
        <v>20</v>
      </c>
      <c r="C92" s="7" t="s">
        <v>21</v>
      </c>
      <c r="D92" s="7" t="s">
        <v>15</v>
      </c>
      <c r="E92" s="7" t="s">
        <v>16</v>
      </c>
      <c r="F92" s="7" t="s">
        <v>27</v>
      </c>
      <c r="G92" s="7" t="str">
        <f t="shared" si="4"/>
        <v>Tuesday</v>
      </c>
      <c r="H92" s="7" t="str">
        <f t="shared" si="5"/>
        <v>Jan</v>
      </c>
      <c r="I92" s="8">
        <v>43488</v>
      </c>
      <c r="J92" s="8" t="str">
        <f t="shared" si="3"/>
        <v>Morning</v>
      </c>
      <c r="K92" s="9">
        <v>0.43402777777777773</v>
      </c>
      <c r="L92" s="7" t="s">
        <v>24</v>
      </c>
      <c r="M92" s="10">
        <v>9.4760000000000009</v>
      </c>
      <c r="N92" s="7">
        <v>7.1</v>
      </c>
    </row>
    <row r="93" spans="1:14" x14ac:dyDescent="0.25">
      <c r="A93" s="7" t="s">
        <v>122</v>
      </c>
      <c r="B93" s="7" t="s">
        <v>20</v>
      </c>
      <c r="C93" s="7" t="s">
        <v>21</v>
      </c>
      <c r="D93" s="7" t="s">
        <v>22</v>
      </c>
      <c r="E93" s="7" t="s">
        <v>16</v>
      </c>
      <c r="F93" s="7" t="s">
        <v>31</v>
      </c>
      <c r="G93" s="7" t="str">
        <f t="shared" si="4"/>
        <v>Wednesday</v>
      </c>
      <c r="H93" s="7" t="str">
        <f t="shared" si="5"/>
        <v>Jan</v>
      </c>
      <c r="I93" s="8">
        <v>43491</v>
      </c>
      <c r="J93" s="8" t="str">
        <f t="shared" si="3"/>
        <v>Evening</v>
      </c>
      <c r="K93" s="9">
        <v>0.82916666666666661</v>
      </c>
      <c r="L93" s="7" t="s">
        <v>18</v>
      </c>
      <c r="M93" s="10">
        <v>22.43</v>
      </c>
      <c r="N93" s="7">
        <v>8.1999999999999993</v>
      </c>
    </row>
    <row r="94" spans="1:14" x14ac:dyDescent="0.25">
      <c r="A94" s="7" t="s">
        <v>123</v>
      </c>
      <c r="B94" s="7" t="s">
        <v>13</v>
      </c>
      <c r="C94" s="7" t="s">
        <v>14</v>
      </c>
      <c r="D94" s="7" t="s">
        <v>15</v>
      </c>
      <c r="E94" s="7" t="s">
        <v>16</v>
      </c>
      <c r="F94" s="7" t="s">
        <v>31</v>
      </c>
      <c r="G94" s="7" t="str">
        <f t="shared" si="4"/>
        <v>Sunday</v>
      </c>
      <c r="H94" s="7" t="str">
        <f t="shared" si="5"/>
        <v>Jan</v>
      </c>
      <c r="I94" s="8">
        <v>43475</v>
      </c>
      <c r="J94" s="8" t="str">
        <f t="shared" si="3"/>
        <v>Evening</v>
      </c>
      <c r="K94" s="9">
        <v>0.6958333333333333</v>
      </c>
      <c r="L94" s="7" t="s">
        <v>18</v>
      </c>
      <c r="M94" s="10">
        <v>7.6929999999999996</v>
      </c>
      <c r="N94" s="7">
        <v>5.0999999999999996</v>
      </c>
    </row>
    <row r="95" spans="1:14" x14ac:dyDescent="0.25">
      <c r="A95" s="7" t="s">
        <v>124</v>
      </c>
      <c r="B95" s="7" t="s">
        <v>37</v>
      </c>
      <c r="C95" s="7" t="s">
        <v>38</v>
      </c>
      <c r="D95" s="7" t="s">
        <v>15</v>
      </c>
      <c r="E95" s="7" t="s">
        <v>26</v>
      </c>
      <c r="F95" s="7" t="s">
        <v>17</v>
      </c>
      <c r="G95" s="7" t="str">
        <f t="shared" si="4"/>
        <v>Tuesday</v>
      </c>
      <c r="H95" s="7" t="str">
        <f t="shared" si="5"/>
        <v>Mar</v>
      </c>
      <c r="I95" s="8">
        <v>43536</v>
      </c>
      <c r="J95" s="8" t="str">
        <f t="shared" si="3"/>
        <v>Afternoon</v>
      </c>
      <c r="K95" s="9">
        <v>0.50624999999999998</v>
      </c>
      <c r="L95" s="7" t="s">
        <v>28</v>
      </c>
      <c r="M95" s="10">
        <v>28.962</v>
      </c>
      <c r="N95" s="7">
        <v>8.6</v>
      </c>
    </row>
    <row r="96" spans="1:14" x14ac:dyDescent="0.25">
      <c r="A96" s="7" t="s">
        <v>125</v>
      </c>
      <c r="B96" s="7" t="s">
        <v>20</v>
      </c>
      <c r="C96" s="7" t="s">
        <v>21</v>
      </c>
      <c r="D96" s="7" t="s">
        <v>22</v>
      </c>
      <c r="E96" s="7" t="s">
        <v>26</v>
      </c>
      <c r="F96" s="7" t="s">
        <v>17</v>
      </c>
      <c r="G96" s="7" t="str">
        <f t="shared" si="4"/>
        <v>Thursday</v>
      </c>
      <c r="H96" s="7" t="str">
        <f t="shared" si="5"/>
        <v>Feb</v>
      </c>
      <c r="I96" s="8">
        <v>43502</v>
      </c>
      <c r="J96" s="8" t="str">
        <f t="shared" si="3"/>
        <v>Evening</v>
      </c>
      <c r="K96" s="9">
        <v>0.83680555555555547</v>
      </c>
      <c r="L96" s="7" t="s">
        <v>28</v>
      </c>
      <c r="M96" s="10">
        <v>4.4874999999999998</v>
      </c>
      <c r="N96" s="7">
        <v>6.6</v>
      </c>
    </row>
    <row r="97" spans="1:14" x14ac:dyDescent="0.25">
      <c r="A97" s="7" t="s">
        <v>126</v>
      </c>
      <c r="B97" s="7" t="s">
        <v>13</v>
      </c>
      <c r="C97" s="7" t="s">
        <v>14</v>
      </c>
      <c r="D97" s="7" t="s">
        <v>22</v>
      </c>
      <c r="E97" s="7" t="s">
        <v>26</v>
      </c>
      <c r="F97" s="7" t="s">
        <v>23</v>
      </c>
      <c r="G97" s="7" t="str">
        <f t="shared" si="4"/>
        <v>Monday</v>
      </c>
      <c r="H97" s="7" t="str">
        <f t="shared" si="5"/>
        <v>Mar</v>
      </c>
      <c r="I97" s="8">
        <v>43532</v>
      </c>
      <c r="J97" s="8" t="str">
        <f t="shared" si="3"/>
        <v>Evening</v>
      </c>
      <c r="K97" s="9">
        <v>0.85972222222222217</v>
      </c>
      <c r="L97" s="7" t="s">
        <v>18</v>
      </c>
      <c r="M97" s="10">
        <v>4.8579999999999997</v>
      </c>
      <c r="N97" s="7">
        <v>7.2</v>
      </c>
    </row>
    <row r="98" spans="1:14" x14ac:dyDescent="0.25">
      <c r="A98" s="7" t="s">
        <v>127</v>
      </c>
      <c r="B98" s="7" t="s">
        <v>37</v>
      </c>
      <c r="C98" s="7" t="s">
        <v>38</v>
      </c>
      <c r="D98" s="7" t="s">
        <v>22</v>
      </c>
      <c r="E98" s="7" t="s">
        <v>26</v>
      </c>
      <c r="F98" s="7" t="s">
        <v>17</v>
      </c>
      <c r="G98" s="7" t="str">
        <f t="shared" si="4"/>
        <v>Thursday</v>
      </c>
      <c r="H98" s="7" t="str">
        <f t="shared" si="5"/>
        <v>Mar</v>
      </c>
      <c r="I98" s="8">
        <v>43553</v>
      </c>
      <c r="J98" s="8" t="str">
        <f t="shared" si="3"/>
        <v>Morning</v>
      </c>
      <c r="K98" s="9">
        <v>0.43402777777777773</v>
      </c>
      <c r="L98" s="7" t="s">
        <v>18</v>
      </c>
      <c r="M98" s="10">
        <v>43.935000000000002</v>
      </c>
      <c r="N98" s="7">
        <v>5.0999999999999996</v>
      </c>
    </row>
    <row r="99" spans="1:14" x14ac:dyDescent="0.25">
      <c r="A99" s="7" t="s">
        <v>128</v>
      </c>
      <c r="B99" s="7" t="s">
        <v>20</v>
      </c>
      <c r="C99" s="7" t="s">
        <v>21</v>
      </c>
      <c r="D99" s="7" t="s">
        <v>22</v>
      </c>
      <c r="E99" s="7" t="s">
        <v>16</v>
      </c>
      <c r="F99" s="7" t="s">
        <v>23</v>
      </c>
      <c r="G99" s="7" t="str">
        <f t="shared" si="4"/>
        <v>Friday</v>
      </c>
      <c r="H99" s="7" t="str">
        <f t="shared" si="5"/>
        <v>Feb</v>
      </c>
      <c r="I99" s="8">
        <v>43505</v>
      </c>
      <c r="J99" s="8" t="str">
        <f t="shared" si="3"/>
        <v>Afternoon</v>
      </c>
      <c r="K99" s="9">
        <v>0.5493055555555556</v>
      </c>
      <c r="L99" s="7" t="s">
        <v>24</v>
      </c>
      <c r="M99" s="10">
        <v>3.7349999999999999</v>
      </c>
      <c r="N99" s="7">
        <v>4.0999999999999996</v>
      </c>
    </row>
    <row r="100" spans="1:14" x14ac:dyDescent="0.25">
      <c r="A100" s="7" t="s">
        <v>129</v>
      </c>
      <c r="B100" s="7" t="s">
        <v>13</v>
      </c>
      <c r="C100" s="7" t="s">
        <v>14</v>
      </c>
      <c r="D100" s="7" t="s">
        <v>22</v>
      </c>
      <c r="E100" s="7" t="s">
        <v>26</v>
      </c>
      <c r="F100" s="7" t="s">
        <v>39</v>
      </c>
      <c r="G100" s="7" t="str">
        <f t="shared" si="4"/>
        <v>Thursday</v>
      </c>
      <c r="H100" s="7" t="str">
        <f t="shared" si="5"/>
        <v>Mar</v>
      </c>
      <c r="I100" s="8">
        <v>43547</v>
      </c>
      <c r="J100" s="8" t="str">
        <f t="shared" si="3"/>
        <v>Morning</v>
      </c>
      <c r="K100" s="9">
        <v>0.42777777777777781</v>
      </c>
      <c r="L100" s="7" t="s">
        <v>18</v>
      </c>
      <c r="M100" s="10">
        <v>7.9124999999999996</v>
      </c>
      <c r="N100" s="7">
        <v>9.3000000000000007</v>
      </c>
    </row>
    <row r="101" spans="1:14" x14ac:dyDescent="0.25">
      <c r="A101" s="7" t="s">
        <v>130</v>
      </c>
      <c r="B101" s="7" t="s">
        <v>37</v>
      </c>
      <c r="C101" s="7" t="s">
        <v>38</v>
      </c>
      <c r="D101" s="7" t="s">
        <v>22</v>
      </c>
      <c r="E101" s="7" t="s">
        <v>26</v>
      </c>
      <c r="F101" s="7" t="s">
        <v>27</v>
      </c>
      <c r="G101" s="7" t="str">
        <f t="shared" si="4"/>
        <v>Monday</v>
      </c>
      <c r="H101" s="7" t="str">
        <f t="shared" si="5"/>
        <v>Mar</v>
      </c>
      <c r="I101" s="8">
        <v>43529</v>
      </c>
      <c r="J101" s="8" t="str">
        <f t="shared" si="3"/>
        <v>Evening</v>
      </c>
      <c r="K101" s="9">
        <v>0.7597222222222223</v>
      </c>
      <c r="L101" s="7" t="s">
        <v>24</v>
      </c>
      <c r="M101" s="10">
        <v>24.81</v>
      </c>
      <c r="N101" s="7">
        <v>7.4</v>
      </c>
    </row>
    <row r="102" spans="1:14" x14ac:dyDescent="0.25">
      <c r="A102" s="7" t="s">
        <v>131</v>
      </c>
      <c r="B102" s="7" t="s">
        <v>20</v>
      </c>
      <c r="C102" s="7" t="s">
        <v>21</v>
      </c>
      <c r="D102" s="7" t="s">
        <v>15</v>
      </c>
      <c r="E102" s="7" t="s">
        <v>26</v>
      </c>
      <c r="F102" s="7" t="s">
        <v>41</v>
      </c>
      <c r="G102" s="7" t="str">
        <f t="shared" si="4"/>
        <v>Thursday</v>
      </c>
      <c r="H102" s="7" t="str">
        <f t="shared" si="5"/>
        <v>Mar</v>
      </c>
      <c r="I102" s="8">
        <v>43550</v>
      </c>
      <c r="J102" s="8" t="str">
        <f t="shared" si="3"/>
        <v>Evening</v>
      </c>
      <c r="K102" s="9">
        <v>0.80555555555555547</v>
      </c>
      <c r="L102" s="7" t="s">
        <v>24</v>
      </c>
      <c r="M102" s="10">
        <v>2.4355000000000002</v>
      </c>
      <c r="N102" s="7">
        <v>4.0999999999999996</v>
      </c>
    </row>
    <row r="103" spans="1:14" x14ac:dyDescent="0.25">
      <c r="A103" s="7" t="s">
        <v>132</v>
      </c>
      <c r="B103" s="7" t="s">
        <v>20</v>
      </c>
      <c r="C103" s="7" t="s">
        <v>21</v>
      </c>
      <c r="D103" s="7" t="s">
        <v>22</v>
      </c>
      <c r="E103" s="7" t="s">
        <v>26</v>
      </c>
      <c r="F103" s="7" t="s">
        <v>41</v>
      </c>
      <c r="G103" s="7" t="str">
        <f t="shared" si="4"/>
        <v>Sunday</v>
      </c>
      <c r="H103" s="7" t="str">
        <f t="shared" si="5"/>
        <v>Mar</v>
      </c>
      <c r="I103" s="8">
        <v>43525</v>
      </c>
      <c r="J103" s="8" t="str">
        <f t="shared" si="3"/>
        <v>Afternoon</v>
      </c>
      <c r="K103" s="9">
        <v>0.55694444444444446</v>
      </c>
      <c r="L103" s="7" t="s">
        <v>24</v>
      </c>
      <c r="M103" s="10">
        <v>35.347499999999997</v>
      </c>
      <c r="N103" s="7">
        <v>7.2</v>
      </c>
    </row>
    <row r="104" spans="1:14" x14ac:dyDescent="0.25">
      <c r="A104" s="7" t="s">
        <v>133</v>
      </c>
      <c r="B104" s="7" t="s">
        <v>20</v>
      </c>
      <c r="C104" s="7" t="s">
        <v>21</v>
      </c>
      <c r="D104" s="7" t="s">
        <v>22</v>
      </c>
      <c r="E104" s="7" t="s">
        <v>16</v>
      </c>
      <c r="F104" s="7" t="s">
        <v>23</v>
      </c>
      <c r="G104" s="7" t="str">
        <f t="shared" si="4"/>
        <v>Wednesday</v>
      </c>
      <c r="H104" s="7" t="str">
        <f t="shared" si="5"/>
        <v>Feb</v>
      </c>
      <c r="I104" s="8">
        <v>43497</v>
      </c>
      <c r="J104" s="8" t="str">
        <f t="shared" si="3"/>
        <v>Morning</v>
      </c>
      <c r="K104" s="9">
        <v>0.4770833333333333</v>
      </c>
      <c r="L104" s="7" t="s">
        <v>24</v>
      </c>
      <c r="M104" s="10">
        <v>10.381500000000001</v>
      </c>
      <c r="N104" s="7">
        <v>4.9000000000000004</v>
      </c>
    </row>
    <row r="105" spans="1:14" x14ac:dyDescent="0.25">
      <c r="A105" s="7" t="s">
        <v>134</v>
      </c>
      <c r="B105" s="7" t="s">
        <v>13</v>
      </c>
      <c r="C105" s="7" t="s">
        <v>14</v>
      </c>
      <c r="D105" s="7" t="s">
        <v>22</v>
      </c>
      <c r="E105" s="7" t="s">
        <v>26</v>
      </c>
      <c r="F105" s="7" t="s">
        <v>39</v>
      </c>
      <c r="G105" s="7" t="str">
        <f t="shared" si="4"/>
        <v>Thursday</v>
      </c>
      <c r="H105" s="7" t="str">
        <f t="shared" si="5"/>
        <v>Mar</v>
      </c>
      <c r="I105" s="8">
        <v>43552</v>
      </c>
      <c r="J105" s="8" t="str">
        <f t="shared" si="3"/>
        <v>Evening</v>
      </c>
      <c r="K105" s="9">
        <v>0.6972222222222223</v>
      </c>
      <c r="L105" s="7" t="s">
        <v>24</v>
      </c>
      <c r="M105" s="10">
        <v>17.478000000000002</v>
      </c>
      <c r="N105" s="7">
        <v>9.9</v>
      </c>
    </row>
    <row r="106" spans="1:14" x14ac:dyDescent="0.25">
      <c r="A106" s="7" t="s">
        <v>135</v>
      </c>
      <c r="B106" s="7" t="s">
        <v>37</v>
      </c>
      <c r="C106" s="7" t="s">
        <v>38</v>
      </c>
      <c r="D106" s="7" t="s">
        <v>22</v>
      </c>
      <c r="E106" s="7" t="s">
        <v>26</v>
      </c>
      <c r="F106" s="7" t="s">
        <v>17</v>
      </c>
      <c r="G106" s="7" t="str">
        <f t="shared" si="4"/>
        <v>Wednesday</v>
      </c>
      <c r="H106" s="7" t="str">
        <f t="shared" si="5"/>
        <v>Mar</v>
      </c>
      <c r="I106" s="8">
        <v>43543</v>
      </c>
      <c r="J106" s="8" t="str">
        <f t="shared" si="3"/>
        <v>Evening</v>
      </c>
      <c r="K106" s="9">
        <v>0.7631944444444444</v>
      </c>
      <c r="L106" s="7" t="s">
        <v>24</v>
      </c>
      <c r="M106" s="10">
        <v>10.6225</v>
      </c>
      <c r="N106" s="7">
        <v>8</v>
      </c>
    </row>
    <row r="107" spans="1:14" x14ac:dyDescent="0.25">
      <c r="A107" s="7" t="s">
        <v>136</v>
      </c>
      <c r="B107" s="7" t="s">
        <v>13</v>
      </c>
      <c r="C107" s="7" t="s">
        <v>14</v>
      </c>
      <c r="D107" s="7" t="s">
        <v>15</v>
      </c>
      <c r="E107" s="7" t="s">
        <v>26</v>
      </c>
      <c r="F107" s="7" t="s">
        <v>23</v>
      </c>
      <c r="G107" s="7" t="str">
        <f t="shared" si="4"/>
        <v>Monday</v>
      </c>
      <c r="H107" s="7" t="str">
        <f t="shared" si="5"/>
        <v>Jan</v>
      </c>
      <c r="I107" s="8">
        <v>43477</v>
      </c>
      <c r="J107" s="8" t="str">
        <f t="shared" si="3"/>
        <v>Afternoon</v>
      </c>
      <c r="K107" s="9">
        <v>0.61805555555555558</v>
      </c>
      <c r="L107" s="7" t="s">
        <v>18</v>
      </c>
      <c r="M107" s="10">
        <v>44.335000000000001</v>
      </c>
      <c r="N107" s="7">
        <v>7.3</v>
      </c>
    </row>
    <row r="108" spans="1:14" x14ac:dyDescent="0.25">
      <c r="A108" s="7" t="s">
        <v>137</v>
      </c>
      <c r="B108" s="7" t="s">
        <v>20</v>
      </c>
      <c r="C108" s="7" t="s">
        <v>21</v>
      </c>
      <c r="D108" s="7" t="s">
        <v>22</v>
      </c>
      <c r="E108" s="7" t="s">
        <v>26</v>
      </c>
      <c r="F108" s="7" t="s">
        <v>41</v>
      </c>
      <c r="G108" s="7" t="str">
        <f t="shared" si="4"/>
        <v>Sunday</v>
      </c>
      <c r="H108" s="7" t="str">
        <f t="shared" si="5"/>
        <v>Jan</v>
      </c>
      <c r="I108" s="8">
        <v>43470</v>
      </c>
      <c r="J108" s="8" t="str">
        <f t="shared" si="3"/>
        <v>Evening</v>
      </c>
      <c r="K108" s="9">
        <v>0.87083333333333324</v>
      </c>
      <c r="L108" s="7" t="s">
        <v>28</v>
      </c>
      <c r="M108" s="10">
        <v>8.2140000000000004</v>
      </c>
      <c r="N108" s="7">
        <v>7.9</v>
      </c>
    </row>
    <row r="109" spans="1:14" x14ac:dyDescent="0.25">
      <c r="A109" s="7" t="s">
        <v>138</v>
      </c>
      <c r="B109" s="7" t="s">
        <v>13</v>
      </c>
      <c r="C109" s="7" t="s">
        <v>14</v>
      </c>
      <c r="D109" s="7" t="s">
        <v>22</v>
      </c>
      <c r="E109" s="7" t="s">
        <v>26</v>
      </c>
      <c r="F109" s="7" t="s">
        <v>31</v>
      </c>
      <c r="G109" s="7" t="str">
        <f t="shared" si="4"/>
        <v>Wednesday</v>
      </c>
      <c r="H109" s="7" t="str">
        <f t="shared" si="5"/>
        <v>Mar</v>
      </c>
      <c r="I109" s="8">
        <v>43546</v>
      </c>
      <c r="J109" s="8" t="str">
        <f t="shared" si="3"/>
        <v>Evening</v>
      </c>
      <c r="K109" s="9">
        <v>0.84652777777777777</v>
      </c>
      <c r="L109" s="7" t="s">
        <v>24</v>
      </c>
      <c r="M109" s="10">
        <v>18.638999999999999</v>
      </c>
      <c r="N109" s="7">
        <v>7.4</v>
      </c>
    </row>
    <row r="110" spans="1:14" x14ac:dyDescent="0.25">
      <c r="A110" s="7" t="s">
        <v>139</v>
      </c>
      <c r="B110" s="7" t="s">
        <v>20</v>
      </c>
      <c r="C110" s="7" t="s">
        <v>21</v>
      </c>
      <c r="D110" s="7" t="s">
        <v>22</v>
      </c>
      <c r="E110" s="7" t="s">
        <v>16</v>
      </c>
      <c r="F110" s="7" t="s">
        <v>39</v>
      </c>
      <c r="G110" s="7" t="str">
        <f t="shared" si="4"/>
        <v>Thursday</v>
      </c>
      <c r="H110" s="7" t="str">
        <f t="shared" si="5"/>
        <v>Mar</v>
      </c>
      <c r="I110" s="8">
        <v>43548</v>
      </c>
      <c r="J110" s="8" t="str">
        <f t="shared" si="3"/>
        <v>Morning</v>
      </c>
      <c r="K110" s="9">
        <v>0.4465277777777778</v>
      </c>
      <c r="L110" s="7" t="s">
        <v>24</v>
      </c>
      <c r="M110" s="10">
        <v>15.291</v>
      </c>
      <c r="N110" s="7">
        <v>4.2</v>
      </c>
    </row>
    <row r="111" spans="1:14" x14ac:dyDescent="0.25">
      <c r="A111" s="7" t="s">
        <v>140</v>
      </c>
      <c r="B111" s="7" t="s">
        <v>20</v>
      </c>
      <c r="C111" s="7" t="s">
        <v>21</v>
      </c>
      <c r="D111" s="7" t="s">
        <v>15</v>
      </c>
      <c r="E111" s="7" t="s">
        <v>26</v>
      </c>
      <c r="F111" s="7" t="s">
        <v>23</v>
      </c>
      <c r="G111" s="7" t="str">
        <f t="shared" si="4"/>
        <v>Monday</v>
      </c>
      <c r="H111" s="7" t="str">
        <f t="shared" si="5"/>
        <v>Mar</v>
      </c>
      <c r="I111" s="8">
        <v>43527</v>
      </c>
      <c r="J111" s="8" t="str">
        <f t="shared" si="3"/>
        <v>Afternoon</v>
      </c>
      <c r="K111" s="9">
        <v>0.60416666666666663</v>
      </c>
      <c r="L111" s="7" t="s">
        <v>24</v>
      </c>
      <c r="M111" s="10">
        <v>40.984999999999999</v>
      </c>
      <c r="N111" s="7">
        <v>9.1999999999999993</v>
      </c>
    </row>
    <row r="112" spans="1:14" x14ac:dyDescent="0.25">
      <c r="A112" s="7" t="s">
        <v>141</v>
      </c>
      <c r="B112" s="7" t="s">
        <v>37</v>
      </c>
      <c r="C112" s="7" t="s">
        <v>38</v>
      </c>
      <c r="D112" s="7" t="s">
        <v>15</v>
      </c>
      <c r="E112" s="7" t="s">
        <v>16</v>
      </c>
      <c r="F112" s="7" t="s">
        <v>31</v>
      </c>
      <c r="G112" s="7" t="str">
        <f t="shared" si="4"/>
        <v>Thursday</v>
      </c>
      <c r="H112" s="7" t="str">
        <f t="shared" si="5"/>
        <v>Feb</v>
      </c>
      <c r="I112" s="8">
        <v>43501</v>
      </c>
      <c r="J112" s="8" t="str">
        <f t="shared" si="3"/>
        <v>Morning</v>
      </c>
      <c r="K112" s="9">
        <v>0.48055555555555557</v>
      </c>
      <c r="L112" s="7" t="s">
        <v>18</v>
      </c>
      <c r="M112" s="10">
        <v>1.649</v>
      </c>
      <c r="N112" s="7">
        <v>4.5999999999999996</v>
      </c>
    </row>
    <row r="113" spans="1:14" x14ac:dyDescent="0.25">
      <c r="A113" s="7" t="s">
        <v>142</v>
      </c>
      <c r="B113" s="7" t="s">
        <v>20</v>
      </c>
      <c r="C113" s="7" t="s">
        <v>21</v>
      </c>
      <c r="D113" s="7" t="s">
        <v>15</v>
      </c>
      <c r="E113" s="7" t="s">
        <v>16</v>
      </c>
      <c r="F113" s="7" t="s">
        <v>17</v>
      </c>
      <c r="G113" s="7" t="str">
        <f t="shared" si="4"/>
        <v>Thursday</v>
      </c>
      <c r="H113" s="7" t="str">
        <f t="shared" si="5"/>
        <v>Feb</v>
      </c>
      <c r="I113" s="8">
        <v>43501</v>
      </c>
      <c r="J113" s="8" t="str">
        <f t="shared" si="3"/>
        <v>Morning</v>
      </c>
      <c r="K113" s="9">
        <v>0.44513888888888892</v>
      </c>
      <c r="L113" s="7" t="s">
        <v>28</v>
      </c>
      <c r="M113" s="10">
        <v>14.7315</v>
      </c>
      <c r="N113" s="7">
        <v>7.8</v>
      </c>
    </row>
    <row r="114" spans="1:14" x14ac:dyDescent="0.25">
      <c r="A114" s="7" t="s">
        <v>143</v>
      </c>
      <c r="B114" s="7" t="s">
        <v>37</v>
      </c>
      <c r="C114" s="7" t="s">
        <v>38</v>
      </c>
      <c r="D114" s="7" t="s">
        <v>22</v>
      </c>
      <c r="E114" s="7" t="s">
        <v>16</v>
      </c>
      <c r="F114" s="7" t="s">
        <v>41</v>
      </c>
      <c r="G114" s="7" t="str">
        <f t="shared" si="4"/>
        <v>Friday</v>
      </c>
      <c r="H114" s="7" t="str">
        <f t="shared" si="5"/>
        <v>Feb</v>
      </c>
      <c r="I114" s="8">
        <v>43511</v>
      </c>
      <c r="J114" s="8" t="str">
        <f t="shared" si="3"/>
        <v>Afternoon</v>
      </c>
      <c r="K114" s="9">
        <v>0.53055555555555556</v>
      </c>
      <c r="L114" s="7" t="s">
        <v>24</v>
      </c>
      <c r="M114" s="10">
        <v>25.494</v>
      </c>
      <c r="N114" s="7">
        <v>8.4</v>
      </c>
    </row>
    <row r="115" spans="1:14" x14ac:dyDescent="0.25">
      <c r="A115" s="7" t="s">
        <v>144</v>
      </c>
      <c r="B115" s="7" t="s">
        <v>13</v>
      </c>
      <c r="C115" s="7" t="s">
        <v>14</v>
      </c>
      <c r="D115" s="7" t="s">
        <v>15</v>
      </c>
      <c r="E115" s="7" t="s">
        <v>26</v>
      </c>
      <c r="F115" s="7" t="s">
        <v>27</v>
      </c>
      <c r="G115" s="7" t="str">
        <f t="shared" si="4"/>
        <v>Tuesday</v>
      </c>
      <c r="H115" s="7" t="str">
        <f t="shared" si="5"/>
        <v>Jan</v>
      </c>
      <c r="I115" s="8">
        <v>43484</v>
      </c>
      <c r="J115" s="8" t="str">
        <f t="shared" si="3"/>
        <v>Evening</v>
      </c>
      <c r="K115" s="9">
        <v>0.83819444444444446</v>
      </c>
      <c r="L115" s="7" t="s">
        <v>18</v>
      </c>
      <c r="M115" s="10">
        <v>26.131499999999999</v>
      </c>
      <c r="N115" s="7">
        <v>4.3</v>
      </c>
    </row>
    <row r="116" spans="1:14" x14ac:dyDescent="0.25">
      <c r="A116" s="7" t="s">
        <v>145</v>
      </c>
      <c r="B116" s="7" t="s">
        <v>20</v>
      </c>
      <c r="C116" s="7" t="s">
        <v>21</v>
      </c>
      <c r="D116" s="7" t="s">
        <v>15</v>
      </c>
      <c r="E116" s="7" t="s">
        <v>16</v>
      </c>
      <c r="F116" s="7" t="s">
        <v>27</v>
      </c>
      <c r="G116" s="7" t="str">
        <f t="shared" si="4"/>
        <v>Wednesday</v>
      </c>
      <c r="H116" s="7" t="str">
        <f t="shared" si="5"/>
        <v>Feb</v>
      </c>
      <c r="I116" s="8">
        <v>43497</v>
      </c>
      <c r="J116" s="8" t="str">
        <f t="shared" si="3"/>
        <v>Evening</v>
      </c>
      <c r="K116" s="9">
        <v>0.85486111111111107</v>
      </c>
      <c r="L116" s="7" t="s">
        <v>28</v>
      </c>
      <c r="M116" s="10">
        <v>36.355499999999999</v>
      </c>
      <c r="N116" s="7">
        <v>9.5</v>
      </c>
    </row>
    <row r="117" spans="1:14" x14ac:dyDescent="0.25">
      <c r="A117" s="7" t="s">
        <v>146</v>
      </c>
      <c r="B117" s="7" t="s">
        <v>20</v>
      </c>
      <c r="C117" s="7" t="s">
        <v>21</v>
      </c>
      <c r="D117" s="7" t="s">
        <v>22</v>
      </c>
      <c r="E117" s="7" t="s">
        <v>16</v>
      </c>
      <c r="F117" s="7" t="s">
        <v>41</v>
      </c>
      <c r="G117" s="7" t="str">
        <f t="shared" si="4"/>
        <v>Monday</v>
      </c>
      <c r="H117" s="7" t="str">
        <f t="shared" si="5"/>
        <v>Mar</v>
      </c>
      <c r="I117" s="8">
        <v>43526</v>
      </c>
      <c r="J117" s="8" t="str">
        <f t="shared" si="3"/>
        <v>Afternoon</v>
      </c>
      <c r="K117" s="9">
        <v>0.54236111111111118</v>
      </c>
      <c r="L117" s="7" t="s">
        <v>28</v>
      </c>
      <c r="M117" s="10">
        <v>4.0529999999999999</v>
      </c>
      <c r="N117" s="7">
        <v>7.1</v>
      </c>
    </row>
    <row r="118" spans="1:14" x14ac:dyDescent="0.25">
      <c r="A118" s="7" t="s">
        <v>147</v>
      </c>
      <c r="B118" s="7" t="s">
        <v>37</v>
      </c>
      <c r="C118" s="7" t="s">
        <v>38</v>
      </c>
      <c r="D118" s="7" t="s">
        <v>15</v>
      </c>
      <c r="E118" s="7" t="s">
        <v>26</v>
      </c>
      <c r="F118" s="7" t="s">
        <v>41</v>
      </c>
      <c r="G118" s="7" t="str">
        <f t="shared" si="4"/>
        <v>Monday</v>
      </c>
      <c r="H118" s="7" t="str">
        <f t="shared" si="5"/>
        <v>Mar</v>
      </c>
      <c r="I118" s="8">
        <v>43529</v>
      </c>
      <c r="J118" s="8" t="str">
        <f t="shared" si="3"/>
        <v>Afternoon</v>
      </c>
      <c r="K118" s="9">
        <v>0.52013888888888882</v>
      </c>
      <c r="L118" s="7" t="s">
        <v>18</v>
      </c>
      <c r="M118" s="10">
        <v>5.4850000000000003</v>
      </c>
      <c r="N118" s="7">
        <v>5.3</v>
      </c>
    </row>
    <row r="119" spans="1:14" x14ac:dyDescent="0.25">
      <c r="A119" s="7" t="s">
        <v>148</v>
      </c>
      <c r="B119" s="7" t="s">
        <v>37</v>
      </c>
      <c r="C119" s="7" t="s">
        <v>38</v>
      </c>
      <c r="D119" s="7" t="s">
        <v>15</v>
      </c>
      <c r="E119" s="7" t="s">
        <v>26</v>
      </c>
      <c r="F119" s="7" t="s">
        <v>41</v>
      </c>
      <c r="G119" s="7" t="str">
        <f t="shared" si="4"/>
        <v>Monday</v>
      </c>
      <c r="H119" s="7" t="str">
        <f t="shared" si="5"/>
        <v>Jan</v>
      </c>
      <c r="I119" s="8">
        <v>43481</v>
      </c>
      <c r="J119" s="8" t="str">
        <f t="shared" si="3"/>
        <v>Afternoon</v>
      </c>
      <c r="K119" s="9">
        <v>0.6430555555555556</v>
      </c>
      <c r="L119" s="7" t="s">
        <v>18</v>
      </c>
      <c r="M119" s="10">
        <v>2.5680000000000001</v>
      </c>
      <c r="N119" s="7">
        <v>5.2</v>
      </c>
    </row>
    <row r="120" spans="1:14" x14ac:dyDescent="0.25">
      <c r="A120" s="7" t="s">
        <v>149</v>
      </c>
      <c r="B120" s="7" t="s">
        <v>13</v>
      </c>
      <c r="C120" s="7" t="s">
        <v>14</v>
      </c>
      <c r="D120" s="7" t="s">
        <v>22</v>
      </c>
      <c r="E120" s="7" t="s">
        <v>16</v>
      </c>
      <c r="F120" s="7" t="s">
        <v>39</v>
      </c>
      <c r="G120" s="7" t="str">
        <f t="shared" si="4"/>
        <v>Thursday</v>
      </c>
      <c r="H120" s="7" t="str">
        <f t="shared" si="5"/>
        <v>Feb</v>
      </c>
      <c r="I120" s="8">
        <v>43498</v>
      </c>
      <c r="J120" s="8" t="str">
        <f t="shared" si="3"/>
        <v>Evening</v>
      </c>
      <c r="K120" s="9">
        <v>0.8666666666666667</v>
      </c>
      <c r="L120" s="7" t="s">
        <v>18</v>
      </c>
      <c r="M120" s="10">
        <v>5.48</v>
      </c>
      <c r="N120" s="7">
        <v>6</v>
      </c>
    </row>
    <row r="121" spans="1:14" x14ac:dyDescent="0.25">
      <c r="A121" s="7" t="s">
        <v>150</v>
      </c>
      <c r="B121" s="7" t="s">
        <v>37</v>
      </c>
      <c r="C121" s="7" t="s">
        <v>38</v>
      </c>
      <c r="D121" s="7" t="s">
        <v>22</v>
      </c>
      <c r="E121" s="7" t="s">
        <v>26</v>
      </c>
      <c r="F121" s="7" t="s">
        <v>27</v>
      </c>
      <c r="G121" s="7" t="str">
        <f t="shared" si="4"/>
        <v>Tuesday</v>
      </c>
      <c r="H121" s="7" t="str">
        <f t="shared" si="5"/>
        <v>Jan</v>
      </c>
      <c r="I121" s="8">
        <v>43485</v>
      </c>
      <c r="J121" s="8" t="str">
        <f t="shared" si="3"/>
        <v>Evening</v>
      </c>
      <c r="K121" s="9">
        <v>0.85972222222222217</v>
      </c>
      <c r="L121" s="7" t="s">
        <v>18</v>
      </c>
      <c r="M121" s="10">
        <v>5.3440000000000003</v>
      </c>
      <c r="N121" s="7">
        <v>4.0999999999999996</v>
      </c>
    </row>
    <row r="122" spans="1:14" x14ac:dyDescent="0.25">
      <c r="A122" s="7" t="s">
        <v>151</v>
      </c>
      <c r="B122" s="7" t="s">
        <v>13</v>
      </c>
      <c r="C122" s="7" t="s">
        <v>14</v>
      </c>
      <c r="D122" s="7" t="s">
        <v>22</v>
      </c>
      <c r="E122" s="7" t="s">
        <v>16</v>
      </c>
      <c r="F122" s="7" t="s">
        <v>23</v>
      </c>
      <c r="G122" s="7" t="str">
        <f t="shared" si="4"/>
        <v>Friday</v>
      </c>
      <c r="H122" s="7" t="str">
        <f t="shared" si="5"/>
        <v>Feb</v>
      </c>
      <c r="I122" s="8">
        <v>43510</v>
      </c>
      <c r="J122" s="8" t="str">
        <f t="shared" si="3"/>
        <v>Evening</v>
      </c>
      <c r="K122" s="9">
        <v>0.7104166666666667</v>
      </c>
      <c r="L122" s="7" t="s">
        <v>28</v>
      </c>
      <c r="M122" s="10">
        <v>39.823999999999998</v>
      </c>
      <c r="N122" s="7">
        <v>5.2</v>
      </c>
    </row>
    <row r="123" spans="1:14" x14ac:dyDescent="0.25">
      <c r="A123" s="7" t="s">
        <v>152</v>
      </c>
      <c r="B123" s="7" t="s">
        <v>20</v>
      </c>
      <c r="C123" s="7" t="s">
        <v>21</v>
      </c>
      <c r="D123" s="7" t="s">
        <v>15</v>
      </c>
      <c r="E123" s="7" t="s">
        <v>26</v>
      </c>
      <c r="F123" s="7" t="s">
        <v>31</v>
      </c>
      <c r="G123" s="7" t="str">
        <f t="shared" si="4"/>
        <v>Monday</v>
      </c>
      <c r="H123" s="7" t="str">
        <f t="shared" si="5"/>
        <v>Jan</v>
      </c>
      <c r="I123" s="8">
        <v>43477</v>
      </c>
      <c r="J123" s="8" t="str">
        <f t="shared" si="3"/>
        <v>Afternoon</v>
      </c>
      <c r="K123" s="9">
        <v>0.50138888888888888</v>
      </c>
      <c r="L123" s="7" t="s">
        <v>28</v>
      </c>
      <c r="M123" s="10">
        <v>19.992000000000001</v>
      </c>
      <c r="N123" s="7">
        <v>6.5</v>
      </c>
    </row>
    <row r="124" spans="1:14" x14ac:dyDescent="0.25">
      <c r="A124" s="7" t="s">
        <v>153</v>
      </c>
      <c r="B124" s="7" t="s">
        <v>37</v>
      </c>
      <c r="C124" s="7" t="s">
        <v>38</v>
      </c>
      <c r="D124" s="7" t="s">
        <v>15</v>
      </c>
      <c r="E124" s="7" t="s">
        <v>26</v>
      </c>
      <c r="F124" s="7" t="s">
        <v>31</v>
      </c>
      <c r="G124" s="7" t="str">
        <f t="shared" si="4"/>
        <v>Tuesday</v>
      </c>
      <c r="H124" s="7" t="str">
        <f t="shared" si="5"/>
        <v>Mar</v>
      </c>
      <c r="I124" s="8">
        <v>43533</v>
      </c>
      <c r="J124" s="8" t="str">
        <f t="shared" si="3"/>
        <v>Evening</v>
      </c>
      <c r="K124" s="9">
        <v>0.72638888888888886</v>
      </c>
      <c r="L124" s="7" t="s">
        <v>28</v>
      </c>
      <c r="M124" s="10">
        <v>44.981999999999999</v>
      </c>
      <c r="N124" s="7">
        <v>4.2</v>
      </c>
    </row>
    <row r="125" spans="1:14" x14ac:dyDescent="0.25">
      <c r="A125" s="7" t="s">
        <v>154</v>
      </c>
      <c r="B125" s="7" t="s">
        <v>20</v>
      </c>
      <c r="C125" s="7" t="s">
        <v>21</v>
      </c>
      <c r="D125" s="7" t="s">
        <v>15</v>
      </c>
      <c r="E125" s="7" t="s">
        <v>26</v>
      </c>
      <c r="F125" s="7" t="s">
        <v>27</v>
      </c>
      <c r="G125" s="7" t="str">
        <f t="shared" si="4"/>
        <v>Tuesday</v>
      </c>
      <c r="H125" s="7" t="str">
        <f t="shared" si="5"/>
        <v>Mar</v>
      </c>
      <c r="I125" s="8">
        <v>43537</v>
      </c>
      <c r="J125" s="8" t="str">
        <f t="shared" si="3"/>
        <v>Evening</v>
      </c>
      <c r="K125" s="9">
        <v>0.82777777777777783</v>
      </c>
      <c r="L125" s="7" t="s">
        <v>28</v>
      </c>
      <c r="M125" s="10">
        <v>25.564</v>
      </c>
      <c r="N125" s="7">
        <v>4.5999999999999996</v>
      </c>
    </row>
    <row r="126" spans="1:14" x14ac:dyDescent="0.25">
      <c r="A126" s="7" t="s">
        <v>155</v>
      </c>
      <c r="B126" s="7" t="s">
        <v>37</v>
      </c>
      <c r="C126" s="7" t="s">
        <v>38</v>
      </c>
      <c r="D126" s="7" t="s">
        <v>15</v>
      </c>
      <c r="E126" s="7" t="s">
        <v>16</v>
      </c>
      <c r="F126" s="7" t="s">
        <v>41</v>
      </c>
      <c r="G126" s="7" t="str">
        <f t="shared" si="4"/>
        <v>Tuesday</v>
      </c>
      <c r="H126" s="7" t="str">
        <f t="shared" si="5"/>
        <v>Mar</v>
      </c>
      <c r="I126" s="8">
        <v>43533</v>
      </c>
      <c r="J126" s="8" t="str">
        <f t="shared" si="3"/>
        <v>Afternoon</v>
      </c>
      <c r="K126" s="9">
        <v>0.62291666666666667</v>
      </c>
      <c r="L126" s="7" t="s">
        <v>18</v>
      </c>
      <c r="M126" s="10">
        <v>22.588000000000001</v>
      </c>
      <c r="N126" s="7">
        <v>7.3</v>
      </c>
    </row>
    <row r="127" spans="1:14" x14ac:dyDescent="0.25">
      <c r="A127" s="7" t="s">
        <v>156</v>
      </c>
      <c r="B127" s="7" t="s">
        <v>13</v>
      </c>
      <c r="C127" s="7" t="s">
        <v>14</v>
      </c>
      <c r="D127" s="7" t="s">
        <v>22</v>
      </c>
      <c r="E127" s="7" t="s">
        <v>16</v>
      </c>
      <c r="F127" s="7" t="s">
        <v>27</v>
      </c>
      <c r="G127" s="7" t="str">
        <f t="shared" si="4"/>
        <v>Tuesday</v>
      </c>
      <c r="H127" s="7" t="str">
        <f t="shared" si="5"/>
        <v>Mar</v>
      </c>
      <c r="I127" s="8">
        <v>43534</v>
      </c>
      <c r="J127" s="8" t="str">
        <f t="shared" si="3"/>
        <v>Evening</v>
      </c>
      <c r="K127" s="9">
        <v>0.78055555555555556</v>
      </c>
      <c r="L127" s="7" t="s">
        <v>28</v>
      </c>
      <c r="M127" s="10">
        <v>32.791499999999999</v>
      </c>
      <c r="N127" s="7">
        <v>4.5</v>
      </c>
    </row>
    <row r="128" spans="1:14" x14ac:dyDescent="0.25">
      <c r="A128" s="7" t="s">
        <v>157</v>
      </c>
      <c r="B128" s="7" t="s">
        <v>13</v>
      </c>
      <c r="C128" s="7" t="s">
        <v>14</v>
      </c>
      <c r="D128" s="7" t="s">
        <v>22</v>
      </c>
      <c r="E128" s="7" t="s">
        <v>16</v>
      </c>
      <c r="F128" s="7" t="s">
        <v>31</v>
      </c>
      <c r="G128" s="7" t="str">
        <f t="shared" si="4"/>
        <v>Wednesday</v>
      </c>
      <c r="H128" s="7" t="str">
        <f t="shared" si="5"/>
        <v>Jan</v>
      </c>
      <c r="I128" s="8">
        <v>43492</v>
      </c>
      <c r="J128" s="8" t="str">
        <f t="shared" si="3"/>
        <v>Afternoon</v>
      </c>
      <c r="K128" s="9">
        <v>0.55972222222222223</v>
      </c>
      <c r="L128" s="7" t="s">
        <v>24</v>
      </c>
      <c r="M128" s="10">
        <v>8.0625</v>
      </c>
      <c r="N128" s="7">
        <v>9</v>
      </c>
    </row>
    <row r="129" spans="1:14" x14ac:dyDescent="0.25">
      <c r="A129" s="7" t="s">
        <v>158</v>
      </c>
      <c r="B129" s="7" t="s">
        <v>20</v>
      </c>
      <c r="C129" s="7" t="s">
        <v>21</v>
      </c>
      <c r="D129" s="7" t="s">
        <v>22</v>
      </c>
      <c r="E129" s="7" t="s">
        <v>16</v>
      </c>
      <c r="F129" s="7" t="s">
        <v>41</v>
      </c>
      <c r="G129" s="7" t="str">
        <f t="shared" si="4"/>
        <v>Sunday</v>
      </c>
      <c r="H129" s="7" t="str">
        <f t="shared" si="5"/>
        <v>Jan</v>
      </c>
      <c r="I129" s="8">
        <v>43473</v>
      </c>
      <c r="J129" s="8" t="str">
        <f t="shared" si="3"/>
        <v>Evening</v>
      </c>
      <c r="K129" s="9">
        <v>0.67847222222222225</v>
      </c>
      <c r="L129" s="7" t="s">
        <v>28</v>
      </c>
      <c r="M129" s="10">
        <v>14.278499999999999</v>
      </c>
      <c r="N129" s="7">
        <v>5.9</v>
      </c>
    </row>
    <row r="130" spans="1:14" x14ac:dyDescent="0.25">
      <c r="A130" s="7" t="s">
        <v>159</v>
      </c>
      <c r="B130" s="7" t="s">
        <v>20</v>
      </c>
      <c r="C130" s="7" t="s">
        <v>21</v>
      </c>
      <c r="D130" s="7" t="s">
        <v>15</v>
      </c>
      <c r="E130" s="7" t="s">
        <v>16</v>
      </c>
      <c r="F130" s="7" t="s">
        <v>39</v>
      </c>
      <c r="G130" s="7" t="str">
        <f t="shared" si="4"/>
        <v>Sunday</v>
      </c>
      <c r="H130" s="7" t="str">
        <f t="shared" si="5"/>
        <v>Jan</v>
      </c>
      <c r="I130" s="8">
        <v>43473</v>
      </c>
      <c r="J130" s="8" t="str">
        <f t="shared" ref="J130:J193" si="6">IF(AND(K130&gt;=TIME(9,0,0),K130&lt;TIME(12,0,0)),"Morning",IF(AND(K130&gt;=TIME(12,0,0),K130&lt;TIME(16,0,0)),"Afternoon","Evening"))</f>
        <v>Afternoon</v>
      </c>
      <c r="K130" s="9">
        <v>0.6645833333333333</v>
      </c>
      <c r="L130" s="7" t="s">
        <v>18</v>
      </c>
      <c r="M130" s="10">
        <v>27.416</v>
      </c>
      <c r="N130" s="7">
        <v>8.5</v>
      </c>
    </row>
    <row r="131" spans="1:14" x14ac:dyDescent="0.25">
      <c r="A131" s="7" t="s">
        <v>160</v>
      </c>
      <c r="B131" s="7" t="s">
        <v>37</v>
      </c>
      <c r="C131" s="7" t="s">
        <v>38</v>
      </c>
      <c r="D131" s="7" t="s">
        <v>22</v>
      </c>
      <c r="E131" s="7" t="s">
        <v>16</v>
      </c>
      <c r="F131" s="7" t="s">
        <v>31</v>
      </c>
      <c r="G131" s="7" t="str">
        <f t="shared" ref="G131:G194" si="7">TEXT(I131/7,"dddd")</f>
        <v>Thursday</v>
      </c>
      <c r="H131" s="7" t="str">
        <f t="shared" ref="H131:H194" si="8">TEXT(I131,"mmm")</f>
        <v>Feb</v>
      </c>
      <c r="I131" s="8">
        <v>43504</v>
      </c>
      <c r="J131" s="8" t="str">
        <f t="shared" si="6"/>
        <v>Morning</v>
      </c>
      <c r="K131" s="9">
        <v>0.46875</v>
      </c>
      <c r="L131" s="7" t="s">
        <v>18</v>
      </c>
      <c r="M131" s="10">
        <v>40.625999999999998</v>
      </c>
      <c r="N131" s="7">
        <v>7.2</v>
      </c>
    </row>
    <row r="132" spans="1:14" x14ac:dyDescent="0.25">
      <c r="A132" s="7" t="s">
        <v>161</v>
      </c>
      <c r="B132" s="7" t="s">
        <v>37</v>
      </c>
      <c r="C132" s="7" t="s">
        <v>38</v>
      </c>
      <c r="D132" s="7" t="s">
        <v>22</v>
      </c>
      <c r="E132" s="7" t="s">
        <v>16</v>
      </c>
      <c r="F132" s="7" t="s">
        <v>41</v>
      </c>
      <c r="G132" s="7" t="str">
        <f t="shared" si="7"/>
        <v>Tuesday</v>
      </c>
      <c r="H132" s="7" t="str">
        <f t="shared" si="8"/>
        <v>Jan</v>
      </c>
      <c r="I132" s="8">
        <v>43490</v>
      </c>
      <c r="J132" s="8" t="str">
        <f t="shared" si="6"/>
        <v>Afternoon</v>
      </c>
      <c r="K132" s="9">
        <v>0.5541666666666667</v>
      </c>
      <c r="L132" s="7" t="s">
        <v>24</v>
      </c>
      <c r="M132" s="10">
        <v>13.867000000000001</v>
      </c>
      <c r="N132" s="7">
        <v>7.5</v>
      </c>
    </row>
    <row r="133" spans="1:14" x14ac:dyDescent="0.25">
      <c r="A133" s="7" t="s">
        <v>162</v>
      </c>
      <c r="B133" s="7" t="s">
        <v>13</v>
      </c>
      <c r="C133" s="7" t="s">
        <v>14</v>
      </c>
      <c r="D133" s="7" t="s">
        <v>15</v>
      </c>
      <c r="E133" s="7" t="s">
        <v>16</v>
      </c>
      <c r="F133" s="7" t="s">
        <v>31</v>
      </c>
      <c r="G133" s="7" t="str">
        <f t="shared" si="7"/>
        <v>Monday</v>
      </c>
      <c r="H133" s="7" t="str">
        <f t="shared" si="8"/>
        <v>Mar</v>
      </c>
      <c r="I133" s="8">
        <v>43530</v>
      </c>
      <c r="J133" s="8" t="str">
        <f t="shared" si="6"/>
        <v>Evening</v>
      </c>
      <c r="K133" s="9">
        <v>0.8569444444444444</v>
      </c>
      <c r="L133" s="7" t="s">
        <v>24</v>
      </c>
      <c r="M133" s="10">
        <v>27.638999999999999</v>
      </c>
      <c r="N133" s="7">
        <v>8.3000000000000007</v>
      </c>
    </row>
    <row r="134" spans="1:14" x14ac:dyDescent="0.25">
      <c r="A134" s="7" t="s">
        <v>163</v>
      </c>
      <c r="B134" s="7" t="s">
        <v>37</v>
      </c>
      <c r="C134" s="7" t="s">
        <v>38</v>
      </c>
      <c r="D134" s="7" t="s">
        <v>22</v>
      </c>
      <c r="E134" s="7" t="s">
        <v>16</v>
      </c>
      <c r="F134" s="7" t="s">
        <v>31</v>
      </c>
      <c r="G134" s="7" t="str">
        <f t="shared" si="7"/>
        <v>Friday</v>
      </c>
      <c r="H134" s="7" t="str">
        <f t="shared" si="8"/>
        <v>Feb</v>
      </c>
      <c r="I134" s="8">
        <v>43506</v>
      </c>
      <c r="J134" s="8" t="str">
        <f t="shared" si="6"/>
        <v>Evening</v>
      </c>
      <c r="K134" s="9">
        <v>0.77500000000000002</v>
      </c>
      <c r="L134" s="7" t="s">
        <v>24</v>
      </c>
      <c r="M134" s="10">
        <v>6.968</v>
      </c>
      <c r="N134" s="7">
        <v>7.4</v>
      </c>
    </row>
    <row r="135" spans="1:14" x14ac:dyDescent="0.25">
      <c r="A135" s="7" t="s">
        <v>164</v>
      </c>
      <c r="B135" s="7" t="s">
        <v>37</v>
      </c>
      <c r="C135" s="7" t="s">
        <v>38</v>
      </c>
      <c r="D135" s="7" t="s">
        <v>15</v>
      </c>
      <c r="E135" s="7" t="s">
        <v>26</v>
      </c>
      <c r="F135" s="7" t="s">
        <v>23</v>
      </c>
      <c r="G135" s="7" t="str">
        <f t="shared" si="7"/>
        <v>Saturday</v>
      </c>
      <c r="H135" s="7" t="str">
        <f t="shared" si="8"/>
        <v>Feb</v>
      </c>
      <c r="I135" s="8">
        <v>43513</v>
      </c>
      <c r="J135" s="8" t="str">
        <f t="shared" si="6"/>
        <v>Afternoon</v>
      </c>
      <c r="K135" s="9">
        <v>0.61111111111111105</v>
      </c>
      <c r="L135" s="7" t="s">
        <v>28</v>
      </c>
      <c r="M135" s="10">
        <v>26.234999999999999</v>
      </c>
      <c r="N135" s="7">
        <v>8.8000000000000007</v>
      </c>
    </row>
    <row r="136" spans="1:14" x14ac:dyDescent="0.25">
      <c r="A136" s="7" t="s">
        <v>165</v>
      </c>
      <c r="B136" s="7" t="s">
        <v>20</v>
      </c>
      <c r="C136" s="7" t="s">
        <v>21</v>
      </c>
      <c r="D136" s="7" t="s">
        <v>22</v>
      </c>
      <c r="E136" s="7" t="s">
        <v>16</v>
      </c>
      <c r="F136" s="7" t="s">
        <v>17</v>
      </c>
      <c r="G136" s="7" t="str">
        <f t="shared" si="7"/>
        <v>Monday</v>
      </c>
      <c r="H136" s="7" t="str">
        <f t="shared" si="8"/>
        <v>Mar</v>
      </c>
      <c r="I136" s="8">
        <v>43532</v>
      </c>
      <c r="J136" s="8" t="str">
        <f t="shared" si="6"/>
        <v>Evening</v>
      </c>
      <c r="K136" s="9">
        <v>0.69652777777777775</v>
      </c>
      <c r="L136" s="7" t="s">
        <v>18</v>
      </c>
      <c r="M136" s="10">
        <v>24.39</v>
      </c>
      <c r="N136" s="7">
        <v>5.3</v>
      </c>
    </row>
    <row r="137" spans="1:14" x14ac:dyDescent="0.25">
      <c r="A137" s="7" t="s">
        <v>166</v>
      </c>
      <c r="B137" s="7" t="s">
        <v>20</v>
      </c>
      <c r="C137" s="7" t="s">
        <v>21</v>
      </c>
      <c r="D137" s="7" t="s">
        <v>22</v>
      </c>
      <c r="E137" s="7" t="s">
        <v>26</v>
      </c>
      <c r="F137" s="7" t="s">
        <v>41</v>
      </c>
      <c r="G137" s="7" t="str">
        <f t="shared" si="7"/>
        <v>Saturday</v>
      </c>
      <c r="H137" s="7" t="str">
        <f t="shared" si="8"/>
        <v>Feb</v>
      </c>
      <c r="I137" s="8">
        <v>43514</v>
      </c>
      <c r="J137" s="8" t="str">
        <f t="shared" si="6"/>
        <v>Evening</v>
      </c>
      <c r="K137" s="9">
        <v>0.81874999999999998</v>
      </c>
      <c r="L137" s="7" t="s">
        <v>24</v>
      </c>
      <c r="M137" s="10">
        <v>13.532999999999999</v>
      </c>
      <c r="N137" s="7">
        <v>6.2</v>
      </c>
    </row>
    <row r="138" spans="1:14" x14ac:dyDescent="0.25">
      <c r="A138" s="7" t="s">
        <v>167</v>
      </c>
      <c r="B138" s="7" t="s">
        <v>13</v>
      </c>
      <c r="C138" s="7" t="s">
        <v>14</v>
      </c>
      <c r="D138" s="7" t="s">
        <v>22</v>
      </c>
      <c r="E138" s="7" t="s">
        <v>16</v>
      </c>
      <c r="F138" s="7" t="s">
        <v>23</v>
      </c>
      <c r="G138" s="7" t="str">
        <f t="shared" si="7"/>
        <v>Monday</v>
      </c>
      <c r="H138" s="7" t="str">
        <f t="shared" si="8"/>
        <v>Jan</v>
      </c>
      <c r="I138" s="8">
        <v>43483</v>
      </c>
      <c r="J138" s="8" t="str">
        <f t="shared" si="6"/>
        <v>Evening</v>
      </c>
      <c r="K138" s="9">
        <v>0.87430555555555556</v>
      </c>
      <c r="L138" s="7" t="s">
        <v>28</v>
      </c>
      <c r="M138" s="10">
        <v>6.5774999999999997</v>
      </c>
      <c r="N138" s="7">
        <v>8.8000000000000007</v>
      </c>
    </row>
    <row r="139" spans="1:14" x14ac:dyDescent="0.25">
      <c r="A139" s="7" t="s">
        <v>168</v>
      </c>
      <c r="B139" s="7" t="s">
        <v>13</v>
      </c>
      <c r="C139" s="7" t="s">
        <v>14</v>
      </c>
      <c r="D139" s="7" t="s">
        <v>15</v>
      </c>
      <c r="E139" s="7" t="s">
        <v>16</v>
      </c>
      <c r="F139" s="7" t="s">
        <v>27</v>
      </c>
      <c r="G139" s="7" t="str">
        <f t="shared" si="7"/>
        <v>Saturday</v>
      </c>
      <c r="H139" s="7" t="str">
        <f t="shared" si="8"/>
        <v>Feb</v>
      </c>
      <c r="I139" s="8">
        <v>43514</v>
      </c>
      <c r="J139" s="8" t="str">
        <f t="shared" si="6"/>
        <v>Afternoon</v>
      </c>
      <c r="K139" s="9">
        <v>0.65208333333333335</v>
      </c>
      <c r="L139" s="7" t="s">
        <v>24</v>
      </c>
      <c r="M139" s="10">
        <v>10.326000000000001</v>
      </c>
      <c r="N139" s="7">
        <v>9.8000000000000007</v>
      </c>
    </row>
    <row r="140" spans="1:14" x14ac:dyDescent="0.25">
      <c r="A140" s="7" t="s">
        <v>169</v>
      </c>
      <c r="B140" s="7" t="s">
        <v>37</v>
      </c>
      <c r="C140" s="7" t="s">
        <v>38</v>
      </c>
      <c r="D140" s="7" t="s">
        <v>22</v>
      </c>
      <c r="E140" s="7" t="s">
        <v>26</v>
      </c>
      <c r="F140" s="7" t="s">
        <v>31</v>
      </c>
      <c r="G140" s="7" t="str">
        <f t="shared" si="7"/>
        <v>Saturday</v>
      </c>
      <c r="H140" s="7" t="str">
        <f t="shared" si="8"/>
        <v>Feb</v>
      </c>
      <c r="I140" s="8">
        <v>43512</v>
      </c>
      <c r="J140" s="8" t="str">
        <f t="shared" si="6"/>
        <v>Afternoon</v>
      </c>
      <c r="K140" s="9">
        <v>0.51458333333333328</v>
      </c>
      <c r="L140" s="7" t="s">
        <v>24</v>
      </c>
      <c r="M140" s="10">
        <v>25.954999999999998</v>
      </c>
      <c r="N140" s="7">
        <v>8.1999999999999993</v>
      </c>
    </row>
    <row r="141" spans="1:14" x14ac:dyDescent="0.25">
      <c r="A141" s="7" t="s">
        <v>170</v>
      </c>
      <c r="B141" s="7" t="s">
        <v>13</v>
      </c>
      <c r="C141" s="7" t="s">
        <v>14</v>
      </c>
      <c r="D141" s="7" t="s">
        <v>22</v>
      </c>
      <c r="E141" s="7" t="s">
        <v>26</v>
      </c>
      <c r="F141" s="7" t="s">
        <v>31</v>
      </c>
      <c r="G141" s="7" t="str">
        <f t="shared" si="7"/>
        <v>Wednesday</v>
      </c>
      <c r="H141" s="7" t="str">
        <f t="shared" si="8"/>
        <v>Mar</v>
      </c>
      <c r="I141" s="8">
        <v>43540</v>
      </c>
      <c r="J141" s="8" t="str">
        <f t="shared" si="6"/>
        <v>Evening</v>
      </c>
      <c r="K141" s="9">
        <v>0.80902777777777779</v>
      </c>
      <c r="L141" s="7" t="s">
        <v>18</v>
      </c>
      <c r="M141" s="10">
        <v>29</v>
      </c>
      <c r="N141" s="7">
        <v>9.1999999999999993</v>
      </c>
    </row>
    <row r="142" spans="1:14" x14ac:dyDescent="0.25">
      <c r="A142" s="7" t="s">
        <v>171</v>
      </c>
      <c r="B142" s="7" t="s">
        <v>20</v>
      </c>
      <c r="C142" s="7" t="s">
        <v>21</v>
      </c>
      <c r="D142" s="7" t="s">
        <v>15</v>
      </c>
      <c r="E142" s="7" t="s">
        <v>16</v>
      </c>
      <c r="F142" s="7" t="s">
        <v>31</v>
      </c>
      <c r="G142" s="7" t="str">
        <f t="shared" si="7"/>
        <v>Tuesday</v>
      </c>
      <c r="H142" s="7" t="str">
        <f t="shared" si="8"/>
        <v>Jan</v>
      </c>
      <c r="I142" s="8">
        <v>43488</v>
      </c>
      <c r="J142" s="8" t="str">
        <f t="shared" si="6"/>
        <v>Afternoon</v>
      </c>
      <c r="K142" s="9">
        <v>0.54166666666666663</v>
      </c>
      <c r="L142" s="7" t="s">
        <v>28</v>
      </c>
      <c r="M142" s="10">
        <v>44.9</v>
      </c>
      <c r="N142" s="7">
        <v>5.4</v>
      </c>
    </row>
    <row r="143" spans="1:14" x14ac:dyDescent="0.25">
      <c r="A143" s="7" t="s">
        <v>172</v>
      </c>
      <c r="B143" s="7" t="s">
        <v>20</v>
      </c>
      <c r="C143" s="7" t="s">
        <v>21</v>
      </c>
      <c r="D143" s="7" t="s">
        <v>15</v>
      </c>
      <c r="E143" s="7" t="s">
        <v>26</v>
      </c>
      <c r="F143" s="7" t="s">
        <v>17</v>
      </c>
      <c r="G143" s="7" t="str">
        <f t="shared" si="7"/>
        <v>Tuesday</v>
      </c>
      <c r="H143" s="7" t="str">
        <f t="shared" si="8"/>
        <v>Jan</v>
      </c>
      <c r="I143" s="8">
        <v>43490</v>
      </c>
      <c r="J143" s="8" t="str">
        <f t="shared" si="6"/>
        <v>Afternoon</v>
      </c>
      <c r="K143" s="9">
        <v>0.57500000000000007</v>
      </c>
      <c r="L143" s="7" t="s">
        <v>24</v>
      </c>
      <c r="M143" s="10">
        <v>45.25</v>
      </c>
      <c r="N143" s="7">
        <v>8.1</v>
      </c>
    </row>
    <row r="144" spans="1:14" x14ac:dyDescent="0.25">
      <c r="A144" s="7" t="s">
        <v>173</v>
      </c>
      <c r="B144" s="7" t="s">
        <v>20</v>
      </c>
      <c r="C144" s="7" t="s">
        <v>21</v>
      </c>
      <c r="D144" s="7" t="s">
        <v>15</v>
      </c>
      <c r="E144" s="7" t="s">
        <v>16</v>
      </c>
      <c r="F144" s="7" t="s">
        <v>17</v>
      </c>
      <c r="G144" s="7" t="str">
        <f t="shared" si="7"/>
        <v>Thursday</v>
      </c>
      <c r="H144" s="7" t="str">
        <f t="shared" si="8"/>
        <v>Feb</v>
      </c>
      <c r="I144" s="8">
        <v>43501</v>
      </c>
      <c r="J144" s="8" t="str">
        <f t="shared" si="6"/>
        <v>Evening</v>
      </c>
      <c r="K144" s="9">
        <v>0.83124999999999993</v>
      </c>
      <c r="L144" s="7" t="s">
        <v>24</v>
      </c>
      <c r="M144" s="10">
        <v>34.299999999999997</v>
      </c>
      <c r="N144" s="7">
        <v>9.1</v>
      </c>
    </row>
    <row r="145" spans="1:14" x14ac:dyDescent="0.25">
      <c r="A145" s="7" t="s">
        <v>174</v>
      </c>
      <c r="B145" s="7" t="s">
        <v>20</v>
      </c>
      <c r="C145" s="7" t="s">
        <v>21</v>
      </c>
      <c r="D145" s="7" t="s">
        <v>15</v>
      </c>
      <c r="E145" s="7" t="s">
        <v>16</v>
      </c>
      <c r="F145" s="7" t="s">
        <v>39</v>
      </c>
      <c r="G145" s="7" t="str">
        <f t="shared" si="7"/>
        <v>Saturday</v>
      </c>
      <c r="H145" s="7" t="str">
        <f t="shared" si="8"/>
        <v>Feb</v>
      </c>
      <c r="I145" s="8">
        <v>43518</v>
      </c>
      <c r="J145" s="8" t="str">
        <f t="shared" si="6"/>
        <v>Morning</v>
      </c>
      <c r="K145" s="9">
        <v>0.44166666666666665</v>
      </c>
      <c r="L145" s="7" t="s">
        <v>28</v>
      </c>
      <c r="M145" s="10">
        <v>1.5205</v>
      </c>
      <c r="N145" s="7">
        <v>8.4</v>
      </c>
    </row>
    <row r="146" spans="1:14" x14ac:dyDescent="0.25">
      <c r="A146" s="7" t="s">
        <v>175</v>
      </c>
      <c r="B146" s="7" t="s">
        <v>13</v>
      </c>
      <c r="C146" s="7" t="s">
        <v>14</v>
      </c>
      <c r="D146" s="7" t="s">
        <v>22</v>
      </c>
      <c r="E146" s="7" t="s">
        <v>16</v>
      </c>
      <c r="F146" s="7" t="s">
        <v>27</v>
      </c>
      <c r="G146" s="7" t="str">
        <f t="shared" si="7"/>
        <v>Tuesday</v>
      </c>
      <c r="H146" s="7" t="str">
        <f t="shared" si="8"/>
        <v>Jan</v>
      </c>
      <c r="I146" s="8">
        <v>43486</v>
      </c>
      <c r="J146" s="8" t="str">
        <f t="shared" si="6"/>
        <v>Evening</v>
      </c>
      <c r="K146" s="9">
        <v>0.69236111111111109</v>
      </c>
      <c r="L146" s="7" t="s">
        <v>18</v>
      </c>
      <c r="M146" s="10">
        <v>23.385000000000002</v>
      </c>
      <c r="N146" s="7">
        <v>8</v>
      </c>
    </row>
    <row r="147" spans="1:14" x14ac:dyDescent="0.25">
      <c r="A147" s="7" t="s">
        <v>176</v>
      </c>
      <c r="B147" s="7" t="s">
        <v>20</v>
      </c>
      <c r="C147" s="7" t="s">
        <v>21</v>
      </c>
      <c r="D147" s="7" t="s">
        <v>22</v>
      </c>
      <c r="E147" s="7" t="s">
        <v>16</v>
      </c>
      <c r="F147" s="7" t="s">
        <v>17</v>
      </c>
      <c r="G147" s="7" t="str">
        <f t="shared" si="7"/>
        <v>Monday</v>
      </c>
      <c r="H147" s="7" t="str">
        <f t="shared" si="8"/>
        <v>Mar</v>
      </c>
      <c r="I147" s="8">
        <v>43532</v>
      </c>
      <c r="J147" s="8" t="str">
        <f t="shared" si="6"/>
        <v>Evening</v>
      </c>
      <c r="K147" s="9">
        <v>0.71597222222222223</v>
      </c>
      <c r="L147" s="7" t="s">
        <v>28</v>
      </c>
      <c r="M147" s="10">
        <v>13.878</v>
      </c>
      <c r="N147" s="7">
        <v>9.5</v>
      </c>
    </row>
    <row r="148" spans="1:14" x14ac:dyDescent="0.25">
      <c r="A148" s="7" t="s">
        <v>177</v>
      </c>
      <c r="B148" s="7" t="s">
        <v>13</v>
      </c>
      <c r="C148" s="7" t="s">
        <v>14</v>
      </c>
      <c r="D148" s="7" t="s">
        <v>15</v>
      </c>
      <c r="E148" s="7" t="s">
        <v>16</v>
      </c>
      <c r="F148" s="7" t="s">
        <v>41</v>
      </c>
      <c r="G148" s="7" t="str">
        <f t="shared" si="7"/>
        <v>Friday</v>
      </c>
      <c r="H148" s="7" t="str">
        <f t="shared" si="8"/>
        <v>Feb</v>
      </c>
      <c r="I148" s="8">
        <v>43506</v>
      </c>
      <c r="J148" s="8" t="str">
        <f t="shared" si="6"/>
        <v>Afternoon</v>
      </c>
      <c r="K148" s="9">
        <v>0.51944444444444449</v>
      </c>
      <c r="L148" s="7" t="s">
        <v>18</v>
      </c>
      <c r="M148" s="10">
        <v>15.07</v>
      </c>
      <c r="N148" s="7">
        <v>9.1999999999999993</v>
      </c>
    </row>
    <row r="149" spans="1:14" x14ac:dyDescent="0.25">
      <c r="A149" s="7" t="s">
        <v>178</v>
      </c>
      <c r="B149" s="7" t="s">
        <v>20</v>
      </c>
      <c r="C149" s="7" t="s">
        <v>21</v>
      </c>
      <c r="D149" s="7" t="s">
        <v>22</v>
      </c>
      <c r="E149" s="7" t="s">
        <v>26</v>
      </c>
      <c r="F149" s="7" t="s">
        <v>17</v>
      </c>
      <c r="G149" s="7" t="str">
        <f t="shared" si="7"/>
        <v>Wednesday</v>
      </c>
      <c r="H149" s="7" t="str">
        <f t="shared" si="8"/>
        <v>Mar</v>
      </c>
      <c r="I149" s="8">
        <v>43543</v>
      </c>
      <c r="J149" s="8" t="str">
        <f t="shared" si="6"/>
        <v>Afternoon</v>
      </c>
      <c r="K149" s="9">
        <v>0.53194444444444444</v>
      </c>
      <c r="L149" s="7" t="s">
        <v>28</v>
      </c>
      <c r="M149" s="10">
        <v>13.228</v>
      </c>
      <c r="N149" s="7">
        <v>5.6</v>
      </c>
    </row>
    <row r="150" spans="1:14" x14ac:dyDescent="0.25">
      <c r="A150" s="7" t="s">
        <v>179</v>
      </c>
      <c r="B150" s="7" t="s">
        <v>37</v>
      </c>
      <c r="C150" s="7" t="s">
        <v>38</v>
      </c>
      <c r="D150" s="7" t="s">
        <v>15</v>
      </c>
      <c r="E150" s="7" t="s">
        <v>26</v>
      </c>
      <c r="F150" s="7" t="s">
        <v>27</v>
      </c>
      <c r="G150" s="7" t="str">
        <f t="shared" si="7"/>
        <v>Monday</v>
      </c>
      <c r="H150" s="7" t="str">
        <f t="shared" si="8"/>
        <v>Mar</v>
      </c>
      <c r="I150" s="8">
        <v>43530</v>
      </c>
      <c r="J150" s="8" t="str">
        <f t="shared" si="6"/>
        <v>Afternoon</v>
      </c>
      <c r="K150" s="9">
        <v>0.62986111111111109</v>
      </c>
      <c r="L150" s="7" t="s">
        <v>28</v>
      </c>
      <c r="M150" s="10">
        <v>28.744</v>
      </c>
      <c r="N150" s="7">
        <v>6.2</v>
      </c>
    </row>
    <row r="151" spans="1:14" x14ac:dyDescent="0.25">
      <c r="A151" s="7" t="s">
        <v>180</v>
      </c>
      <c r="B151" s="7" t="s">
        <v>13</v>
      </c>
      <c r="C151" s="7" t="s">
        <v>14</v>
      </c>
      <c r="D151" s="7" t="s">
        <v>22</v>
      </c>
      <c r="E151" s="7" t="s">
        <v>26</v>
      </c>
      <c r="F151" s="7" t="s">
        <v>17</v>
      </c>
      <c r="G151" s="7" t="str">
        <f t="shared" si="7"/>
        <v>Thursday</v>
      </c>
      <c r="H151" s="7" t="str">
        <f t="shared" si="8"/>
        <v>Mar</v>
      </c>
      <c r="I151" s="8">
        <v>43551</v>
      </c>
      <c r="J151" s="8" t="str">
        <f t="shared" si="6"/>
        <v>Afternoon</v>
      </c>
      <c r="K151" s="9">
        <v>0.57500000000000007</v>
      </c>
      <c r="L151" s="7" t="s">
        <v>28</v>
      </c>
      <c r="M151" s="10">
        <v>12.984</v>
      </c>
      <c r="N151" s="7">
        <v>4.9000000000000004</v>
      </c>
    </row>
    <row r="152" spans="1:14" x14ac:dyDescent="0.25">
      <c r="A152" s="7" t="s">
        <v>181</v>
      </c>
      <c r="B152" s="7" t="s">
        <v>37</v>
      </c>
      <c r="C152" s="7" t="s">
        <v>38</v>
      </c>
      <c r="D152" s="7" t="s">
        <v>15</v>
      </c>
      <c r="E152" s="7" t="s">
        <v>16</v>
      </c>
      <c r="F152" s="7" t="s">
        <v>41</v>
      </c>
      <c r="G152" s="7" t="str">
        <f t="shared" si="7"/>
        <v>Thursday</v>
      </c>
      <c r="H152" s="7" t="str">
        <f t="shared" si="8"/>
        <v>Mar</v>
      </c>
      <c r="I152" s="8">
        <v>43547</v>
      </c>
      <c r="J152" s="8" t="str">
        <f t="shared" si="6"/>
        <v>Evening</v>
      </c>
      <c r="K152" s="9">
        <v>0.80555555555555547</v>
      </c>
      <c r="L152" s="7" t="s">
        <v>28</v>
      </c>
      <c r="M152" s="10">
        <v>18.308</v>
      </c>
      <c r="N152" s="7">
        <v>4.8</v>
      </c>
    </row>
    <row r="153" spans="1:14" x14ac:dyDescent="0.25">
      <c r="A153" s="7" t="s">
        <v>182</v>
      </c>
      <c r="B153" s="7" t="s">
        <v>20</v>
      </c>
      <c r="C153" s="7" t="s">
        <v>21</v>
      </c>
      <c r="D153" s="7" t="s">
        <v>15</v>
      </c>
      <c r="E153" s="7" t="s">
        <v>26</v>
      </c>
      <c r="F153" s="7" t="s">
        <v>31</v>
      </c>
      <c r="G153" s="7" t="str">
        <f t="shared" si="7"/>
        <v>Tuesday</v>
      </c>
      <c r="H153" s="7" t="str">
        <f t="shared" si="8"/>
        <v>Mar</v>
      </c>
      <c r="I153" s="8">
        <v>43535</v>
      </c>
      <c r="J153" s="8" t="str">
        <f t="shared" si="6"/>
        <v>Evening</v>
      </c>
      <c r="K153" s="9">
        <v>0.67152777777777783</v>
      </c>
      <c r="L153" s="7" t="s">
        <v>28</v>
      </c>
      <c r="M153" s="10">
        <v>12.096</v>
      </c>
      <c r="N153" s="7">
        <v>7.3</v>
      </c>
    </row>
    <row r="154" spans="1:14" x14ac:dyDescent="0.25">
      <c r="A154" s="7" t="s">
        <v>183</v>
      </c>
      <c r="B154" s="7" t="s">
        <v>13</v>
      </c>
      <c r="C154" s="7" t="s">
        <v>14</v>
      </c>
      <c r="D154" s="7" t="s">
        <v>22</v>
      </c>
      <c r="E154" s="7" t="s">
        <v>26</v>
      </c>
      <c r="F154" s="7" t="s">
        <v>41</v>
      </c>
      <c r="G154" s="7" t="str">
        <f t="shared" si="7"/>
        <v>Wednesday</v>
      </c>
      <c r="H154" s="7" t="str">
        <f t="shared" si="8"/>
        <v>Jan</v>
      </c>
      <c r="I154" s="8">
        <v>43494</v>
      </c>
      <c r="J154" s="8" t="str">
        <f t="shared" si="6"/>
        <v>Morning</v>
      </c>
      <c r="K154" s="9">
        <v>0.49722222222222223</v>
      </c>
      <c r="L154" s="7" t="s">
        <v>28</v>
      </c>
      <c r="M154" s="10">
        <v>37.457999999999998</v>
      </c>
      <c r="N154" s="7">
        <v>7.4</v>
      </c>
    </row>
    <row r="155" spans="1:14" x14ac:dyDescent="0.25">
      <c r="A155" s="7" t="s">
        <v>184</v>
      </c>
      <c r="B155" s="7" t="s">
        <v>20</v>
      </c>
      <c r="C155" s="7" t="s">
        <v>21</v>
      </c>
      <c r="D155" s="7" t="s">
        <v>22</v>
      </c>
      <c r="E155" s="7" t="s">
        <v>16</v>
      </c>
      <c r="F155" s="7" t="s">
        <v>39</v>
      </c>
      <c r="G155" s="7" t="str">
        <f t="shared" si="7"/>
        <v>Thursday</v>
      </c>
      <c r="H155" s="7" t="str">
        <f t="shared" si="8"/>
        <v>Feb</v>
      </c>
      <c r="I155" s="8">
        <v>43503</v>
      </c>
      <c r="J155" s="8" t="str">
        <f t="shared" si="6"/>
        <v>Evening</v>
      </c>
      <c r="K155" s="9">
        <v>0.76597222222222217</v>
      </c>
      <c r="L155" s="7" t="s">
        <v>18</v>
      </c>
      <c r="M155" s="10">
        <v>4.944</v>
      </c>
      <c r="N155" s="7">
        <v>9.9</v>
      </c>
    </row>
    <row r="156" spans="1:14" x14ac:dyDescent="0.25">
      <c r="A156" s="7" t="s">
        <v>185</v>
      </c>
      <c r="B156" s="7" t="s">
        <v>20</v>
      </c>
      <c r="C156" s="7" t="s">
        <v>21</v>
      </c>
      <c r="D156" s="7" t="s">
        <v>22</v>
      </c>
      <c r="E156" s="7" t="s">
        <v>16</v>
      </c>
      <c r="F156" s="7" t="s">
        <v>31</v>
      </c>
      <c r="G156" s="7" t="str">
        <f t="shared" si="7"/>
        <v>Wednesday</v>
      </c>
      <c r="H156" s="7" t="str">
        <f t="shared" si="8"/>
        <v>Jan</v>
      </c>
      <c r="I156" s="8">
        <v>43493</v>
      </c>
      <c r="J156" s="8" t="str">
        <f t="shared" si="6"/>
        <v>Afternoon</v>
      </c>
      <c r="K156" s="9">
        <v>0.54513888888888895</v>
      </c>
      <c r="L156" s="7" t="s">
        <v>24</v>
      </c>
      <c r="M156" s="10">
        <v>32.387999999999998</v>
      </c>
      <c r="N156" s="7">
        <v>9.3000000000000007</v>
      </c>
    </row>
    <row r="157" spans="1:14" x14ac:dyDescent="0.25">
      <c r="A157" s="7" t="s">
        <v>186</v>
      </c>
      <c r="B157" s="7" t="s">
        <v>13</v>
      </c>
      <c r="C157" s="7" t="s">
        <v>14</v>
      </c>
      <c r="D157" s="7" t="s">
        <v>15</v>
      </c>
      <c r="E157" s="7" t="s">
        <v>26</v>
      </c>
      <c r="F157" s="7" t="s">
        <v>39</v>
      </c>
      <c r="G157" s="7" t="str">
        <f t="shared" si="7"/>
        <v>Saturday</v>
      </c>
      <c r="H157" s="7" t="str">
        <f t="shared" si="8"/>
        <v>Feb</v>
      </c>
      <c r="I157" s="8">
        <v>43516</v>
      </c>
      <c r="J157" s="8" t="str">
        <f t="shared" si="6"/>
        <v>Afternoon</v>
      </c>
      <c r="K157" s="9">
        <v>0.66319444444444442</v>
      </c>
      <c r="L157" s="7" t="s">
        <v>28</v>
      </c>
      <c r="M157" s="10">
        <v>23.072500000000002</v>
      </c>
      <c r="N157" s="7">
        <v>9</v>
      </c>
    </row>
    <row r="158" spans="1:14" x14ac:dyDescent="0.25">
      <c r="A158" s="7" t="s">
        <v>187</v>
      </c>
      <c r="B158" s="7" t="s">
        <v>37</v>
      </c>
      <c r="C158" s="7" t="s">
        <v>38</v>
      </c>
      <c r="D158" s="7" t="s">
        <v>15</v>
      </c>
      <c r="E158" s="7" t="s">
        <v>26</v>
      </c>
      <c r="F158" s="7" t="s">
        <v>23</v>
      </c>
      <c r="G158" s="7" t="str">
        <f t="shared" si="7"/>
        <v>Saturday</v>
      </c>
      <c r="H158" s="7" t="str">
        <f t="shared" si="8"/>
        <v>Jan</v>
      </c>
      <c r="I158" s="8">
        <v>43469</v>
      </c>
      <c r="J158" s="8" t="str">
        <f t="shared" si="6"/>
        <v>Evening</v>
      </c>
      <c r="K158" s="9">
        <v>0.81944444444444453</v>
      </c>
      <c r="L158" s="7" t="s">
        <v>24</v>
      </c>
      <c r="M158" s="10">
        <v>3.6084999999999998</v>
      </c>
      <c r="N158" s="7">
        <v>6.1</v>
      </c>
    </row>
    <row r="159" spans="1:14" x14ac:dyDescent="0.25">
      <c r="A159" s="7" t="s">
        <v>188</v>
      </c>
      <c r="B159" s="7" t="s">
        <v>37</v>
      </c>
      <c r="C159" s="7" t="s">
        <v>38</v>
      </c>
      <c r="D159" s="7" t="s">
        <v>22</v>
      </c>
      <c r="E159" s="7" t="s">
        <v>26</v>
      </c>
      <c r="F159" s="7" t="s">
        <v>27</v>
      </c>
      <c r="G159" s="7" t="str">
        <f t="shared" si="7"/>
        <v>Monday</v>
      </c>
      <c r="H159" s="7" t="str">
        <f t="shared" si="8"/>
        <v>Mar</v>
      </c>
      <c r="I159" s="8">
        <v>43531</v>
      </c>
      <c r="J159" s="8" t="str">
        <f t="shared" si="6"/>
        <v>Afternoon</v>
      </c>
      <c r="K159" s="9">
        <v>0.58194444444444449</v>
      </c>
      <c r="L159" s="7" t="s">
        <v>18</v>
      </c>
      <c r="M159" s="10">
        <v>12.57</v>
      </c>
      <c r="N159" s="7">
        <v>9.6999999999999993</v>
      </c>
    </row>
    <row r="160" spans="1:14" x14ac:dyDescent="0.25">
      <c r="A160" s="7" t="s">
        <v>189</v>
      </c>
      <c r="B160" s="7" t="s">
        <v>37</v>
      </c>
      <c r="C160" s="7" t="s">
        <v>38</v>
      </c>
      <c r="D160" s="7" t="s">
        <v>15</v>
      </c>
      <c r="E160" s="7" t="s">
        <v>26</v>
      </c>
      <c r="F160" s="7" t="s">
        <v>17</v>
      </c>
      <c r="G160" s="7" t="str">
        <f t="shared" si="7"/>
        <v>Friday</v>
      </c>
      <c r="H160" s="7" t="str">
        <f t="shared" si="8"/>
        <v>Mar</v>
      </c>
      <c r="I160" s="8">
        <v>43554</v>
      </c>
      <c r="J160" s="8" t="str">
        <f t="shared" si="6"/>
        <v>Afternoon</v>
      </c>
      <c r="K160" s="9">
        <v>0.61319444444444449</v>
      </c>
      <c r="L160" s="7" t="s">
        <v>18</v>
      </c>
      <c r="M160" s="10">
        <v>43.749000000000002</v>
      </c>
      <c r="N160" s="7">
        <v>6</v>
      </c>
    </row>
    <row r="161" spans="1:14" x14ac:dyDescent="0.25">
      <c r="A161" s="7" t="s">
        <v>190</v>
      </c>
      <c r="B161" s="7" t="s">
        <v>37</v>
      </c>
      <c r="C161" s="7" t="s">
        <v>38</v>
      </c>
      <c r="D161" s="7" t="s">
        <v>22</v>
      </c>
      <c r="E161" s="7" t="s">
        <v>26</v>
      </c>
      <c r="F161" s="7" t="s">
        <v>31</v>
      </c>
      <c r="G161" s="7" t="str">
        <f t="shared" si="7"/>
        <v>Thursday</v>
      </c>
      <c r="H161" s="7" t="str">
        <f t="shared" si="8"/>
        <v>Mar</v>
      </c>
      <c r="I161" s="8">
        <v>43551</v>
      </c>
      <c r="J161" s="8" t="str">
        <f t="shared" si="6"/>
        <v>Evening</v>
      </c>
      <c r="K161" s="9">
        <v>0.8041666666666667</v>
      </c>
      <c r="L161" s="7" t="s">
        <v>18</v>
      </c>
      <c r="M161" s="10">
        <v>28.016999999999999</v>
      </c>
      <c r="N161" s="7">
        <v>10</v>
      </c>
    </row>
    <row r="162" spans="1:14" x14ac:dyDescent="0.25">
      <c r="A162" s="7" t="s">
        <v>191</v>
      </c>
      <c r="B162" s="7" t="s">
        <v>20</v>
      </c>
      <c r="C162" s="7" t="s">
        <v>21</v>
      </c>
      <c r="D162" s="7" t="s">
        <v>22</v>
      </c>
      <c r="E162" s="7" t="s">
        <v>16</v>
      </c>
      <c r="F162" s="7" t="s">
        <v>39</v>
      </c>
      <c r="G162" s="7" t="str">
        <f t="shared" si="7"/>
        <v>Tuesday</v>
      </c>
      <c r="H162" s="7" t="str">
        <f t="shared" si="8"/>
        <v>Jan</v>
      </c>
      <c r="I162" s="8">
        <v>43484</v>
      </c>
      <c r="J162" s="8" t="str">
        <f t="shared" si="6"/>
        <v>Evening</v>
      </c>
      <c r="K162" s="9">
        <v>0.81874999999999998</v>
      </c>
      <c r="L162" s="7" t="s">
        <v>28</v>
      </c>
      <c r="M162" s="10">
        <v>17.271999999999998</v>
      </c>
      <c r="N162" s="7">
        <v>8.3000000000000007</v>
      </c>
    </row>
    <row r="163" spans="1:14" x14ac:dyDescent="0.25">
      <c r="A163" s="7" t="s">
        <v>192</v>
      </c>
      <c r="B163" s="7" t="s">
        <v>13</v>
      </c>
      <c r="C163" s="7" t="s">
        <v>14</v>
      </c>
      <c r="D163" s="7" t="s">
        <v>22</v>
      </c>
      <c r="E163" s="7" t="s">
        <v>26</v>
      </c>
      <c r="F163" s="7" t="s">
        <v>31</v>
      </c>
      <c r="G163" s="7" t="str">
        <f t="shared" si="7"/>
        <v>Sunday</v>
      </c>
      <c r="H163" s="7" t="str">
        <f t="shared" si="8"/>
        <v>Feb</v>
      </c>
      <c r="I163" s="8">
        <v>43521</v>
      </c>
      <c r="J163" s="8" t="str">
        <f t="shared" si="6"/>
        <v>Evening</v>
      </c>
      <c r="K163" s="9">
        <v>0.68125000000000002</v>
      </c>
      <c r="L163" s="7" t="s">
        <v>24</v>
      </c>
      <c r="M163" s="10">
        <v>3.1844999999999999</v>
      </c>
      <c r="N163" s="7">
        <v>6</v>
      </c>
    </row>
    <row r="164" spans="1:14" x14ac:dyDescent="0.25">
      <c r="A164" s="7" t="s">
        <v>193</v>
      </c>
      <c r="B164" s="7" t="s">
        <v>13</v>
      </c>
      <c r="C164" s="7" t="s">
        <v>14</v>
      </c>
      <c r="D164" s="7" t="s">
        <v>22</v>
      </c>
      <c r="E164" s="7" t="s">
        <v>26</v>
      </c>
      <c r="F164" s="7" t="s">
        <v>39</v>
      </c>
      <c r="G164" s="7" t="str">
        <f t="shared" si="7"/>
        <v>Tuesday</v>
      </c>
      <c r="H164" s="7" t="str">
        <f t="shared" si="8"/>
        <v>Mar</v>
      </c>
      <c r="I164" s="8">
        <v>43537</v>
      </c>
      <c r="J164" s="8" t="str">
        <f t="shared" si="6"/>
        <v>Evening</v>
      </c>
      <c r="K164" s="9">
        <v>0.8222222222222223</v>
      </c>
      <c r="L164" s="7" t="s">
        <v>28</v>
      </c>
      <c r="M164" s="10">
        <v>16.026499999999999</v>
      </c>
      <c r="N164" s="7">
        <v>7</v>
      </c>
    </row>
    <row r="165" spans="1:14" x14ac:dyDescent="0.25">
      <c r="A165" s="7" t="s">
        <v>194</v>
      </c>
      <c r="B165" s="7" t="s">
        <v>20</v>
      </c>
      <c r="C165" s="7" t="s">
        <v>21</v>
      </c>
      <c r="D165" s="7" t="s">
        <v>22</v>
      </c>
      <c r="E165" s="7" t="s">
        <v>26</v>
      </c>
      <c r="F165" s="7" t="s">
        <v>31</v>
      </c>
      <c r="G165" s="7" t="str">
        <f t="shared" si="7"/>
        <v>Wednesday</v>
      </c>
      <c r="H165" s="7" t="str">
        <f t="shared" si="8"/>
        <v>Jan</v>
      </c>
      <c r="I165" s="8">
        <v>43495</v>
      </c>
      <c r="J165" s="8" t="str">
        <f t="shared" si="6"/>
        <v>Evening</v>
      </c>
      <c r="K165" s="9">
        <v>0.8208333333333333</v>
      </c>
      <c r="L165" s="7" t="s">
        <v>18</v>
      </c>
      <c r="M165" s="10">
        <v>7.64</v>
      </c>
      <c r="N165" s="7">
        <v>6.5</v>
      </c>
    </row>
    <row r="166" spans="1:14" x14ac:dyDescent="0.25">
      <c r="A166" s="7" t="s">
        <v>195</v>
      </c>
      <c r="B166" s="7" t="s">
        <v>37</v>
      </c>
      <c r="C166" s="7" t="s">
        <v>38</v>
      </c>
      <c r="D166" s="7" t="s">
        <v>22</v>
      </c>
      <c r="E166" s="7" t="s">
        <v>26</v>
      </c>
      <c r="F166" s="7" t="s">
        <v>39</v>
      </c>
      <c r="G166" s="7" t="str">
        <f t="shared" si="7"/>
        <v>Saturday</v>
      </c>
      <c r="H166" s="7" t="str">
        <f t="shared" si="8"/>
        <v>Feb</v>
      </c>
      <c r="I166" s="8">
        <v>43516</v>
      </c>
      <c r="J166" s="8" t="str">
        <f t="shared" si="6"/>
        <v>Afternoon</v>
      </c>
      <c r="K166" s="9">
        <v>0.64166666666666672</v>
      </c>
      <c r="L166" s="7" t="s">
        <v>28</v>
      </c>
      <c r="M166" s="10">
        <v>19.95</v>
      </c>
      <c r="N166" s="7">
        <v>5.9</v>
      </c>
    </row>
    <row r="167" spans="1:14" x14ac:dyDescent="0.25">
      <c r="A167" s="7" t="s">
        <v>196</v>
      </c>
      <c r="B167" s="7" t="s">
        <v>37</v>
      </c>
      <c r="C167" s="7" t="s">
        <v>38</v>
      </c>
      <c r="D167" s="7" t="s">
        <v>15</v>
      </c>
      <c r="E167" s="7" t="s">
        <v>26</v>
      </c>
      <c r="F167" s="7" t="s">
        <v>17</v>
      </c>
      <c r="G167" s="7" t="str">
        <f t="shared" si="7"/>
        <v>Sunday</v>
      </c>
      <c r="H167" s="7" t="str">
        <f t="shared" si="8"/>
        <v>Feb</v>
      </c>
      <c r="I167" s="8">
        <v>43521</v>
      </c>
      <c r="J167" s="8" t="str">
        <f t="shared" si="6"/>
        <v>Afternoon</v>
      </c>
      <c r="K167" s="9">
        <v>0.59166666666666667</v>
      </c>
      <c r="L167" s="7" t="s">
        <v>18</v>
      </c>
      <c r="M167" s="10">
        <v>17.027999999999999</v>
      </c>
      <c r="N167" s="7">
        <v>5.6</v>
      </c>
    </row>
    <row r="168" spans="1:14" x14ac:dyDescent="0.25">
      <c r="A168" s="7" t="s">
        <v>197</v>
      </c>
      <c r="B168" s="7" t="s">
        <v>20</v>
      </c>
      <c r="C168" s="7" t="s">
        <v>21</v>
      </c>
      <c r="D168" s="7" t="s">
        <v>22</v>
      </c>
      <c r="E168" s="7" t="s">
        <v>26</v>
      </c>
      <c r="F168" s="7" t="s">
        <v>27</v>
      </c>
      <c r="G168" s="7" t="str">
        <f t="shared" si="7"/>
        <v>Monday</v>
      </c>
      <c r="H168" s="7" t="str">
        <f t="shared" si="8"/>
        <v>Jan</v>
      </c>
      <c r="I168" s="8">
        <v>43481</v>
      </c>
      <c r="J168" s="8" t="str">
        <f t="shared" si="6"/>
        <v>Afternoon</v>
      </c>
      <c r="K168" s="9">
        <v>0.56388888888888888</v>
      </c>
      <c r="L168" s="7" t="s">
        <v>24</v>
      </c>
      <c r="M168" s="10">
        <v>47.79</v>
      </c>
      <c r="N168" s="7">
        <v>4.8</v>
      </c>
    </row>
    <row r="169" spans="1:14" x14ac:dyDescent="0.25">
      <c r="A169" s="7" t="s">
        <v>198</v>
      </c>
      <c r="B169" s="7" t="s">
        <v>13</v>
      </c>
      <c r="C169" s="7" t="s">
        <v>14</v>
      </c>
      <c r="D169" s="7" t="s">
        <v>22</v>
      </c>
      <c r="E169" s="7" t="s">
        <v>26</v>
      </c>
      <c r="F169" s="7" t="s">
        <v>41</v>
      </c>
      <c r="G169" s="7" t="str">
        <f t="shared" si="7"/>
        <v>Thursday</v>
      </c>
      <c r="H169" s="7" t="str">
        <f t="shared" si="8"/>
        <v>Feb</v>
      </c>
      <c r="I169" s="8">
        <v>43504</v>
      </c>
      <c r="J169" s="8" t="str">
        <f t="shared" si="6"/>
        <v>Evening</v>
      </c>
      <c r="K169" s="9">
        <v>0.68055555555555547</v>
      </c>
      <c r="L169" s="7" t="s">
        <v>28</v>
      </c>
      <c r="M169" s="10">
        <v>49.49</v>
      </c>
      <c r="N169" s="7">
        <v>8.6999999999999993</v>
      </c>
    </row>
    <row r="170" spans="1:14" x14ac:dyDescent="0.25">
      <c r="A170" s="7" t="s">
        <v>199</v>
      </c>
      <c r="B170" s="7" t="s">
        <v>13</v>
      </c>
      <c r="C170" s="7" t="s">
        <v>14</v>
      </c>
      <c r="D170" s="7" t="s">
        <v>22</v>
      </c>
      <c r="E170" s="7" t="s">
        <v>26</v>
      </c>
      <c r="F170" s="7" t="s">
        <v>39</v>
      </c>
      <c r="G170" s="7" t="str">
        <f t="shared" si="7"/>
        <v>Tuesday</v>
      </c>
      <c r="H170" s="7" t="str">
        <f t="shared" si="8"/>
        <v>Jan</v>
      </c>
      <c r="I170" s="8">
        <v>43484</v>
      </c>
      <c r="J170" s="8" t="str">
        <f t="shared" si="6"/>
        <v>Evening</v>
      </c>
      <c r="K170" s="9">
        <v>0.68819444444444444</v>
      </c>
      <c r="L170" s="7" t="s">
        <v>24</v>
      </c>
      <c r="M170" s="10">
        <v>15.384</v>
      </c>
      <c r="N170" s="7">
        <v>6.5</v>
      </c>
    </row>
    <row r="171" spans="1:14" x14ac:dyDescent="0.25">
      <c r="A171" s="7" t="s">
        <v>200</v>
      </c>
      <c r="B171" s="7" t="s">
        <v>13</v>
      </c>
      <c r="C171" s="7" t="s">
        <v>14</v>
      </c>
      <c r="D171" s="7" t="s">
        <v>15</v>
      </c>
      <c r="E171" s="7" t="s">
        <v>26</v>
      </c>
      <c r="F171" s="7" t="s">
        <v>31</v>
      </c>
      <c r="G171" s="7" t="str">
        <f t="shared" si="7"/>
        <v>Wednesday</v>
      </c>
      <c r="H171" s="7" t="str">
        <f t="shared" si="8"/>
        <v>Feb</v>
      </c>
      <c r="I171" s="8">
        <v>43497</v>
      </c>
      <c r="J171" s="8" t="str">
        <f t="shared" si="6"/>
        <v>Afternoon</v>
      </c>
      <c r="K171" s="9">
        <v>0.63194444444444442</v>
      </c>
      <c r="L171" s="7" t="s">
        <v>28</v>
      </c>
      <c r="M171" s="10">
        <v>24.332000000000001</v>
      </c>
      <c r="N171" s="7">
        <v>8.5</v>
      </c>
    </row>
    <row r="172" spans="1:14" x14ac:dyDescent="0.25">
      <c r="A172" s="7" t="s">
        <v>201</v>
      </c>
      <c r="B172" s="7" t="s">
        <v>13</v>
      </c>
      <c r="C172" s="7" t="s">
        <v>14</v>
      </c>
      <c r="D172" s="7" t="s">
        <v>22</v>
      </c>
      <c r="E172" s="7" t="s">
        <v>26</v>
      </c>
      <c r="F172" s="7" t="s">
        <v>17</v>
      </c>
      <c r="G172" s="7" t="str">
        <f t="shared" si="7"/>
        <v>Saturday</v>
      </c>
      <c r="H172" s="7" t="str">
        <f t="shared" si="8"/>
        <v>Jan</v>
      </c>
      <c r="I172" s="8">
        <v>43468</v>
      </c>
      <c r="J172" s="8" t="str">
        <f t="shared" si="6"/>
        <v>Morning</v>
      </c>
      <c r="K172" s="9">
        <v>0.48333333333333334</v>
      </c>
      <c r="L172" s="7" t="s">
        <v>18</v>
      </c>
      <c r="M172" s="10">
        <v>17.502500000000001</v>
      </c>
      <c r="N172" s="7">
        <v>5.5</v>
      </c>
    </row>
    <row r="173" spans="1:14" x14ac:dyDescent="0.25">
      <c r="A173" s="7" t="s">
        <v>202</v>
      </c>
      <c r="B173" s="7" t="s">
        <v>37</v>
      </c>
      <c r="C173" s="7" t="s">
        <v>38</v>
      </c>
      <c r="D173" s="7" t="s">
        <v>15</v>
      </c>
      <c r="E173" s="7" t="s">
        <v>26</v>
      </c>
      <c r="F173" s="7" t="s">
        <v>39</v>
      </c>
      <c r="G173" s="7" t="str">
        <f t="shared" si="7"/>
        <v>Wednesday</v>
      </c>
      <c r="H173" s="7" t="str">
        <f t="shared" si="8"/>
        <v>Jan</v>
      </c>
      <c r="I173" s="8">
        <v>43491</v>
      </c>
      <c r="J173" s="8" t="str">
        <f t="shared" si="6"/>
        <v>Afternoon</v>
      </c>
      <c r="K173" s="9">
        <v>0.53125</v>
      </c>
      <c r="L173" s="7" t="s">
        <v>28</v>
      </c>
      <c r="M173" s="10">
        <v>20.012499999999999</v>
      </c>
      <c r="N173" s="7">
        <v>9.4</v>
      </c>
    </row>
    <row r="174" spans="1:14" x14ac:dyDescent="0.25">
      <c r="A174" s="7" t="s">
        <v>203</v>
      </c>
      <c r="B174" s="7" t="s">
        <v>20</v>
      </c>
      <c r="C174" s="7" t="s">
        <v>21</v>
      </c>
      <c r="D174" s="7" t="s">
        <v>22</v>
      </c>
      <c r="E174" s="7" t="s">
        <v>26</v>
      </c>
      <c r="F174" s="7" t="s">
        <v>23</v>
      </c>
      <c r="G174" s="7" t="str">
        <f t="shared" si="7"/>
        <v>Monday</v>
      </c>
      <c r="H174" s="7" t="str">
        <f t="shared" si="8"/>
        <v>Mar</v>
      </c>
      <c r="I174" s="8">
        <v>43527</v>
      </c>
      <c r="J174" s="8" t="str">
        <f t="shared" si="6"/>
        <v>Evening</v>
      </c>
      <c r="K174" s="9">
        <v>0.80347222222222225</v>
      </c>
      <c r="L174" s="7" t="s">
        <v>24</v>
      </c>
      <c r="M174" s="10">
        <v>8.34</v>
      </c>
      <c r="N174" s="7">
        <v>6.3</v>
      </c>
    </row>
    <row r="175" spans="1:14" x14ac:dyDescent="0.25">
      <c r="A175" s="7" t="s">
        <v>204</v>
      </c>
      <c r="B175" s="7" t="s">
        <v>37</v>
      </c>
      <c r="C175" s="7" t="s">
        <v>38</v>
      </c>
      <c r="D175" s="7" t="s">
        <v>15</v>
      </c>
      <c r="E175" s="7" t="s">
        <v>26</v>
      </c>
      <c r="F175" s="7" t="s">
        <v>23</v>
      </c>
      <c r="G175" s="7" t="str">
        <f t="shared" si="7"/>
        <v>Tuesday</v>
      </c>
      <c r="H175" s="7" t="str">
        <f t="shared" si="8"/>
        <v>Jan</v>
      </c>
      <c r="I175" s="8">
        <v>43484</v>
      </c>
      <c r="J175" s="8" t="str">
        <f t="shared" si="6"/>
        <v>Evening</v>
      </c>
      <c r="K175" s="9">
        <v>0.7319444444444444</v>
      </c>
      <c r="L175" s="7" t="s">
        <v>28</v>
      </c>
      <c r="M175" s="10">
        <v>15.867000000000001</v>
      </c>
      <c r="N175" s="7">
        <v>9.8000000000000007</v>
      </c>
    </row>
    <row r="176" spans="1:14" x14ac:dyDescent="0.25">
      <c r="A176" s="7" t="s">
        <v>205</v>
      </c>
      <c r="B176" s="7" t="s">
        <v>37</v>
      </c>
      <c r="C176" s="7" t="s">
        <v>38</v>
      </c>
      <c r="D176" s="7" t="s">
        <v>22</v>
      </c>
      <c r="E176" s="7" t="s">
        <v>26</v>
      </c>
      <c r="F176" s="7" t="s">
        <v>39</v>
      </c>
      <c r="G176" s="7" t="str">
        <f t="shared" si="7"/>
        <v>Monday</v>
      </c>
      <c r="H176" s="7" t="str">
        <f t="shared" si="8"/>
        <v>Jan</v>
      </c>
      <c r="I176" s="8">
        <v>43483</v>
      </c>
      <c r="J176" s="8" t="str">
        <f t="shared" si="6"/>
        <v>Afternoon</v>
      </c>
      <c r="K176" s="9">
        <v>0.50277777777777777</v>
      </c>
      <c r="L176" s="7" t="s">
        <v>18</v>
      </c>
      <c r="M176" s="10">
        <v>7.9160000000000004</v>
      </c>
      <c r="N176" s="7">
        <v>8.6999999999999993</v>
      </c>
    </row>
    <row r="177" spans="1:14" x14ac:dyDescent="0.25">
      <c r="A177" s="7" t="s">
        <v>206</v>
      </c>
      <c r="B177" s="7" t="s">
        <v>13</v>
      </c>
      <c r="C177" s="7" t="s">
        <v>14</v>
      </c>
      <c r="D177" s="7" t="s">
        <v>15</v>
      </c>
      <c r="E177" s="7" t="s">
        <v>26</v>
      </c>
      <c r="F177" s="7" t="s">
        <v>27</v>
      </c>
      <c r="G177" s="7" t="str">
        <f t="shared" si="7"/>
        <v>Wednesday</v>
      </c>
      <c r="H177" s="7" t="str">
        <f t="shared" si="8"/>
        <v>Mar</v>
      </c>
      <c r="I177" s="8">
        <v>43545</v>
      </c>
      <c r="J177" s="8" t="str">
        <f t="shared" si="6"/>
        <v>Evening</v>
      </c>
      <c r="K177" s="9">
        <v>0.68125000000000002</v>
      </c>
      <c r="L177" s="7" t="s">
        <v>18</v>
      </c>
      <c r="M177" s="10">
        <v>15.228</v>
      </c>
      <c r="N177" s="7">
        <v>8.8000000000000007</v>
      </c>
    </row>
    <row r="178" spans="1:14" x14ac:dyDescent="0.25">
      <c r="A178" s="7" t="s">
        <v>207</v>
      </c>
      <c r="B178" s="7" t="s">
        <v>13</v>
      </c>
      <c r="C178" s="7" t="s">
        <v>14</v>
      </c>
      <c r="D178" s="7" t="s">
        <v>15</v>
      </c>
      <c r="E178" s="7" t="s">
        <v>26</v>
      </c>
      <c r="F178" s="7" t="s">
        <v>39</v>
      </c>
      <c r="G178" s="7" t="str">
        <f t="shared" si="7"/>
        <v>Monday</v>
      </c>
      <c r="H178" s="7" t="str">
        <f t="shared" si="8"/>
        <v>Mar</v>
      </c>
      <c r="I178" s="8">
        <v>43527</v>
      </c>
      <c r="J178" s="8" t="str">
        <f t="shared" si="6"/>
        <v>Evening</v>
      </c>
      <c r="K178" s="9">
        <v>0.7090277777777777</v>
      </c>
      <c r="L178" s="7" t="s">
        <v>28</v>
      </c>
      <c r="M178" s="10">
        <v>8.8680000000000003</v>
      </c>
      <c r="N178" s="7">
        <v>9.6</v>
      </c>
    </row>
    <row r="179" spans="1:14" x14ac:dyDescent="0.25">
      <c r="A179" s="7" t="s">
        <v>208</v>
      </c>
      <c r="B179" s="7" t="s">
        <v>20</v>
      </c>
      <c r="C179" s="7" t="s">
        <v>21</v>
      </c>
      <c r="D179" s="7" t="s">
        <v>22</v>
      </c>
      <c r="E179" s="7" t="s">
        <v>16</v>
      </c>
      <c r="F179" s="7" t="s">
        <v>41</v>
      </c>
      <c r="G179" s="7" t="str">
        <f t="shared" si="7"/>
        <v>Friday</v>
      </c>
      <c r="H179" s="7" t="str">
        <f t="shared" si="8"/>
        <v>Feb</v>
      </c>
      <c r="I179" s="8">
        <v>43509</v>
      </c>
      <c r="J179" s="8" t="str">
        <f t="shared" si="6"/>
        <v>Morning</v>
      </c>
      <c r="K179" s="9">
        <v>0.4513888888888889</v>
      </c>
      <c r="L179" s="7" t="s">
        <v>28</v>
      </c>
      <c r="M179" s="10">
        <v>7.8784999999999998</v>
      </c>
      <c r="N179" s="7">
        <v>4.8</v>
      </c>
    </row>
    <row r="180" spans="1:14" x14ac:dyDescent="0.25">
      <c r="A180" s="7" t="s">
        <v>209</v>
      </c>
      <c r="B180" s="7" t="s">
        <v>13</v>
      </c>
      <c r="C180" s="7" t="s">
        <v>14</v>
      </c>
      <c r="D180" s="7" t="s">
        <v>22</v>
      </c>
      <c r="E180" s="7" t="s">
        <v>26</v>
      </c>
      <c r="F180" s="7" t="s">
        <v>39</v>
      </c>
      <c r="G180" s="7" t="str">
        <f t="shared" si="7"/>
        <v>Thursday</v>
      </c>
      <c r="H180" s="7" t="str">
        <f t="shared" si="8"/>
        <v>Mar</v>
      </c>
      <c r="I180" s="8">
        <v>43547</v>
      </c>
      <c r="J180" s="8" t="str">
        <f t="shared" si="6"/>
        <v>Evening</v>
      </c>
      <c r="K180" s="9">
        <v>0.8027777777777777</v>
      </c>
      <c r="L180" s="7" t="s">
        <v>18</v>
      </c>
      <c r="M180" s="10">
        <v>22.164000000000001</v>
      </c>
      <c r="N180" s="7">
        <v>4.4000000000000004</v>
      </c>
    </row>
    <row r="181" spans="1:14" x14ac:dyDescent="0.25">
      <c r="A181" s="7" t="s">
        <v>210</v>
      </c>
      <c r="B181" s="7" t="s">
        <v>20</v>
      </c>
      <c r="C181" s="7" t="s">
        <v>21</v>
      </c>
      <c r="D181" s="7" t="s">
        <v>15</v>
      </c>
      <c r="E181" s="7" t="s">
        <v>26</v>
      </c>
      <c r="F181" s="7" t="s">
        <v>17</v>
      </c>
      <c r="G181" s="7" t="str">
        <f t="shared" si="7"/>
        <v>Wednesday</v>
      </c>
      <c r="H181" s="7" t="str">
        <f t="shared" si="8"/>
        <v>Jan</v>
      </c>
      <c r="I181" s="8">
        <v>43493</v>
      </c>
      <c r="J181" s="8" t="str">
        <f t="shared" si="6"/>
        <v>Evening</v>
      </c>
      <c r="K181" s="9">
        <v>0.69930555555555562</v>
      </c>
      <c r="L181" s="7" t="s">
        <v>18</v>
      </c>
      <c r="M181" s="10">
        <v>13.02</v>
      </c>
      <c r="N181" s="7">
        <v>9.9</v>
      </c>
    </row>
    <row r="182" spans="1:14" x14ac:dyDescent="0.25">
      <c r="A182" s="7" t="s">
        <v>211</v>
      </c>
      <c r="B182" s="7" t="s">
        <v>20</v>
      </c>
      <c r="C182" s="7" t="s">
        <v>21</v>
      </c>
      <c r="D182" s="7" t="s">
        <v>22</v>
      </c>
      <c r="E182" s="7" t="s">
        <v>26</v>
      </c>
      <c r="F182" s="7" t="s">
        <v>41</v>
      </c>
      <c r="G182" s="7" t="str">
        <f t="shared" si="7"/>
        <v>Friday</v>
      </c>
      <c r="H182" s="7" t="str">
        <f t="shared" si="8"/>
        <v>Feb</v>
      </c>
      <c r="I182" s="8">
        <v>43505</v>
      </c>
      <c r="J182" s="8" t="str">
        <f t="shared" si="6"/>
        <v>Morning</v>
      </c>
      <c r="K182" s="9">
        <v>0.41666666666666669</v>
      </c>
      <c r="L182" s="7" t="s">
        <v>24</v>
      </c>
      <c r="M182" s="10">
        <v>22.491</v>
      </c>
      <c r="N182" s="7">
        <v>5.7</v>
      </c>
    </row>
    <row r="183" spans="1:14" x14ac:dyDescent="0.25">
      <c r="A183" s="7" t="s">
        <v>212</v>
      </c>
      <c r="B183" s="7" t="s">
        <v>20</v>
      </c>
      <c r="C183" s="7" t="s">
        <v>21</v>
      </c>
      <c r="D183" s="7" t="s">
        <v>15</v>
      </c>
      <c r="E183" s="7" t="s">
        <v>26</v>
      </c>
      <c r="F183" s="7" t="s">
        <v>39</v>
      </c>
      <c r="G183" s="7" t="str">
        <f t="shared" si="7"/>
        <v>Tuesday</v>
      </c>
      <c r="H183" s="7" t="str">
        <f t="shared" si="8"/>
        <v>Jan</v>
      </c>
      <c r="I183" s="8">
        <v>43488</v>
      </c>
      <c r="J183" s="8" t="str">
        <f t="shared" si="6"/>
        <v>Morning</v>
      </c>
      <c r="K183" s="9">
        <v>0.49374999999999997</v>
      </c>
      <c r="L183" s="7" t="s">
        <v>24</v>
      </c>
      <c r="M183" s="10">
        <v>15.388</v>
      </c>
      <c r="N183" s="7">
        <v>7.7</v>
      </c>
    </row>
    <row r="184" spans="1:14" x14ac:dyDescent="0.25">
      <c r="A184" s="7" t="s">
        <v>213</v>
      </c>
      <c r="B184" s="7" t="s">
        <v>13</v>
      </c>
      <c r="C184" s="7" t="s">
        <v>14</v>
      </c>
      <c r="D184" s="7" t="s">
        <v>15</v>
      </c>
      <c r="E184" s="7" t="s">
        <v>26</v>
      </c>
      <c r="F184" s="7" t="s">
        <v>31</v>
      </c>
      <c r="G184" s="7" t="str">
        <f t="shared" si="7"/>
        <v>Thursday</v>
      </c>
      <c r="H184" s="7" t="str">
        <f t="shared" si="8"/>
        <v>Mar</v>
      </c>
      <c r="I184" s="8">
        <v>43547</v>
      </c>
      <c r="J184" s="8" t="str">
        <f t="shared" si="6"/>
        <v>Morning</v>
      </c>
      <c r="K184" s="9">
        <v>0.4548611111111111</v>
      </c>
      <c r="L184" s="7" t="s">
        <v>18</v>
      </c>
      <c r="M184" s="10">
        <v>7.75</v>
      </c>
      <c r="N184" s="7">
        <v>8</v>
      </c>
    </row>
    <row r="185" spans="1:14" x14ac:dyDescent="0.25">
      <c r="A185" s="7" t="s">
        <v>214</v>
      </c>
      <c r="B185" s="7" t="s">
        <v>20</v>
      </c>
      <c r="C185" s="7" t="s">
        <v>21</v>
      </c>
      <c r="D185" s="7" t="s">
        <v>22</v>
      </c>
      <c r="E185" s="7" t="s">
        <v>26</v>
      </c>
      <c r="F185" s="7" t="s">
        <v>17</v>
      </c>
      <c r="G185" s="7" t="str">
        <f t="shared" si="7"/>
        <v>Tuesday</v>
      </c>
      <c r="H185" s="7" t="str">
        <f t="shared" si="8"/>
        <v>Jan</v>
      </c>
      <c r="I185" s="8">
        <v>43490</v>
      </c>
      <c r="J185" s="8" t="str">
        <f t="shared" si="6"/>
        <v>Afternoon</v>
      </c>
      <c r="K185" s="9">
        <v>0.625</v>
      </c>
      <c r="L185" s="7" t="s">
        <v>18</v>
      </c>
      <c r="M185" s="10">
        <v>13.724</v>
      </c>
      <c r="N185" s="7">
        <v>5.7</v>
      </c>
    </row>
    <row r="186" spans="1:14" x14ac:dyDescent="0.25">
      <c r="A186" s="7" t="s">
        <v>215</v>
      </c>
      <c r="B186" s="7" t="s">
        <v>13</v>
      </c>
      <c r="C186" s="7" t="s">
        <v>14</v>
      </c>
      <c r="D186" s="7" t="s">
        <v>22</v>
      </c>
      <c r="E186" s="7" t="s">
        <v>16</v>
      </c>
      <c r="F186" s="7" t="s">
        <v>31</v>
      </c>
      <c r="G186" s="7" t="str">
        <f t="shared" si="7"/>
        <v>Monday</v>
      </c>
      <c r="H186" s="7" t="str">
        <f t="shared" si="8"/>
        <v>Mar</v>
      </c>
      <c r="I186" s="8">
        <v>43528</v>
      </c>
      <c r="J186" s="8" t="str">
        <f t="shared" si="6"/>
        <v>Morning</v>
      </c>
      <c r="K186" s="9">
        <v>0.47152777777777777</v>
      </c>
      <c r="L186" s="7" t="s">
        <v>28</v>
      </c>
      <c r="M186" s="10">
        <v>4.319</v>
      </c>
      <c r="N186" s="7">
        <v>6.7</v>
      </c>
    </row>
    <row r="187" spans="1:14" x14ac:dyDescent="0.25">
      <c r="A187" s="7" t="s">
        <v>216</v>
      </c>
      <c r="B187" s="7" t="s">
        <v>37</v>
      </c>
      <c r="C187" s="7" t="s">
        <v>38</v>
      </c>
      <c r="D187" s="7" t="s">
        <v>15</v>
      </c>
      <c r="E187" s="7" t="s">
        <v>26</v>
      </c>
      <c r="F187" s="7" t="s">
        <v>39</v>
      </c>
      <c r="G187" s="7" t="str">
        <f t="shared" si="7"/>
        <v>Monday</v>
      </c>
      <c r="H187" s="7" t="str">
        <f t="shared" si="8"/>
        <v>Mar</v>
      </c>
      <c r="I187" s="8">
        <v>43529</v>
      </c>
      <c r="J187" s="8" t="str">
        <f t="shared" si="6"/>
        <v>Evening</v>
      </c>
      <c r="K187" s="9">
        <v>0.82361111111111107</v>
      </c>
      <c r="L187" s="7" t="s">
        <v>18</v>
      </c>
      <c r="M187" s="10">
        <v>2.7120000000000002</v>
      </c>
      <c r="N187" s="7">
        <v>8</v>
      </c>
    </row>
    <row r="188" spans="1:14" x14ac:dyDescent="0.25">
      <c r="A188" s="7" t="s">
        <v>217</v>
      </c>
      <c r="B188" s="7" t="s">
        <v>37</v>
      </c>
      <c r="C188" s="7" t="s">
        <v>38</v>
      </c>
      <c r="D188" s="7" t="s">
        <v>15</v>
      </c>
      <c r="E188" s="7" t="s">
        <v>16</v>
      </c>
      <c r="F188" s="7" t="s">
        <v>27</v>
      </c>
      <c r="G188" s="7" t="str">
        <f t="shared" si="7"/>
        <v>Monday</v>
      </c>
      <c r="H188" s="7" t="str">
        <f t="shared" si="8"/>
        <v>Mar</v>
      </c>
      <c r="I188" s="8">
        <v>43527</v>
      </c>
      <c r="J188" s="8" t="str">
        <f t="shared" si="6"/>
        <v>Evening</v>
      </c>
      <c r="K188" s="9">
        <v>0.79166666666666663</v>
      </c>
      <c r="L188" s="7" t="s">
        <v>18</v>
      </c>
      <c r="M188" s="10">
        <v>37.795999999999999</v>
      </c>
      <c r="N188" s="7">
        <v>7.5</v>
      </c>
    </row>
    <row r="189" spans="1:14" x14ac:dyDescent="0.25">
      <c r="A189" s="7" t="s">
        <v>218</v>
      </c>
      <c r="B189" s="7" t="s">
        <v>37</v>
      </c>
      <c r="C189" s="7" t="s">
        <v>38</v>
      </c>
      <c r="D189" s="7" t="s">
        <v>15</v>
      </c>
      <c r="E189" s="7" t="s">
        <v>26</v>
      </c>
      <c r="F189" s="7" t="s">
        <v>27</v>
      </c>
      <c r="G189" s="7" t="str">
        <f t="shared" si="7"/>
        <v>Thursday</v>
      </c>
      <c r="H189" s="7" t="str">
        <f t="shared" si="8"/>
        <v>Feb</v>
      </c>
      <c r="I189" s="8">
        <v>43504</v>
      </c>
      <c r="J189" s="8" t="str">
        <f t="shared" si="6"/>
        <v>Morning</v>
      </c>
      <c r="K189" s="9">
        <v>0.45347222222222222</v>
      </c>
      <c r="L189" s="7" t="s">
        <v>24</v>
      </c>
      <c r="M189" s="10">
        <v>9.2940000000000005</v>
      </c>
      <c r="N189" s="7">
        <v>7</v>
      </c>
    </row>
    <row r="190" spans="1:14" x14ac:dyDescent="0.25">
      <c r="A190" s="7" t="s">
        <v>219</v>
      </c>
      <c r="B190" s="7" t="s">
        <v>13</v>
      </c>
      <c r="C190" s="7" t="s">
        <v>14</v>
      </c>
      <c r="D190" s="7" t="s">
        <v>22</v>
      </c>
      <c r="E190" s="7" t="s">
        <v>26</v>
      </c>
      <c r="F190" s="7" t="s">
        <v>27</v>
      </c>
      <c r="G190" s="7" t="str">
        <f t="shared" si="7"/>
        <v>Friday</v>
      </c>
      <c r="H190" s="7" t="str">
        <f t="shared" si="8"/>
        <v>Feb</v>
      </c>
      <c r="I190" s="8">
        <v>43506</v>
      </c>
      <c r="J190" s="8" t="str">
        <f t="shared" si="6"/>
        <v>Afternoon</v>
      </c>
      <c r="K190" s="9">
        <v>0.53472222222222221</v>
      </c>
      <c r="L190" s="7" t="s">
        <v>18</v>
      </c>
      <c r="M190" s="10">
        <v>3.7035</v>
      </c>
      <c r="N190" s="7">
        <v>9.9</v>
      </c>
    </row>
    <row r="191" spans="1:14" x14ac:dyDescent="0.25">
      <c r="A191" s="7" t="s">
        <v>220</v>
      </c>
      <c r="B191" s="7" t="s">
        <v>20</v>
      </c>
      <c r="C191" s="7" t="s">
        <v>21</v>
      </c>
      <c r="D191" s="7" t="s">
        <v>22</v>
      </c>
      <c r="E191" s="7" t="s">
        <v>16</v>
      </c>
      <c r="F191" s="7" t="s">
        <v>27</v>
      </c>
      <c r="G191" s="7" t="str">
        <f t="shared" si="7"/>
        <v>Wednesday</v>
      </c>
      <c r="H191" s="7" t="str">
        <f t="shared" si="8"/>
        <v>Jan</v>
      </c>
      <c r="I191" s="8">
        <v>43493</v>
      </c>
      <c r="J191" s="8" t="str">
        <f t="shared" si="6"/>
        <v>Evening</v>
      </c>
      <c r="K191" s="9">
        <v>0.86805555555555547</v>
      </c>
      <c r="L191" s="7" t="s">
        <v>28</v>
      </c>
      <c r="M191" s="10">
        <v>13.962</v>
      </c>
      <c r="N191" s="7">
        <v>5.9</v>
      </c>
    </row>
    <row r="192" spans="1:14" x14ac:dyDescent="0.25">
      <c r="A192" s="7" t="s">
        <v>221</v>
      </c>
      <c r="B192" s="7" t="s">
        <v>37</v>
      </c>
      <c r="C192" s="7" t="s">
        <v>38</v>
      </c>
      <c r="D192" s="7" t="s">
        <v>22</v>
      </c>
      <c r="E192" s="7" t="s">
        <v>16</v>
      </c>
      <c r="F192" s="7" t="s">
        <v>27</v>
      </c>
      <c r="G192" s="7" t="str">
        <f t="shared" si="7"/>
        <v>Friday</v>
      </c>
      <c r="H192" s="7" t="str">
        <f t="shared" si="8"/>
        <v>Feb</v>
      </c>
      <c r="I192" s="8">
        <v>43507</v>
      </c>
      <c r="J192" s="8" t="str">
        <f t="shared" si="6"/>
        <v>Morning</v>
      </c>
      <c r="K192" s="9">
        <v>0.44375000000000003</v>
      </c>
      <c r="L192" s="7" t="s">
        <v>28</v>
      </c>
      <c r="M192" s="10">
        <v>11.555999999999999</v>
      </c>
      <c r="N192" s="7">
        <v>7.2</v>
      </c>
    </row>
    <row r="193" spans="1:14" x14ac:dyDescent="0.25">
      <c r="A193" s="7" t="s">
        <v>222</v>
      </c>
      <c r="B193" s="7" t="s">
        <v>37</v>
      </c>
      <c r="C193" s="7" t="s">
        <v>38</v>
      </c>
      <c r="D193" s="7" t="s">
        <v>22</v>
      </c>
      <c r="E193" s="7" t="s">
        <v>16</v>
      </c>
      <c r="F193" s="7" t="s">
        <v>41</v>
      </c>
      <c r="G193" s="7" t="str">
        <f t="shared" si="7"/>
        <v>Monday</v>
      </c>
      <c r="H193" s="7" t="str">
        <f t="shared" si="8"/>
        <v>Jan</v>
      </c>
      <c r="I193" s="8">
        <v>43480</v>
      </c>
      <c r="J193" s="8" t="str">
        <f t="shared" si="6"/>
        <v>Afternoon</v>
      </c>
      <c r="K193" s="9">
        <v>0.57013888888888886</v>
      </c>
      <c r="L193" s="7" t="s">
        <v>18</v>
      </c>
      <c r="M193" s="10">
        <v>7.3520000000000003</v>
      </c>
      <c r="N193" s="7">
        <v>4.5999999999999996</v>
      </c>
    </row>
    <row r="194" spans="1:14" x14ac:dyDescent="0.25">
      <c r="A194" s="7" t="s">
        <v>223</v>
      </c>
      <c r="B194" s="7" t="s">
        <v>20</v>
      </c>
      <c r="C194" s="7" t="s">
        <v>21</v>
      </c>
      <c r="D194" s="7" t="s">
        <v>22</v>
      </c>
      <c r="E194" s="7" t="s">
        <v>16</v>
      </c>
      <c r="F194" s="7" t="s">
        <v>39</v>
      </c>
      <c r="G194" s="7" t="str">
        <f t="shared" si="7"/>
        <v>Wednesday</v>
      </c>
      <c r="H194" s="7" t="str">
        <f t="shared" si="8"/>
        <v>Mar</v>
      </c>
      <c r="I194" s="8">
        <v>43540</v>
      </c>
      <c r="J194" s="8" t="str">
        <f t="shared" ref="J194:J257" si="9">IF(AND(K194&gt;=TIME(9,0,0),K194&lt;TIME(12,0,0)),"Morning",IF(AND(K194&gt;=TIME(12,0,0),K194&lt;TIME(16,0,0)),"Afternoon","Evening"))</f>
        <v>Evening</v>
      </c>
      <c r="K194" s="9">
        <v>0.79722222222222217</v>
      </c>
      <c r="L194" s="7" t="s">
        <v>24</v>
      </c>
      <c r="M194" s="10">
        <v>39.51</v>
      </c>
      <c r="N194" s="7">
        <v>9.1999999999999993</v>
      </c>
    </row>
    <row r="195" spans="1:14" x14ac:dyDescent="0.25">
      <c r="A195" s="7" t="s">
        <v>224</v>
      </c>
      <c r="B195" s="7" t="s">
        <v>37</v>
      </c>
      <c r="C195" s="7" t="s">
        <v>38</v>
      </c>
      <c r="D195" s="7" t="s">
        <v>22</v>
      </c>
      <c r="E195" s="7" t="s">
        <v>26</v>
      </c>
      <c r="F195" s="7" t="s">
        <v>27</v>
      </c>
      <c r="G195" s="7" t="str">
        <f t="shared" ref="G195:G258" si="10">TEXT(I195/7,"dddd")</f>
        <v>Wednesday</v>
      </c>
      <c r="H195" s="7" t="str">
        <f t="shared" ref="H195:H258" si="11">TEXT(I195,"mmm")</f>
        <v>Jan</v>
      </c>
      <c r="I195" s="8">
        <v>43491</v>
      </c>
      <c r="J195" s="8" t="str">
        <f t="shared" si="9"/>
        <v>Evening</v>
      </c>
      <c r="K195" s="9">
        <v>0.84930555555555554</v>
      </c>
      <c r="L195" s="7" t="s">
        <v>18</v>
      </c>
      <c r="M195" s="10">
        <v>5.1100000000000003</v>
      </c>
      <c r="N195" s="7">
        <v>5.7</v>
      </c>
    </row>
    <row r="196" spans="1:14" x14ac:dyDescent="0.25">
      <c r="A196" s="7" t="s">
        <v>225</v>
      </c>
      <c r="B196" s="7" t="s">
        <v>13</v>
      </c>
      <c r="C196" s="7" t="s">
        <v>14</v>
      </c>
      <c r="D196" s="7" t="s">
        <v>22</v>
      </c>
      <c r="E196" s="7" t="s">
        <v>26</v>
      </c>
      <c r="F196" s="7" t="s">
        <v>23</v>
      </c>
      <c r="G196" s="7" t="str">
        <f t="shared" si="10"/>
        <v>Wednesday</v>
      </c>
      <c r="H196" s="7" t="str">
        <f t="shared" si="11"/>
        <v>Mar</v>
      </c>
      <c r="I196" s="8">
        <v>43543</v>
      </c>
      <c r="J196" s="8" t="str">
        <f t="shared" si="9"/>
        <v>Morning</v>
      </c>
      <c r="K196" s="9">
        <v>0.47916666666666669</v>
      </c>
      <c r="L196" s="7" t="s">
        <v>28</v>
      </c>
      <c r="M196" s="10">
        <v>8.1775000000000002</v>
      </c>
      <c r="N196" s="7">
        <v>9.9</v>
      </c>
    </row>
    <row r="197" spans="1:14" x14ac:dyDescent="0.25">
      <c r="A197" s="7" t="s">
        <v>226</v>
      </c>
      <c r="B197" s="7" t="s">
        <v>20</v>
      </c>
      <c r="C197" s="7" t="s">
        <v>21</v>
      </c>
      <c r="D197" s="7" t="s">
        <v>15</v>
      </c>
      <c r="E197" s="7" t="s">
        <v>16</v>
      </c>
      <c r="F197" s="7" t="s">
        <v>41</v>
      </c>
      <c r="G197" s="7" t="str">
        <f t="shared" si="10"/>
        <v>Monday</v>
      </c>
      <c r="H197" s="7" t="str">
        <f t="shared" si="11"/>
        <v>Jan</v>
      </c>
      <c r="I197" s="8">
        <v>43478</v>
      </c>
      <c r="J197" s="8" t="str">
        <f t="shared" si="9"/>
        <v>Evening</v>
      </c>
      <c r="K197" s="9">
        <v>0.8125</v>
      </c>
      <c r="L197" s="7" t="s">
        <v>24</v>
      </c>
      <c r="M197" s="10">
        <v>3.7145000000000001</v>
      </c>
      <c r="N197" s="7">
        <v>5</v>
      </c>
    </row>
    <row r="198" spans="1:14" x14ac:dyDescent="0.25">
      <c r="A198" s="7" t="s">
        <v>227</v>
      </c>
      <c r="B198" s="7" t="s">
        <v>20</v>
      </c>
      <c r="C198" s="7" t="s">
        <v>21</v>
      </c>
      <c r="D198" s="7" t="s">
        <v>15</v>
      </c>
      <c r="E198" s="7" t="s">
        <v>26</v>
      </c>
      <c r="F198" s="7" t="s">
        <v>17</v>
      </c>
      <c r="G198" s="7" t="str">
        <f t="shared" si="10"/>
        <v>Thursday</v>
      </c>
      <c r="H198" s="7" t="str">
        <f t="shared" si="11"/>
        <v>Mar</v>
      </c>
      <c r="I198" s="8">
        <v>43550</v>
      </c>
      <c r="J198" s="8" t="str">
        <f t="shared" si="9"/>
        <v>Evening</v>
      </c>
      <c r="K198" s="9">
        <v>0.75208333333333333</v>
      </c>
      <c r="L198" s="7" t="s">
        <v>24</v>
      </c>
      <c r="M198" s="10">
        <v>4.37</v>
      </c>
      <c r="N198" s="7">
        <v>4.9000000000000004</v>
      </c>
    </row>
    <row r="199" spans="1:14" x14ac:dyDescent="0.25">
      <c r="A199" s="7" t="s">
        <v>228</v>
      </c>
      <c r="B199" s="7" t="s">
        <v>13</v>
      </c>
      <c r="C199" s="7" t="s">
        <v>14</v>
      </c>
      <c r="D199" s="7" t="s">
        <v>22</v>
      </c>
      <c r="E199" s="7" t="s">
        <v>16</v>
      </c>
      <c r="F199" s="7" t="s">
        <v>27</v>
      </c>
      <c r="G199" s="7" t="str">
        <f t="shared" si="10"/>
        <v>Thursday</v>
      </c>
      <c r="H199" s="7" t="str">
        <f t="shared" si="11"/>
        <v>Mar</v>
      </c>
      <c r="I199" s="8">
        <v>43547</v>
      </c>
      <c r="J199" s="8" t="str">
        <f t="shared" si="9"/>
        <v>Morning</v>
      </c>
      <c r="K199" s="9">
        <v>0.42569444444444443</v>
      </c>
      <c r="L199" s="7" t="s">
        <v>18</v>
      </c>
      <c r="M199" s="10">
        <v>1.2645</v>
      </c>
      <c r="N199" s="7">
        <v>6.1</v>
      </c>
    </row>
    <row r="200" spans="1:14" x14ac:dyDescent="0.25">
      <c r="A200" s="7" t="s">
        <v>229</v>
      </c>
      <c r="B200" s="7" t="s">
        <v>20</v>
      </c>
      <c r="C200" s="7" t="s">
        <v>21</v>
      </c>
      <c r="D200" s="7" t="s">
        <v>22</v>
      </c>
      <c r="E200" s="7" t="s">
        <v>26</v>
      </c>
      <c r="F200" s="7" t="s">
        <v>17</v>
      </c>
      <c r="G200" s="7" t="str">
        <f t="shared" si="10"/>
        <v>Tuesday</v>
      </c>
      <c r="H200" s="7" t="str">
        <f t="shared" si="11"/>
        <v>Mar</v>
      </c>
      <c r="I200" s="8">
        <v>43536</v>
      </c>
      <c r="J200" s="8" t="str">
        <f t="shared" si="9"/>
        <v>Evening</v>
      </c>
      <c r="K200" s="9">
        <v>0.83194444444444438</v>
      </c>
      <c r="L200" s="7" t="s">
        <v>28</v>
      </c>
      <c r="M200" s="10">
        <v>8.3000000000000007</v>
      </c>
      <c r="N200" s="7">
        <v>8.1999999999999993</v>
      </c>
    </row>
    <row r="201" spans="1:14" x14ac:dyDescent="0.25">
      <c r="A201" s="7" t="s">
        <v>230</v>
      </c>
      <c r="B201" s="7" t="s">
        <v>20</v>
      </c>
      <c r="C201" s="7" t="s">
        <v>21</v>
      </c>
      <c r="D201" s="7" t="s">
        <v>15</v>
      </c>
      <c r="E201" s="7" t="s">
        <v>16</v>
      </c>
      <c r="F201" s="7" t="s">
        <v>39</v>
      </c>
      <c r="G201" s="7" t="str">
        <f t="shared" si="10"/>
        <v>Saturday</v>
      </c>
      <c r="H201" s="7" t="str">
        <f t="shared" si="11"/>
        <v>Feb</v>
      </c>
      <c r="I201" s="8">
        <v>43513</v>
      </c>
      <c r="J201" s="8" t="str">
        <f t="shared" si="9"/>
        <v>Evening</v>
      </c>
      <c r="K201" s="9">
        <v>0.83124999999999993</v>
      </c>
      <c r="L201" s="7" t="s">
        <v>28</v>
      </c>
      <c r="M201" s="10">
        <v>17.8475</v>
      </c>
      <c r="N201" s="7">
        <v>5.5</v>
      </c>
    </row>
    <row r="202" spans="1:14" x14ac:dyDescent="0.25">
      <c r="A202" s="7" t="s">
        <v>231</v>
      </c>
      <c r="B202" s="7" t="s">
        <v>20</v>
      </c>
      <c r="C202" s="7" t="s">
        <v>21</v>
      </c>
      <c r="D202" s="7" t="s">
        <v>15</v>
      </c>
      <c r="E202" s="7" t="s">
        <v>16</v>
      </c>
      <c r="F202" s="7" t="s">
        <v>31</v>
      </c>
      <c r="G202" s="7" t="str">
        <f t="shared" si="10"/>
        <v>Wednesday</v>
      </c>
      <c r="H202" s="7" t="str">
        <f t="shared" si="11"/>
        <v>Jan</v>
      </c>
      <c r="I202" s="8">
        <v>43494</v>
      </c>
      <c r="J202" s="8" t="str">
        <f t="shared" si="9"/>
        <v>Morning</v>
      </c>
      <c r="K202" s="9">
        <v>0.41736111111111113</v>
      </c>
      <c r="L202" s="7" t="s">
        <v>28</v>
      </c>
      <c r="M202" s="10">
        <v>5.7450000000000001</v>
      </c>
      <c r="N202" s="7">
        <v>6.8</v>
      </c>
    </row>
    <row r="203" spans="1:14" x14ac:dyDescent="0.25">
      <c r="A203" s="7" t="s">
        <v>232</v>
      </c>
      <c r="B203" s="7" t="s">
        <v>37</v>
      </c>
      <c r="C203" s="7" t="s">
        <v>38</v>
      </c>
      <c r="D203" s="7" t="s">
        <v>15</v>
      </c>
      <c r="E203" s="7" t="s">
        <v>16</v>
      </c>
      <c r="F203" s="7" t="s">
        <v>23</v>
      </c>
      <c r="G203" s="7" t="str">
        <f t="shared" si="10"/>
        <v>Tuesday</v>
      </c>
      <c r="H203" s="7" t="str">
        <f t="shared" si="11"/>
        <v>Mar</v>
      </c>
      <c r="I203" s="8">
        <v>43539</v>
      </c>
      <c r="J203" s="8" t="str">
        <f t="shared" si="9"/>
        <v>Morning</v>
      </c>
      <c r="K203" s="9">
        <v>0.49791666666666662</v>
      </c>
      <c r="L203" s="7" t="s">
        <v>24</v>
      </c>
      <c r="M203" s="10">
        <v>11.497999999999999</v>
      </c>
      <c r="N203" s="7">
        <v>6.6</v>
      </c>
    </row>
    <row r="204" spans="1:14" x14ac:dyDescent="0.25">
      <c r="A204" s="7" t="s">
        <v>233</v>
      </c>
      <c r="B204" s="7" t="s">
        <v>20</v>
      </c>
      <c r="C204" s="7" t="s">
        <v>21</v>
      </c>
      <c r="D204" s="7" t="s">
        <v>22</v>
      </c>
      <c r="E204" s="7" t="s">
        <v>26</v>
      </c>
      <c r="F204" s="7" t="s">
        <v>23</v>
      </c>
      <c r="G204" s="7" t="str">
        <f t="shared" si="10"/>
        <v>Monday</v>
      </c>
      <c r="H204" s="7" t="str">
        <f t="shared" si="11"/>
        <v>Jan</v>
      </c>
      <c r="I204" s="8">
        <v>43479</v>
      </c>
      <c r="J204" s="8" t="str">
        <f t="shared" si="9"/>
        <v>Morning</v>
      </c>
      <c r="K204" s="9">
        <v>0.41805555555555557</v>
      </c>
      <c r="L204" s="7" t="s">
        <v>24</v>
      </c>
      <c r="M204" s="10">
        <v>21.493500000000001</v>
      </c>
      <c r="N204" s="7">
        <v>9.8000000000000007</v>
      </c>
    </row>
    <row r="205" spans="1:14" x14ac:dyDescent="0.25">
      <c r="A205" s="7" t="s">
        <v>234</v>
      </c>
      <c r="B205" s="7" t="s">
        <v>37</v>
      </c>
      <c r="C205" s="7" t="s">
        <v>38</v>
      </c>
      <c r="D205" s="7" t="s">
        <v>15</v>
      </c>
      <c r="E205" s="7" t="s">
        <v>26</v>
      </c>
      <c r="F205" s="7" t="s">
        <v>17</v>
      </c>
      <c r="G205" s="7" t="str">
        <f t="shared" si="10"/>
        <v>Thursday</v>
      </c>
      <c r="H205" s="7" t="str">
        <f t="shared" si="11"/>
        <v>Feb</v>
      </c>
      <c r="I205" s="8">
        <v>43502</v>
      </c>
      <c r="J205" s="8" t="str">
        <f t="shared" si="9"/>
        <v>Afternoon</v>
      </c>
      <c r="K205" s="9">
        <v>0.61875000000000002</v>
      </c>
      <c r="L205" s="7" t="s">
        <v>18</v>
      </c>
      <c r="M205" s="10">
        <v>12.95</v>
      </c>
      <c r="N205" s="7">
        <v>8.6999999999999993</v>
      </c>
    </row>
    <row r="206" spans="1:14" x14ac:dyDescent="0.25">
      <c r="A206" s="7" t="s">
        <v>235</v>
      </c>
      <c r="B206" s="7" t="s">
        <v>37</v>
      </c>
      <c r="C206" s="7" t="s">
        <v>38</v>
      </c>
      <c r="D206" s="7" t="s">
        <v>15</v>
      </c>
      <c r="E206" s="7" t="s">
        <v>26</v>
      </c>
      <c r="F206" s="7" t="s">
        <v>27</v>
      </c>
      <c r="G206" s="7" t="str">
        <f t="shared" si="10"/>
        <v>Friday</v>
      </c>
      <c r="H206" s="7" t="str">
        <f t="shared" si="11"/>
        <v>Feb</v>
      </c>
      <c r="I206" s="8">
        <v>43511</v>
      </c>
      <c r="J206" s="8" t="str">
        <f t="shared" si="9"/>
        <v>Afternoon</v>
      </c>
      <c r="K206" s="9">
        <v>0.52916666666666667</v>
      </c>
      <c r="L206" s="7" t="s">
        <v>28</v>
      </c>
      <c r="M206" s="10">
        <v>4.4424999999999999</v>
      </c>
      <c r="N206" s="7">
        <v>5.4</v>
      </c>
    </row>
    <row r="207" spans="1:14" x14ac:dyDescent="0.25">
      <c r="A207" s="7" t="s">
        <v>236</v>
      </c>
      <c r="B207" s="7" t="s">
        <v>13</v>
      </c>
      <c r="C207" s="7" t="s">
        <v>14</v>
      </c>
      <c r="D207" s="7" t="s">
        <v>22</v>
      </c>
      <c r="E207" s="7" t="s">
        <v>16</v>
      </c>
      <c r="F207" s="7" t="s">
        <v>17</v>
      </c>
      <c r="G207" s="7" t="str">
        <f t="shared" si="10"/>
        <v>Saturday</v>
      </c>
      <c r="H207" s="7" t="str">
        <f t="shared" si="11"/>
        <v>Jan</v>
      </c>
      <c r="I207" s="8">
        <v>43468</v>
      </c>
      <c r="J207" s="8" t="str">
        <f t="shared" si="9"/>
        <v>Afternoon</v>
      </c>
      <c r="K207" s="9">
        <v>0.50138888888888888</v>
      </c>
      <c r="L207" s="7" t="s">
        <v>18</v>
      </c>
      <c r="M207" s="10">
        <v>10.3635</v>
      </c>
      <c r="N207" s="7">
        <v>7.9</v>
      </c>
    </row>
    <row r="208" spans="1:14" x14ac:dyDescent="0.25">
      <c r="A208" s="7" t="s">
        <v>237</v>
      </c>
      <c r="B208" s="7" t="s">
        <v>20</v>
      </c>
      <c r="C208" s="7" t="s">
        <v>21</v>
      </c>
      <c r="D208" s="7" t="s">
        <v>15</v>
      </c>
      <c r="E208" s="7" t="s">
        <v>16</v>
      </c>
      <c r="F208" s="7" t="s">
        <v>23</v>
      </c>
      <c r="G208" s="7" t="str">
        <f t="shared" si="10"/>
        <v>Saturday</v>
      </c>
      <c r="H208" s="7" t="str">
        <f t="shared" si="11"/>
        <v>Jan</v>
      </c>
      <c r="I208" s="8">
        <v>43469</v>
      </c>
      <c r="J208" s="8" t="str">
        <f t="shared" si="9"/>
        <v>Evening</v>
      </c>
      <c r="K208" s="9">
        <v>0.7631944444444444</v>
      </c>
      <c r="L208" s="7" t="s">
        <v>28</v>
      </c>
      <c r="M208" s="10">
        <v>29.9925</v>
      </c>
      <c r="N208" s="7">
        <v>9.6999999999999993</v>
      </c>
    </row>
    <row r="209" spans="1:14" x14ac:dyDescent="0.25">
      <c r="A209" s="7" t="s">
        <v>238</v>
      </c>
      <c r="B209" s="7" t="s">
        <v>20</v>
      </c>
      <c r="C209" s="7" t="s">
        <v>21</v>
      </c>
      <c r="D209" s="7" t="s">
        <v>15</v>
      </c>
      <c r="E209" s="7" t="s">
        <v>16</v>
      </c>
      <c r="F209" s="7" t="s">
        <v>27</v>
      </c>
      <c r="G209" s="7" t="str">
        <f t="shared" si="10"/>
        <v>Wednesday</v>
      </c>
      <c r="H209" s="7" t="str">
        <f t="shared" si="11"/>
        <v>Mar</v>
      </c>
      <c r="I209" s="8">
        <v>43542</v>
      </c>
      <c r="J209" s="8" t="str">
        <f t="shared" si="9"/>
        <v>Evening</v>
      </c>
      <c r="K209" s="9">
        <v>0.73472222222222217</v>
      </c>
      <c r="L209" s="7" t="s">
        <v>18</v>
      </c>
      <c r="M209" s="10">
        <v>14.265000000000001</v>
      </c>
      <c r="N209" s="7">
        <v>7.8</v>
      </c>
    </row>
    <row r="210" spans="1:14" x14ac:dyDescent="0.25">
      <c r="A210" s="7" t="s">
        <v>239</v>
      </c>
      <c r="B210" s="7" t="s">
        <v>37</v>
      </c>
      <c r="C210" s="7" t="s">
        <v>38</v>
      </c>
      <c r="D210" s="7" t="s">
        <v>22</v>
      </c>
      <c r="E210" s="7" t="s">
        <v>16</v>
      </c>
      <c r="F210" s="7" t="s">
        <v>41</v>
      </c>
      <c r="G210" s="7" t="str">
        <f t="shared" si="10"/>
        <v>Thursday</v>
      </c>
      <c r="H210" s="7" t="str">
        <f t="shared" si="11"/>
        <v>Mar</v>
      </c>
      <c r="I210" s="8">
        <v>43552</v>
      </c>
      <c r="J210" s="8" t="str">
        <f t="shared" si="9"/>
        <v>Afternoon</v>
      </c>
      <c r="K210" s="9">
        <v>0.57013888888888886</v>
      </c>
      <c r="L210" s="7" t="s">
        <v>18</v>
      </c>
      <c r="M210" s="10">
        <v>4.5555000000000003</v>
      </c>
      <c r="N210" s="7">
        <v>5.0999999999999996</v>
      </c>
    </row>
    <row r="211" spans="1:14" x14ac:dyDescent="0.25">
      <c r="A211" s="7" t="s">
        <v>240</v>
      </c>
      <c r="B211" s="7" t="s">
        <v>37</v>
      </c>
      <c r="C211" s="7" t="s">
        <v>38</v>
      </c>
      <c r="D211" s="7" t="s">
        <v>22</v>
      </c>
      <c r="E211" s="7" t="s">
        <v>16</v>
      </c>
      <c r="F211" s="7" t="s">
        <v>23</v>
      </c>
      <c r="G211" s="7" t="str">
        <f t="shared" si="10"/>
        <v>Monday</v>
      </c>
      <c r="H211" s="7" t="str">
        <f t="shared" si="11"/>
        <v>Mar</v>
      </c>
      <c r="I211" s="8">
        <v>43526</v>
      </c>
      <c r="J211" s="8" t="str">
        <f t="shared" si="9"/>
        <v>Evening</v>
      </c>
      <c r="K211" s="9">
        <v>0.8208333333333333</v>
      </c>
      <c r="L211" s="7" t="s">
        <v>28</v>
      </c>
      <c r="M211" s="10">
        <v>44.878500000000003</v>
      </c>
      <c r="N211" s="7">
        <v>6.5</v>
      </c>
    </row>
    <row r="212" spans="1:14" x14ac:dyDescent="0.25">
      <c r="A212" s="7" t="s">
        <v>241</v>
      </c>
      <c r="B212" s="7" t="s">
        <v>13</v>
      </c>
      <c r="C212" s="7" t="s">
        <v>14</v>
      </c>
      <c r="D212" s="7" t="s">
        <v>22</v>
      </c>
      <c r="E212" s="7" t="s">
        <v>26</v>
      </c>
      <c r="F212" s="7" t="s">
        <v>23</v>
      </c>
      <c r="G212" s="7" t="str">
        <f t="shared" si="10"/>
        <v>Tuesday</v>
      </c>
      <c r="H212" s="7" t="str">
        <f t="shared" si="11"/>
        <v>Jan</v>
      </c>
      <c r="I212" s="8">
        <v>43490</v>
      </c>
      <c r="J212" s="8" t="str">
        <f t="shared" si="9"/>
        <v>Evening</v>
      </c>
      <c r="K212" s="9">
        <v>0.85</v>
      </c>
      <c r="L212" s="7" t="s">
        <v>18</v>
      </c>
      <c r="M212" s="10">
        <v>11.8035</v>
      </c>
      <c r="N212" s="7">
        <v>5.9</v>
      </c>
    </row>
    <row r="213" spans="1:14" x14ac:dyDescent="0.25">
      <c r="A213" s="7" t="s">
        <v>242</v>
      </c>
      <c r="B213" s="7" t="s">
        <v>20</v>
      </c>
      <c r="C213" s="7" t="s">
        <v>21</v>
      </c>
      <c r="D213" s="7" t="s">
        <v>22</v>
      </c>
      <c r="E213" s="7" t="s">
        <v>16</v>
      </c>
      <c r="F213" s="7" t="s">
        <v>39</v>
      </c>
      <c r="G213" s="7" t="str">
        <f t="shared" si="10"/>
        <v>Monday</v>
      </c>
      <c r="H213" s="7" t="str">
        <f t="shared" si="11"/>
        <v>Jan</v>
      </c>
      <c r="I213" s="8">
        <v>43481</v>
      </c>
      <c r="J213" s="8" t="str">
        <f t="shared" si="9"/>
        <v>Evening</v>
      </c>
      <c r="K213" s="9">
        <v>0.75555555555555554</v>
      </c>
      <c r="L213" s="7" t="s">
        <v>24</v>
      </c>
      <c r="M213" s="10">
        <v>41.966999999999999</v>
      </c>
      <c r="N213" s="7">
        <v>8.8000000000000007</v>
      </c>
    </row>
    <row r="214" spans="1:14" x14ac:dyDescent="0.25">
      <c r="A214" s="7" t="s">
        <v>243</v>
      </c>
      <c r="B214" s="7" t="s">
        <v>37</v>
      </c>
      <c r="C214" s="7" t="s">
        <v>38</v>
      </c>
      <c r="D214" s="7" t="s">
        <v>22</v>
      </c>
      <c r="E214" s="7" t="s">
        <v>26</v>
      </c>
      <c r="F214" s="7" t="s">
        <v>27</v>
      </c>
      <c r="G214" s="7" t="str">
        <f t="shared" si="10"/>
        <v>Wednesday</v>
      </c>
      <c r="H214" s="7" t="str">
        <f t="shared" si="11"/>
        <v>Mar</v>
      </c>
      <c r="I214" s="8">
        <v>43544</v>
      </c>
      <c r="J214" s="8" t="str">
        <f t="shared" si="9"/>
        <v>Evening</v>
      </c>
      <c r="K214" s="9">
        <v>0.80347222222222225</v>
      </c>
      <c r="L214" s="7" t="s">
        <v>18</v>
      </c>
      <c r="M214" s="10">
        <v>23.09</v>
      </c>
      <c r="N214" s="7">
        <v>4.9000000000000004</v>
      </c>
    </row>
    <row r="215" spans="1:14" x14ac:dyDescent="0.25">
      <c r="A215" s="7" t="s">
        <v>244</v>
      </c>
      <c r="B215" s="7" t="s">
        <v>37</v>
      </c>
      <c r="C215" s="7" t="s">
        <v>38</v>
      </c>
      <c r="D215" s="7" t="s">
        <v>22</v>
      </c>
      <c r="E215" s="7" t="s">
        <v>26</v>
      </c>
      <c r="F215" s="7" t="s">
        <v>31</v>
      </c>
      <c r="G215" s="7" t="str">
        <f t="shared" si="10"/>
        <v>Saturday</v>
      </c>
      <c r="H215" s="7" t="str">
        <f t="shared" si="11"/>
        <v>Jan</v>
      </c>
      <c r="I215" s="8">
        <v>43469</v>
      </c>
      <c r="J215" s="8" t="str">
        <f t="shared" si="9"/>
        <v>Afternoon</v>
      </c>
      <c r="K215" s="9">
        <v>0.55833333333333335</v>
      </c>
      <c r="L215" s="7" t="s">
        <v>28</v>
      </c>
      <c r="M215" s="10">
        <v>6.9630000000000001</v>
      </c>
      <c r="N215" s="7">
        <v>4.4000000000000004</v>
      </c>
    </row>
    <row r="216" spans="1:14" x14ac:dyDescent="0.25">
      <c r="A216" s="7" t="s">
        <v>245</v>
      </c>
      <c r="B216" s="7" t="s">
        <v>37</v>
      </c>
      <c r="C216" s="7" t="s">
        <v>38</v>
      </c>
      <c r="D216" s="7" t="s">
        <v>15</v>
      </c>
      <c r="E216" s="7" t="s">
        <v>16</v>
      </c>
      <c r="F216" s="7" t="s">
        <v>31</v>
      </c>
      <c r="G216" s="7" t="str">
        <f t="shared" si="10"/>
        <v>Tuesday</v>
      </c>
      <c r="H216" s="7" t="str">
        <f t="shared" si="11"/>
        <v>Mar</v>
      </c>
      <c r="I216" s="8">
        <v>43535</v>
      </c>
      <c r="J216" s="8" t="str">
        <f t="shared" si="9"/>
        <v>Afternoon</v>
      </c>
      <c r="K216" s="9">
        <v>0.66180555555555554</v>
      </c>
      <c r="L216" s="7" t="s">
        <v>24</v>
      </c>
      <c r="M216" s="10">
        <v>10.3635</v>
      </c>
      <c r="N216" s="7">
        <v>6.5</v>
      </c>
    </row>
    <row r="217" spans="1:14" x14ac:dyDescent="0.25">
      <c r="A217" s="7" t="s">
        <v>246</v>
      </c>
      <c r="B217" s="7" t="s">
        <v>13</v>
      </c>
      <c r="C217" s="7" t="s">
        <v>14</v>
      </c>
      <c r="D217" s="7" t="s">
        <v>22</v>
      </c>
      <c r="E217" s="7" t="s">
        <v>26</v>
      </c>
      <c r="F217" s="7" t="s">
        <v>27</v>
      </c>
      <c r="G217" s="7" t="str">
        <f t="shared" si="10"/>
        <v>Wednesday</v>
      </c>
      <c r="H217" s="7" t="str">
        <f t="shared" si="11"/>
        <v>Mar</v>
      </c>
      <c r="I217" s="8">
        <v>43546</v>
      </c>
      <c r="J217" s="8" t="str">
        <f t="shared" si="9"/>
        <v>Afternoon</v>
      </c>
      <c r="K217" s="9">
        <v>0.62847222222222221</v>
      </c>
      <c r="L217" s="7" t="s">
        <v>28</v>
      </c>
      <c r="M217" s="10">
        <v>0.91400000000000003</v>
      </c>
      <c r="N217" s="7">
        <v>8.3000000000000007</v>
      </c>
    </row>
    <row r="218" spans="1:14" x14ac:dyDescent="0.25">
      <c r="A218" s="7" t="s">
        <v>247</v>
      </c>
      <c r="B218" s="7" t="s">
        <v>37</v>
      </c>
      <c r="C218" s="7" t="s">
        <v>38</v>
      </c>
      <c r="D218" s="7" t="s">
        <v>22</v>
      </c>
      <c r="E218" s="7" t="s">
        <v>16</v>
      </c>
      <c r="F218" s="7" t="s">
        <v>31</v>
      </c>
      <c r="G218" s="7" t="str">
        <f t="shared" si="10"/>
        <v>Thursday</v>
      </c>
      <c r="H218" s="7" t="str">
        <f t="shared" si="11"/>
        <v>Mar</v>
      </c>
      <c r="I218" s="8">
        <v>43548</v>
      </c>
      <c r="J218" s="8" t="str">
        <f t="shared" si="9"/>
        <v>Evening</v>
      </c>
      <c r="K218" s="9">
        <v>0.76874999999999993</v>
      </c>
      <c r="L218" s="7" t="s">
        <v>24</v>
      </c>
      <c r="M218" s="10">
        <v>6.1924999999999999</v>
      </c>
      <c r="N218" s="7">
        <v>8.5</v>
      </c>
    </row>
    <row r="219" spans="1:14" x14ac:dyDescent="0.25">
      <c r="A219" s="7" t="s">
        <v>248</v>
      </c>
      <c r="B219" s="7" t="s">
        <v>13</v>
      </c>
      <c r="C219" s="7" t="s">
        <v>14</v>
      </c>
      <c r="D219" s="7" t="s">
        <v>15</v>
      </c>
      <c r="E219" s="7" t="s">
        <v>16</v>
      </c>
      <c r="F219" s="7" t="s">
        <v>23</v>
      </c>
      <c r="G219" s="7" t="str">
        <f t="shared" si="10"/>
        <v>Saturday</v>
      </c>
      <c r="H219" s="7" t="str">
        <f t="shared" si="11"/>
        <v>Feb</v>
      </c>
      <c r="I219" s="8">
        <v>43517</v>
      </c>
      <c r="J219" s="8" t="str">
        <f t="shared" si="9"/>
        <v>Evening</v>
      </c>
      <c r="K219" s="9">
        <v>0.70486111111111116</v>
      </c>
      <c r="L219" s="7" t="s">
        <v>24</v>
      </c>
      <c r="M219" s="10">
        <v>14.196</v>
      </c>
      <c r="N219" s="7">
        <v>5.5</v>
      </c>
    </row>
    <row r="220" spans="1:14" x14ac:dyDescent="0.25">
      <c r="A220" s="7" t="s">
        <v>249</v>
      </c>
      <c r="B220" s="7" t="s">
        <v>37</v>
      </c>
      <c r="C220" s="7" t="s">
        <v>38</v>
      </c>
      <c r="D220" s="7" t="s">
        <v>22</v>
      </c>
      <c r="E220" s="7" t="s">
        <v>26</v>
      </c>
      <c r="F220" s="7" t="s">
        <v>41</v>
      </c>
      <c r="G220" s="7" t="str">
        <f t="shared" si="10"/>
        <v>Friday</v>
      </c>
      <c r="H220" s="7" t="str">
        <f t="shared" si="11"/>
        <v>Feb</v>
      </c>
      <c r="I220" s="8">
        <v>43508</v>
      </c>
      <c r="J220" s="8" t="str">
        <f t="shared" si="9"/>
        <v>Afternoon</v>
      </c>
      <c r="K220" s="9">
        <v>0.54027777777777775</v>
      </c>
      <c r="L220" s="7" t="s">
        <v>18</v>
      </c>
      <c r="M220" s="10">
        <v>37.948</v>
      </c>
      <c r="N220" s="7">
        <v>8.6999999999999993</v>
      </c>
    </row>
    <row r="221" spans="1:14" x14ac:dyDescent="0.25">
      <c r="A221" s="7" t="s">
        <v>250</v>
      </c>
      <c r="B221" s="7" t="s">
        <v>37</v>
      </c>
      <c r="C221" s="7" t="s">
        <v>38</v>
      </c>
      <c r="D221" s="7" t="s">
        <v>22</v>
      </c>
      <c r="E221" s="7" t="s">
        <v>16</v>
      </c>
      <c r="F221" s="7" t="s">
        <v>39</v>
      </c>
      <c r="G221" s="7" t="str">
        <f t="shared" si="10"/>
        <v>Tuesday</v>
      </c>
      <c r="H221" s="7" t="str">
        <f t="shared" si="11"/>
        <v>Mar</v>
      </c>
      <c r="I221" s="8">
        <v>43534</v>
      </c>
      <c r="J221" s="8" t="str">
        <f t="shared" si="9"/>
        <v>Evening</v>
      </c>
      <c r="K221" s="9">
        <v>0.7909722222222223</v>
      </c>
      <c r="L221" s="7" t="s">
        <v>28</v>
      </c>
      <c r="M221" s="10">
        <v>8.6010000000000009</v>
      </c>
      <c r="N221" s="7">
        <v>7.9</v>
      </c>
    </row>
    <row r="222" spans="1:14" x14ac:dyDescent="0.25">
      <c r="A222" s="7" t="s">
        <v>251</v>
      </c>
      <c r="B222" s="7" t="s">
        <v>37</v>
      </c>
      <c r="C222" s="7" t="s">
        <v>38</v>
      </c>
      <c r="D222" s="7" t="s">
        <v>22</v>
      </c>
      <c r="E222" s="7" t="s">
        <v>26</v>
      </c>
      <c r="F222" s="7" t="s">
        <v>23</v>
      </c>
      <c r="G222" s="7" t="str">
        <f t="shared" si="10"/>
        <v>Wednesday</v>
      </c>
      <c r="H222" s="7" t="str">
        <f t="shared" si="11"/>
        <v>Jan</v>
      </c>
      <c r="I222" s="8">
        <v>43496</v>
      </c>
      <c r="J222" s="8" t="str">
        <f t="shared" si="9"/>
        <v>Afternoon</v>
      </c>
      <c r="K222" s="9">
        <v>0.57222222222222219</v>
      </c>
      <c r="L222" s="7" t="s">
        <v>18</v>
      </c>
      <c r="M222" s="10">
        <v>13.605</v>
      </c>
      <c r="N222" s="7">
        <v>6.1</v>
      </c>
    </row>
    <row r="223" spans="1:14" x14ac:dyDescent="0.25">
      <c r="A223" s="7" t="s">
        <v>252</v>
      </c>
      <c r="B223" s="7" t="s">
        <v>37</v>
      </c>
      <c r="C223" s="7" t="s">
        <v>38</v>
      </c>
      <c r="D223" s="7" t="s">
        <v>22</v>
      </c>
      <c r="E223" s="7" t="s">
        <v>26</v>
      </c>
      <c r="F223" s="7" t="s">
        <v>39</v>
      </c>
      <c r="G223" s="7" t="str">
        <f t="shared" si="10"/>
        <v>Monday</v>
      </c>
      <c r="H223" s="7" t="str">
        <f t="shared" si="11"/>
        <v>Mar</v>
      </c>
      <c r="I223" s="8">
        <v>43530</v>
      </c>
      <c r="J223" s="8" t="str">
        <f t="shared" si="9"/>
        <v>Afternoon</v>
      </c>
      <c r="K223" s="9">
        <v>0.57361111111111118</v>
      </c>
      <c r="L223" s="7" t="s">
        <v>18</v>
      </c>
      <c r="M223" s="10">
        <v>21.728000000000002</v>
      </c>
      <c r="N223" s="7">
        <v>5.4</v>
      </c>
    </row>
    <row r="224" spans="1:14" x14ac:dyDescent="0.25">
      <c r="A224" s="7" t="s">
        <v>253</v>
      </c>
      <c r="B224" s="7" t="s">
        <v>20</v>
      </c>
      <c r="C224" s="7" t="s">
        <v>21</v>
      </c>
      <c r="D224" s="7" t="s">
        <v>22</v>
      </c>
      <c r="E224" s="7" t="s">
        <v>26</v>
      </c>
      <c r="F224" s="7" t="s">
        <v>23</v>
      </c>
      <c r="G224" s="7" t="str">
        <f t="shared" si="10"/>
        <v>Saturday</v>
      </c>
      <c r="H224" s="7" t="str">
        <f t="shared" si="11"/>
        <v>Feb</v>
      </c>
      <c r="I224" s="8">
        <v>43513</v>
      </c>
      <c r="J224" s="8" t="str">
        <f t="shared" si="9"/>
        <v>Evening</v>
      </c>
      <c r="K224" s="9">
        <v>0.75416666666666676</v>
      </c>
      <c r="L224" s="7" t="s">
        <v>24</v>
      </c>
      <c r="M224" s="10">
        <v>2.9525000000000001</v>
      </c>
      <c r="N224" s="7">
        <v>9.4</v>
      </c>
    </row>
    <row r="225" spans="1:14" x14ac:dyDescent="0.25">
      <c r="A225" s="7" t="s">
        <v>254</v>
      </c>
      <c r="B225" s="7" t="s">
        <v>20</v>
      </c>
      <c r="C225" s="7" t="s">
        <v>21</v>
      </c>
      <c r="D225" s="7" t="s">
        <v>15</v>
      </c>
      <c r="E225" s="7" t="s">
        <v>16</v>
      </c>
      <c r="F225" s="7" t="s">
        <v>41</v>
      </c>
      <c r="G225" s="7" t="str">
        <f t="shared" si="10"/>
        <v>Saturday</v>
      </c>
      <c r="H225" s="7" t="str">
        <f t="shared" si="11"/>
        <v>Feb</v>
      </c>
      <c r="I225" s="8">
        <v>43517</v>
      </c>
      <c r="J225" s="8" t="str">
        <f t="shared" si="9"/>
        <v>Afternoon</v>
      </c>
      <c r="K225" s="9">
        <v>0.52638888888888891</v>
      </c>
      <c r="L225" s="7" t="s">
        <v>24</v>
      </c>
      <c r="M225" s="10">
        <v>0.627</v>
      </c>
      <c r="N225" s="7">
        <v>8.1999999999999993</v>
      </c>
    </row>
    <row r="226" spans="1:14" x14ac:dyDescent="0.25">
      <c r="A226" s="7" t="s">
        <v>255</v>
      </c>
      <c r="B226" s="7" t="s">
        <v>13</v>
      </c>
      <c r="C226" s="7" t="s">
        <v>14</v>
      </c>
      <c r="D226" s="7" t="s">
        <v>22</v>
      </c>
      <c r="E226" s="7" t="s">
        <v>26</v>
      </c>
      <c r="F226" s="7" t="s">
        <v>39</v>
      </c>
      <c r="G226" s="7" t="str">
        <f t="shared" si="10"/>
        <v>Wednesday</v>
      </c>
      <c r="H226" s="7" t="str">
        <f t="shared" si="11"/>
        <v>Mar</v>
      </c>
      <c r="I226" s="8">
        <v>43544</v>
      </c>
      <c r="J226" s="8" t="str">
        <f t="shared" si="9"/>
        <v>Afternoon</v>
      </c>
      <c r="K226" s="9">
        <v>0.66388888888888886</v>
      </c>
      <c r="L226" s="7" t="s">
        <v>24</v>
      </c>
      <c r="M226" s="10">
        <v>4.3250000000000002</v>
      </c>
      <c r="N226" s="7">
        <v>6.2</v>
      </c>
    </row>
    <row r="227" spans="1:14" x14ac:dyDescent="0.25">
      <c r="A227" s="7" t="s">
        <v>256</v>
      </c>
      <c r="B227" s="7" t="s">
        <v>20</v>
      </c>
      <c r="C227" s="7" t="s">
        <v>21</v>
      </c>
      <c r="D227" s="7" t="s">
        <v>15</v>
      </c>
      <c r="E227" s="7" t="s">
        <v>16</v>
      </c>
      <c r="F227" s="7" t="s">
        <v>31</v>
      </c>
      <c r="G227" s="7" t="str">
        <f t="shared" si="10"/>
        <v>Sunday</v>
      </c>
      <c r="H227" s="7" t="str">
        <f t="shared" si="11"/>
        <v>Jan</v>
      </c>
      <c r="I227" s="8">
        <v>43476</v>
      </c>
      <c r="J227" s="8" t="str">
        <f t="shared" si="9"/>
        <v>Afternoon</v>
      </c>
      <c r="K227" s="9">
        <v>0.60347222222222219</v>
      </c>
      <c r="L227" s="7" t="s">
        <v>28</v>
      </c>
      <c r="M227" s="10">
        <v>8.7159999999999993</v>
      </c>
      <c r="N227" s="7">
        <v>9.6999999999999993</v>
      </c>
    </row>
    <row r="228" spans="1:14" x14ac:dyDescent="0.25">
      <c r="A228" s="7" t="s">
        <v>257</v>
      </c>
      <c r="B228" s="7" t="s">
        <v>37</v>
      </c>
      <c r="C228" s="7" t="s">
        <v>38</v>
      </c>
      <c r="D228" s="7" t="s">
        <v>15</v>
      </c>
      <c r="E228" s="7" t="s">
        <v>26</v>
      </c>
      <c r="F228" s="7" t="s">
        <v>17</v>
      </c>
      <c r="G228" s="7" t="str">
        <f t="shared" si="10"/>
        <v>Wednesday</v>
      </c>
      <c r="H228" s="7" t="str">
        <f t="shared" si="11"/>
        <v>Jan</v>
      </c>
      <c r="I228" s="8">
        <v>43491</v>
      </c>
      <c r="J228" s="8" t="str">
        <f t="shared" si="9"/>
        <v>Evening</v>
      </c>
      <c r="K228" s="9">
        <v>0.80138888888888893</v>
      </c>
      <c r="L228" s="7" t="s">
        <v>18</v>
      </c>
      <c r="M228" s="10">
        <v>31.2165</v>
      </c>
      <c r="N228" s="7">
        <v>4</v>
      </c>
    </row>
    <row r="229" spans="1:14" x14ac:dyDescent="0.25">
      <c r="A229" s="7" t="s">
        <v>258</v>
      </c>
      <c r="B229" s="7" t="s">
        <v>20</v>
      </c>
      <c r="C229" s="7" t="s">
        <v>21</v>
      </c>
      <c r="D229" s="7" t="s">
        <v>15</v>
      </c>
      <c r="E229" s="7" t="s">
        <v>26</v>
      </c>
      <c r="F229" s="7" t="s">
        <v>23</v>
      </c>
      <c r="G229" s="7" t="str">
        <f t="shared" si="10"/>
        <v>Wednesday</v>
      </c>
      <c r="H229" s="7" t="str">
        <f t="shared" si="11"/>
        <v>Jan</v>
      </c>
      <c r="I229" s="8">
        <v>43496</v>
      </c>
      <c r="J229" s="8" t="str">
        <f t="shared" si="9"/>
        <v>Evening</v>
      </c>
      <c r="K229" s="9">
        <v>0.68333333333333324</v>
      </c>
      <c r="L229" s="7" t="s">
        <v>18</v>
      </c>
      <c r="M229" s="10">
        <v>7.4119999999999999</v>
      </c>
      <c r="N229" s="7">
        <v>9.6999999999999993</v>
      </c>
    </row>
    <row r="230" spans="1:14" x14ac:dyDescent="0.25">
      <c r="A230" s="7" t="s">
        <v>259</v>
      </c>
      <c r="B230" s="7" t="s">
        <v>37</v>
      </c>
      <c r="C230" s="7" t="s">
        <v>38</v>
      </c>
      <c r="D230" s="7" t="s">
        <v>15</v>
      </c>
      <c r="E230" s="7" t="s">
        <v>16</v>
      </c>
      <c r="F230" s="7" t="s">
        <v>23</v>
      </c>
      <c r="G230" s="7" t="str">
        <f t="shared" si="10"/>
        <v>Sunday</v>
      </c>
      <c r="H230" s="7" t="str">
        <f t="shared" si="11"/>
        <v>Feb</v>
      </c>
      <c r="I230" s="8">
        <v>43522</v>
      </c>
      <c r="J230" s="8" t="str">
        <f t="shared" si="9"/>
        <v>Morning</v>
      </c>
      <c r="K230" s="9">
        <v>0.45277777777777778</v>
      </c>
      <c r="L230" s="7" t="s">
        <v>24</v>
      </c>
      <c r="M230" s="10">
        <v>27.21</v>
      </c>
      <c r="N230" s="7">
        <v>5.3</v>
      </c>
    </row>
    <row r="231" spans="1:14" x14ac:dyDescent="0.25">
      <c r="A231" s="7" t="s">
        <v>260</v>
      </c>
      <c r="B231" s="7" t="s">
        <v>13</v>
      </c>
      <c r="C231" s="7" t="s">
        <v>14</v>
      </c>
      <c r="D231" s="7" t="s">
        <v>22</v>
      </c>
      <c r="E231" s="7" t="s">
        <v>16</v>
      </c>
      <c r="F231" s="7" t="s">
        <v>27</v>
      </c>
      <c r="G231" s="7" t="str">
        <f t="shared" si="10"/>
        <v>Tuesday</v>
      </c>
      <c r="H231" s="7" t="str">
        <f t="shared" si="11"/>
        <v>Mar</v>
      </c>
      <c r="I231" s="8">
        <v>43535</v>
      </c>
      <c r="J231" s="8" t="str">
        <f t="shared" si="9"/>
        <v>Afternoon</v>
      </c>
      <c r="K231" s="9">
        <v>0.53819444444444442</v>
      </c>
      <c r="L231" s="7" t="s">
        <v>18</v>
      </c>
      <c r="M231" s="10">
        <v>25.367999999999999</v>
      </c>
      <c r="N231" s="7">
        <v>7.4</v>
      </c>
    </row>
    <row r="232" spans="1:14" x14ac:dyDescent="0.25">
      <c r="A232" s="7" t="s">
        <v>261</v>
      </c>
      <c r="B232" s="7" t="s">
        <v>37</v>
      </c>
      <c r="C232" s="7" t="s">
        <v>38</v>
      </c>
      <c r="D232" s="7" t="s">
        <v>22</v>
      </c>
      <c r="E232" s="7" t="s">
        <v>16</v>
      </c>
      <c r="F232" s="7" t="s">
        <v>41</v>
      </c>
      <c r="G232" s="7" t="str">
        <f t="shared" si="10"/>
        <v>Wednesday</v>
      </c>
      <c r="H232" s="7" t="str">
        <f t="shared" si="11"/>
        <v>Jan</v>
      </c>
      <c r="I232" s="8">
        <v>43491</v>
      </c>
      <c r="J232" s="8" t="str">
        <f t="shared" si="9"/>
        <v>Evening</v>
      </c>
      <c r="K232" s="9">
        <v>0.81111111111111101</v>
      </c>
      <c r="L232" s="7" t="s">
        <v>24</v>
      </c>
      <c r="M232" s="10">
        <v>8.1370000000000005</v>
      </c>
      <c r="N232" s="7">
        <v>6.5</v>
      </c>
    </row>
    <row r="233" spans="1:14" x14ac:dyDescent="0.25">
      <c r="A233" s="7" t="s">
        <v>262</v>
      </c>
      <c r="B233" s="7" t="s">
        <v>37</v>
      </c>
      <c r="C233" s="7" t="s">
        <v>38</v>
      </c>
      <c r="D233" s="7" t="s">
        <v>15</v>
      </c>
      <c r="E233" s="7" t="s">
        <v>16</v>
      </c>
      <c r="F233" s="7" t="s">
        <v>23</v>
      </c>
      <c r="G233" s="7" t="str">
        <f t="shared" si="10"/>
        <v>Tuesday</v>
      </c>
      <c r="H233" s="7" t="str">
        <f t="shared" si="11"/>
        <v>Mar</v>
      </c>
      <c r="I233" s="8">
        <v>43536</v>
      </c>
      <c r="J233" s="8" t="str">
        <f t="shared" si="9"/>
        <v>Afternoon</v>
      </c>
      <c r="K233" s="9">
        <v>0.57777777777777783</v>
      </c>
      <c r="L233" s="7" t="s">
        <v>28</v>
      </c>
      <c r="M233" s="10">
        <v>1.5885</v>
      </c>
      <c r="N233" s="7">
        <v>8.6999999999999993</v>
      </c>
    </row>
    <row r="234" spans="1:14" x14ac:dyDescent="0.25">
      <c r="A234" s="7" t="s">
        <v>263</v>
      </c>
      <c r="B234" s="7" t="s">
        <v>37</v>
      </c>
      <c r="C234" s="7" t="s">
        <v>38</v>
      </c>
      <c r="D234" s="7" t="s">
        <v>22</v>
      </c>
      <c r="E234" s="7" t="s">
        <v>16</v>
      </c>
      <c r="F234" s="7" t="s">
        <v>17</v>
      </c>
      <c r="G234" s="7" t="str">
        <f t="shared" si="10"/>
        <v>Friday</v>
      </c>
      <c r="H234" s="7" t="str">
        <f t="shared" si="11"/>
        <v>Feb</v>
      </c>
      <c r="I234" s="8">
        <v>43507</v>
      </c>
      <c r="J234" s="8" t="str">
        <f t="shared" si="9"/>
        <v>Morning</v>
      </c>
      <c r="K234" s="9">
        <v>0.45416666666666666</v>
      </c>
      <c r="L234" s="7" t="s">
        <v>24</v>
      </c>
      <c r="M234" s="10">
        <v>37.840499999999999</v>
      </c>
      <c r="N234" s="7">
        <v>8</v>
      </c>
    </row>
    <row r="235" spans="1:14" x14ac:dyDescent="0.25">
      <c r="A235" s="7" t="s">
        <v>264</v>
      </c>
      <c r="B235" s="7" t="s">
        <v>37</v>
      </c>
      <c r="C235" s="7" t="s">
        <v>38</v>
      </c>
      <c r="D235" s="7" t="s">
        <v>15</v>
      </c>
      <c r="E235" s="7" t="s">
        <v>26</v>
      </c>
      <c r="F235" s="7" t="s">
        <v>41</v>
      </c>
      <c r="G235" s="7" t="str">
        <f t="shared" si="10"/>
        <v>Saturday</v>
      </c>
      <c r="H235" s="7" t="str">
        <f t="shared" si="11"/>
        <v>Feb</v>
      </c>
      <c r="I235" s="8">
        <v>43517</v>
      </c>
      <c r="J235" s="8" t="str">
        <f t="shared" si="9"/>
        <v>Evening</v>
      </c>
      <c r="K235" s="9">
        <v>0.7715277777777777</v>
      </c>
      <c r="L235" s="7" t="s">
        <v>24</v>
      </c>
      <c r="M235" s="10">
        <v>14.763999999999999</v>
      </c>
      <c r="N235" s="7">
        <v>6.7</v>
      </c>
    </row>
    <row r="236" spans="1:14" x14ac:dyDescent="0.25">
      <c r="A236" s="7" t="s">
        <v>265</v>
      </c>
      <c r="B236" s="7" t="s">
        <v>13</v>
      </c>
      <c r="C236" s="7" t="s">
        <v>14</v>
      </c>
      <c r="D236" s="7" t="s">
        <v>15</v>
      </c>
      <c r="E236" s="7" t="s">
        <v>26</v>
      </c>
      <c r="F236" s="7" t="s">
        <v>17</v>
      </c>
      <c r="G236" s="7" t="str">
        <f t="shared" si="10"/>
        <v>Tuesday</v>
      </c>
      <c r="H236" s="7" t="str">
        <f t="shared" si="11"/>
        <v>Mar</v>
      </c>
      <c r="I236" s="8">
        <v>43533</v>
      </c>
      <c r="J236" s="8" t="str">
        <f t="shared" si="9"/>
        <v>Evening</v>
      </c>
      <c r="K236" s="9">
        <v>0.76666666666666661</v>
      </c>
      <c r="L236" s="7" t="s">
        <v>18</v>
      </c>
      <c r="M236" s="10">
        <v>25.97</v>
      </c>
      <c r="N236" s="7">
        <v>6.5</v>
      </c>
    </row>
    <row r="237" spans="1:14" x14ac:dyDescent="0.25">
      <c r="A237" s="7" t="s">
        <v>266</v>
      </c>
      <c r="B237" s="7" t="s">
        <v>13</v>
      </c>
      <c r="C237" s="7" t="s">
        <v>14</v>
      </c>
      <c r="D237" s="7" t="s">
        <v>22</v>
      </c>
      <c r="E237" s="7" t="s">
        <v>16</v>
      </c>
      <c r="F237" s="7" t="s">
        <v>31</v>
      </c>
      <c r="G237" s="7" t="str">
        <f t="shared" si="10"/>
        <v>Tuesday</v>
      </c>
      <c r="H237" s="7" t="str">
        <f t="shared" si="11"/>
        <v>Jan</v>
      </c>
      <c r="I237" s="8">
        <v>43485</v>
      </c>
      <c r="J237" s="8" t="str">
        <f t="shared" si="9"/>
        <v>Evening</v>
      </c>
      <c r="K237" s="9">
        <v>0.75624999999999998</v>
      </c>
      <c r="L237" s="7" t="s">
        <v>18</v>
      </c>
      <c r="M237" s="10">
        <v>9.3140000000000001</v>
      </c>
      <c r="N237" s="7">
        <v>4.0999999999999996</v>
      </c>
    </row>
    <row r="238" spans="1:14" x14ac:dyDescent="0.25">
      <c r="A238" s="7" t="s">
        <v>267</v>
      </c>
      <c r="B238" s="7" t="s">
        <v>20</v>
      </c>
      <c r="C238" s="7" t="s">
        <v>21</v>
      </c>
      <c r="D238" s="7" t="s">
        <v>22</v>
      </c>
      <c r="E238" s="7" t="s">
        <v>26</v>
      </c>
      <c r="F238" s="7" t="s">
        <v>17</v>
      </c>
      <c r="G238" s="7" t="str">
        <f t="shared" si="10"/>
        <v>Wednesday</v>
      </c>
      <c r="H238" s="7" t="str">
        <f t="shared" si="11"/>
        <v>Jan</v>
      </c>
      <c r="I238" s="8">
        <v>43493</v>
      </c>
      <c r="J238" s="8" t="str">
        <f t="shared" si="9"/>
        <v>Afternoon</v>
      </c>
      <c r="K238" s="9">
        <v>0.63611111111111118</v>
      </c>
      <c r="L238" s="7" t="s">
        <v>28</v>
      </c>
      <c r="M238" s="10">
        <v>4.3525</v>
      </c>
      <c r="N238" s="7">
        <v>4.9000000000000004</v>
      </c>
    </row>
    <row r="239" spans="1:14" x14ac:dyDescent="0.25">
      <c r="A239" s="7" t="s">
        <v>268</v>
      </c>
      <c r="B239" s="7" t="s">
        <v>20</v>
      </c>
      <c r="C239" s="7" t="s">
        <v>21</v>
      </c>
      <c r="D239" s="7" t="s">
        <v>15</v>
      </c>
      <c r="E239" s="7" t="s">
        <v>16</v>
      </c>
      <c r="F239" s="7" t="s">
        <v>41</v>
      </c>
      <c r="G239" s="7" t="str">
        <f t="shared" si="10"/>
        <v>Monday</v>
      </c>
      <c r="H239" s="7" t="str">
        <f t="shared" si="11"/>
        <v>Mar</v>
      </c>
      <c r="I239" s="8">
        <v>43529</v>
      </c>
      <c r="J239" s="8" t="str">
        <f t="shared" si="9"/>
        <v>Evening</v>
      </c>
      <c r="K239" s="9">
        <v>0.71319444444444446</v>
      </c>
      <c r="L239" s="7" t="s">
        <v>28</v>
      </c>
      <c r="M239" s="10">
        <v>11.055</v>
      </c>
      <c r="N239" s="7">
        <v>8.6</v>
      </c>
    </row>
    <row r="240" spans="1:14" x14ac:dyDescent="0.25">
      <c r="A240" s="7" t="s">
        <v>269</v>
      </c>
      <c r="B240" s="7" t="s">
        <v>37</v>
      </c>
      <c r="C240" s="7" t="s">
        <v>38</v>
      </c>
      <c r="D240" s="7" t="s">
        <v>15</v>
      </c>
      <c r="E240" s="7" t="s">
        <v>16</v>
      </c>
      <c r="F240" s="7" t="s">
        <v>23</v>
      </c>
      <c r="G240" s="7" t="str">
        <f t="shared" si="10"/>
        <v>Monday</v>
      </c>
      <c r="H240" s="7" t="str">
        <f t="shared" si="11"/>
        <v>Mar</v>
      </c>
      <c r="I240" s="8">
        <v>43526</v>
      </c>
      <c r="J240" s="8" t="str">
        <f t="shared" si="9"/>
        <v>Evening</v>
      </c>
      <c r="K240" s="9">
        <v>0.80972222222222223</v>
      </c>
      <c r="L240" s="7" t="s">
        <v>24</v>
      </c>
      <c r="M240" s="10">
        <v>3.3050000000000002</v>
      </c>
      <c r="N240" s="7">
        <v>4.3</v>
      </c>
    </row>
    <row r="241" spans="1:14" x14ac:dyDescent="0.25">
      <c r="A241" s="7" t="s">
        <v>270</v>
      </c>
      <c r="B241" s="7" t="s">
        <v>13</v>
      </c>
      <c r="C241" s="7" t="s">
        <v>14</v>
      </c>
      <c r="D241" s="7" t="s">
        <v>22</v>
      </c>
      <c r="E241" s="7" t="s">
        <v>26</v>
      </c>
      <c r="F241" s="7" t="s">
        <v>41</v>
      </c>
      <c r="G241" s="7" t="str">
        <f t="shared" si="10"/>
        <v>Sunday</v>
      </c>
      <c r="H241" s="7" t="str">
        <f t="shared" si="11"/>
        <v>Jan</v>
      </c>
      <c r="I241" s="8">
        <v>43476</v>
      </c>
      <c r="J241" s="8" t="str">
        <f t="shared" si="9"/>
        <v>Morning</v>
      </c>
      <c r="K241" s="9">
        <v>0.47222222222222227</v>
      </c>
      <c r="L241" s="7" t="s">
        <v>18</v>
      </c>
      <c r="M241" s="10">
        <v>4.4844999999999997</v>
      </c>
      <c r="N241" s="7">
        <v>4.9000000000000004</v>
      </c>
    </row>
    <row r="242" spans="1:14" x14ac:dyDescent="0.25">
      <c r="A242" s="7" t="s">
        <v>271</v>
      </c>
      <c r="B242" s="7" t="s">
        <v>13</v>
      </c>
      <c r="C242" s="7" t="s">
        <v>14</v>
      </c>
      <c r="D242" s="7" t="s">
        <v>22</v>
      </c>
      <c r="E242" s="7" t="s">
        <v>26</v>
      </c>
      <c r="F242" s="7" t="s">
        <v>39</v>
      </c>
      <c r="G242" s="7" t="str">
        <f t="shared" si="10"/>
        <v>Sunday</v>
      </c>
      <c r="H242" s="7" t="str">
        <f t="shared" si="11"/>
        <v>Jan</v>
      </c>
      <c r="I242" s="8">
        <v>43476</v>
      </c>
      <c r="J242" s="8" t="str">
        <f t="shared" si="9"/>
        <v>Evening</v>
      </c>
      <c r="K242" s="9">
        <v>0.7006944444444444</v>
      </c>
      <c r="L242" s="7" t="s">
        <v>28</v>
      </c>
      <c r="M242" s="10">
        <v>11.223000000000001</v>
      </c>
      <c r="N242" s="7">
        <v>5.6</v>
      </c>
    </row>
    <row r="243" spans="1:14" x14ac:dyDescent="0.25">
      <c r="A243" s="7" t="s">
        <v>272</v>
      </c>
      <c r="B243" s="7" t="s">
        <v>13</v>
      </c>
      <c r="C243" s="7" t="s">
        <v>14</v>
      </c>
      <c r="D243" s="7" t="s">
        <v>22</v>
      </c>
      <c r="E243" s="7" t="s">
        <v>26</v>
      </c>
      <c r="F243" s="7" t="s">
        <v>17</v>
      </c>
      <c r="G243" s="7" t="str">
        <f t="shared" si="10"/>
        <v>Tuesday</v>
      </c>
      <c r="H243" s="7" t="str">
        <f t="shared" si="11"/>
        <v>Mar</v>
      </c>
      <c r="I243" s="8">
        <v>43535</v>
      </c>
      <c r="J243" s="8" t="str">
        <f t="shared" si="9"/>
        <v>Afternoon</v>
      </c>
      <c r="K243" s="9">
        <v>0.50069444444444444</v>
      </c>
      <c r="L243" s="7" t="s">
        <v>28</v>
      </c>
      <c r="M243" s="10">
        <v>5.9770000000000003</v>
      </c>
      <c r="N243" s="7">
        <v>5.8</v>
      </c>
    </row>
    <row r="244" spans="1:14" x14ac:dyDescent="0.25">
      <c r="A244" s="7" t="s">
        <v>273</v>
      </c>
      <c r="B244" s="7" t="s">
        <v>20</v>
      </c>
      <c r="C244" s="7" t="s">
        <v>21</v>
      </c>
      <c r="D244" s="7" t="s">
        <v>15</v>
      </c>
      <c r="E244" s="7" t="s">
        <v>26</v>
      </c>
      <c r="F244" s="7" t="s">
        <v>41</v>
      </c>
      <c r="G244" s="7" t="str">
        <f t="shared" si="10"/>
        <v>Sunday</v>
      </c>
      <c r="H244" s="7" t="str">
        <f t="shared" si="11"/>
        <v>Feb</v>
      </c>
      <c r="I244" s="8">
        <v>43524</v>
      </c>
      <c r="J244" s="8" t="str">
        <f t="shared" si="9"/>
        <v>Evening</v>
      </c>
      <c r="K244" s="9">
        <v>0.77569444444444446</v>
      </c>
      <c r="L244" s="7" t="s">
        <v>28</v>
      </c>
      <c r="M244" s="10">
        <v>9.32</v>
      </c>
      <c r="N244" s="7">
        <v>6</v>
      </c>
    </row>
    <row r="245" spans="1:14" x14ac:dyDescent="0.25">
      <c r="A245" s="7" t="s">
        <v>274</v>
      </c>
      <c r="B245" s="7" t="s">
        <v>13</v>
      </c>
      <c r="C245" s="7" t="s">
        <v>14</v>
      </c>
      <c r="D245" s="7" t="s">
        <v>15</v>
      </c>
      <c r="E245" s="7" t="s">
        <v>26</v>
      </c>
      <c r="F245" s="7" t="s">
        <v>27</v>
      </c>
      <c r="G245" s="7" t="str">
        <f t="shared" si="10"/>
        <v>Sunday</v>
      </c>
      <c r="H245" s="7" t="str">
        <f t="shared" si="11"/>
        <v>Jan</v>
      </c>
      <c r="I245" s="8">
        <v>43470</v>
      </c>
      <c r="J245" s="8" t="str">
        <f t="shared" si="9"/>
        <v>Morning</v>
      </c>
      <c r="K245" s="9">
        <v>0.47569444444444442</v>
      </c>
      <c r="L245" s="7" t="s">
        <v>24</v>
      </c>
      <c r="M245" s="10">
        <v>12.53</v>
      </c>
      <c r="N245" s="7">
        <v>4.2</v>
      </c>
    </row>
    <row r="246" spans="1:14" x14ac:dyDescent="0.25">
      <c r="A246" s="7" t="s">
        <v>275</v>
      </c>
      <c r="B246" s="7" t="s">
        <v>37</v>
      </c>
      <c r="C246" s="7" t="s">
        <v>38</v>
      </c>
      <c r="D246" s="7" t="s">
        <v>22</v>
      </c>
      <c r="E246" s="7" t="s">
        <v>26</v>
      </c>
      <c r="F246" s="7" t="s">
        <v>27</v>
      </c>
      <c r="G246" s="7" t="str">
        <f t="shared" si="10"/>
        <v>Thursday</v>
      </c>
      <c r="H246" s="7" t="str">
        <f t="shared" si="11"/>
        <v>Feb</v>
      </c>
      <c r="I246" s="8">
        <v>43498</v>
      </c>
      <c r="J246" s="8" t="str">
        <f t="shared" si="9"/>
        <v>Evening</v>
      </c>
      <c r="K246" s="9">
        <v>0.77916666666666667</v>
      </c>
      <c r="L246" s="7" t="s">
        <v>28</v>
      </c>
      <c r="M246" s="10">
        <v>37.548000000000002</v>
      </c>
      <c r="N246" s="7">
        <v>8.3000000000000007</v>
      </c>
    </row>
    <row r="247" spans="1:14" x14ac:dyDescent="0.25">
      <c r="A247" s="7" t="s">
        <v>276</v>
      </c>
      <c r="B247" s="7" t="s">
        <v>13</v>
      </c>
      <c r="C247" s="7" t="s">
        <v>14</v>
      </c>
      <c r="D247" s="7" t="s">
        <v>15</v>
      </c>
      <c r="E247" s="7" t="s">
        <v>26</v>
      </c>
      <c r="F247" s="7" t="s">
        <v>27</v>
      </c>
      <c r="G247" s="7" t="str">
        <f t="shared" si="10"/>
        <v>Saturday</v>
      </c>
      <c r="H247" s="7" t="str">
        <f t="shared" si="11"/>
        <v>Jan</v>
      </c>
      <c r="I247" s="8">
        <v>43466</v>
      </c>
      <c r="J247" s="8" t="str">
        <f t="shared" si="9"/>
        <v>Afternoon</v>
      </c>
      <c r="K247" s="9">
        <v>0.61597222222222225</v>
      </c>
      <c r="L247" s="7" t="s">
        <v>24</v>
      </c>
      <c r="M247" s="10">
        <v>19.036000000000001</v>
      </c>
      <c r="N247" s="7">
        <v>5.7</v>
      </c>
    </row>
    <row r="248" spans="1:14" x14ac:dyDescent="0.25">
      <c r="A248" s="7" t="s">
        <v>277</v>
      </c>
      <c r="B248" s="7" t="s">
        <v>37</v>
      </c>
      <c r="C248" s="7" t="s">
        <v>38</v>
      </c>
      <c r="D248" s="7" t="s">
        <v>15</v>
      </c>
      <c r="E248" s="7" t="s">
        <v>16</v>
      </c>
      <c r="F248" s="7" t="s">
        <v>23</v>
      </c>
      <c r="G248" s="7" t="str">
        <f t="shared" si="10"/>
        <v>Friday</v>
      </c>
      <c r="H248" s="7" t="str">
        <f t="shared" si="11"/>
        <v>Feb</v>
      </c>
      <c r="I248" s="8">
        <v>43505</v>
      </c>
      <c r="J248" s="8" t="str">
        <f t="shared" si="9"/>
        <v>Evening</v>
      </c>
      <c r="K248" s="9">
        <v>0.82152777777777775</v>
      </c>
      <c r="L248" s="7" t="s">
        <v>24</v>
      </c>
      <c r="M248" s="10">
        <v>12.21</v>
      </c>
      <c r="N248" s="7">
        <v>4.8</v>
      </c>
    </row>
    <row r="249" spans="1:14" x14ac:dyDescent="0.25">
      <c r="A249" s="7" t="s">
        <v>278</v>
      </c>
      <c r="B249" s="7" t="s">
        <v>13</v>
      </c>
      <c r="C249" s="7" t="s">
        <v>14</v>
      </c>
      <c r="D249" s="7" t="s">
        <v>15</v>
      </c>
      <c r="E249" s="7" t="s">
        <v>26</v>
      </c>
      <c r="F249" s="7" t="s">
        <v>41</v>
      </c>
      <c r="G249" s="7" t="str">
        <f t="shared" si="10"/>
        <v>Tuesday</v>
      </c>
      <c r="H249" s="7" t="str">
        <f t="shared" si="11"/>
        <v>Jan</v>
      </c>
      <c r="I249" s="8">
        <v>43488</v>
      </c>
      <c r="J249" s="8" t="str">
        <f t="shared" si="9"/>
        <v>Afternoon</v>
      </c>
      <c r="K249" s="9">
        <v>0.58611111111111114</v>
      </c>
      <c r="L249" s="7" t="s">
        <v>18</v>
      </c>
      <c r="M249" s="10">
        <v>4.4850000000000003</v>
      </c>
      <c r="N249" s="7">
        <v>6.8</v>
      </c>
    </row>
    <row r="250" spans="1:14" x14ac:dyDescent="0.25">
      <c r="A250" s="7" t="s">
        <v>279</v>
      </c>
      <c r="B250" s="7" t="s">
        <v>13</v>
      </c>
      <c r="C250" s="7" t="s">
        <v>14</v>
      </c>
      <c r="D250" s="7" t="s">
        <v>15</v>
      </c>
      <c r="E250" s="7" t="s">
        <v>26</v>
      </c>
      <c r="F250" s="7" t="s">
        <v>23</v>
      </c>
      <c r="G250" s="7" t="str">
        <f t="shared" si="10"/>
        <v>Sunday</v>
      </c>
      <c r="H250" s="7" t="str">
        <f t="shared" si="11"/>
        <v>Jan</v>
      </c>
      <c r="I250" s="8">
        <v>43472</v>
      </c>
      <c r="J250" s="8" t="str">
        <f t="shared" si="9"/>
        <v>Evening</v>
      </c>
      <c r="K250" s="9">
        <v>0.6743055555555556</v>
      </c>
      <c r="L250" s="7" t="s">
        <v>28</v>
      </c>
      <c r="M250" s="10">
        <v>15.544</v>
      </c>
      <c r="N250" s="7">
        <v>8.8000000000000007</v>
      </c>
    </row>
    <row r="251" spans="1:14" x14ac:dyDescent="0.25">
      <c r="A251" s="7" t="s">
        <v>280</v>
      </c>
      <c r="B251" s="7" t="s">
        <v>37</v>
      </c>
      <c r="C251" s="7" t="s">
        <v>38</v>
      </c>
      <c r="D251" s="7" t="s">
        <v>22</v>
      </c>
      <c r="E251" s="7" t="s">
        <v>26</v>
      </c>
      <c r="F251" s="7" t="s">
        <v>39</v>
      </c>
      <c r="G251" s="7" t="str">
        <f t="shared" si="10"/>
        <v>Monday</v>
      </c>
      <c r="H251" s="7" t="str">
        <f t="shared" si="11"/>
        <v>Jan</v>
      </c>
      <c r="I251" s="8">
        <v>43479</v>
      </c>
      <c r="J251" s="8" t="str">
        <f t="shared" si="9"/>
        <v>Evening</v>
      </c>
      <c r="K251" s="9">
        <v>0.79583333333333339</v>
      </c>
      <c r="L251" s="7" t="s">
        <v>28</v>
      </c>
      <c r="M251" s="10">
        <v>25.571000000000002</v>
      </c>
      <c r="N251" s="7">
        <v>4.2</v>
      </c>
    </row>
    <row r="252" spans="1:14" x14ac:dyDescent="0.25">
      <c r="A252" s="7" t="s">
        <v>281</v>
      </c>
      <c r="B252" s="7" t="s">
        <v>37</v>
      </c>
      <c r="C252" s="7" t="s">
        <v>38</v>
      </c>
      <c r="D252" s="7" t="s">
        <v>15</v>
      </c>
      <c r="E252" s="7" t="s">
        <v>26</v>
      </c>
      <c r="F252" s="7" t="s">
        <v>39</v>
      </c>
      <c r="G252" s="7" t="str">
        <f t="shared" si="10"/>
        <v>Thursday</v>
      </c>
      <c r="H252" s="7" t="str">
        <f t="shared" si="11"/>
        <v>Feb</v>
      </c>
      <c r="I252" s="8">
        <v>43498</v>
      </c>
      <c r="J252" s="8" t="str">
        <f t="shared" si="9"/>
        <v>Afternoon</v>
      </c>
      <c r="K252" s="9">
        <v>0.64861111111111114</v>
      </c>
      <c r="L252" s="7" t="s">
        <v>18</v>
      </c>
      <c r="M252" s="10">
        <v>20.947500000000002</v>
      </c>
      <c r="N252" s="7">
        <v>6.4</v>
      </c>
    </row>
    <row r="253" spans="1:14" x14ac:dyDescent="0.25">
      <c r="A253" s="7" t="s">
        <v>282</v>
      </c>
      <c r="B253" s="7" t="s">
        <v>20</v>
      </c>
      <c r="C253" s="7" t="s">
        <v>21</v>
      </c>
      <c r="D253" s="7" t="s">
        <v>15</v>
      </c>
      <c r="E253" s="7" t="s">
        <v>26</v>
      </c>
      <c r="F253" s="7" t="s">
        <v>41</v>
      </c>
      <c r="G253" s="7" t="str">
        <f t="shared" si="10"/>
        <v>Wednesday</v>
      </c>
      <c r="H253" s="7" t="str">
        <f t="shared" si="11"/>
        <v>Mar</v>
      </c>
      <c r="I253" s="8">
        <v>43541</v>
      </c>
      <c r="J253" s="8" t="str">
        <f t="shared" si="9"/>
        <v>Evening</v>
      </c>
      <c r="K253" s="9">
        <v>0.79583333333333339</v>
      </c>
      <c r="L253" s="7" t="s">
        <v>28</v>
      </c>
      <c r="M253" s="10">
        <v>17.594999999999999</v>
      </c>
      <c r="N253" s="7">
        <v>8.4</v>
      </c>
    </row>
    <row r="254" spans="1:14" x14ac:dyDescent="0.25">
      <c r="A254" s="7" t="s">
        <v>283</v>
      </c>
      <c r="B254" s="7" t="s">
        <v>20</v>
      </c>
      <c r="C254" s="7" t="s">
        <v>21</v>
      </c>
      <c r="D254" s="7" t="s">
        <v>22</v>
      </c>
      <c r="E254" s="7" t="s">
        <v>16</v>
      </c>
      <c r="F254" s="7" t="s">
        <v>31</v>
      </c>
      <c r="G254" s="7" t="str">
        <f t="shared" si="10"/>
        <v>Monday</v>
      </c>
      <c r="H254" s="7" t="str">
        <f t="shared" si="11"/>
        <v>Mar</v>
      </c>
      <c r="I254" s="8">
        <v>43526</v>
      </c>
      <c r="J254" s="8" t="str">
        <f t="shared" si="9"/>
        <v>Evening</v>
      </c>
      <c r="K254" s="9">
        <v>0.8222222222222223</v>
      </c>
      <c r="L254" s="7" t="s">
        <v>28</v>
      </c>
      <c r="M254" s="10">
        <v>1.4390000000000001</v>
      </c>
      <c r="N254" s="7">
        <v>7.2</v>
      </c>
    </row>
    <row r="255" spans="1:14" x14ac:dyDescent="0.25">
      <c r="A255" s="7" t="s">
        <v>284</v>
      </c>
      <c r="B255" s="7" t="s">
        <v>13</v>
      </c>
      <c r="C255" s="7" t="s">
        <v>14</v>
      </c>
      <c r="D255" s="7" t="s">
        <v>22</v>
      </c>
      <c r="E255" s="7" t="s">
        <v>26</v>
      </c>
      <c r="F255" s="7" t="s">
        <v>27</v>
      </c>
      <c r="G255" s="7" t="str">
        <f t="shared" si="10"/>
        <v>Wednesday</v>
      </c>
      <c r="H255" s="7" t="str">
        <f t="shared" si="11"/>
        <v>Mar</v>
      </c>
      <c r="I255" s="8">
        <v>43540</v>
      </c>
      <c r="J255" s="8" t="str">
        <f t="shared" si="9"/>
        <v>Morning</v>
      </c>
      <c r="K255" s="9">
        <v>0.47361111111111115</v>
      </c>
      <c r="L255" s="7" t="s">
        <v>24</v>
      </c>
      <c r="M255" s="10">
        <v>4.75</v>
      </c>
      <c r="N255" s="7">
        <v>5.2</v>
      </c>
    </row>
    <row r="256" spans="1:14" x14ac:dyDescent="0.25">
      <c r="A256" s="7" t="s">
        <v>285</v>
      </c>
      <c r="B256" s="7" t="s">
        <v>13</v>
      </c>
      <c r="C256" s="7" t="s">
        <v>14</v>
      </c>
      <c r="D256" s="7" t="s">
        <v>15</v>
      </c>
      <c r="E256" s="7" t="s">
        <v>26</v>
      </c>
      <c r="F256" s="7" t="s">
        <v>27</v>
      </c>
      <c r="G256" s="7" t="str">
        <f t="shared" si="10"/>
        <v>Sunday</v>
      </c>
      <c r="H256" s="7" t="str">
        <f t="shared" si="11"/>
        <v>Jan</v>
      </c>
      <c r="I256" s="8">
        <v>43471</v>
      </c>
      <c r="J256" s="8" t="str">
        <f t="shared" si="9"/>
        <v>Morning</v>
      </c>
      <c r="K256" s="9">
        <v>0.47430555555555554</v>
      </c>
      <c r="L256" s="7" t="s">
        <v>24</v>
      </c>
      <c r="M256" s="10">
        <v>23.56</v>
      </c>
      <c r="N256" s="7">
        <v>8.9</v>
      </c>
    </row>
    <row r="257" spans="1:14" x14ac:dyDescent="0.25">
      <c r="A257" s="7" t="s">
        <v>286</v>
      </c>
      <c r="B257" s="7" t="s">
        <v>37</v>
      </c>
      <c r="C257" s="7" t="s">
        <v>38</v>
      </c>
      <c r="D257" s="7" t="s">
        <v>15</v>
      </c>
      <c r="E257" s="7" t="s">
        <v>26</v>
      </c>
      <c r="F257" s="7" t="s">
        <v>41</v>
      </c>
      <c r="G257" s="7" t="str">
        <f t="shared" si="10"/>
        <v>Wednesday</v>
      </c>
      <c r="H257" s="7" t="str">
        <f t="shared" si="11"/>
        <v>Jan</v>
      </c>
      <c r="I257" s="8">
        <v>43494</v>
      </c>
      <c r="J257" s="8" t="str">
        <f t="shared" si="9"/>
        <v>Afternoon</v>
      </c>
      <c r="K257" s="9">
        <v>0.59166666666666667</v>
      </c>
      <c r="L257" s="7" t="s">
        <v>24</v>
      </c>
      <c r="M257" s="10">
        <v>6.524</v>
      </c>
      <c r="N257" s="7">
        <v>9</v>
      </c>
    </row>
    <row r="258" spans="1:14" x14ac:dyDescent="0.25">
      <c r="A258" s="7" t="s">
        <v>287</v>
      </c>
      <c r="B258" s="7" t="s">
        <v>13</v>
      </c>
      <c r="C258" s="7" t="s">
        <v>14</v>
      </c>
      <c r="D258" s="7" t="s">
        <v>15</v>
      </c>
      <c r="E258" s="7" t="s">
        <v>26</v>
      </c>
      <c r="F258" s="7" t="s">
        <v>23</v>
      </c>
      <c r="G258" s="7" t="str">
        <f t="shared" si="10"/>
        <v>Wednesday</v>
      </c>
      <c r="H258" s="7" t="str">
        <f t="shared" si="11"/>
        <v>Jan</v>
      </c>
      <c r="I258" s="8">
        <v>43496</v>
      </c>
      <c r="J258" s="8" t="str">
        <f t="shared" ref="J258:J321" si="12">IF(AND(K258&gt;=TIME(9,0,0),K258&lt;TIME(12,0,0)),"Morning",IF(AND(K258&gt;=TIME(12,0,0),K258&lt;TIME(16,0,0)),"Afternoon","Evening"))</f>
        <v>Morning</v>
      </c>
      <c r="K258" s="9">
        <v>0.44861111111111113</v>
      </c>
      <c r="L258" s="7" t="s">
        <v>28</v>
      </c>
      <c r="M258" s="10">
        <v>3.3174999999999999</v>
      </c>
      <c r="N258" s="7">
        <v>9.6999999999999993</v>
      </c>
    </row>
    <row r="259" spans="1:14" x14ac:dyDescent="0.25">
      <c r="A259" s="7" t="s">
        <v>288</v>
      </c>
      <c r="B259" s="7" t="s">
        <v>13</v>
      </c>
      <c r="C259" s="7" t="s">
        <v>14</v>
      </c>
      <c r="D259" s="7" t="s">
        <v>15</v>
      </c>
      <c r="E259" s="7" t="s">
        <v>26</v>
      </c>
      <c r="F259" s="7" t="s">
        <v>27</v>
      </c>
      <c r="G259" s="7" t="str">
        <f t="shared" ref="G259:G322" si="13">TEXT(I259/7,"dddd")</f>
        <v>Thursday</v>
      </c>
      <c r="H259" s="7" t="str">
        <f t="shared" ref="H259:H322" si="14">TEXT(I259,"mmm")</f>
        <v>Feb</v>
      </c>
      <c r="I259" s="8">
        <v>43501</v>
      </c>
      <c r="J259" s="8" t="str">
        <f t="shared" si="12"/>
        <v>Morning</v>
      </c>
      <c r="K259" s="9">
        <v>0.42777777777777781</v>
      </c>
      <c r="L259" s="7" t="s">
        <v>18</v>
      </c>
      <c r="M259" s="10">
        <v>7.7729999999999997</v>
      </c>
      <c r="N259" s="7">
        <v>8.6999999999999993</v>
      </c>
    </row>
    <row r="260" spans="1:14" x14ac:dyDescent="0.25">
      <c r="A260" s="7" t="s">
        <v>289</v>
      </c>
      <c r="B260" s="7" t="s">
        <v>13</v>
      </c>
      <c r="C260" s="7" t="s">
        <v>14</v>
      </c>
      <c r="D260" s="7" t="s">
        <v>15</v>
      </c>
      <c r="E260" s="7" t="s">
        <v>26</v>
      </c>
      <c r="F260" s="7" t="s">
        <v>23</v>
      </c>
      <c r="G260" s="7" t="str">
        <f t="shared" si="13"/>
        <v>Friday</v>
      </c>
      <c r="H260" s="7" t="str">
        <f t="shared" si="14"/>
        <v>Feb</v>
      </c>
      <c r="I260" s="8">
        <v>43509</v>
      </c>
      <c r="J260" s="8" t="str">
        <f t="shared" si="12"/>
        <v>Afternoon</v>
      </c>
      <c r="K260" s="9">
        <v>0.52638888888888891</v>
      </c>
      <c r="L260" s="7" t="s">
        <v>18</v>
      </c>
      <c r="M260" s="10">
        <v>6.45</v>
      </c>
      <c r="N260" s="7">
        <v>6.5</v>
      </c>
    </row>
    <row r="261" spans="1:14" x14ac:dyDescent="0.25">
      <c r="A261" s="7" t="s">
        <v>290</v>
      </c>
      <c r="B261" s="7" t="s">
        <v>20</v>
      </c>
      <c r="C261" s="7" t="s">
        <v>21</v>
      </c>
      <c r="D261" s="7" t="s">
        <v>15</v>
      </c>
      <c r="E261" s="7" t="s">
        <v>26</v>
      </c>
      <c r="F261" s="7" t="s">
        <v>23</v>
      </c>
      <c r="G261" s="7" t="str">
        <f t="shared" si="13"/>
        <v>Thursday</v>
      </c>
      <c r="H261" s="7" t="str">
        <f t="shared" si="14"/>
        <v>Feb</v>
      </c>
      <c r="I261" s="8">
        <v>43503</v>
      </c>
      <c r="J261" s="8" t="str">
        <f t="shared" si="12"/>
        <v>Afternoon</v>
      </c>
      <c r="K261" s="9">
        <v>0.54513888888888895</v>
      </c>
      <c r="L261" s="7" t="s">
        <v>28</v>
      </c>
      <c r="M261" s="10">
        <v>13.188000000000001</v>
      </c>
      <c r="N261" s="7">
        <v>6.9</v>
      </c>
    </row>
    <row r="262" spans="1:14" x14ac:dyDescent="0.25">
      <c r="A262" s="7" t="s">
        <v>291</v>
      </c>
      <c r="B262" s="7" t="s">
        <v>13</v>
      </c>
      <c r="C262" s="7" t="s">
        <v>14</v>
      </c>
      <c r="D262" s="7" t="s">
        <v>22</v>
      </c>
      <c r="E262" s="7" t="s">
        <v>16</v>
      </c>
      <c r="F262" s="7" t="s">
        <v>23</v>
      </c>
      <c r="G262" s="7" t="str">
        <f t="shared" si="13"/>
        <v>Wednesday</v>
      </c>
      <c r="H262" s="7" t="str">
        <f t="shared" si="14"/>
        <v>Mar</v>
      </c>
      <c r="I262" s="8">
        <v>43543</v>
      </c>
      <c r="J262" s="8" t="str">
        <f t="shared" si="12"/>
        <v>Afternoon</v>
      </c>
      <c r="K262" s="9">
        <v>0.55902777777777779</v>
      </c>
      <c r="L262" s="7" t="s">
        <v>18</v>
      </c>
      <c r="M262" s="10">
        <v>33.777000000000001</v>
      </c>
      <c r="N262" s="7">
        <v>6.2</v>
      </c>
    </row>
    <row r="263" spans="1:14" x14ac:dyDescent="0.25">
      <c r="A263" s="7" t="s">
        <v>292</v>
      </c>
      <c r="B263" s="7" t="s">
        <v>20</v>
      </c>
      <c r="C263" s="7" t="s">
        <v>21</v>
      </c>
      <c r="D263" s="7" t="s">
        <v>22</v>
      </c>
      <c r="E263" s="7" t="s">
        <v>16</v>
      </c>
      <c r="F263" s="7" t="s">
        <v>41</v>
      </c>
      <c r="G263" s="7" t="str">
        <f t="shared" si="13"/>
        <v>Monday</v>
      </c>
      <c r="H263" s="7" t="str">
        <f t="shared" si="14"/>
        <v>Mar</v>
      </c>
      <c r="I263" s="8">
        <v>43531</v>
      </c>
      <c r="J263" s="8" t="str">
        <f t="shared" si="12"/>
        <v>Afternoon</v>
      </c>
      <c r="K263" s="9">
        <v>0.62013888888888891</v>
      </c>
      <c r="L263" s="7" t="s">
        <v>18</v>
      </c>
      <c r="M263" s="10">
        <v>3.29</v>
      </c>
      <c r="N263" s="7">
        <v>5.6</v>
      </c>
    </row>
    <row r="264" spans="1:14" x14ac:dyDescent="0.25">
      <c r="A264" s="7" t="s">
        <v>293</v>
      </c>
      <c r="B264" s="7" t="s">
        <v>37</v>
      </c>
      <c r="C264" s="7" t="s">
        <v>38</v>
      </c>
      <c r="D264" s="7" t="s">
        <v>15</v>
      </c>
      <c r="E264" s="7" t="s">
        <v>16</v>
      </c>
      <c r="F264" s="7" t="s">
        <v>41</v>
      </c>
      <c r="G264" s="7" t="str">
        <f t="shared" si="13"/>
        <v>Tuesday</v>
      </c>
      <c r="H264" s="7" t="str">
        <f t="shared" si="14"/>
        <v>Mar</v>
      </c>
      <c r="I264" s="8">
        <v>43537</v>
      </c>
      <c r="J264" s="8" t="str">
        <f t="shared" si="12"/>
        <v>Evening</v>
      </c>
      <c r="K264" s="9">
        <v>0.80694444444444446</v>
      </c>
      <c r="L264" s="7" t="s">
        <v>24</v>
      </c>
      <c r="M264" s="10">
        <v>7.66</v>
      </c>
      <c r="N264" s="7">
        <v>5.7</v>
      </c>
    </row>
    <row r="265" spans="1:14" x14ac:dyDescent="0.25">
      <c r="A265" s="7" t="s">
        <v>294</v>
      </c>
      <c r="B265" s="7" t="s">
        <v>13</v>
      </c>
      <c r="C265" s="7" t="s">
        <v>14</v>
      </c>
      <c r="D265" s="7" t="s">
        <v>15</v>
      </c>
      <c r="E265" s="7" t="s">
        <v>16</v>
      </c>
      <c r="F265" s="7" t="s">
        <v>31</v>
      </c>
      <c r="G265" s="7" t="str">
        <f t="shared" si="13"/>
        <v>Friday</v>
      </c>
      <c r="H265" s="7" t="str">
        <f t="shared" si="14"/>
        <v>Feb</v>
      </c>
      <c r="I265" s="8">
        <v>43505</v>
      </c>
      <c r="J265" s="8" t="str">
        <f t="shared" si="12"/>
        <v>Morning</v>
      </c>
      <c r="K265" s="9">
        <v>0.45833333333333331</v>
      </c>
      <c r="L265" s="7" t="s">
        <v>24</v>
      </c>
      <c r="M265" s="10">
        <v>11.12</v>
      </c>
      <c r="N265" s="7">
        <v>4.2</v>
      </c>
    </row>
    <row r="266" spans="1:14" x14ac:dyDescent="0.25">
      <c r="A266" s="7" t="s">
        <v>295</v>
      </c>
      <c r="B266" s="7" t="s">
        <v>37</v>
      </c>
      <c r="C266" s="7" t="s">
        <v>38</v>
      </c>
      <c r="D266" s="7" t="s">
        <v>22</v>
      </c>
      <c r="E266" s="7" t="s">
        <v>26</v>
      </c>
      <c r="F266" s="7" t="s">
        <v>31</v>
      </c>
      <c r="G266" s="7" t="str">
        <f t="shared" si="13"/>
        <v>Sunday</v>
      </c>
      <c r="H266" s="7" t="str">
        <f t="shared" si="14"/>
        <v>Feb</v>
      </c>
      <c r="I266" s="8">
        <v>43522</v>
      </c>
      <c r="J266" s="8" t="str">
        <f t="shared" si="12"/>
        <v>Evening</v>
      </c>
      <c r="K266" s="9">
        <v>0.80833333333333324</v>
      </c>
      <c r="L266" s="7" t="s">
        <v>18</v>
      </c>
      <c r="M266" s="10">
        <v>2.7225000000000001</v>
      </c>
      <c r="N266" s="7">
        <v>7.9</v>
      </c>
    </row>
    <row r="267" spans="1:14" x14ac:dyDescent="0.25">
      <c r="A267" s="7" t="s">
        <v>296</v>
      </c>
      <c r="B267" s="7" t="s">
        <v>13</v>
      </c>
      <c r="C267" s="7" t="s">
        <v>14</v>
      </c>
      <c r="D267" s="7" t="s">
        <v>15</v>
      </c>
      <c r="E267" s="7" t="s">
        <v>16</v>
      </c>
      <c r="F267" s="7" t="s">
        <v>31</v>
      </c>
      <c r="G267" s="7" t="str">
        <f t="shared" si="13"/>
        <v>Tuesday</v>
      </c>
      <c r="H267" s="7" t="str">
        <f t="shared" si="14"/>
        <v>Mar</v>
      </c>
      <c r="I267" s="8">
        <v>43536</v>
      </c>
      <c r="J267" s="8" t="str">
        <f t="shared" si="12"/>
        <v>Afternoon</v>
      </c>
      <c r="K267" s="9">
        <v>0.52986111111111112</v>
      </c>
      <c r="L267" s="7" t="s">
        <v>28</v>
      </c>
      <c r="M267" s="10">
        <v>34.44</v>
      </c>
      <c r="N267" s="7">
        <v>8.6999999999999993</v>
      </c>
    </row>
    <row r="268" spans="1:14" x14ac:dyDescent="0.25">
      <c r="A268" s="7" t="s">
        <v>297</v>
      </c>
      <c r="B268" s="7" t="s">
        <v>20</v>
      </c>
      <c r="C268" s="7" t="s">
        <v>21</v>
      </c>
      <c r="D268" s="7" t="s">
        <v>22</v>
      </c>
      <c r="E268" s="7" t="s">
        <v>26</v>
      </c>
      <c r="F268" s="7" t="s">
        <v>27</v>
      </c>
      <c r="G268" s="7" t="str">
        <f t="shared" si="13"/>
        <v>Tuesday</v>
      </c>
      <c r="H268" s="7" t="str">
        <f t="shared" si="14"/>
        <v>Mar</v>
      </c>
      <c r="I268" s="8">
        <v>43538</v>
      </c>
      <c r="J268" s="8" t="str">
        <f t="shared" si="12"/>
        <v>Evening</v>
      </c>
      <c r="K268" s="9">
        <v>0.72361111111111109</v>
      </c>
      <c r="L268" s="7" t="s">
        <v>28</v>
      </c>
      <c r="M268" s="10">
        <v>7.0940000000000003</v>
      </c>
      <c r="N268" s="7">
        <v>6.9</v>
      </c>
    </row>
    <row r="269" spans="1:14" x14ac:dyDescent="0.25">
      <c r="A269" s="7" t="s">
        <v>298</v>
      </c>
      <c r="B269" s="7" t="s">
        <v>37</v>
      </c>
      <c r="C269" s="7" t="s">
        <v>38</v>
      </c>
      <c r="D269" s="7" t="s">
        <v>15</v>
      </c>
      <c r="E269" s="7" t="s">
        <v>16</v>
      </c>
      <c r="F269" s="7" t="s">
        <v>39</v>
      </c>
      <c r="G269" s="7" t="str">
        <f t="shared" si="13"/>
        <v>Sunday</v>
      </c>
      <c r="H269" s="7" t="str">
        <f t="shared" si="14"/>
        <v>Jan</v>
      </c>
      <c r="I269" s="8">
        <v>43473</v>
      </c>
      <c r="J269" s="8" t="str">
        <f t="shared" si="12"/>
        <v>Evening</v>
      </c>
      <c r="K269" s="9">
        <v>0.87152777777777779</v>
      </c>
      <c r="L269" s="7" t="s">
        <v>24</v>
      </c>
      <c r="M269" s="10">
        <v>37.299999999999997</v>
      </c>
      <c r="N269" s="7">
        <v>9.5</v>
      </c>
    </row>
    <row r="270" spans="1:14" x14ac:dyDescent="0.25">
      <c r="A270" s="7" t="s">
        <v>299</v>
      </c>
      <c r="B270" s="7" t="s">
        <v>13</v>
      </c>
      <c r="C270" s="7" t="s">
        <v>14</v>
      </c>
      <c r="D270" s="7" t="s">
        <v>15</v>
      </c>
      <c r="E270" s="7" t="s">
        <v>26</v>
      </c>
      <c r="F270" s="7" t="s">
        <v>27</v>
      </c>
      <c r="G270" s="7" t="str">
        <f t="shared" si="13"/>
        <v>Sunday</v>
      </c>
      <c r="H270" s="7" t="str">
        <f t="shared" si="14"/>
        <v>Jan</v>
      </c>
      <c r="I270" s="8">
        <v>43470</v>
      </c>
      <c r="J270" s="8" t="str">
        <f t="shared" si="12"/>
        <v>Evening</v>
      </c>
      <c r="K270" s="9">
        <v>0.67013888888888884</v>
      </c>
      <c r="L270" s="7" t="s">
        <v>28</v>
      </c>
      <c r="M270" s="10">
        <v>14.148</v>
      </c>
      <c r="N270" s="7">
        <v>4.4000000000000004</v>
      </c>
    </row>
    <row r="271" spans="1:14" x14ac:dyDescent="0.25">
      <c r="A271" s="7" t="s">
        <v>300</v>
      </c>
      <c r="B271" s="7" t="s">
        <v>13</v>
      </c>
      <c r="C271" s="7" t="s">
        <v>14</v>
      </c>
      <c r="D271" s="7" t="s">
        <v>15</v>
      </c>
      <c r="E271" s="7" t="s">
        <v>16</v>
      </c>
      <c r="F271" s="7" t="s">
        <v>27</v>
      </c>
      <c r="G271" s="7" t="str">
        <f t="shared" si="13"/>
        <v>Saturday</v>
      </c>
      <c r="H271" s="7" t="str">
        <f t="shared" si="14"/>
        <v>Jan</v>
      </c>
      <c r="I271" s="8">
        <v>43469</v>
      </c>
      <c r="J271" s="8" t="str">
        <f t="shared" si="12"/>
        <v>Afternoon</v>
      </c>
      <c r="K271" s="9">
        <v>0.56527777777777777</v>
      </c>
      <c r="L271" s="7" t="s">
        <v>18</v>
      </c>
      <c r="M271" s="10">
        <v>17.77</v>
      </c>
      <c r="N271" s="7">
        <v>7</v>
      </c>
    </row>
    <row r="272" spans="1:14" x14ac:dyDescent="0.25">
      <c r="A272" s="7" t="s">
        <v>301</v>
      </c>
      <c r="B272" s="7" t="s">
        <v>37</v>
      </c>
      <c r="C272" s="7" t="s">
        <v>38</v>
      </c>
      <c r="D272" s="7" t="s">
        <v>22</v>
      </c>
      <c r="E272" s="7" t="s">
        <v>16</v>
      </c>
      <c r="F272" s="7" t="s">
        <v>31</v>
      </c>
      <c r="G272" s="7" t="str">
        <f t="shared" si="13"/>
        <v>Monday</v>
      </c>
      <c r="H272" s="7" t="str">
        <f t="shared" si="14"/>
        <v>Mar</v>
      </c>
      <c r="I272" s="8">
        <v>43530</v>
      </c>
      <c r="J272" s="8" t="str">
        <f t="shared" si="12"/>
        <v>Evening</v>
      </c>
      <c r="K272" s="9">
        <v>0.75902777777777775</v>
      </c>
      <c r="L272" s="7" t="s">
        <v>18</v>
      </c>
      <c r="M272" s="10">
        <v>16.857500000000002</v>
      </c>
      <c r="N272" s="7">
        <v>6.3</v>
      </c>
    </row>
    <row r="273" spans="1:14" x14ac:dyDescent="0.25">
      <c r="A273" s="7" t="s">
        <v>302</v>
      </c>
      <c r="B273" s="7" t="s">
        <v>20</v>
      </c>
      <c r="C273" s="7" t="s">
        <v>21</v>
      </c>
      <c r="D273" s="7" t="s">
        <v>15</v>
      </c>
      <c r="E273" s="7" t="s">
        <v>16</v>
      </c>
      <c r="F273" s="7" t="s">
        <v>17</v>
      </c>
      <c r="G273" s="7" t="str">
        <f t="shared" si="13"/>
        <v>Saturday</v>
      </c>
      <c r="H273" s="7" t="str">
        <f t="shared" si="14"/>
        <v>Jan</v>
      </c>
      <c r="I273" s="8">
        <v>43468</v>
      </c>
      <c r="J273" s="8" t="str">
        <f t="shared" si="12"/>
        <v>Evening</v>
      </c>
      <c r="K273" s="9">
        <v>0.80347222222222225</v>
      </c>
      <c r="L273" s="7" t="s">
        <v>24</v>
      </c>
      <c r="M273" s="10">
        <v>2.1120000000000001</v>
      </c>
      <c r="N273" s="7">
        <v>9.6999999999999993</v>
      </c>
    </row>
    <row r="274" spans="1:14" x14ac:dyDescent="0.25">
      <c r="A274" s="7" t="s">
        <v>303</v>
      </c>
      <c r="B274" s="7" t="s">
        <v>13</v>
      </c>
      <c r="C274" s="7" t="s">
        <v>14</v>
      </c>
      <c r="D274" s="7" t="s">
        <v>15</v>
      </c>
      <c r="E274" s="7" t="s">
        <v>16</v>
      </c>
      <c r="F274" s="7" t="s">
        <v>27</v>
      </c>
      <c r="G274" s="7" t="str">
        <f t="shared" si="13"/>
        <v>Sunday</v>
      </c>
      <c r="H274" s="7" t="str">
        <f t="shared" si="14"/>
        <v>Jan</v>
      </c>
      <c r="I274" s="8">
        <v>43472</v>
      </c>
      <c r="J274" s="8" t="str">
        <f t="shared" si="12"/>
        <v>Morning</v>
      </c>
      <c r="K274" s="9">
        <v>0.48888888888888887</v>
      </c>
      <c r="L274" s="7" t="s">
        <v>28</v>
      </c>
      <c r="M274" s="10">
        <v>9.6929999999999996</v>
      </c>
      <c r="N274" s="7">
        <v>8.8000000000000007</v>
      </c>
    </row>
    <row r="275" spans="1:14" x14ac:dyDescent="0.25">
      <c r="A275" s="7" t="s">
        <v>304</v>
      </c>
      <c r="B275" s="7" t="s">
        <v>13</v>
      </c>
      <c r="C275" s="7" t="s">
        <v>14</v>
      </c>
      <c r="D275" s="7" t="s">
        <v>22</v>
      </c>
      <c r="E275" s="7" t="s">
        <v>16</v>
      </c>
      <c r="F275" s="7" t="s">
        <v>27</v>
      </c>
      <c r="G275" s="7" t="str">
        <f t="shared" si="13"/>
        <v>Wednesday</v>
      </c>
      <c r="H275" s="7" t="str">
        <f t="shared" si="14"/>
        <v>Jan</v>
      </c>
      <c r="I275" s="8">
        <v>43492</v>
      </c>
      <c r="J275" s="8" t="str">
        <f t="shared" si="12"/>
        <v>Afternoon</v>
      </c>
      <c r="K275" s="9">
        <v>0.66041666666666665</v>
      </c>
      <c r="L275" s="7" t="s">
        <v>24</v>
      </c>
      <c r="M275" s="10">
        <v>1.2030000000000001</v>
      </c>
      <c r="N275" s="7">
        <v>5.0999999999999996</v>
      </c>
    </row>
    <row r="276" spans="1:14" x14ac:dyDescent="0.25">
      <c r="A276" s="7" t="s">
        <v>305</v>
      </c>
      <c r="B276" s="7" t="s">
        <v>37</v>
      </c>
      <c r="C276" s="7" t="s">
        <v>38</v>
      </c>
      <c r="D276" s="7" t="s">
        <v>22</v>
      </c>
      <c r="E276" s="7" t="s">
        <v>16</v>
      </c>
      <c r="F276" s="7" t="s">
        <v>17</v>
      </c>
      <c r="G276" s="7" t="str">
        <f t="shared" si="13"/>
        <v>Sunday</v>
      </c>
      <c r="H276" s="7" t="str">
        <f t="shared" si="14"/>
        <v>Feb</v>
      </c>
      <c r="I276" s="8">
        <v>43522</v>
      </c>
      <c r="J276" s="8" t="str">
        <f t="shared" si="12"/>
        <v>Evening</v>
      </c>
      <c r="K276" s="9">
        <v>0.70277777777777783</v>
      </c>
      <c r="L276" s="7" t="s">
        <v>18</v>
      </c>
      <c r="M276" s="10">
        <v>29.913</v>
      </c>
      <c r="N276" s="7">
        <v>7.9</v>
      </c>
    </row>
    <row r="277" spans="1:14" x14ac:dyDescent="0.25">
      <c r="A277" s="7" t="s">
        <v>306</v>
      </c>
      <c r="B277" s="7" t="s">
        <v>37</v>
      </c>
      <c r="C277" s="7" t="s">
        <v>38</v>
      </c>
      <c r="D277" s="7" t="s">
        <v>22</v>
      </c>
      <c r="E277" s="7" t="s">
        <v>26</v>
      </c>
      <c r="F277" s="7" t="s">
        <v>41</v>
      </c>
      <c r="G277" s="7" t="str">
        <f t="shared" si="13"/>
        <v>Sunday</v>
      </c>
      <c r="H277" s="7" t="str">
        <f t="shared" si="14"/>
        <v>Jan</v>
      </c>
      <c r="I277" s="8">
        <v>43472</v>
      </c>
      <c r="J277" s="8" t="str">
        <f t="shared" si="12"/>
        <v>Evening</v>
      </c>
      <c r="K277" s="9">
        <v>0.86944444444444446</v>
      </c>
      <c r="L277" s="7" t="s">
        <v>24</v>
      </c>
      <c r="M277" s="10">
        <v>16.7895</v>
      </c>
      <c r="N277" s="7">
        <v>6.2</v>
      </c>
    </row>
    <row r="278" spans="1:14" x14ac:dyDescent="0.25">
      <c r="A278" s="7" t="s">
        <v>307</v>
      </c>
      <c r="B278" s="7" t="s">
        <v>20</v>
      </c>
      <c r="C278" s="7" t="s">
        <v>21</v>
      </c>
      <c r="D278" s="7" t="s">
        <v>15</v>
      </c>
      <c r="E278" s="7" t="s">
        <v>16</v>
      </c>
      <c r="F278" s="7" t="s">
        <v>27</v>
      </c>
      <c r="G278" s="7" t="str">
        <f t="shared" si="13"/>
        <v>Sunday</v>
      </c>
      <c r="H278" s="7" t="str">
        <f t="shared" si="14"/>
        <v>Jan</v>
      </c>
      <c r="I278" s="8">
        <v>43472</v>
      </c>
      <c r="J278" s="8" t="str">
        <f t="shared" si="12"/>
        <v>Evening</v>
      </c>
      <c r="K278" s="9">
        <v>0.73333333333333339</v>
      </c>
      <c r="L278" s="7" t="s">
        <v>24</v>
      </c>
      <c r="M278" s="10">
        <v>10.91</v>
      </c>
      <c r="N278" s="7">
        <v>7.1</v>
      </c>
    </row>
    <row r="279" spans="1:14" x14ac:dyDescent="0.25">
      <c r="A279" s="7" t="s">
        <v>308</v>
      </c>
      <c r="B279" s="7" t="s">
        <v>20</v>
      </c>
      <c r="C279" s="7" t="s">
        <v>21</v>
      </c>
      <c r="D279" s="7" t="s">
        <v>22</v>
      </c>
      <c r="E279" s="7" t="s">
        <v>16</v>
      </c>
      <c r="F279" s="7" t="s">
        <v>41</v>
      </c>
      <c r="G279" s="7" t="str">
        <f t="shared" si="13"/>
        <v>Thursday</v>
      </c>
      <c r="H279" s="7" t="str">
        <f t="shared" si="14"/>
        <v>Feb</v>
      </c>
      <c r="I279" s="8">
        <v>43498</v>
      </c>
      <c r="J279" s="8" t="str">
        <f t="shared" si="12"/>
        <v>Afternoon</v>
      </c>
      <c r="K279" s="9">
        <v>0.55763888888888891</v>
      </c>
      <c r="L279" s="7" t="s">
        <v>18</v>
      </c>
      <c r="M279" s="10">
        <v>19.084</v>
      </c>
      <c r="N279" s="7">
        <v>6.4</v>
      </c>
    </row>
    <row r="280" spans="1:14" x14ac:dyDescent="0.25">
      <c r="A280" s="7" t="s">
        <v>309</v>
      </c>
      <c r="B280" s="7" t="s">
        <v>20</v>
      </c>
      <c r="C280" s="7" t="s">
        <v>21</v>
      </c>
      <c r="D280" s="7" t="s">
        <v>15</v>
      </c>
      <c r="E280" s="7" t="s">
        <v>26</v>
      </c>
      <c r="F280" s="7" t="s">
        <v>41</v>
      </c>
      <c r="G280" s="7" t="str">
        <f t="shared" si="13"/>
        <v>Wednesday</v>
      </c>
      <c r="H280" s="7" t="str">
        <f t="shared" si="14"/>
        <v>Mar</v>
      </c>
      <c r="I280" s="8">
        <v>43544</v>
      </c>
      <c r="J280" s="8" t="str">
        <f t="shared" si="12"/>
        <v>Evening</v>
      </c>
      <c r="K280" s="9">
        <v>0.68611111111111101</v>
      </c>
      <c r="L280" s="7" t="s">
        <v>24</v>
      </c>
      <c r="M280" s="10">
        <v>35.494999999999997</v>
      </c>
      <c r="N280" s="7">
        <v>5.7</v>
      </c>
    </row>
    <row r="281" spans="1:14" x14ac:dyDescent="0.25">
      <c r="A281" s="7" t="s">
        <v>310</v>
      </c>
      <c r="B281" s="7" t="s">
        <v>13</v>
      </c>
      <c r="C281" s="7" t="s">
        <v>14</v>
      </c>
      <c r="D281" s="7" t="s">
        <v>15</v>
      </c>
      <c r="E281" s="7" t="s">
        <v>26</v>
      </c>
      <c r="F281" s="7" t="s">
        <v>31</v>
      </c>
      <c r="G281" s="7" t="str">
        <f t="shared" si="13"/>
        <v>Wednesday</v>
      </c>
      <c r="H281" s="7" t="str">
        <f t="shared" si="14"/>
        <v>Mar</v>
      </c>
      <c r="I281" s="8">
        <v>43544</v>
      </c>
      <c r="J281" s="8" t="str">
        <f t="shared" si="12"/>
        <v>Evening</v>
      </c>
      <c r="K281" s="9">
        <v>0.83124999999999993</v>
      </c>
      <c r="L281" s="7" t="s">
        <v>28</v>
      </c>
      <c r="M281" s="10">
        <v>22.01</v>
      </c>
      <c r="N281" s="7">
        <v>9.6</v>
      </c>
    </row>
    <row r="282" spans="1:14" x14ac:dyDescent="0.25">
      <c r="A282" s="7" t="s">
        <v>311</v>
      </c>
      <c r="B282" s="7" t="s">
        <v>13</v>
      </c>
      <c r="C282" s="7" t="s">
        <v>14</v>
      </c>
      <c r="D282" s="7" t="s">
        <v>22</v>
      </c>
      <c r="E282" s="7" t="s">
        <v>16</v>
      </c>
      <c r="F282" s="7" t="s">
        <v>27</v>
      </c>
      <c r="G282" s="7" t="str">
        <f t="shared" si="13"/>
        <v>Friday</v>
      </c>
      <c r="H282" s="7" t="str">
        <f t="shared" si="14"/>
        <v>Feb</v>
      </c>
      <c r="I282" s="8">
        <v>43511</v>
      </c>
      <c r="J282" s="8" t="str">
        <f t="shared" si="12"/>
        <v>Evening</v>
      </c>
      <c r="K282" s="9">
        <v>0.7090277777777777</v>
      </c>
      <c r="L282" s="7" t="s">
        <v>28</v>
      </c>
      <c r="M282" s="10">
        <v>27.984000000000002</v>
      </c>
      <c r="N282" s="7">
        <v>6.4</v>
      </c>
    </row>
    <row r="283" spans="1:14" x14ac:dyDescent="0.25">
      <c r="A283" s="7" t="s">
        <v>312</v>
      </c>
      <c r="B283" s="7" t="s">
        <v>20</v>
      </c>
      <c r="C283" s="7" t="s">
        <v>21</v>
      </c>
      <c r="D283" s="7" t="s">
        <v>22</v>
      </c>
      <c r="E283" s="7" t="s">
        <v>26</v>
      </c>
      <c r="F283" s="7" t="s">
        <v>27</v>
      </c>
      <c r="G283" s="7" t="str">
        <f t="shared" si="13"/>
        <v>Monday</v>
      </c>
      <c r="H283" s="7" t="str">
        <f t="shared" si="14"/>
        <v>Mar</v>
      </c>
      <c r="I283" s="8">
        <v>43530</v>
      </c>
      <c r="J283" s="8" t="str">
        <f t="shared" si="12"/>
        <v>Afternoon</v>
      </c>
      <c r="K283" s="9">
        <v>0.56180555555555556</v>
      </c>
      <c r="L283" s="7" t="s">
        <v>28</v>
      </c>
      <c r="M283" s="10">
        <v>1.85</v>
      </c>
      <c r="N283" s="7">
        <v>7.9</v>
      </c>
    </row>
    <row r="284" spans="1:14" x14ac:dyDescent="0.25">
      <c r="A284" s="7" t="s">
        <v>313</v>
      </c>
      <c r="B284" s="7" t="s">
        <v>13</v>
      </c>
      <c r="C284" s="7" t="s">
        <v>14</v>
      </c>
      <c r="D284" s="7" t="s">
        <v>22</v>
      </c>
      <c r="E284" s="7" t="s">
        <v>16</v>
      </c>
      <c r="F284" s="7" t="s">
        <v>31</v>
      </c>
      <c r="G284" s="7" t="str">
        <f t="shared" si="13"/>
        <v>Sunday</v>
      </c>
      <c r="H284" s="7" t="str">
        <f t="shared" si="14"/>
        <v>Jan</v>
      </c>
      <c r="I284" s="8">
        <v>43471</v>
      </c>
      <c r="J284" s="8" t="str">
        <f t="shared" si="12"/>
        <v>Morning</v>
      </c>
      <c r="K284" s="9">
        <v>0.46458333333333335</v>
      </c>
      <c r="L284" s="7" t="s">
        <v>24</v>
      </c>
      <c r="M284" s="10">
        <v>0.76700000000000002</v>
      </c>
      <c r="N284" s="7">
        <v>6.5</v>
      </c>
    </row>
    <row r="285" spans="1:14" x14ac:dyDescent="0.25">
      <c r="A285" s="7" t="s">
        <v>314</v>
      </c>
      <c r="B285" s="7" t="s">
        <v>13</v>
      </c>
      <c r="C285" s="7" t="s">
        <v>14</v>
      </c>
      <c r="D285" s="7" t="s">
        <v>15</v>
      </c>
      <c r="E285" s="7" t="s">
        <v>26</v>
      </c>
      <c r="F285" s="7" t="s">
        <v>17</v>
      </c>
      <c r="G285" s="7" t="str">
        <f t="shared" si="13"/>
        <v>Monday</v>
      </c>
      <c r="H285" s="7" t="str">
        <f t="shared" si="14"/>
        <v>Mar</v>
      </c>
      <c r="I285" s="8">
        <v>43528</v>
      </c>
      <c r="J285" s="8" t="str">
        <f t="shared" si="12"/>
        <v>Afternoon</v>
      </c>
      <c r="K285" s="9">
        <v>0.62638888888888888</v>
      </c>
      <c r="L285" s="7" t="s">
        <v>18</v>
      </c>
      <c r="M285" s="10">
        <v>29.949000000000002</v>
      </c>
      <c r="N285" s="7">
        <v>8.5</v>
      </c>
    </row>
    <row r="286" spans="1:14" x14ac:dyDescent="0.25">
      <c r="A286" s="7" t="s">
        <v>315</v>
      </c>
      <c r="B286" s="7" t="s">
        <v>13</v>
      </c>
      <c r="C286" s="7" t="s">
        <v>14</v>
      </c>
      <c r="D286" s="7" t="s">
        <v>15</v>
      </c>
      <c r="E286" s="7" t="s">
        <v>16</v>
      </c>
      <c r="F286" s="7" t="s">
        <v>17</v>
      </c>
      <c r="G286" s="7" t="str">
        <f t="shared" si="13"/>
        <v>Tuesday</v>
      </c>
      <c r="H286" s="7" t="str">
        <f t="shared" si="14"/>
        <v>Mar</v>
      </c>
      <c r="I286" s="8">
        <v>43536</v>
      </c>
      <c r="J286" s="8" t="str">
        <f t="shared" si="12"/>
        <v>Afternoon</v>
      </c>
      <c r="K286" s="9">
        <v>0.59791666666666665</v>
      </c>
      <c r="L286" s="7" t="s">
        <v>24</v>
      </c>
      <c r="M286" s="10">
        <v>9.5340000000000007</v>
      </c>
      <c r="N286" s="7">
        <v>9.1</v>
      </c>
    </row>
    <row r="287" spans="1:14" x14ac:dyDescent="0.25">
      <c r="A287" s="7" t="s">
        <v>316</v>
      </c>
      <c r="B287" s="7" t="s">
        <v>37</v>
      </c>
      <c r="C287" s="7" t="s">
        <v>38</v>
      </c>
      <c r="D287" s="7" t="s">
        <v>22</v>
      </c>
      <c r="E287" s="7" t="s">
        <v>26</v>
      </c>
      <c r="F287" s="7" t="s">
        <v>17</v>
      </c>
      <c r="G287" s="7" t="str">
        <f t="shared" si="13"/>
        <v>Saturday</v>
      </c>
      <c r="H287" s="7" t="str">
        <f t="shared" si="14"/>
        <v>Feb</v>
      </c>
      <c r="I287" s="8">
        <v>43516</v>
      </c>
      <c r="J287" s="8" t="str">
        <f t="shared" si="12"/>
        <v>Evening</v>
      </c>
      <c r="K287" s="9">
        <v>0.75069444444444444</v>
      </c>
      <c r="L287" s="7" t="s">
        <v>24</v>
      </c>
      <c r="M287" s="10">
        <v>16.670000000000002</v>
      </c>
      <c r="N287" s="7">
        <v>7.6</v>
      </c>
    </row>
    <row r="288" spans="1:14" x14ac:dyDescent="0.25">
      <c r="A288" s="7" t="s">
        <v>317</v>
      </c>
      <c r="B288" s="7" t="s">
        <v>20</v>
      </c>
      <c r="C288" s="7" t="s">
        <v>21</v>
      </c>
      <c r="D288" s="7" t="s">
        <v>15</v>
      </c>
      <c r="E288" s="7" t="s">
        <v>26</v>
      </c>
      <c r="F288" s="7" t="s">
        <v>27</v>
      </c>
      <c r="G288" s="7" t="str">
        <f t="shared" si="13"/>
        <v>Thursday</v>
      </c>
      <c r="H288" s="7" t="str">
        <f t="shared" si="14"/>
        <v>Mar</v>
      </c>
      <c r="I288" s="8">
        <v>43548</v>
      </c>
      <c r="J288" s="8" t="str">
        <f t="shared" si="12"/>
        <v>Afternoon</v>
      </c>
      <c r="K288" s="9">
        <v>0.61736111111111114</v>
      </c>
      <c r="L288" s="7" t="s">
        <v>24</v>
      </c>
      <c r="M288" s="10">
        <v>3.7429999999999999</v>
      </c>
      <c r="N288" s="7">
        <v>6.9</v>
      </c>
    </row>
    <row r="289" spans="1:14" x14ac:dyDescent="0.25">
      <c r="A289" s="7" t="s">
        <v>318</v>
      </c>
      <c r="B289" s="7" t="s">
        <v>20</v>
      </c>
      <c r="C289" s="7" t="s">
        <v>21</v>
      </c>
      <c r="D289" s="7" t="s">
        <v>22</v>
      </c>
      <c r="E289" s="7" t="s">
        <v>16</v>
      </c>
      <c r="F289" s="7" t="s">
        <v>31</v>
      </c>
      <c r="G289" s="7" t="str">
        <f t="shared" si="13"/>
        <v>Wednesday</v>
      </c>
      <c r="H289" s="7" t="str">
        <f t="shared" si="14"/>
        <v>Jan</v>
      </c>
      <c r="I289" s="8">
        <v>43496</v>
      </c>
      <c r="J289" s="8" t="str">
        <f t="shared" si="12"/>
        <v>Afternoon</v>
      </c>
      <c r="K289" s="9">
        <v>0.50138888888888888</v>
      </c>
      <c r="L289" s="7" t="s">
        <v>24</v>
      </c>
      <c r="M289" s="10">
        <v>10.6875</v>
      </c>
      <c r="N289" s="7">
        <v>9.5</v>
      </c>
    </row>
    <row r="290" spans="1:14" x14ac:dyDescent="0.25">
      <c r="A290" s="7" t="s">
        <v>319</v>
      </c>
      <c r="B290" s="7" t="s">
        <v>37</v>
      </c>
      <c r="C290" s="7" t="s">
        <v>38</v>
      </c>
      <c r="D290" s="7" t="s">
        <v>22</v>
      </c>
      <c r="E290" s="7" t="s">
        <v>16</v>
      </c>
      <c r="F290" s="7" t="s">
        <v>39</v>
      </c>
      <c r="G290" s="7" t="str">
        <f t="shared" si="13"/>
        <v>Tuesday</v>
      </c>
      <c r="H290" s="7" t="str">
        <f t="shared" si="14"/>
        <v>Jan</v>
      </c>
      <c r="I290" s="8">
        <v>43490</v>
      </c>
      <c r="J290" s="8" t="str">
        <f t="shared" si="12"/>
        <v>Afternoon</v>
      </c>
      <c r="K290" s="9">
        <v>0.5625</v>
      </c>
      <c r="L290" s="7" t="s">
        <v>28</v>
      </c>
      <c r="M290" s="10">
        <v>16.9785</v>
      </c>
      <c r="N290" s="7">
        <v>5.2</v>
      </c>
    </row>
    <row r="291" spans="1:14" x14ac:dyDescent="0.25">
      <c r="A291" s="7" t="s">
        <v>320</v>
      </c>
      <c r="B291" s="7" t="s">
        <v>13</v>
      </c>
      <c r="C291" s="7" t="s">
        <v>14</v>
      </c>
      <c r="D291" s="7" t="s">
        <v>15</v>
      </c>
      <c r="E291" s="7" t="s">
        <v>16</v>
      </c>
      <c r="F291" s="7" t="s">
        <v>27</v>
      </c>
      <c r="G291" s="7" t="str">
        <f t="shared" si="13"/>
        <v>Thursday</v>
      </c>
      <c r="H291" s="7" t="str">
        <f t="shared" si="14"/>
        <v>Feb</v>
      </c>
      <c r="I291" s="8">
        <v>43499</v>
      </c>
      <c r="J291" s="8" t="str">
        <f t="shared" si="12"/>
        <v>Afternoon</v>
      </c>
      <c r="K291" s="9">
        <v>0.60972222222222217</v>
      </c>
      <c r="L291" s="7" t="s">
        <v>24</v>
      </c>
      <c r="M291" s="10">
        <v>33.207999999999998</v>
      </c>
      <c r="N291" s="7">
        <v>4.2</v>
      </c>
    </row>
    <row r="292" spans="1:14" x14ac:dyDescent="0.25">
      <c r="A292" s="7" t="s">
        <v>321</v>
      </c>
      <c r="B292" s="7" t="s">
        <v>37</v>
      </c>
      <c r="C292" s="7" t="s">
        <v>38</v>
      </c>
      <c r="D292" s="7" t="s">
        <v>15</v>
      </c>
      <c r="E292" s="7" t="s">
        <v>26</v>
      </c>
      <c r="F292" s="7" t="s">
        <v>23</v>
      </c>
      <c r="G292" s="7" t="str">
        <f t="shared" si="13"/>
        <v>Tuesday</v>
      </c>
      <c r="H292" s="7" t="str">
        <f t="shared" si="14"/>
        <v>Jan</v>
      </c>
      <c r="I292" s="8">
        <v>43489</v>
      </c>
      <c r="J292" s="8" t="str">
        <f t="shared" si="12"/>
        <v>Evening</v>
      </c>
      <c r="K292" s="9">
        <v>0.73402777777777783</v>
      </c>
      <c r="L292" s="7" t="s">
        <v>28</v>
      </c>
      <c r="M292" s="10">
        <v>20.149999999999999</v>
      </c>
      <c r="N292" s="7">
        <v>7</v>
      </c>
    </row>
    <row r="293" spans="1:14" x14ac:dyDescent="0.25">
      <c r="A293" s="7" t="s">
        <v>322</v>
      </c>
      <c r="B293" s="7" t="s">
        <v>20</v>
      </c>
      <c r="C293" s="7" t="s">
        <v>21</v>
      </c>
      <c r="D293" s="7" t="s">
        <v>22</v>
      </c>
      <c r="E293" s="7" t="s">
        <v>26</v>
      </c>
      <c r="F293" s="7" t="s">
        <v>23</v>
      </c>
      <c r="G293" s="7" t="str">
        <f t="shared" si="13"/>
        <v>Tuesday</v>
      </c>
      <c r="H293" s="7" t="str">
        <f t="shared" si="14"/>
        <v>Mar</v>
      </c>
      <c r="I293" s="8">
        <v>43538</v>
      </c>
      <c r="J293" s="8" t="str">
        <f t="shared" si="12"/>
        <v>Evening</v>
      </c>
      <c r="K293" s="9">
        <v>0.72222222222222221</v>
      </c>
      <c r="L293" s="7" t="s">
        <v>18</v>
      </c>
      <c r="M293" s="10">
        <v>9.7475000000000005</v>
      </c>
      <c r="N293" s="7">
        <v>6</v>
      </c>
    </row>
    <row r="294" spans="1:14" x14ac:dyDescent="0.25">
      <c r="A294" s="7" t="s">
        <v>323</v>
      </c>
      <c r="B294" s="7" t="s">
        <v>13</v>
      </c>
      <c r="C294" s="7" t="s">
        <v>14</v>
      </c>
      <c r="D294" s="7" t="s">
        <v>15</v>
      </c>
      <c r="E294" s="7" t="s">
        <v>16</v>
      </c>
      <c r="F294" s="7" t="s">
        <v>23</v>
      </c>
      <c r="G294" s="7" t="str">
        <f t="shared" si="13"/>
        <v>Saturday</v>
      </c>
      <c r="H294" s="7" t="str">
        <f t="shared" si="14"/>
        <v>Feb</v>
      </c>
      <c r="I294" s="8">
        <v>43514</v>
      </c>
      <c r="J294" s="8" t="str">
        <f t="shared" si="12"/>
        <v>Evening</v>
      </c>
      <c r="K294" s="9">
        <v>0.8534722222222223</v>
      </c>
      <c r="L294" s="7" t="s">
        <v>24</v>
      </c>
      <c r="M294" s="10">
        <v>3.1240000000000001</v>
      </c>
      <c r="N294" s="7">
        <v>4.7</v>
      </c>
    </row>
    <row r="295" spans="1:14" x14ac:dyDescent="0.25">
      <c r="A295" s="7" t="s">
        <v>324</v>
      </c>
      <c r="B295" s="7" t="s">
        <v>13</v>
      </c>
      <c r="C295" s="7" t="s">
        <v>14</v>
      </c>
      <c r="D295" s="7" t="s">
        <v>15</v>
      </c>
      <c r="E295" s="7" t="s">
        <v>16</v>
      </c>
      <c r="F295" s="7" t="s">
        <v>39</v>
      </c>
      <c r="G295" s="7" t="str">
        <f t="shared" si="13"/>
        <v>Tuesday</v>
      </c>
      <c r="H295" s="7" t="str">
        <f t="shared" si="14"/>
        <v>Jan</v>
      </c>
      <c r="I295" s="8">
        <v>43486</v>
      </c>
      <c r="J295" s="8" t="str">
        <f t="shared" si="12"/>
        <v>Morning</v>
      </c>
      <c r="K295" s="9">
        <v>0.41666666666666669</v>
      </c>
      <c r="L295" s="7" t="s">
        <v>24</v>
      </c>
      <c r="M295" s="10">
        <v>3.6360000000000001</v>
      </c>
      <c r="N295" s="7">
        <v>7.1</v>
      </c>
    </row>
    <row r="296" spans="1:14" x14ac:dyDescent="0.25">
      <c r="A296" s="7" t="s">
        <v>325</v>
      </c>
      <c r="B296" s="7" t="s">
        <v>37</v>
      </c>
      <c r="C296" s="7" t="s">
        <v>38</v>
      </c>
      <c r="D296" s="7" t="s">
        <v>22</v>
      </c>
      <c r="E296" s="7" t="s">
        <v>26</v>
      </c>
      <c r="F296" s="7" t="s">
        <v>17</v>
      </c>
      <c r="G296" s="7" t="str">
        <f t="shared" si="13"/>
        <v>Tuesday</v>
      </c>
      <c r="H296" s="7" t="str">
        <f t="shared" si="14"/>
        <v>Mar</v>
      </c>
      <c r="I296" s="8">
        <v>43537</v>
      </c>
      <c r="J296" s="8" t="str">
        <f t="shared" si="12"/>
        <v>Morning</v>
      </c>
      <c r="K296" s="9">
        <v>0.49027777777777781</v>
      </c>
      <c r="L296" s="7" t="s">
        <v>18</v>
      </c>
      <c r="M296" s="10">
        <v>9.0549999999999997</v>
      </c>
      <c r="N296" s="7">
        <v>5.9</v>
      </c>
    </row>
    <row r="297" spans="1:14" x14ac:dyDescent="0.25">
      <c r="A297" s="7" t="s">
        <v>326</v>
      </c>
      <c r="B297" s="7" t="s">
        <v>20</v>
      </c>
      <c r="C297" s="7" t="s">
        <v>21</v>
      </c>
      <c r="D297" s="7" t="s">
        <v>15</v>
      </c>
      <c r="E297" s="7" t="s">
        <v>16</v>
      </c>
      <c r="F297" s="7" t="s">
        <v>23</v>
      </c>
      <c r="G297" s="7" t="str">
        <f t="shared" si="13"/>
        <v>Monday</v>
      </c>
      <c r="H297" s="7" t="str">
        <f t="shared" si="14"/>
        <v>Mar</v>
      </c>
      <c r="I297" s="8">
        <v>43527</v>
      </c>
      <c r="J297" s="8" t="str">
        <f t="shared" si="12"/>
        <v>Afternoon</v>
      </c>
      <c r="K297" s="9">
        <v>0.5708333333333333</v>
      </c>
      <c r="L297" s="7" t="s">
        <v>24</v>
      </c>
      <c r="M297" s="10">
        <v>12.98</v>
      </c>
      <c r="N297" s="7">
        <v>7.5</v>
      </c>
    </row>
    <row r="298" spans="1:14" x14ac:dyDescent="0.25">
      <c r="A298" s="7" t="s">
        <v>327</v>
      </c>
      <c r="B298" s="7" t="s">
        <v>20</v>
      </c>
      <c r="C298" s="7" t="s">
        <v>21</v>
      </c>
      <c r="D298" s="7" t="s">
        <v>22</v>
      </c>
      <c r="E298" s="7" t="s">
        <v>26</v>
      </c>
      <c r="F298" s="7" t="s">
        <v>23</v>
      </c>
      <c r="G298" s="7" t="str">
        <f t="shared" si="13"/>
        <v>Thursday</v>
      </c>
      <c r="H298" s="7" t="str">
        <f t="shared" si="14"/>
        <v>Mar</v>
      </c>
      <c r="I298" s="8">
        <v>43553</v>
      </c>
      <c r="J298" s="8" t="str">
        <f t="shared" si="12"/>
        <v>Afternoon</v>
      </c>
      <c r="K298" s="9">
        <v>0.61388888888888882</v>
      </c>
      <c r="L298" s="7" t="s">
        <v>24</v>
      </c>
      <c r="M298" s="10">
        <v>5.7679999999999998</v>
      </c>
      <c r="N298" s="7">
        <v>6.4</v>
      </c>
    </row>
    <row r="299" spans="1:14" x14ac:dyDescent="0.25">
      <c r="A299" s="7" t="s">
        <v>328</v>
      </c>
      <c r="B299" s="7" t="s">
        <v>13</v>
      </c>
      <c r="C299" s="7" t="s">
        <v>14</v>
      </c>
      <c r="D299" s="7" t="s">
        <v>15</v>
      </c>
      <c r="E299" s="7" t="s">
        <v>26</v>
      </c>
      <c r="F299" s="7" t="s">
        <v>27</v>
      </c>
      <c r="G299" s="7" t="str">
        <f t="shared" si="13"/>
        <v>Sunday</v>
      </c>
      <c r="H299" s="7" t="str">
        <f t="shared" si="14"/>
        <v>Jan</v>
      </c>
      <c r="I299" s="8">
        <v>43475</v>
      </c>
      <c r="J299" s="8" t="str">
        <f t="shared" si="12"/>
        <v>Afternoon</v>
      </c>
      <c r="K299" s="9">
        <v>0.59444444444444444</v>
      </c>
      <c r="L299" s="7" t="s">
        <v>18</v>
      </c>
      <c r="M299" s="10">
        <v>23.513999999999999</v>
      </c>
      <c r="N299" s="7">
        <v>5.8</v>
      </c>
    </row>
    <row r="300" spans="1:14" x14ac:dyDescent="0.25">
      <c r="A300" s="7" t="s">
        <v>329</v>
      </c>
      <c r="B300" s="7" t="s">
        <v>13</v>
      </c>
      <c r="C300" s="7" t="s">
        <v>14</v>
      </c>
      <c r="D300" s="7" t="s">
        <v>15</v>
      </c>
      <c r="E300" s="7" t="s">
        <v>26</v>
      </c>
      <c r="F300" s="7" t="s">
        <v>27</v>
      </c>
      <c r="G300" s="7" t="str">
        <f t="shared" si="13"/>
        <v>Tuesday</v>
      </c>
      <c r="H300" s="7" t="str">
        <f t="shared" si="14"/>
        <v>Jan</v>
      </c>
      <c r="I300" s="8">
        <v>43490</v>
      </c>
      <c r="J300" s="8" t="str">
        <f t="shared" si="12"/>
        <v>Afternoon</v>
      </c>
      <c r="K300" s="9">
        <v>0.66249999999999998</v>
      </c>
      <c r="L300" s="7" t="s">
        <v>24</v>
      </c>
      <c r="M300" s="10">
        <v>12.002000000000001</v>
      </c>
      <c r="N300" s="7">
        <v>4.5</v>
      </c>
    </row>
    <row r="301" spans="1:14" x14ac:dyDescent="0.25">
      <c r="A301" s="7" t="s">
        <v>330</v>
      </c>
      <c r="B301" s="7" t="s">
        <v>20</v>
      </c>
      <c r="C301" s="7" t="s">
        <v>21</v>
      </c>
      <c r="D301" s="7" t="s">
        <v>15</v>
      </c>
      <c r="E301" s="7" t="s">
        <v>16</v>
      </c>
      <c r="F301" s="7" t="s">
        <v>27</v>
      </c>
      <c r="G301" s="7" t="str">
        <f t="shared" si="13"/>
        <v>Tuesday</v>
      </c>
      <c r="H301" s="7" t="str">
        <f t="shared" si="14"/>
        <v>Jan</v>
      </c>
      <c r="I301" s="8">
        <v>43484</v>
      </c>
      <c r="J301" s="8" t="str">
        <f t="shared" si="12"/>
        <v>Morning</v>
      </c>
      <c r="K301" s="9">
        <v>0.43124999999999997</v>
      </c>
      <c r="L301" s="7" t="s">
        <v>24</v>
      </c>
      <c r="M301" s="10">
        <v>4.4305000000000003</v>
      </c>
      <c r="N301" s="7">
        <v>7.7</v>
      </c>
    </row>
    <row r="302" spans="1:14" x14ac:dyDescent="0.25">
      <c r="A302" s="7" t="s">
        <v>331</v>
      </c>
      <c r="B302" s="7" t="s">
        <v>20</v>
      </c>
      <c r="C302" s="7" t="s">
        <v>21</v>
      </c>
      <c r="D302" s="7" t="s">
        <v>22</v>
      </c>
      <c r="E302" s="7" t="s">
        <v>26</v>
      </c>
      <c r="F302" s="7" t="s">
        <v>41</v>
      </c>
      <c r="G302" s="7" t="str">
        <f t="shared" si="13"/>
        <v>Saturday</v>
      </c>
      <c r="H302" s="7" t="str">
        <f t="shared" si="14"/>
        <v>Jan</v>
      </c>
      <c r="I302" s="8">
        <v>43467</v>
      </c>
      <c r="J302" s="8" t="str">
        <f t="shared" si="12"/>
        <v>Evening</v>
      </c>
      <c r="K302" s="9">
        <v>0.75624999999999998</v>
      </c>
      <c r="L302" s="7" t="s">
        <v>28</v>
      </c>
      <c r="M302" s="10">
        <v>9.9819999999999993</v>
      </c>
      <c r="N302" s="7">
        <v>6.7</v>
      </c>
    </row>
    <row r="303" spans="1:14" x14ac:dyDescent="0.25">
      <c r="A303" s="7" t="s">
        <v>332</v>
      </c>
      <c r="B303" s="7" t="s">
        <v>37</v>
      </c>
      <c r="C303" s="7" t="s">
        <v>38</v>
      </c>
      <c r="D303" s="7" t="s">
        <v>15</v>
      </c>
      <c r="E303" s="7" t="s">
        <v>26</v>
      </c>
      <c r="F303" s="7" t="s">
        <v>17</v>
      </c>
      <c r="G303" s="7" t="str">
        <f t="shared" si="13"/>
        <v>Tuesday</v>
      </c>
      <c r="H303" s="7" t="str">
        <f t="shared" si="14"/>
        <v>Mar</v>
      </c>
      <c r="I303" s="8">
        <v>43536</v>
      </c>
      <c r="J303" s="8" t="str">
        <f t="shared" si="12"/>
        <v>Evening</v>
      </c>
      <c r="K303" s="9">
        <v>0.69861111111111107</v>
      </c>
      <c r="L303" s="7" t="s">
        <v>28</v>
      </c>
      <c r="M303" s="10">
        <v>1.9504999999999999</v>
      </c>
      <c r="N303" s="7">
        <v>4.7</v>
      </c>
    </row>
    <row r="304" spans="1:14" x14ac:dyDescent="0.25">
      <c r="A304" s="7" t="s">
        <v>333</v>
      </c>
      <c r="B304" s="7" t="s">
        <v>20</v>
      </c>
      <c r="C304" s="7" t="s">
        <v>21</v>
      </c>
      <c r="D304" s="7" t="s">
        <v>22</v>
      </c>
      <c r="E304" s="7" t="s">
        <v>26</v>
      </c>
      <c r="F304" s="7" t="s">
        <v>39</v>
      </c>
      <c r="G304" s="7" t="str">
        <f t="shared" si="13"/>
        <v>Sunday</v>
      </c>
      <c r="H304" s="7" t="str">
        <f t="shared" si="14"/>
        <v>Feb</v>
      </c>
      <c r="I304" s="8">
        <v>43521</v>
      </c>
      <c r="J304" s="8" t="str">
        <f t="shared" si="12"/>
        <v>Afternoon</v>
      </c>
      <c r="K304" s="9">
        <v>0.64652777777777781</v>
      </c>
      <c r="L304" s="7" t="s">
        <v>24</v>
      </c>
      <c r="M304" s="10">
        <v>2.4304999999999999</v>
      </c>
      <c r="N304" s="7">
        <v>4.4000000000000004</v>
      </c>
    </row>
    <row r="305" spans="1:14" x14ac:dyDescent="0.25">
      <c r="A305" s="7" t="s">
        <v>334</v>
      </c>
      <c r="B305" s="7" t="s">
        <v>13</v>
      </c>
      <c r="C305" s="7" t="s">
        <v>14</v>
      </c>
      <c r="D305" s="7" t="s">
        <v>22</v>
      </c>
      <c r="E305" s="7" t="s">
        <v>16</v>
      </c>
      <c r="F305" s="7" t="s">
        <v>23</v>
      </c>
      <c r="G305" s="7" t="str">
        <f t="shared" si="13"/>
        <v>Wednesday</v>
      </c>
      <c r="H305" s="7" t="str">
        <f t="shared" si="14"/>
        <v>Mar</v>
      </c>
      <c r="I305" s="8">
        <v>43542</v>
      </c>
      <c r="J305" s="8" t="str">
        <f t="shared" si="12"/>
        <v>Evening</v>
      </c>
      <c r="K305" s="9">
        <v>0.71875</v>
      </c>
      <c r="L305" s="7" t="s">
        <v>28</v>
      </c>
      <c r="M305" s="10">
        <v>10.238</v>
      </c>
      <c r="N305" s="7">
        <v>4.7</v>
      </c>
    </row>
    <row r="306" spans="1:14" x14ac:dyDescent="0.25">
      <c r="A306" s="7" t="s">
        <v>335</v>
      </c>
      <c r="B306" s="7" t="s">
        <v>37</v>
      </c>
      <c r="C306" s="7" t="s">
        <v>38</v>
      </c>
      <c r="D306" s="7" t="s">
        <v>22</v>
      </c>
      <c r="E306" s="7" t="s">
        <v>16</v>
      </c>
      <c r="F306" s="7" t="s">
        <v>23</v>
      </c>
      <c r="G306" s="7" t="str">
        <f t="shared" si="13"/>
        <v>Sunday</v>
      </c>
      <c r="H306" s="7" t="str">
        <f t="shared" si="14"/>
        <v>Feb</v>
      </c>
      <c r="I306" s="8">
        <v>43519</v>
      </c>
      <c r="J306" s="8" t="str">
        <f t="shared" si="12"/>
        <v>Afternoon</v>
      </c>
      <c r="K306" s="9">
        <v>0.52013888888888882</v>
      </c>
      <c r="L306" s="7" t="s">
        <v>24</v>
      </c>
      <c r="M306" s="10">
        <v>5.984</v>
      </c>
      <c r="N306" s="7">
        <v>8.6</v>
      </c>
    </row>
    <row r="307" spans="1:14" x14ac:dyDescent="0.25">
      <c r="A307" s="7" t="s">
        <v>336</v>
      </c>
      <c r="B307" s="7" t="s">
        <v>13</v>
      </c>
      <c r="C307" s="7" t="s">
        <v>14</v>
      </c>
      <c r="D307" s="7" t="s">
        <v>15</v>
      </c>
      <c r="E307" s="7" t="s">
        <v>26</v>
      </c>
      <c r="F307" s="7" t="s">
        <v>23</v>
      </c>
      <c r="G307" s="7" t="str">
        <f t="shared" si="13"/>
        <v>Thursday</v>
      </c>
      <c r="H307" s="7" t="str">
        <f t="shared" si="14"/>
        <v>Mar</v>
      </c>
      <c r="I307" s="8">
        <v>43550</v>
      </c>
      <c r="J307" s="8" t="str">
        <f t="shared" si="12"/>
        <v>Evening</v>
      </c>
      <c r="K307" s="9">
        <v>0.84305555555555556</v>
      </c>
      <c r="L307" s="7" t="s">
        <v>18</v>
      </c>
      <c r="M307" s="10">
        <v>25.27</v>
      </c>
      <c r="N307" s="7">
        <v>4.3</v>
      </c>
    </row>
    <row r="308" spans="1:14" x14ac:dyDescent="0.25">
      <c r="A308" s="7" t="s">
        <v>337</v>
      </c>
      <c r="B308" s="7" t="s">
        <v>13</v>
      </c>
      <c r="C308" s="7" t="s">
        <v>14</v>
      </c>
      <c r="D308" s="7" t="s">
        <v>22</v>
      </c>
      <c r="E308" s="7" t="s">
        <v>16</v>
      </c>
      <c r="F308" s="7" t="s">
        <v>31</v>
      </c>
      <c r="G308" s="7" t="str">
        <f t="shared" si="13"/>
        <v>Friday</v>
      </c>
      <c r="H308" s="7" t="str">
        <f t="shared" si="14"/>
        <v>Mar</v>
      </c>
      <c r="I308" s="8">
        <v>43554</v>
      </c>
      <c r="J308" s="8" t="str">
        <f t="shared" si="12"/>
        <v>Afternoon</v>
      </c>
      <c r="K308" s="9">
        <v>0.55694444444444446</v>
      </c>
      <c r="L308" s="7" t="s">
        <v>24</v>
      </c>
      <c r="M308" s="10">
        <v>14.080500000000001</v>
      </c>
      <c r="N308" s="7">
        <v>9.6</v>
      </c>
    </row>
    <row r="309" spans="1:14" x14ac:dyDescent="0.25">
      <c r="A309" s="7" t="s">
        <v>338</v>
      </c>
      <c r="B309" s="7" t="s">
        <v>13</v>
      </c>
      <c r="C309" s="7" t="s">
        <v>14</v>
      </c>
      <c r="D309" s="7" t="s">
        <v>15</v>
      </c>
      <c r="E309" s="7" t="s">
        <v>16</v>
      </c>
      <c r="F309" s="7" t="s">
        <v>27</v>
      </c>
      <c r="G309" s="7" t="str">
        <f t="shared" si="13"/>
        <v>Saturday</v>
      </c>
      <c r="H309" s="7" t="str">
        <f t="shared" si="14"/>
        <v>Feb</v>
      </c>
      <c r="I309" s="8">
        <v>43513</v>
      </c>
      <c r="J309" s="8" t="str">
        <f t="shared" si="12"/>
        <v>Evening</v>
      </c>
      <c r="K309" s="9">
        <v>0.71458333333333324</v>
      </c>
      <c r="L309" s="7" t="s">
        <v>24</v>
      </c>
      <c r="M309" s="10">
        <v>35.515999999999998</v>
      </c>
      <c r="N309" s="7">
        <v>4.0999999999999996</v>
      </c>
    </row>
    <row r="310" spans="1:14" x14ac:dyDescent="0.25">
      <c r="A310" s="7" t="s">
        <v>339</v>
      </c>
      <c r="B310" s="7" t="s">
        <v>13</v>
      </c>
      <c r="C310" s="7" t="s">
        <v>14</v>
      </c>
      <c r="D310" s="7" t="s">
        <v>15</v>
      </c>
      <c r="E310" s="7" t="s">
        <v>16</v>
      </c>
      <c r="F310" s="7" t="s">
        <v>23</v>
      </c>
      <c r="G310" s="7" t="str">
        <f t="shared" si="13"/>
        <v>Wednesday</v>
      </c>
      <c r="H310" s="7" t="str">
        <f t="shared" si="14"/>
        <v>Mar</v>
      </c>
      <c r="I310" s="8">
        <v>43545</v>
      </c>
      <c r="J310" s="8" t="str">
        <f t="shared" si="12"/>
        <v>Morning</v>
      </c>
      <c r="K310" s="9">
        <v>0.44444444444444442</v>
      </c>
      <c r="L310" s="7" t="s">
        <v>18</v>
      </c>
      <c r="M310" s="10">
        <v>3.972</v>
      </c>
      <c r="N310" s="7">
        <v>4.7</v>
      </c>
    </row>
    <row r="311" spans="1:14" x14ac:dyDescent="0.25">
      <c r="A311" s="7" t="s">
        <v>340</v>
      </c>
      <c r="B311" s="7" t="s">
        <v>13</v>
      </c>
      <c r="C311" s="7" t="s">
        <v>14</v>
      </c>
      <c r="D311" s="7" t="s">
        <v>22</v>
      </c>
      <c r="E311" s="7" t="s">
        <v>16</v>
      </c>
      <c r="F311" s="7" t="s">
        <v>41</v>
      </c>
      <c r="G311" s="7" t="str">
        <f t="shared" si="13"/>
        <v>Monday</v>
      </c>
      <c r="H311" s="7" t="str">
        <f t="shared" si="14"/>
        <v>Mar</v>
      </c>
      <c r="I311" s="8">
        <v>43529</v>
      </c>
      <c r="J311" s="8" t="str">
        <f t="shared" si="12"/>
        <v>Evening</v>
      </c>
      <c r="K311" s="9">
        <v>0.73819444444444438</v>
      </c>
      <c r="L311" s="7" t="s">
        <v>24</v>
      </c>
      <c r="M311" s="10">
        <v>8.1910000000000007</v>
      </c>
      <c r="N311" s="7">
        <v>7.8</v>
      </c>
    </row>
    <row r="312" spans="1:14" x14ac:dyDescent="0.25">
      <c r="A312" s="7" t="s">
        <v>341</v>
      </c>
      <c r="B312" s="7" t="s">
        <v>37</v>
      </c>
      <c r="C312" s="7" t="s">
        <v>38</v>
      </c>
      <c r="D312" s="7" t="s">
        <v>15</v>
      </c>
      <c r="E312" s="7" t="s">
        <v>26</v>
      </c>
      <c r="F312" s="7" t="s">
        <v>31</v>
      </c>
      <c r="G312" s="7" t="str">
        <f t="shared" si="13"/>
        <v>Wednesday</v>
      </c>
      <c r="H312" s="7" t="str">
        <f t="shared" si="14"/>
        <v>Jan</v>
      </c>
      <c r="I312" s="8">
        <v>43496</v>
      </c>
      <c r="J312" s="8" t="str">
        <f t="shared" si="12"/>
        <v>Afternoon</v>
      </c>
      <c r="K312" s="9">
        <v>0.58611111111111114</v>
      </c>
      <c r="L312" s="7" t="s">
        <v>24</v>
      </c>
      <c r="M312" s="10">
        <v>23.978999999999999</v>
      </c>
      <c r="N312" s="7">
        <v>5.5</v>
      </c>
    </row>
    <row r="313" spans="1:14" x14ac:dyDescent="0.25">
      <c r="A313" s="7" t="s">
        <v>342</v>
      </c>
      <c r="B313" s="7" t="s">
        <v>20</v>
      </c>
      <c r="C313" s="7" t="s">
        <v>21</v>
      </c>
      <c r="D313" s="7" t="s">
        <v>15</v>
      </c>
      <c r="E313" s="7" t="s">
        <v>26</v>
      </c>
      <c r="F313" s="7" t="s">
        <v>41</v>
      </c>
      <c r="G313" s="7" t="str">
        <f t="shared" si="13"/>
        <v>Thursday</v>
      </c>
      <c r="H313" s="7" t="str">
        <f t="shared" si="14"/>
        <v>Feb</v>
      </c>
      <c r="I313" s="8">
        <v>43501</v>
      </c>
      <c r="J313" s="8" t="str">
        <f t="shared" si="12"/>
        <v>Evening</v>
      </c>
      <c r="K313" s="9">
        <v>0.79513888888888884</v>
      </c>
      <c r="L313" s="7" t="s">
        <v>18</v>
      </c>
      <c r="M313" s="10">
        <v>6.9329999999999998</v>
      </c>
      <c r="N313" s="7">
        <v>9.6999999999999993</v>
      </c>
    </row>
    <row r="314" spans="1:14" x14ac:dyDescent="0.25">
      <c r="A314" s="7" t="s">
        <v>343</v>
      </c>
      <c r="B314" s="7" t="s">
        <v>13</v>
      </c>
      <c r="C314" s="7" t="s">
        <v>14</v>
      </c>
      <c r="D314" s="7" t="s">
        <v>15</v>
      </c>
      <c r="E314" s="7" t="s">
        <v>16</v>
      </c>
      <c r="F314" s="7" t="s">
        <v>39</v>
      </c>
      <c r="G314" s="7" t="str">
        <f t="shared" si="13"/>
        <v>Wednesday</v>
      </c>
      <c r="H314" s="7" t="str">
        <f t="shared" si="14"/>
        <v>Feb</v>
      </c>
      <c r="I314" s="8">
        <v>43497</v>
      </c>
      <c r="J314" s="8" t="str">
        <f t="shared" si="12"/>
        <v>Morning</v>
      </c>
      <c r="K314" s="9">
        <v>0.42222222222222222</v>
      </c>
      <c r="L314" s="7" t="s">
        <v>28</v>
      </c>
      <c r="M314" s="10">
        <v>3.5575000000000001</v>
      </c>
      <c r="N314" s="7">
        <v>4.4000000000000004</v>
      </c>
    </row>
    <row r="315" spans="1:14" x14ac:dyDescent="0.25">
      <c r="A315" s="7" t="s">
        <v>344</v>
      </c>
      <c r="B315" s="7" t="s">
        <v>13</v>
      </c>
      <c r="C315" s="7" t="s">
        <v>14</v>
      </c>
      <c r="D315" s="7" t="s">
        <v>15</v>
      </c>
      <c r="E315" s="7" t="s">
        <v>16</v>
      </c>
      <c r="F315" s="7" t="s">
        <v>17</v>
      </c>
      <c r="G315" s="7" t="str">
        <f t="shared" si="13"/>
        <v>Monday</v>
      </c>
      <c r="H315" s="7" t="str">
        <f t="shared" si="14"/>
        <v>Mar</v>
      </c>
      <c r="I315" s="8">
        <v>43531</v>
      </c>
      <c r="J315" s="8" t="str">
        <f t="shared" si="12"/>
        <v>Afternoon</v>
      </c>
      <c r="K315" s="9">
        <v>0.54999999999999993</v>
      </c>
      <c r="L315" s="7" t="s">
        <v>24</v>
      </c>
      <c r="M315" s="10">
        <v>6.9974999999999996</v>
      </c>
      <c r="N315" s="7">
        <v>5</v>
      </c>
    </row>
    <row r="316" spans="1:14" x14ac:dyDescent="0.25">
      <c r="A316" s="7" t="s">
        <v>345</v>
      </c>
      <c r="B316" s="7" t="s">
        <v>20</v>
      </c>
      <c r="C316" s="7" t="s">
        <v>21</v>
      </c>
      <c r="D316" s="7" t="s">
        <v>15</v>
      </c>
      <c r="E316" s="7" t="s">
        <v>16</v>
      </c>
      <c r="F316" s="7" t="s">
        <v>23</v>
      </c>
      <c r="G316" s="7" t="str">
        <f t="shared" si="13"/>
        <v>Friday</v>
      </c>
      <c r="H316" s="7" t="str">
        <f t="shared" si="14"/>
        <v>Feb</v>
      </c>
      <c r="I316" s="8">
        <v>43506</v>
      </c>
      <c r="J316" s="8" t="str">
        <f t="shared" si="12"/>
        <v>Evening</v>
      </c>
      <c r="K316" s="9">
        <v>0.86875000000000002</v>
      </c>
      <c r="L316" s="7" t="s">
        <v>24</v>
      </c>
      <c r="M316" s="10">
        <v>39.064999999999998</v>
      </c>
      <c r="N316" s="7">
        <v>4.4000000000000004</v>
      </c>
    </row>
    <row r="317" spans="1:14" x14ac:dyDescent="0.25">
      <c r="A317" s="7" t="s">
        <v>346</v>
      </c>
      <c r="B317" s="7" t="s">
        <v>20</v>
      </c>
      <c r="C317" s="7" t="s">
        <v>21</v>
      </c>
      <c r="D317" s="7" t="s">
        <v>15</v>
      </c>
      <c r="E317" s="7" t="s">
        <v>26</v>
      </c>
      <c r="F317" s="7" t="s">
        <v>39</v>
      </c>
      <c r="G317" s="7" t="str">
        <f t="shared" si="13"/>
        <v>Friday</v>
      </c>
      <c r="H317" s="7" t="str">
        <f t="shared" si="14"/>
        <v>Feb</v>
      </c>
      <c r="I317" s="8">
        <v>43510</v>
      </c>
      <c r="J317" s="8" t="str">
        <f t="shared" si="12"/>
        <v>Evening</v>
      </c>
      <c r="K317" s="9">
        <v>0.7284722222222223</v>
      </c>
      <c r="L317" s="7" t="s">
        <v>24</v>
      </c>
      <c r="M317" s="10">
        <v>9.9369999999999994</v>
      </c>
      <c r="N317" s="7">
        <v>5.2</v>
      </c>
    </row>
    <row r="318" spans="1:14" x14ac:dyDescent="0.25">
      <c r="A318" s="7" t="s">
        <v>347</v>
      </c>
      <c r="B318" s="7" t="s">
        <v>20</v>
      </c>
      <c r="C318" s="7" t="s">
        <v>21</v>
      </c>
      <c r="D318" s="7" t="s">
        <v>15</v>
      </c>
      <c r="E318" s="7" t="s">
        <v>16</v>
      </c>
      <c r="F318" s="7" t="s">
        <v>39</v>
      </c>
      <c r="G318" s="7" t="str">
        <f t="shared" si="13"/>
        <v>Friday</v>
      </c>
      <c r="H318" s="7" t="str">
        <f t="shared" si="14"/>
        <v>Feb</v>
      </c>
      <c r="I318" s="8">
        <v>43505</v>
      </c>
      <c r="J318" s="8" t="str">
        <f t="shared" si="12"/>
        <v>Morning</v>
      </c>
      <c r="K318" s="9">
        <v>0.43402777777777773</v>
      </c>
      <c r="L318" s="7" t="s">
        <v>24</v>
      </c>
      <c r="M318" s="10">
        <v>3.1619999999999999</v>
      </c>
      <c r="N318" s="7">
        <v>7.3</v>
      </c>
    </row>
    <row r="319" spans="1:14" x14ac:dyDescent="0.25">
      <c r="A319" s="7" t="s">
        <v>348</v>
      </c>
      <c r="B319" s="7" t="s">
        <v>20</v>
      </c>
      <c r="C319" s="7" t="s">
        <v>21</v>
      </c>
      <c r="D319" s="7" t="s">
        <v>15</v>
      </c>
      <c r="E319" s="7" t="s">
        <v>26</v>
      </c>
      <c r="F319" s="7" t="s">
        <v>23</v>
      </c>
      <c r="G319" s="7" t="str">
        <f t="shared" si="13"/>
        <v>Sunday</v>
      </c>
      <c r="H319" s="7" t="str">
        <f t="shared" si="14"/>
        <v>Jan</v>
      </c>
      <c r="I319" s="8">
        <v>43475</v>
      </c>
      <c r="J319" s="8" t="str">
        <f t="shared" si="12"/>
        <v>Morning</v>
      </c>
      <c r="K319" s="9">
        <v>0.48194444444444445</v>
      </c>
      <c r="L319" s="7" t="s">
        <v>24</v>
      </c>
      <c r="M319" s="10">
        <v>18.697500000000002</v>
      </c>
      <c r="N319" s="7">
        <v>4.9000000000000004</v>
      </c>
    </row>
    <row r="320" spans="1:14" x14ac:dyDescent="0.25">
      <c r="A320" s="7" t="s">
        <v>349</v>
      </c>
      <c r="B320" s="7" t="s">
        <v>20</v>
      </c>
      <c r="C320" s="7" t="s">
        <v>21</v>
      </c>
      <c r="D320" s="7" t="s">
        <v>15</v>
      </c>
      <c r="E320" s="7" t="s">
        <v>16</v>
      </c>
      <c r="F320" s="7" t="s">
        <v>17</v>
      </c>
      <c r="G320" s="7" t="str">
        <f t="shared" si="13"/>
        <v>Tuesday</v>
      </c>
      <c r="H320" s="7" t="str">
        <f t="shared" si="14"/>
        <v>Mar</v>
      </c>
      <c r="I320" s="8">
        <v>43535</v>
      </c>
      <c r="J320" s="8" t="str">
        <f t="shared" si="12"/>
        <v>Evening</v>
      </c>
      <c r="K320" s="9">
        <v>0.79027777777777775</v>
      </c>
      <c r="L320" s="7" t="s">
        <v>28</v>
      </c>
      <c r="M320" s="10">
        <v>10.384499999999999</v>
      </c>
      <c r="N320" s="7">
        <v>8.1</v>
      </c>
    </row>
    <row r="321" spans="1:14" x14ac:dyDescent="0.25">
      <c r="A321" s="7" t="s">
        <v>350</v>
      </c>
      <c r="B321" s="7" t="s">
        <v>20</v>
      </c>
      <c r="C321" s="7" t="s">
        <v>21</v>
      </c>
      <c r="D321" s="7" t="s">
        <v>15</v>
      </c>
      <c r="E321" s="7" t="s">
        <v>26</v>
      </c>
      <c r="F321" s="7" t="s">
        <v>17</v>
      </c>
      <c r="G321" s="7" t="str">
        <f t="shared" si="13"/>
        <v>Saturday</v>
      </c>
      <c r="H321" s="7" t="str">
        <f t="shared" si="14"/>
        <v>Feb</v>
      </c>
      <c r="I321" s="8">
        <v>43514</v>
      </c>
      <c r="J321" s="8" t="str">
        <f t="shared" si="12"/>
        <v>Evening</v>
      </c>
      <c r="K321" s="9">
        <v>0.68611111111111101</v>
      </c>
      <c r="L321" s="7" t="s">
        <v>18</v>
      </c>
      <c r="M321" s="10">
        <v>8.8140000000000001</v>
      </c>
      <c r="N321" s="7">
        <v>8.4</v>
      </c>
    </row>
    <row r="322" spans="1:14" x14ac:dyDescent="0.25">
      <c r="A322" s="7" t="s">
        <v>351</v>
      </c>
      <c r="B322" s="7" t="s">
        <v>20</v>
      </c>
      <c r="C322" s="7" t="s">
        <v>21</v>
      </c>
      <c r="D322" s="7" t="s">
        <v>22</v>
      </c>
      <c r="E322" s="7" t="s">
        <v>16</v>
      </c>
      <c r="F322" s="7" t="s">
        <v>39</v>
      </c>
      <c r="G322" s="7" t="str">
        <f t="shared" si="13"/>
        <v>Sunday</v>
      </c>
      <c r="H322" s="7" t="str">
        <f t="shared" si="14"/>
        <v>Feb</v>
      </c>
      <c r="I322" s="8">
        <v>43522</v>
      </c>
      <c r="J322" s="8" t="str">
        <f t="shared" ref="J322:J385" si="15">IF(AND(K322&gt;=TIME(9,0,0),K322&lt;TIME(12,0,0)),"Morning",IF(AND(K322&gt;=TIME(12,0,0),K322&lt;TIME(16,0,0)),"Afternoon","Evening"))</f>
        <v>Evening</v>
      </c>
      <c r="K322" s="9">
        <v>0.85138888888888886</v>
      </c>
      <c r="L322" s="7" t="s">
        <v>24</v>
      </c>
      <c r="M322" s="10">
        <v>10.3185</v>
      </c>
      <c r="N322" s="7">
        <v>5.5</v>
      </c>
    </row>
    <row r="323" spans="1:14" x14ac:dyDescent="0.25">
      <c r="A323" s="7" t="s">
        <v>352</v>
      </c>
      <c r="B323" s="7" t="s">
        <v>20</v>
      </c>
      <c r="C323" s="7" t="s">
        <v>21</v>
      </c>
      <c r="D323" s="7" t="s">
        <v>22</v>
      </c>
      <c r="E323" s="7" t="s">
        <v>16</v>
      </c>
      <c r="F323" s="7" t="s">
        <v>17</v>
      </c>
      <c r="G323" s="7" t="str">
        <f t="shared" ref="G323:G386" si="16">TEXT(I323/7,"dddd")</f>
        <v>Monday</v>
      </c>
      <c r="H323" s="7" t="str">
        <f t="shared" ref="H323:H386" si="17">TEXT(I323,"mmm")</f>
        <v>Jan</v>
      </c>
      <c r="I323" s="8">
        <v>43483</v>
      </c>
      <c r="J323" s="8" t="str">
        <f t="shared" si="15"/>
        <v>Afternoon</v>
      </c>
      <c r="K323" s="9">
        <v>0.63055555555555554</v>
      </c>
      <c r="L323" s="7" t="s">
        <v>24</v>
      </c>
      <c r="M323" s="10">
        <v>1.9710000000000001</v>
      </c>
      <c r="N323" s="7">
        <v>8.4</v>
      </c>
    </row>
    <row r="324" spans="1:14" x14ac:dyDescent="0.25">
      <c r="A324" s="7" t="s">
        <v>353</v>
      </c>
      <c r="B324" s="7" t="s">
        <v>13</v>
      </c>
      <c r="C324" s="7" t="s">
        <v>14</v>
      </c>
      <c r="D324" s="7" t="s">
        <v>22</v>
      </c>
      <c r="E324" s="7" t="s">
        <v>26</v>
      </c>
      <c r="F324" s="7" t="s">
        <v>17</v>
      </c>
      <c r="G324" s="7" t="str">
        <f t="shared" si="16"/>
        <v>Friday</v>
      </c>
      <c r="H324" s="7" t="str">
        <f t="shared" si="17"/>
        <v>Feb</v>
      </c>
      <c r="I324" s="8">
        <v>43511</v>
      </c>
      <c r="J324" s="8" t="str">
        <f t="shared" si="15"/>
        <v>Evening</v>
      </c>
      <c r="K324" s="9">
        <v>0.75208333333333333</v>
      </c>
      <c r="L324" s="7" t="s">
        <v>18</v>
      </c>
      <c r="M324" s="10">
        <v>4.5780000000000003</v>
      </c>
      <c r="N324" s="7">
        <v>9.8000000000000007</v>
      </c>
    </row>
    <row r="325" spans="1:14" x14ac:dyDescent="0.25">
      <c r="A325" s="7" t="s">
        <v>354</v>
      </c>
      <c r="B325" s="7" t="s">
        <v>13</v>
      </c>
      <c r="C325" s="7" t="s">
        <v>14</v>
      </c>
      <c r="D325" s="7" t="s">
        <v>22</v>
      </c>
      <c r="E325" s="7" t="s">
        <v>16</v>
      </c>
      <c r="F325" s="7" t="s">
        <v>41</v>
      </c>
      <c r="G325" s="7" t="str">
        <f t="shared" si="16"/>
        <v>Monday</v>
      </c>
      <c r="H325" s="7" t="str">
        <f t="shared" si="17"/>
        <v>Mar</v>
      </c>
      <c r="I325" s="8">
        <v>43532</v>
      </c>
      <c r="J325" s="8" t="str">
        <f t="shared" si="15"/>
        <v>Afternoon</v>
      </c>
      <c r="K325" s="9">
        <v>0.55625000000000002</v>
      </c>
      <c r="L325" s="7" t="s">
        <v>24</v>
      </c>
      <c r="M325" s="10">
        <v>15.442500000000001</v>
      </c>
      <c r="N325" s="7">
        <v>6.7</v>
      </c>
    </row>
    <row r="326" spans="1:14" x14ac:dyDescent="0.25">
      <c r="A326" s="7" t="s">
        <v>355</v>
      </c>
      <c r="B326" s="7" t="s">
        <v>13</v>
      </c>
      <c r="C326" s="7" t="s">
        <v>14</v>
      </c>
      <c r="D326" s="7" t="s">
        <v>22</v>
      </c>
      <c r="E326" s="7" t="s">
        <v>26</v>
      </c>
      <c r="F326" s="7" t="s">
        <v>27</v>
      </c>
      <c r="G326" s="7" t="str">
        <f t="shared" si="16"/>
        <v>Monday</v>
      </c>
      <c r="H326" s="7" t="str">
        <f t="shared" si="17"/>
        <v>Jan</v>
      </c>
      <c r="I326" s="8">
        <v>43482</v>
      </c>
      <c r="J326" s="8" t="str">
        <f t="shared" si="15"/>
        <v>Afternoon</v>
      </c>
      <c r="K326" s="9">
        <v>0.53333333333333333</v>
      </c>
      <c r="L326" s="7" t="s">
        <v>28</v>
      </c>
      <c r="M326" s="10">
        <v>6.4560000000000004</v>
      </c>
      <c r="N326" s="7">
        <v>9.4</v>
      </c>
    </row>
    <row r="327" spans="1:14" x14ac:dyDescent="0.25">
      <c r="A327" s="7" t="s">
        <v>356</v>
      </c>
      <c r="B327" s="7" t="s">
        <v>37</v>
      </c>
      <c r="C327" s="7" t="s">
        <v>38</v>
      </c>
      <c r="D327" s="7" t="s">
        <v>22</v>
      </c>
      <c r="E327" s="7" t="s">
        <v>26</v>
      </c>
      <c r="F327" s="7" t="s">
        <v>31</v>
      </c>
      <c r="G327" s="7" t="str">
        <f t="shared" si="16"/>
        <v>Tuesday</v>
      </c>
      <c r="H327" s="7" t="str">
        <f t="shared" si="17"/>
        <v>Mar</v>
      </c>
      <c r="I327" s="8">
        <v>43536</v>
      </c>
      <c r="J327" s="8" t="str">
        <f t="shared" si="15"/>
        <v>Evening</v>
      </c>
      <c r="K327" s="9">
        <v>0.82847222222222217</v>
      </c>
      <c r="L327" s="7" t="s">
        <v>18</v>
      </c>
      <c r="M327" s="10">
        <v>19.547999999999998</v>
      </c>
      <c r="N327" s="7">
        <v>6.4</v>
      </c>
    </row>
    <row r="328" spans="1:14" x14ac:dyDescent="0.25">
      <c r="A328" s="7" t="s">
        <v>357</v>
      </c>
      <c r="B328" s="7" t="s">
        <v>13</v>
      </c>
      <c r="C328" s="7" t="s">
        <v>14</v>
      </c>
      <c r="D328" s="7" t="s">
        <v>15</v>
      </c>
      <c r="E328" s="7" t="s">
        <v>26</v>
      </c>
      <c r="F328" s="7" t="s">
        <v>39</v>
      </c>
      <c r="G328" s="7" t="str">
        <f t="shared" si="16"/>
        <v>Tuesday</v>
      </c>
      <c r="H328" s="7" t="str">
        <f t="shared" si="17"/>
        <v>Mar</v>
      </c>
      <c r="I328" s="8">
        <v>43533</v>
      </c>
      <c r="J328" s="8" t="str">
        <f t="shared" si="15"/>
        <v>Evening</v>
      </c>
      <c r="K328" s="9">
        <v>0.79791666666666661</v>
      </c>
      <c r="L328" s="7" t="s">
        <v>24</v>
      </c>
      <c r="M328" s="10">
        <v>24.945</v>
      </c>
      <c r="N328" s="7">
        <v>5.4</v>
      </c>
    </row>
    <row r="329" spans="1:14" x14ac:dyDescent="0.25">
      <c r="A329" s="7" t="s">
        <v>358</v>
      </c>
      <c r="B329" s="7" t="s">
        <v>20</v>
      </c>
      <c r="C329" s="7" t="s">
        <v>21</v>
      </c>
      <c r="D329" s="7" t="s">
        <v>15</v>
      </c>
      <c r="E329" s="7" t="s">
        <v>26</v>
      </c>
      <c r="F329" s="7" t="s">
        <v>39</v>
      </c>
      <c r="G329" s="7" t="str">
        <f t="shared" si="16"/>
        <v>Tuesday</v>
      </c>
      <c r="H329" s="7" t="str">
        <f t="shared" si="17"/>
        <v>Mar</v>
      </c>
      <c r="I329" s="8">
        <v>43536</v>
      </c>
      <c r="J329" s="8" t="str">
        <f t="shared" si="15"/>
        <v>Evening</v>
      </c>
      <c r="K329" s="9">
        <v>0.6875</v>
      </c>
      <c r="L329" s="7" t="s">
        <v>24</v>
      </c>
      <c r="M329" s="10">
        <v>18.852</v>
      </c>
      <c r="N329" s="7">
        <v>8.6</v>
      </c>
    </row>
    <row r="330" spans="1:14" x14ac:dyDescent="0.25">
      <c r="A330" s="7" t="s">
        <v>359</v>
      </c>
      <c r="B330" s="7" t="s">
        <v>37</v>
      </c>
      <c r="C330" s="7" t="s">
        <v>38</v>
      </c>
      <c r="D330" s="7" t="s">
        <v>15</v>
      </c>
      <c r="E330" s="7" t="s">
        <v>26</v>
      </c>
      <c r="F330" s="7" t="s">
        <v>17</v>
      </c>
      <c r="G330" s="7" t="str">
        <f t="shared" si="16"/>
        <v>Tuesday</v>
      </c>
      <c r="H330" s="7" t="str">
        <f t="shared" si="17"/>
        <v>Jan</v>
      </c>
      <c r="I330" s="8">
        <v>43490</v>
      </c>
      <c r="J330" s="8" t="str">
        <f t="shared" si="15"/>
        <v>Morning</v>
      </c>
      <c r="K330" s="9">
        <v>0.42430555555555555</v>
      </c>
      <c r="L330" s="7" t="s">
        <v>28</v>
      </c>
      <c r="M330" s="10">
        <v>10.226000000000001</v>
      </c>
      <c r="N330" s="7">
        <v>4</v>
      </c>
    </row>
    <row r="331" spans="1:14" x14ac:dyDescent="0.25">
      <c r="A331" s="7" t="s">
        <v>360</v>
      </c>
      <c r="B331" s="7" t="s">
        <v>13</v>
      </c>
      <c r="C331" s="7" t="s">
        <v>14</v>
      </c>
      <c r="D331" s="7" t="s">
        <v>15</v>
      </c>
      <c r="E331" s="7" t="s">
        <v>26</v>
      </c>
      <c r="F331" s="7" t="s">
        <v>23</v>
      </c>
      <c r="G331" s="7" t="str">
        <f t="shared" si="16"/>
        <v>Thursday</v>
      </c>
      <c r="H331" s="7" t="str">
        <f t="shared" si="17"/>
        <v>Mar</v>
      </c>
      <c r="I331" s="8">
        <v>43549</v>
      </c>
      <c r="J331" s="8" t="str">
        <f t="shared" si="15"/>
        <v>Afternoon</v>
      </c>
      <c r="K331" s="9">
        <v>0.54652777777777783</v>
      </c>
      <c r="L331" s="7" t="s">
        <v>24</v>
      </c>
      <c r="M331" s="10">
        <v>7.2720000000000002</v>
      </c>
      <c r="N331" s="7">
        <v>7.6</v>
      </c>
    </row>
    <row r="332" spans="1:14" x14ac:dyDescent="0.25">
      <c r="A332" s="7" t="s">
        <v>361</v>
      </c>
      <c r="B332" s="7" t="s">
        <v>37</v>
      </c>
      <c r="C332" s="7" t="s">
        <v>38</v>
      </c>
      <c r="D332" s="7" t="s">
        <v>22</v>
      </c>
      <c r="E332" s="7" t="s">
        <v>26</v>
      </c>
      <c r="F332" s="7" t="s">
        <v>27</v>
      </c>
      <c r="G332" s="7" t="str">
        <f t="shared" si="16"/>
        <v>Thursday</v>
      </c>
      <c r="H332" s="7" t="str">
        <f t="shared" si="17"/>
        <v>Feb</v>
      </c>
      <c r="I332" s="8">
        <v>43503</v>
      </c>
      <c r="J332" s="8" t="str">
        <f t="shared" si="15"/>
        <v>Evening</v>
      </c>
      <c r="K332" s="9">
        <v>0.78333333333333333</v>
      </c>
      <c r="L332" s="7" t="s">
        <v>24</v>
      </c>
      <c r="M332" s="10">
        <v>9.9090000000000007</v>
      </c>
      <c r="N332" s="7">
        <v>6.8</v>
      </c>
    </row>
    <row r="333" spans="1:14" x14ac:dyDescent="0.25">
      <c r="A333" s="7" t="s">
        <v>362</v>
      </c>
      <c r="B333" s="7" t="s">
        <v>13</v>
      </c>
      <c r="C333" s="7" t="s">
        <v>14</v>
      </c>
      <c r="D333" s="7" t="s">
        <v>22</v>
      </c>
      <c r="E333" s="7" t="s">
        <v>26</v>
      </c>
      <c r="F333" s="7" t="s">
        <v>39</v>
      </c>
      <c r="G333" s="7" t="str">
        <f t="shared" si="16"/>
        <v>Saturday</v>
      </c>
      <c r="H333" s="7" t="str">
        <f t="shared" si="17"/>
        <v>Feb</v>
      </c>
      <c r="I333" s="8">
        <v>43513</v>
      </c>
      <c r="J333" s="8" t="str">
        <f t="shared" si="15"/>
        <v>Evening</v>
      </c>
      <c r="K333" s="9">
        <v>0.7270833333333333</v>
      </c>
      <c r="L333" s="7" t="s">
        <v>28</v>
      </c>
      <c r="M333" s="10">
        <v>4.9349999999999996</v>
      </c>
      <c r="N333" s="7">
        <v>9.1</v>
      </c>
    </row>
    <row r="334" spans="1:14" x14ac:dyDescent="0.25">
      <c r="A334" s="7" t="s">
        <v>363</v>
      </c>
      <c r="B334" s="7" t="s">
        <v>13</v>
      </c>
      <c r="C334" s="7" t="s">
        <v>14</v>
      </c>
      <c r="D334" s="7" t="s">
        <v>22</v>
      </c>
      <c r="E334" s="7" t="s">
        <v>26</v>
      </c>
      <c r="F334" s="7" t="s">
        <v>41</v>
      </c>
      <c r="G334" s="7" t="str">
        <f t="shared" si="16"/>
        <v>Thursday</v>
      </c>
      <c r="H334" s="7" t="str">
        <f t="shared" si="17"/>
        <v>Feb</v>
      </c>
      <c r="I334" s="8">
        <v>43499</v>
      </c>
      <c r="J334" s="8" t="str">
        <f t="shared" si="15"/>
        <v>Afternoon</v>
      </c>
      <c r="K334" s="9">
        <v>0.66597222222222219</v>
      </c>
      <c r="L334" s="7" t="s">
        <v>24</v>
      </c>
      <c r="M334" s="10">
        <v>19.254999999999999</v>
      </c>
      <c r="N334" s="7">
        <v>5.5</v>
      </c>
    </row>
    <row r="335" spans="1:14" x14ac:dyDescent="0.25">
      <c r="A335" s="7" t="s">
        <v>364</v>
      </c>
      <c r="B335" s="7" t="s">
        <v>13</v>
      </c>
      <c r="C335" s="7" t="s">
        <v>14</v>
      </c>
      <c r="D335" s="7" t="s">
        <v>15</v>
      </c>
      <c r="E335" s="7" t="s">
        <v>26</v>
      </c>
      <c r="F335" s="7" t="s">
        <v>39</v>
      </c>
      <c r="G335" s="7" t="str">
        <f t="shared" si="16"/>
        <v>Tuesday</v>
      </c>
      <c r="H335" s="7" t="str">
        <f t="shared" si="17"/>
        <v>Mar</v>
      </c>
      <c r="I335" s="8">
        <v>43538</v>
      </c>
      <c r="J335" s="8" t="str">
        <f t="shared" si="15"/>
        <v>Morning</v>
      </c>
      <c r="K335" s="9">
        <v>0.47291666666666665</v>
      </c>
      <c r="L335" s="7" t="s">
        <v>28</v>
      </c>
      <c r="M335" s="10">
        <v>2.3479999999999999</v>
      </c>
      <c r="N335" s="7">
        <v>7.9</v>
      </c>
    </row>
    <row r="336" spans="1:14" x14ac:dyDescent="0.25">
      <c r="A336" s="7" t="s">
        <v>365</v>
      </c>
      <c r="B336" s="7" t="s">
        <v>20</v>
      </c>
      <c r="C336" s="7" t="s">
        <v>21</v>
      </c>
      <c r="D336" s="7" t="s">
        <v>15</v>
      </c>
      <c r="E336" s="7" t="s">
        <v>26</v>
      </c>
      <c r="F336" s="7" t="s">
        <v>31</v>
      </c>
      <c r="G336" s="7" t="str">
        <f t="shared" si="16"/>
        <v>Thursday</v>
      </c>
      <c r="H336" s="7" t="str">
        <f t="shared" si="17"/>
        <v>Mar</v>
      </c>
      <c r="I336" s="8">
        <v>43548</v>
      </c>
      <c r="J336" s="8" t="str">
        <f t="shared" si="15"/>
        <v>Afternoon</v>
      </c>
      <c r="K336" s="9">
        <v>0.57500000000000007</v>
      </c>
      <c r="L336" s="7" t="s">
        <v>18</v>
      </c>
      <c r="M336" s="10">
        <v>3.6749999999999998</v>
      </c>
      <c r="N336" s="7">
        <v>8.5</v>
      </c>
    </row>
    <row r="337" spans="1:14" x14ac:dyDescent="0.25">
      <c r="A337" s="7" t="s">
        <v>366</v>
      </c>
      <c r="B337" s="7" t="s">
        <v>13</v>
      </c>
      <c r="C337" s="7" t="s">
        <v>14</v>
      </c>
      <c r="D337" s="7" t="s">
        <v>15</v>
      </c>
      <c r="E337" s="7" t="s">
        <v>16</v>
      </c>
      <c r="F337" s="7" t="s">
        <v>23</v>
      </c>
      <c r="G337" s="7" t="str">
        <f t="shared" si="16"/>
        <v>Wednesday</v>
      </c>
      <c r="H337" s="7" t="str">
        <f t="shared" si="17"/>
        <v>Mar</v>
      </c>
      <c r="I337" s="8">
        <v>43545</v>
      </c>
      <c r="J337" s="8" t="str">
        <f t="shared" si="15"/>
        <v>Morning</v>
      </c>
      <c r="K337" s="9">
        <v>0.4284722222222222</v>
      </c>
      <c r="L337" s="7" t="s">
        <v>28</v>
      </c>
      <c r="M337" s="10">
        <v>7.1124999999999998</v>
      </c>
      <c r="N337" s="7">
        <v>9.1</v>
      </c>
    </row>
    <row r="338" spans="1:14" x14ac:dyDescent="0.25">
      <c r="A338" s="7" t="s">
        <v>367</v>
      </c>
      <c r="B338" s="7" t="s">
        <v>13</v>
      </c>
      <c r="C338" s="7" t="s">
        <v>14</v>
      </c>
      <c r="D338" s="7" t="s">
        <v>22</v>
      </c>
      <c r="E338" s="7" t="s">
        <v>26</v>
      </c>
      <c r="F338" s="7" t="s">
        <v>41</v>
      </c>
      <c r="G338" s="7" t="str">
        <f t="shared" si="16"/>
        <v>Wednesday</v>
      </c>
      <c r="H338" s="7" t="str">
        <f t="shared" si="17"/>
        <v>Mar</v>
      </c>
      <c r="I338" s="8">
        <v>43543</v>
      </c>
      <c r="J338" s="8" t="str">
        <f t="shared" si="15"/>
        <v>Afternoon</v>
      </c>
      <c r="K338" s="9">
        <v>0.65902777777777777</v>
      </c>
      <c r="L338" s="7" t="s">
        <v>18</v>
      </c>
      <c r="M338" s="10">
        <v>34.380000000000003</v>
      </c>
      <c r="N338" s="7">
        <v>7.5</v>
      </c>
    </row>
    <row r="339" spans="1:14" x14ac:dyDescent="0.25">
      <c r="A339" s="7" t="s">
        <v>368</v>
      </c>
      <c r="B339" s="7" t="s">
        <v>37</v>
      </c>
      <c r="C339" s="7" t="s">
        <v>38</v>
      </c>
      <c r="D339" s="7" t="s">
        <v>22</v>
      </c>
      <c r="E339" s="7" t="s">
        <v>16</v>
      </c>
      <c r="F339" s="7" t="s">
        <v>31</v>
      </c>
      <c r="G339" s="7" t="str">
        <f t="shared" si="16"/>
        <v>Sunday</v>
      </c>
      <c r="H339" s="7" t="str">
        <f t="shared" si="17"/>
        <v>Feb</v>
      </c>
      <c r="I339" s="8">
        <v>43520</v>
      </c>
      <c r="J339" s="8" t="str">
        <f t="shared" si="15"/>
        <v>Afternoon</v>
      </c>
      <c r="K339" s="9">
        <v>0.54305555555555551</v>
      </c>
      <c r="L339" s="7" t="s">
        <v>24</v>
      </c>
      <c r="M339" s="10">
        <v>17.385000000000002</v>
      </c>
      <c r="N339" s="7">
        <v>5.2</v>
      </c>
    </row>
    <row r="340" spans="1:14" x14ac:dyDescent="0.25">
      <c r="A340" s="7" t="s">
        <v>369</v>
      </c>
      <c r="B340" s="7" t="s">
        <v>20</v>
      </c>
      <c r="C340" s="7" t="s">
        <v>21</v>
      </c>
      <c r="D340" s="7" t="s">
        <v>22</v>
      </c>
      <c r="E340" s="7" t="s">
        <v>16</v>
      </c>
      <c r="F340" s="7" t="s">
        <v>23</v>
      </c>
      <c r="G340" s="7" t="str">
        <f t="shared" si="16"/>
        <v>Thursday</v>
      </c>
      <c r="H340" s="7" t="str">
        <f t="shared" si="17"/>
        <v>Mar</v>
      </c>
      <c r="I340" s="8">
        <v>43552</v>
      </c>
      <c r="J340" s="8" t="str">
        <f t="shared" si="15"/>
        <v>Afternoon</v>
      </c>
      <c r="K340" s="9">
        <v>0.54027777777777775</v>
      </c>
      <c r="L340" s="7" t="s">
        <v>28</v>
      </c>
      <c r="M340" s="10">
        <v>7.1475</v>
      </c>
      <c r="N340" s="7">
        <v>9.5</v>
      </c>
    </row>
    <row r="341" spans="1:14" x14ac:dyDescent="0.25">
      <c r="A341" s="7" t="s">
        <v>370</v>
      </c>
      <c r="B341" s="7" t="s">
        <v>37</v>
      </c>
      <c r="C341" s="7" t="s">
        <v>38</v>
      </c>
      <c r="D341" s="7" t="s">
        <v>15</v>
      </c>
      <c r="E341" s="7" t="s">
        <v>16</v>
      </c>
      <c r="F341" s="7" t="s">
        <v>39</v>
      </c>
      <c r="G341" s="7" t="str">
        <f t="shared" si="16"/>
        <v>Thursday</v>
      </c>
      <c r="H341" s="7" t="str">
        <f t="shared" si="17"/>
        <v>Feb</v>
      </c>
      <c r="I341" s="8">
        <v>43501</v>
      </c>
      <c r="J341" s="8" t="str">
        <f t="shared" si="15"/>
        <v>Afternoon</v>
      </c>
      <c r="K341" s="9">
        <v>0.6430555555555556</v>
      </c>
      <c r="L341" s="7" t="s">
        <v>28</v>
      </c>
      <c r="M341" s="10">
        <v>19.268999999999998</v>
      </c>
      <c r="N341" s="7">
        <v>8.9</v>
      </c>
    </row>
    <row r="342" spans="1:14" x14ac:dyDescent="0.25">
      <c r="A342" s="7" t="s">
        <v>371</v>
      </c>
      <c r="B342" s="7" t="s">
        <v>37</v>
      </c>
      <c r="C342" s="7" t="s">
        <v>38</v>
      </c>
      <c r="D342" s="7" t="s">
        <v>15</v>
      </c>
      <c r="E342" s="7" t="s">
        <v>26</v>
      </c>
      <c r="F342" s="7" t="s">
        <v>23</v>
      </c>
      <c r="G342" s="7" t="str">
        <f t="shared" si="16"/>
        <v>Friday</v>
      </c>
      <c r="H342" s="7" t="str">
        <f t="shared" si="17"/>
        <v>Feb</v>
      </c>
      <c r="I342" s="8">
        <v>43506</v>
      </c>
      <c r="J342" s="8" t="str">
        <f t="shared" si="15"/>
        <v>Evening</v>
      </c>
      <c r="K342" s="9">
        <v>0.76597222222222217</v>
      </c>
      <c r="L342" s="7" t="s">
        <v>28</v>
      </c>
      <c r="M342" s="10">
        <v>7.2134999999999998</v>
      </c>
      <c r="N342" s="7">
        <v>7.8</v>
      </c>
    </row>
    <row r="343" spans="1:14" x14ac:dyDescent="0.25">
      <c r="A343" s="7" t="s">
        <v>372</v>
      </c>
      <c r="B343" s="7" t="s">
        <v>37</v>
      </c>
      <c r="C343" s="7" t="s">
        <v>38</v>
      </c>
      <c r="D343" s="7" t="s">
        <v>15</v>
      </c>
      <c r="E343" s="7" t="s">
        <v>16</v>
      </c>
      <c r="F343" s="7" t="s">
        <v>17</v>
      </c>
      <c r="G343" s="7" t="str">
        <f t="shared" si="16"/>
        <v>Monday</v>
      </c>
      <c r="H343" s="7" t="str">
        <f t="shared" si="17"/>
        <v>Mar</v>
      </c>
      <c r="I343" s="8">
        <v>43529</v>
      </c>
      <c r="J343" s="8" t="str">
        <f t="shared" si="15"/>
        <v>Evening</v>
      </c>
      <c r="K343" s="9">
        <v>0.79583333333333339</v>
      </c>
      <c r="L343" s="7" t="s">
        <v>18</v>
      </c>
      <c r="M343" s="10">
        <v>19.589500000000001</v>
      </c>
      <c r="N343" s="7">
        <v>8.9</v>
      </c>
    </row>
    <row r="344" spans="1:14" x14ac:dyDescent="0.25">
      <c r="A344" s="7" t="s">
        <v>373</v>
      </c>
      <c r="B344" s="7" t="s">
        <v>37</v>
      </c>
      <c r="C344" s="7" t="s">
        <v>38</v>
      </c>
      <c r="D344" s="7" t="s">
        <v>15</v>
      </c>
      <c r="E344" s="7" t="s">
        <v>16</v>
      </c>
      <c r="F344" s="7" t="s">
        <v>17</v>
      </c>
      <c r="G344" s="7" t="str">
        <f t="shared" si="16"/>
        <v>Friday</v>
      </c>
      <c r="H344" s="7" t="str">
        <f t="shared" si="17"/>
        <v>Feb</v>
      </c>
      <c r="I344" s="8">
        <v>43511</v>
      </c>
      <c r="J344" s="8" t="str">
        <f t="shared" si="15"/>
        <v>Evening</v>
      </c>
      <c r="K344" s="9">
        <v>0.84791666666666676</v>
      </c>
      <c r="L344" s="7" t="s">
        <v>24</v>
      </c>
      <c r="M344" s="10">
        <v>26.914999999999999</v>
      </c>
      <c r="N344" s="7">
        <v>7.7</v>
      </c>
    </row>
    <row r="345" spans="1:14" x14ac:dyDescent="0.25">
      <c r="A345" s="7" t="s">
        <v>374</v>
      </c>
      <c r="B345" s="7" t="s">
        <v>20</v>
      </c>
      <c r="C345" s="7" t="s">
        <v>21</v>
      </c>
      <c r="D345" s="7" t="s">
        <v>22</v>
      </c>
      <c r="E345" s="7" t="s">
        <v>16</v>
      </c>
      <c r="F345" s="7" t="s">
        <v>39</v>
      </c>
      <c r="G345" s="7" t="str">
        <f t="shared" si="16"/>
        <v>Wednesday</v>
      </c>
      <c r="H345" s="7" t="str">
        <f t="shared" si="17"/>
        <v>Jan</v>
      </c>
      <c r="I345" s="8">
        <v>43495</v>
      </c>
      <c r="J345" s="8" t="str">
        <f t="shared" si="15"/>
        <v>Evening</v>
      </c>
      <c r="K345" s="9">
        <v>0.68333333333333324</v>
      </c>
      <c r="L345" s="7" t="s">
        <v>18</v>
      </c>
      <c r="M345" s="10">
        <v>24.2575</v>
      </c>
      <c r="N345" s="7">
        <v>9.3000000000000007</v>
      </c>
    </row>
    <row r="346" spans="1:14" x14ac:dyDescent="0.25">
      <c r="A346" s="7" t="s">
        <v>375</v>
      </c>
      <c r="B346" s="7" t="s">
        <v>13</v>
      </c>
      <c r="C346" s="7" t="s">
        <v>14</v>
      </c>
      <c r="D346" s="7" t="s">
        <v>22</v>
      </c>
      <c r="E346" s="7" t="s">
        <v>26</v>
      </c>
      <c r="F346" s="7" t="s">
        <v>31</v>
      </c>
      <c r="G346" s="7" t="str">
        <f t="shared" si="16"/>
        <v>Friday</v>
      </c>
      <c r="H346" s="7" t="str">
        <f t="shared" si="17"/>
        <v>Feb</v>
      </c>
      <c r="I346" s="8">
        <v>43510</v>
      </c>
      <c r="J346" s="8" t="str">
        <f t="shared" si="15"/>
        <v>Afternoon</v>
      </c>
      <c r="K346" s="9">
        <v>0.62777777777777777</v>
      </c>
      <c r="L346" s="7" t="s">
        <v>24</v>
      </c>
      <c r="M346" s="10">
        <v>6.6974999999999998</v>
      </c>
      <c r="N346" s="7">
        <v>6.2</v>
      </c>
    </row>
    <row r="347" spans="1:14" x14ac:dyDescent="0.25">
      <c r="A347" s="7" t="s">
        <v>376</v>
      </c>
      <c r="B347" s="7" t="s">
        <v>13</v>
      </c>
      <c r="C347" s="7" t="s">
        <v>14</v>
      </c>
      <c r="D347" s="7" t="s">
        <v>22</v>
      </c>
      <c r="E347" s="7" t="s">
        <v>16</v>
      </c>
      <c r="F347" s="7" t="s">
        <v>41</v>
      </c>
      <c r="G347" s="7" t="str">
        <f t="shared" si="16"/>
        <v>Sunday</v>
      </c>
      <c r="H347" s="7" t="str">
        <f t="shared" si="17"/>
        <v>Feb</v>
      </c>
      <c r="I347" s="8">
        <v>43523</v>
      </c>
      <c r="J347" s="8" t="str">
        <f t="shared" si="15"/>
        <v>Evening</v>
      </c>
      <c r="K347" s="9">
        <v>0.67361111111111116</v>
      </c>
      <c r="L347" s="7" t="s">
        <v>18</v>
      </c>
      <c r="M347" s="10">
        <v>35.0685</v>
      </c>
      <c r="N347" s="7">
        <v>7.6</v>
      </c>
    </row>
    <row r="348" spans="1:14" x14ac:dyDescent="0.25">
      <c r="A348" s="7" t="s">
        <v>377</v>
      </c>
      <c r="B348" s="7" t="s">
        <v>13</v>
      </c>
      <c r="C348" s="7" t="s">
        <v>14</v>
      </c>
      <c r="D348" s="7" t="s">
        <v>15</v>
      </c>
      <c r="E348" s="7" t="s">
        <v>26</v>
      </c>
      <c r="F348" s="7" t="s">
        <v>23</v>
      </c>
      <c r="G348" s="7" t="str">
        <f t="shared" si="16"/>
        <v>Thursday</v>
      </c>
      <c r="H348" s="7" t="str">
        <f t="shared" si="17"/>
        <v>Feb</v>
      </c>
      <c r="I348" s="8">
        <v>43500</v>
      </c>
      <c r="J348" s="8" t="str">
        <f t="shared" si="15"/>
        <v>Afternoon</v>
      </c>
      <c r="K348" s="9">
        <v>0.50972222222222219</v>
      </c>
      <c r="L348" s="7" t="s">
        <v>24</v>
      </c>
      <c r="M348" s="10">
        <v>3.5975000000000001</v>
      </c>
      <c r="N348" s="7">
        <v>7.3</v>
      </c>
    </row>
    <row r="349" spans="1:14" x14ac:dyDescent="0.25">
      <c r="A349" s="7" t="s">
        <v>378</v>
      </c>
      <c r="B349" s="7" t="s">
        <v>20</v>
      </c>
      <c r="C349" s="7" t="s">
        <v>21</v>
      </c>
      <c r="D349" s="7" t="s">
        <v>15</v>
      </c>
      <c r="E349" s="7" t="s">
        <v>16</v>
      </c>
      <c r="F349" s="7" t="s">
        <v>27</v>
      </c>
      <c r="G349" s="7" t="str">
        <f t="shared" si="16"/>
        <v>Tuesday</v>
      </c>
      <c r="H349" s="7" t="str">
        <f t="shared" si="17"/>
        <v>Jan</v>
      </c>
      <c r="I349" s="8">
        <v>43485</v>
      </c>
      <c r="J349" s="8" t="str">
        <f t="shared" si="15"/>
        <v>Morning</v>
      </c>
      <c r="K349" s="9">
        <v>0.42569444444444443</v>
      </c>
      <c r="L349" s="7" t="s">
        <v>24</v>
      </c>
      <c r="M349" s="10">
        <v>35.700000000000003</v>
      </c>
      <c r="N349" s="7">
        <v>4.7</v>
      </c>
    </row>
    <row r="350" spans="1:14" x14ac:dyDescent="0.25">
      <c r="A350" s="7" t="s">
        <v>379</v>
      </c>
      <c r="B350" s="7" t="s">
        <v>13</v>
      </c>
      <c r="C350" s="7" t="s">
        <v>14</v>
      </c>
      <c r="D350" s="7" t="s">
        <v>22</v>
      </c>
      <c r="E350" s="7" t="s">
        <v>26</v>
      </c>
      <c r="F350" s="7" t="s">
        <v>23</v>
      </c>
      <c r="G350" s="7" t="str">
        <f t="shared" si="16"/>
        <v>Thursday</v>
      </c>
      <c r="H350" s="7" t="str">
        <f t="shared" si="17"/>
        <v>Mar</v>
      </c>
      <c r="I350" s="8">
        <v>43552</v>
      </c>
      <c r="J350" s="8" t="str">
        <f t="shared" si="15"/>
        <v>Evening</v>
      </c>
      <c r="K350" s="9">
        <v>0.73472222222222217</v>
      </c>
      <c r="L350" s="7" t="s">
        <v>24</v>
      </c>
      <c r="M350" s="10">
        <v>9.1069999999999993</v>
      </c>
      <c r="N350" s="7">
        <v>5.0999999999999996</v>
      </c>
    </row>
    <row r="351" spans="1:14" x14ac:dyDescent="0.25">
      <c r="A351" s="7" t="s">
        <v>380</v>
      </c>
      <c r="B351" s="7" t="s">
        <v>37</v>
      </c>
      <c r="C351" s="7" t="s">
        <v>38</v>
      </c>
      <c r="D351" s="7" t="s">
        <v>22</v>
      </c>
      <c r="E351" s="7" t="s">
        <v>16</v>
      </c>
      <c r="F351" s="7" t="s">
        <v>17</v>
      </c>
      <c r="G351" s="7" t="str">
        <f t="shared" si="16"/>
        <v>Sunday</v>
      </c>
      <c r="H351" s="7" t="str">
        <f t="shared" si="17"/>
        <v>Feb</v>
      </c>
      <c r="I351" s="8">
        <v>43523</v>
      </c>
      <c r="J351" s="8" t="str">
        <f t="shared" si="15"/>
        <v>Morning</v>
      </c>
      <c r="K351" s="9">
        <v>0.46249999999999997</v>
      </c>
      <c r="L351" s="7" t="s">
        <v>28</v>
      </c>
      <c r="M351" s="10">
        <v>6.75</v>
      </c>
      <c r="N351" s="7">
        <v>4.8</v>
      </c>
    </row>
    <row r="352" spans="1:14" x14ac:dyDescent="0.25">
      <c r="A352" s="7" t="s">
        <v>381</v>
      </c>
      <c r="B352" s="7" t="s">
        <v>20</v>
      </c>
      <c r="C352" s="7" t="s">
        <v>21</v>
      </c>
      <c r="D352" s="7" t="s">
        <v>15</v>
      </c>
      <c r="E352" s="7" t="s">
        <v>16</v>
      </c>
      <c r="F352" s="7" t="s">
        <v>41</v>
      </c>
      <c r="G352" s="7" t="str">
        <f t="shared" si="16"/>
        <v>Friday</v>
      </c>
      <c r="H352" s="7" t="str">
        <f t="shared" si="17"/>
        <v>Feb</v>
      </c>
      <c r="I352" s="8">
        <v>43511</v>
      </c>
      <c r="J352" s="8" t="str">
        <f t="shared" si="15"/>
        <v>Afternoon</v>
      </c>
      <c r="K352" s="9">
        <v>0.62013888888888891</v>
      </c>
      <c r="L352" s="7" t="s">
        <v>28</v>
      </c>
      <c r="M352" s="10">
        <v>49.65</v>
      </c>
      <c r="N352" s="7">
        <v>6.6</v>
      </c>
    </row>
    <row r="353" spans="1:14" x14ac:dyDescent="0.25">
      <c r="A353" s="7" t="s">
        <v>382</v>
      </c>
      <c r="B353" s="7" t="s">
        <v>13</v>
      </c>
      <c r="C353" s="7" t="s">
        <v>14</v>
      </c>
      <c r="D353" s="7" t="s">
        <v>22</v>
      </c>
      <c r="E353" s="7" t="s">
        <v>26</v>
      </c>
      <c r="F353" s="7" t="s">
        <v>23</v>
      </c>
      <c r="G353" s="7" t="str">
        <f t="shared" si="16"/>
        <v>Wednesday</v>
      </c>
      <c r="H353" s="7" t="str">
        <f t="shared" si="17"/>
        <v>Jan</v>
      </c>
      <c r="I353" s="8">
        <v>43491</v>
      </c>
      <c r="J353" s="8" t="str">
        <f t="shared" si="15"/>
        <v>Evening</v>
      </c>
      <c r="K353" s="9">
        <v>0.76527777777777783</v>
      </c>
      <c r="L353" s="7" t="s">
        <v>24</v>
      </c>
      <c r="M353" s="10">
        <v>18.0915</v>
      </c>
      <c r="N353" s="7">
        <v>5.5</v>
      </c>
    </row>
    <row r="354" spans="1:14" x14ac:dyDescent="0.25">
      <c r="A354" s="7" t="s">
        <v>383</v>
      </c>
      <c r="B354" s="7" t="s">
        <v>37</v>
      </c>
      <c r="C354" s="7" t="s">
        <v>38</v>
      </c>
      <c r="D354" s="7" t="s">
        <v>15</v>
      </c>
      <c r="E354" s="7" t="s">
        <v>16</v>
      </c>
      <c r="F354" s="7" t="s">
        <v>41</v>
      </c>
      <c r="G354" s="7" t="str">
        <f t="shared" si="16"/>
        <v>Tuesday</v>
      </c>
      <c r="H354" s="7" t="str">
        <f t="shared" si="17"/>
        <v>Mar</v>
      </c>
      <c r="I354" s="8">
        <v>43538</v>
      </c>
      <c r="J354" s="8" t="str">
        <f t="shared" si="15"/>
        <v>Evening</v>
      </c>
      <c r="K354" s="9">
        <v>0.79305555555555562</v>
      </c>
      <c r="L354" s="7" t="s">
        <v>28</v>
      </c>
      <c r="M354" s="10">
        <v>19.1555</v>
      </c>
      <c r="N354" s="7">
        <v>8.5</v>
      </c>
    </row>
    <row r="355" spans="1:14" x14ac:dyDescent="0.25">
      <c r="A355" s="7" t="s">
        <v>384</v>
      </c>
      <c r="B355" s="7" t="s">
        <v>37</v>
      </c>
      <c r="C355" s="7" t="s">
        <v>38</v>
      </c>
      <c r="D355" s="7" t="s">
        <v>15</v>
      </c>
      <c r="E355" s="7" t="s">
        <v>26</v>
      </c>
      <c r="F355" s="7" t="s">
        <v>27</v>
      </c>
      <c r="G355" s="7" t="str">
        <f t="shared" si="16"/>
        <v>Monday</v>
      </c>
      <c r="H355" s="7" t="str">
        <f t="shared" si="17"/>
        <v>Mar</v>
      </c>
      <c r="I355" s="8">
        <v>43526</v>
      </c>
      <c r="J355" s="8" t="str">
        <f t="shared" si="15"/>
        <v>Afternoon</v>
      </c>
      <c r="K355" s="9">
        <v>0.59444444444444444</v>
      </c>
      <c r="L355" s="7" t="s">
        <v>24</v>
      </c>
      <c r="M355" s="10">
        <v>12.15</v>
      </c>
      <c r="N355" s="7">
        <v>4.8</v>
      </c>
    </row>
    <row r="356" spans="1:14" x14ac:dyDescent="0.25">
      <c r="A356" s="7" t="s">
        <v>385</v>
      </c>
      <c r="B356" s="7" t="s">
        <v>20</v>
      </c>
      <c r="C356" s="7" t="s">
        <v>21</v>
      </c>
      <c r="D356" s="7" t="s">
        <v>22</v>
      </c>
      <c r="E356" s="7" t="s">
        <v>16</v>
      </c>
      <c r="F356" s="7" t="s">
        <v>23</v>
      </c>
      <c r="G356" s="7" t="str">
        <f t="shared" si="16"/>
        <v>Monday</v>
      </c>
      <c r="H356" s="7" t="str">
        <f t="shared" si="17"/>
        <v>Mar</v>
      </c>
      <c r="I356" s="8">
        <v>43528</v>
      </c>
      <c r="J356" s="8" t="str">
        <f t="shared" si="15"/>
        <v>Afternoon</v>
      </c>
      <c r="K356" s="9">
        <v>0.65555555555555556</v>
      </c>
      <c r="L356" s="7" t="s">
        <v>24</v>
      </c>
      <c r="M356" s="10">
        <v>1.512</v>
      </c>
      <c r="N356" s="7">
        <v>8.4</v>
      </c>
    </row>
    <row r="357" spans="1:14" x14ac:dyDescent="0.25">
      <c r="A357" s="7" t="s">
        <v>386</v>
      </c>
      <c r="B357" s="7" t="s">
        <v>37</v>
      </c>
      <c r="C357" s="7" t="s">
        <v>38</v>
      </c>
      <c r="D357" s="7" t="s">
        <v>15</v>
      </c>
      <c r="E357" s="7" t="s">
        <v>16</v>
      </c>
      <c r="F357" s="7" t="s">
        <v>39</v>
      </c>
      <c r="G357" s="7" t="str">
        <f t="shared" si="16"/>
        <v>Sunday</v>
      </c>
      <c r="H357" s="7" t="str">
        <f t="shared" si="17"/>
        <v>Jan</v>
      </c>
      <c r="I357" s="8">
        <v>43472</v>
      </c>
      <c r="J357" s="8" t="str">
        <f t="shared" si="15"/>
        <v>Afternoon</v>
      </c>
      <c r="K357" s="9">
        <v>0.51388888888888895</v>
      </c>
      <c r="L357" s="7" t="s">
        <v>28</v>
      </c>
      <c r="M357" s="10">
        <v>17.827999999999999</v>
      </c>
      <c r="N357" s="7">
        <v>7.8</v>
      </c>
    </row>
    <row r="358" spans="1:14" x14ac:dyDescent="0.25">
      <c r="A358" s="7" t="s">
        <v>387</v>
      </c>
      <c r="B358" s="7" t="s">
        <v>20</v>
      </c>
      <c r="C358" s="7" t="s">
        <v>21</v>
      </c>
      <c r="D358" s="7" t="s">
        <v>22</v>
      </c>
      <c r="E358" s="7" t="s">
        <v>16</v>
      </c>
      <c r="F358" s="7" t="s">
        <v>41</v>
      </c>
      <c r="G358" s="7" t="str">
        <f t="shared" si="16"/>
        <v>Monday</v>
      </c>
      <c r="H358" s="7" t="str">
        <f t="shared" si="17"/>
        <v>Mar</v>
      </c>
      <c r="I358" s="8">
        <v>43532</v>
      </c>
      <c r="J358" s="8" t="str">
        <f t="shared" si="15"/>
        <v>Evening</v>
      </c>
      <c r="K358" s="9">
        <v>0.8340277777777777</v>
      </c>
      <c r="L358" s="7" t="s">
        <v>28</v>
      </c>
      <c r="M358" s="10">
        <v>18.774999999999999</v>
      </c>
      <c r="N358" s="7">
        <v>9.3000000000000007</v>
      </c>
    </row>
    <row r="359" spans="1:14" x14ac:dyDescent="0.25">
      <c r="A359" s="7" t="s">
        <v>388</v>
      </c>
      <c r="B359" s="7" t="s">
        <v>20</v>
      </c>
      <c r="C359" s="7" t="s">
        <v>21</v>
      </c>
      <c r="D359" s="7" t="s">
        <v>22</v>
      </c>
      <c r="E359" s="7" t="s">
        <v>16</v>
      </c>
      <c r="F359" s="7" t="s">
        <v>31</v>
      </c>
      <c r="G359" s="7" t="str">
        <f t="shared" si="16"/>
        <v>Sunday</v>
      </c>
      <c r="H359" s="7" t="str">
        <f t="shared" si="17"/>
        <v>Jan</v>
      </c>
      <c r="I359" s="8">
        <v>43474</v>
      </c>
      <c r="J359" s="8" t="str">
        <f t="shared" si="15"/>
        <v>Afternoon</v>
      </c>
      <c r="K359" s="9">
        <v>0.57291666666666663</v>
      </c>
      <c r="L359" s="7" t="s">
        <v>24</v>
      </c>
      <c r="M359" s="10">
        <v>47.72</v>
      </c>
      <c r="N359" s="7">
        <v>5.2</v>
      </c>
    </row>
    <row r="360" spans="1:14" x14ac:dyDescent="0.25">
      <c r="A360" s="7" t="s">
        <v>389</v>
      </c>
      <c r="B360" s="7" t="s">
        <v>37</v>
      </c>
      <c r="C360" s="7" t="s">
        <v>38</v>
      </c>
      <c r="D360" s="7" t="s">
        <v>22</v>
      </c>
      <c r="E360" s="7" t="s">
        <v>26</v>
      </c>
      <c r="F360" s="7" t="s">
        <v>23</v>
      </c>
      <c r="G360" s="7" t="str">
        <f t="shared" si="16"/>
        <v>Sunday</v>
      </c>
      <c r="H360" s="7" t="str">
        <f t="shared" si="17"/>
        <v>Mar</v>
      </c>
      <c r="I360" s="8">
        <v>43525</v>
      </c>
      <c r="J360" s="8" t="str">
        <f t="shared" si="15"/>
        <v>Afternoon</v>
      </c>
      <c r="K360" s="9">
        <v>0.65277777777777779</v>
      </c>
      <c r="L360" s="7" t="s">
        <v>18</v>
      </c>
      <c r="M360" s="10">
        <v>4.125</v>
      </c>
      <c r="N360" s="7">
        <v>6.5</v>
      </c>
    </row>
    <row r="361" spans="1:14" x14ac:dyDescent="0.25">
      <c r="A361" s="7" t="s">
        <v>390</v>
      </c>
      <c r="B361" s="7" t="s">
        <v>37</v>
      </c>
      <c r="C361" s="7" t="s">
        <v>38</v>
      </c>
      <c r="D361" s="7" t="s">
        <v>22</v>
      </c>
      <c r="E361" s="7" t="s">
        <v>26</v>
      </c>
      <c r="F361" s="7" t="s">
        <v>31</v>
      </c>
      <c r="G361" s="7" t="str">
        <f t="shared" si="16"/>
        <v>Wednesday</v>
      </c>
      <c r="H361" s="7" t="str">
        <f t="shared" si="17"/>
        <v>Mar</v>
      </c>
      <c r="I361" s="8">
        <v>43540</v>
      </c>
      <c r="J361" s="8" t="str">
        <f t="shared" si="15"/>
        <v>Evening</v>
      </c>
      <c r="K361" s="9">
        <v>0.70694444444444438</v>
      </c>
      <c r="L361" s="7" t="s">
        <v>24</v>
      </c>
      <c r="M361" s="10">
        <v>3.7484999999999999</v>
      </c>
      <c r="N361" s="7">
        <v>5.6</v>
      </c>
    </row>
    <row r="362" spans="1:14" x14ac:dyDescent="0.25">
      <c r="A362" s="7" t="s">
        <v>391</v>
      </c>
      <c r="B362" s="7" t="s">
        <v>13</v>
      </c>
      <c r="C362" s="7" t="s">
        <v>14</v>
      </c>
      <c r="D362" s="7" t="s">
        <v>15</v>
      </c>
      <c r="E362" s="7" t="s">
        <v>26</v>
      </c>
      <c r="F362" s="7" t="s">
        <v>39</v>
      </c>
      <c r="G362" s="7" t="str">
        <f t="shared" si="16"/>
        <v>Saturday</v>
      </c>
      <c r="H362" s="7" t="str">
        <f t="shared" si="17"/>
        <v>Feb</v>
      </c>
      <c r="I362" s="8">
        <v>43513</v>
      </c>
      <c r="J362" s="8" t="str">
        <f t="shared" si="15"/>
        <v>Morning</v>
      </c>
      <c r="K362" s="9">
        <v>0.46666666666666662</v>
      </c>
      <c r="L362" s="7" t="s">
        <v>28</v>
      </c>
      <c r="M362" s="10">
        <v>32.384</v>
      </c>
      <c r="N362" s="7">
        <v>7.4</v>
      </c>
    </row>
    <row r="363" spans="1:14" x14ac:dyDescent="0.25">
      <c r="A363" s="7" t="s">
        <v>392</v>
      </c>
      <c r="B363" s="7" t="s">
        <v>20</v>
      </c>
      <c r="C363" s="7" t="s">
        <v>21</v>
      </c>
      <c r="D363" s="7" t="s">
        <v>22</v>
      </c>
      <c r="E363" s="7" t="s">
        <v>16</v>
      </c>
      <c r="F363" s="7" t="s">
        <v>39</v>
      </c>
      <c r="G363" s="7" t="str">
        <f t="shared" si="16"/>
        <v>Sunday</v>
      </c>
      <c r="H363" s="7" t="str">
        <f t="shared" si="17"/>
        <v>Feb</v>
      </c>
      <c r="I363" s="8">
        <v>43523</v>
      </c>
      <c r="J363" s="8" t="str">
        <f t="shared" si="15"/>
        <v>Afternoon</v>
      </c>
      <c r="K363" s="9">
        <v>0.6333333333333333</v>
      </c>
      <c r="L363" s="7" t="s">
        <v>24</v>
      </c>
      <c r="M363" s="10">
        <v>37.787999999999997</v>
      </c>
      <c r="N363" s="7">
        <v>9.1</v>
      </c>
    </row>
    <row r="364" spans="1:14" x14ac:dyDescent="0.25">
      <c r="A364" s="7" t="s">
        <v>393</v>
      </c>
      <c r="B364" s="7" t="s">
        <v>20</v>
      </c>
      <c r="C364" s="7" t="s">
        <v>21</v>
      </c>
      <c r="D364" s="7" t="s">
        <v>22</v>
      </c>
      <c r="E364" s="7" t="s">
        <v>26</v>
      </c>
      <c r="F364" s="7" t="s">
        <v>39</v>
      </c>
      <c r="G364" s="7" t="str">
        <f t="shared" si="16"/>
        <v>Monday</v>
      </c>
      <c r="H364" s="7" t="str">
        <f t="shared" si="17"/>
        <v>Mar</v>
      </c>
      <c r="I364" s="8">
        <v>43531</v>
      </c>
      <c r="J364" s="8" t="str">
        <f t="shared" si="15"/>
        <v>Evening</v>
      </c>
      <c r="K364" s="9">
        <v>0.85902777777777783</v>
      </c>
      <c r="L364" s="7" t="s">
        <v>18</v>
      </c>
      <c r="M364" s="10">
        <v>9.9789999999999992</v>
      </c>
      <c r="N364" s="7">
        <v>8</v>
      </c>
    </row>
    <row r="365" spans="1:14" x14ac:dyDescent="0.25">
      <c r="A365" s="7" t="s">
        <v>394</v>
      </c>
      <c r="B365" s="7" t="s">
        <v>13</v>
      </c>
      <c r="C365" s="7" t="s">
        <v>14</v>
      </c>
      <c r="D365" s="7" t="s">
        <v>22</v>
      </c>
      <c r="E365" s="7" t="s">
        <v>26</v>
      </c>
      <c r="F365" s="7" t="s">
        <v>27</v>
      </c>
      <c r="G365" s="7" t="str">
        <f t="shared" si="16"/>
        <v>Tuesday</v>
      </c>
      <c r="H365" s="7" t="str">
        <f t="shared" si="17"/>
        <v>Jan</v>
      </c>
      <c r="I365" s="8">
        <v>43486</v>
      </c>
      <c r="J365" s="8" t="str">
        <f t="shared" si="15"/>
        <v>Evening</v>
      </c>
      <c r="K365" s="9">
        <v>0.73888888888888893</v>
      </c>
      <c r="L365" s="7" t="s">
        <v>24</v>
      </c>
      <c r="M365" s="10">
        <v>21.966000000000001</v>
      </c>
      <c r="N365" s="7">
        <v>7.2</v>
      </c>
    </row>
    <row r="366" spans="1:14" x14ac:dyDescent="0.25">
      <c r="A366" s="7" t="s">
        <v>395</v>
      </c>
      <c r="B366" s="7" t="s">
        <v>20</v>
      </c>
      <c r="C366" s="7" t="s">
        <v>21</v>
      </c>
      <c r="D366" s="7" t="s">
        <v>22</v>
      </c>
      <c r="E366" s="7" t="s">
        <v>16</v>
      </c>
      <c r="F366" s="7" t="s">
        <v>39</v>
      </c>
      <c r="G366" s="7" t="str">
        <f t="shared" si="16"/>
        <v>Saturday</v>
      </c>
      <c r="H366" s="7" t="str">
        <f t="shared" si="17"/>
        <v>Feb</v>
      </c>
      <c r="I366" s="8">
        <v>43515</v>
      </c>
      <c r="J366" s="8" t="str">
        <f t="shared" si="15"/>
        <v>Evening</v>
      </c>
      <c r="K366" s="9">
        <v>0.68263888888888891</v>
      </c>
      <c r="L366" s="7" t="s">
        <v>24</v>
      </c>
      <c r="M366" s="10">
        <v>8.2479999999999993</v>
      </c>
      <c r="N366" s="7">
        <v>7.1</v>
      </c>
    </row>
    <row r="367" spans="1:14" x14ac:dyDescent="0.25">
      <c r="A367" s="7" t="s">
        <v>396</v>
      </c>
      <c r="B367" s="7" t="s">
        <v>20</v>
      </c>
      <c r="C367" s="7" t="s">
        <v>21</v>
      </c>
      <c r="D367" s="7" t="s">
        <v>22</v>
      </c>
      <c r="E367" s="7" t="s">
        <v>16</v>
      </c>
      <c r="F367" s="7" t="s">
        <v>41</v>
      </c>
      <c r="G367" s="7" t="str">
        <f t="shared" si="16"/>
        <v>Sunday</v>
      </c>
      <c r="H367" s="7" t="str">
        <f t="shared" si="17"/>
        <v>Jan</v>
      </c>
      <c r="I367" s="8">
        <v>43471</v>
      </c>
      <c r="J367" s="8" t="str">
        <f t="shared" si="15"/>
        <v>Afternoon</v>
      </c>
      <c r="K367" s="9">
        <v>0.5083333333333333</v>
      </c>
      <c r="L367" s="7" t="s">
        <v>24</v>
      </c>
      <c r="M367" s="10">
        <v>16.335999999999999</v>
      </c>
      <c r="N367" s="7">
        <v>9.1</v>
      </c>
    </row>
    <row r="368" spans="1:14" x14ac:dyDescent="0.25">
      <c r="A368" s="7" t="s">
        <v>397</v>
      </c>
      <c r="B368" s="7" t="s">
        <v>20</v>
      </c>
      <c r="C368" s="7" t="s">
        <v>21</v>
      </c>
      <c r="D368" s="7" t="s">
        <v>22</v>
      </c>
      <c r="E368" s="7" t="s">
        <v>16</v>
      </c>
      <c r="F368" s="7" t="s">
        <v>23</v>
      </c>
      <c r="G368" s="7" t="str">
        <f t="shared" si="16"/>
        <v>Tuesday</v>
      </c>
      <c r="H368" s="7" t="str">
        <f t="shared" si="17"/>
        <v>Mar</v>
      </c>
      <c r="I368" s="8">
        <v>43538</v>
      </c>
      <c r="J368" s="8" t="str">
        <f t="shared" si="15"/>
        <v>Evening</v>
      </c>
      <c r="K368" s="9">
        <v>0.81458333333333333</v>
      </c>
      <c r="L368" s="7" t="s">
        <v>24</v>
      </c>
      <c r="M368" s="10">
        <v>23.094000000000001</v>
      </c>
      <c r="N368" s="7">
        <v>5.6</v>
      </c>
    </row>
    <row r="369" spans="1:14" x14ac:dyDescent="0.25">
      <c r="A369" s="7" t="s">
        <v>398</v>
      </c>
      <c r="B369" s="7" t="s">
        <v>13</v>
      </c>
      <c r="C369" s="7" t="s">
        <v>14</v>
      </c>
      <c r="D369" s="7" t="s">
        <v>15</v>
      </c>
      <c r="E369" s="7" t="s">
        <v>26</v>
      </c>
      <c r="F369" s="7" t="s">
        <v>27</v>
      </c>
      <c r="G369" s="7" t="str">
        <f t="shared" si="16"/>
        <v>Thursday</v>
      </c>
      <c r="H369" s="7" t="str">
        <f t="shared" si="17"/>
        <v>Mar</v>
      </c>
      <c r="I369" s="8">
        <v>43548</v>
      </c>
      <c r="J369" s="8" t="str">
        <f t="shared" si="15"/>
        <v>Morning</v>
      </c>
      <c r="K369" s="9">
        <v>0.4368055555555555</v>
      </c>
      <c r="L369" s="7" t="s">
        <v>24</v>
      </c>
      <c r="M369" s="10">
        <v>13.188000000000001</v>
      </c>
      <c r="N369" s="7">
        <v>6</v>
      </c>
    </row>
    <row r="370" spans="1:14" x14ac:dyDescent="0.25">
      <c r="A370" s="7" t="s">
        <v>399</v>
      </c>
      <c r="B370" s="7" t="s">
        <v>20</v>
      </c>
      <c r="C370" s="7" t="s">
        <v>21</v>
      </c>
      <c r="D370" s="7" t="s">
        <v>22</v>
      </c>
      <c r="E370" s="7" t="s">
        <v>16</v>
      </c>
      <c r="F370" s="7" t="s">
        <v>31</v>
      </c>
      <c r="G370" s="7" t="str">
        <f t="shared" si="16"/>
        <v>Wednesday</v>
      </c>
      <c r="H370" s="7" t="str">
        <f t="shared" si="17"/>
        <v>Jan</v>
      </c>
      <c r="I370" s="8">
        <v>43492</v>
      </c>
      <c r="J370" s="8" t="str">
        <f t="shared" si="15"/>
        <v>Afternoon</v>
      </c>
      <c r="K370" s="9">
        <v>0.60277777777777775</v>
      </c>
      <c r="L370" s="7" t="s">
        <v>24</v>
      </c>
      <c r="M370" s="10">
        <v>7.18</v>
      </c>
      <c r="N370" s="7">
        <v>5.4</v>
      </c>
    </row>
    <row r="371" spans="1:14" x14ac:dyDescent="0.25">
      <c r="A371" s="7" t="s">
        <v>400</v>
      </c>
      <c r="B371" s="7" t="s">
        <v>13</v>
      </c>
      <c r="C371" s="7" t="s">
        <v>14</v>
      </c>
      <c r="D371" s="7" t="s">
        <v>15</v>
      </c>
      <c r="E371" s="7" t="s">
        <v>26</v>
      </c>
      <c r="F371" s="7" t="s">
        <v>23</v>
      </c>
      <c r="G371" s="7" t="str">
        <f t="shared" si="16"/>
        <v>Monday</v>
      </c>
      <c r="H371" s="7" t="str">
        <f t="shared" si="17"/>
        <v>Mar</v>
      </c>
      <c r="I371" s="8">
        <v>43530</v>
      </c>
      <c r="J371" s="8" t="str">
        <f t="shared" si="15"/>
        <v>Afternoon</v>
      </c>
      <c r="K371" s="9">
        <v>0.53194444444444444</v>
      </c>
      <c r="L371" s="7" t="s">
        <v>28</v>
      </c>
      <c r="M371" s="10">
        <v>9.6750000000000007</v>
      </c>
      <c r="N371" s="7">
        <v>7.8</v>
      </c>
    </row>
    <row r="372" spans="1:14" x14ac:dyDescent="0.25">
      <c r="A372" s="7" t="s">
        <v>401</v>
      </c>
      <c r="B372" s="7" t="s">
        <v>37</v>
      </c>
      <c r="C372" s="7" t="s">
        <v>38</v>
      </c>
      <c r="D372" s="7" t="s">
        <v>15</v>
      </c>
      <c r="E372" s="7" t="s">
        <v>16</v>
      </c>
      <c r="F372" s="7" t="s">
        <v>23</v>
      </c>
      <c r="G372" s="7" t="str">
        <f t="shared" si="16"/>
        <v>Thursday</v>
      </c>
      <c r="H372" s="7" t="str">
        <f t="shared" si="17"/>
        <v>Feb</v>
      </c>
      <c r="I372" s="8">
        <v>43498</v>
      </c>
      <c r="J372" s="8" t="str">
        <f t="shared" si="15"/>
        <v>Evening</v>
      </c>
      <c r="K372" s="9">
        <v>0.81944444444444453</v>
      </c>
      <c r="L372" s="7" t="s">
        <v>24</v>
      </c>
      <c r="M372" s="10">
        <v>9.1910000000000007</v>
      </c>
      <c r="N372" s="7">
        <v>9.9</v>
      </c>
    </row>
    <row r="373" spans="1:14" x14ac:dyDescent="0.25">
      <c r="A373" s="7" t="s">
        <v>402</v>
      </c>
      <c r="B373" s="7" t="s">
        <v>37</v>
      </c>
      <c r="C373" s="7" t="s">
        <v>38</v>
      </c>
      <c r="D373" s="7" t="s">
        <v>22</v>
      </c>
      <c r="E373" s="7" t="s">
        <v>16</v>
      </c>
      <c r="F373" s="7" t="s">
        <v>41</v>
      </c>
      <c r="G373" s="7" t="str">
        <f t="shared" si="16"/>
        <v>Tuesday</v>
      </c>
      <c r="H373" s="7" t="str">
        <f t="shared" si="17"/>
        <v>Jan</v>
      </c>
      <c r="I373" s="8">
        <v>43490</v>
      </c>
      <c r="J373" s="8" t="str">
        <f t="shared" si="15"/>
        <v>Evening</v>
      </c>
      <c r="K373" s="9">
        <v>0.81874999999999998</v>
      </c>
      <c r="L373" s="7" t="s">
        <v>28</v>
      </c>
      <c r="M373" s="10">
        <v>6.0960000000000001</v>
      </c>
      <c r="N373" s="7">
        <v>4.9000000000000004</v>
      </c>
    </row>
    <row r="374" spans="1:14" x14ac:dyDescent="0.25">
      <c r="A374" s="7" t="s">
        <v>403</v>
      </c>
      <c r="B374" s="7" t="s">
        <v>20</v>
      </c>
      <c r="C374" s="7" t="s">
        <v>21</v>
      </c>
      <c r="D374" s="7" t="s">
        <v>22</v>
      </c>
      <c r="E374" s="7" t="s">
        <v>16</v>
      </c>
      <c r="F374" s="7" t="s">
        <v>27</v>
      </c>
      <c r="G374" s="7" t="str">
        <f t="shared" si="16"/>
        <v>Tuesday</v>
      </c>
      <c r="H374" s="7" t="str">
        <f t="shared" si="17"/>
        <v>Mar</v>
      </c>
      <c r="I374" s="8">
        <v>43538</v>
      </c>
      <c r="J374" s="8" t="str">
        <f t="shared" si="15"/>
        <v>Evening</v>
      </c>
      <c r="K374" s="9">
        <v>0.74583333333333324</v>
      </c>
      <c r="L374" s="7" t="s">
        <v>18</v>
      </c>
      <c r="M374" s="10">
        <v>21.033000000000001</v>
      </c>
      <c r="N374" s="7">
        <v>5.2</v>
      </c>
    </row>
    <row r="375" spans="1:14" x14ac:dyDescent="0.25">
      <c r="A375" s="7" t="s">
        <v>404</v>
      </c>
      <c r="B375" s="7" t="s">
        <v>20</v>
      </c>
      <c r="C375" s="7" t="s">
        <v>21</v>
      </c>
      <c r="D375" s="7" t="s">
        <v>22</v>
      </c>
      <c r="E375" s="7" t="s">
        <v>26</v>
      </c>
      <c r="F375" s="7" t="s">
        <v>41</v>
      </c>
      <c r="G375" s="7" t="str">
        <f t="shared" si="16"/>
        <v>Wednesday</v>
      </c>
      <c r="H375" s="7" t="str">
        <f t="shared" si="17"/>
        <v>Jan</v>
      </c>
      <c r="I375" s="8">
        <v>43494</v>
      </c>
      <c r="J375" s="8" t="str">
        <f t="shared" si="15"/>
        <v>Afternoon</v>
      </c>
      <c r="K375" s="9">
        <v>0.51736111111111105</v>
      </c>
      <c r="L375" s="7" t="s">
        <v>24</v>
      </c>
      <c r="M375" s="10">
        <v>12.624000000000001</v>
      </c>
      <c r="N375" s="7">
        <v>8.9</v>
      </c>
    </row>
    <row r="376" spans="1:14" x14ac:dyDescent="0.25">
      <c r="A376" s="7" t="s">
        <v>405</v>
      </c>
      <c r="B376" s="7" t="s">
        <v>13</v>
      </c>
      <c r="C376" s="7" t="s">
        <v>14</v>
      </c>
      <c r="D376" s="7" t="s">
        <v>22</v>
      </c>
      <c r="E376" s="7" t="s">
        <v>16</v>
      </c>
      <c r="F376" s="7" t="s">
        <v>27</v>
      </c>
      <c r="G376" s="7" t="str">
        <f t="shared" si="16"/>
        <v>Saturday</v>
      </c>
      <c r="H376" s="7" t="str">
        <f t="shared" si="17"/>
        <v>Jan</v>
      </c>
      <c r="I376" s="8">
        <v>43468</v>
      </c>
      <c r="J376" s="8" t="str">
        <f t="shared" si="15"/>
        <v>Evening</v>
      </c>
      <c r="K376" s="9">
        <v>0.69930555555555562</v>
      </c>
      <c r="L376" s="7" t="s">
        <v>28</v>
      </c>
      <c r="M376" s="10">
        <v>16.772500000000001</v>
      </c>
      <c r="N376" s="7">
        <v>9.1</v>
      </c>
    </row>
    <row r="377" spans="1:14" x14ac:dyDescent="0.25">
      <c r="A377" s="7" t="s">
        <v>406</v>
      </c>
      <c r="B377" s="7" t="s">
        <v>13</v>
      </c>
      <c r="C377" s="7" t="s">
        <v>14</v>
      </c>
      <c r="D377" s="7" t="s">
        <v>15</v>
      </c>
      <c r="E377" s="7" t="s">
        <v>16</v>
      </c>
      <c r="F377" s="7" t="s">
        <v>41</v>
      </c>
      <c r="G377" s="7" t="str">
        <f t="shared" si="16"/>
        <v>Monday</v>
      </c>
      <c r="H377" s="7" t="str">
        <f t="shared" si="17"/>
        <v>Jan</v>
      </c>
      <c r="I377" s="8">
        <v>43479</v>
      </c>
      <c r="J377" s="8" t="str">
        <f t="shared" si="15"/>
        <v>Afternoon</v>
      </c>
      <c r="K377" s="9">
        <v>0.53611111111111109</v>
      </c>
      <c r="L377" s="7" t="s">
        <v>18</v>
      </c>
      <c r="M377" s="10">
        <v>24.175000000000001</v>
      </c>
      <c r="N377" s="7">
        <v>7</v>
      </c>
    </row>
    <row r="378" spans="1:14" x14ac:dyDescent="0.25">
      <c r="A378" s="7" t="s">
        <v>407</v>
      </c>
      <c r="B378" s="7" t="s">
        <v>37</v>
      </c>
      <c r="C378" s="7" t="s">
        <v>38</v>
      </c>
      <c r="D378" s="7" t="s">
        <v>15</v>
      </c>
      <c r="E378" s="7" t="s">
        <v>16</v>
      </c>
      <c r="F378" s="7" t="s">
        <v>27</v>
      </c>
      <c r="G378" s="7" t="str">
        <f t="shared" si="16"/>
        <v>Sunday</v>
      </c>
      <c r="H378" s="7" t="str">
        <f t="shared" si="17"/>
        <v>Jan</v>
      </c>
      <c r="I378" s="8">
        <v>43470</v>
      </c>
      <c r="J378" s="8" t="str">
        <f t="shared" si="15"/>
        <v>Evening</v>
      </c>
      <c r="K378" s="9">
        <v>0.82638888888888884</v>
      </c>
      <c r="L378" s="7" t="s">
        <v>28</v>
      </c>
      <c r="M378" s="10">
        <v>15.920999999999999</v>
      </c>
      <c r="N378" s="7">
        <v>9.6</v>
      </c>
    </row>
    <row r="379" spans="1:14" x14ac:dyDescent="0.25">
      <c r="A379" s="7" t="s">
        <v>408</v>
      </c>
      <c r="B379" s="7" t="s">
        <v>20</v>
      </c>
      <c r="C379" s="7" t="s">
        <v>21</v>
      </c>
      <c r="D379" s="7" t="s">
        <v>22</v>
      </c>
      <c r="E379" s="7" t="s">
        <v>26</v>
      </c>
      <c r="F379" s="7" t="s">
        <v>31</v>
      </c>
      <c r="G379" s="7" t="str">
        <f t="shared" si="16"/>
        <v>Saturday</v>
      </c>
      <c r="H379" s="7" t="str">
        <f t="shared" si="17"/>
        <v>Feb</v>
      </c>
      <c r="I379" s="8">
        <v>43518</v>
      </c>
      <c r="J379" s="8" t="str">
        <f t="shared" si="15"/>
        <v>Evening</v>
      </c>
      <c r="K379" s="9">
        <v>0.76180555555555562</v>
      </c>
      <c r="L379" s="7" t="s">
        <v>18</v>
      </c>
      <c r="M379" s="10">
        <v>33.421500000000002</v>
      </c>
      <c r="N379" s="7">
        <v>8.6999999999999993</v>
      </c>
    </row>
    <row r="380" spans="1:14" x14ac:dyDescent="0.25">
      <c r="A380" s="7" t="s">
        <v>409</v>
      </c>
      <c r="B380" s="7" t="s">
        <v>20</v>
      </c>
      <c r="C380" s="7" t="s">
        <v>21</v>
      </c>
      <c r="D380" s="7" t="s">
        <v>15</v>
      </c>
      <c r="E380" s="7" t="s">
        <v>26</v>
      </c>
      <c r="F380" s="7" t="s">
        <v>41</v>
      </c>
      <c r="G380" s="7" t="str">
        <f t="shared" si="16"/>
        <v>Thursday</v>
      </c>
      <c r="H380" s="7" t="str">
        <f t="shared" si="17"/>
        <v>Feb</v>
      </c>
      <c r="I380" s="8">
        <v>43502</v>
      </c>
      <c r="J380" s="8" t="str">
        <f t="shared" si="15"/>
        <v>Evening</v>
      </c>
      <c r="K380" s="9">
        <v>0.72222222222222221</v>
      </c>
      <c r="L380" s="7" t="s">
        <v>18</v>
      </c>
      <c r="M380" s="10">
        <v>19.396000000000001</v>
      </c>
      <c r="N380" s="7">
        <v>9.4</v>
      </c>
    </row>
    <row r="381" spans="1:14" x14ac:dyDescent="0.25">
      <c r="A381" s="7" t="s">
        <v>410</v>
      </c>
      <c r="B381" s="7" t="s">
        <v>37</v>
      </c>
      <c r="C381" s="7" t="s">
        <v>38</v>
      </c>
      <c r="D381" s="7" t="s">
        <v>22</v>
      </c>
      <c r="E381" s="7" t="s">
        <v>16</v>
      </c>
      <c r="F381" s="7" t="s">
        <v>23</v>
      </c>
      <c r="G381" s="7" t="str">
        <f t="shared" si="16"/>
        <v>Wednesday</v>
      </c>
      <c r="H381" s="7" t="str">
        <f t="shared" si="17"/>
        <v>Jan</v>
      </c>
      <c r="I381" s="8">
        <v>43495</v>
      </c>
      <c r="J381" s="8" t="str">
        <f t="shared" si="15"/>
        <v>Afternoon</v>
      </c>
      <c r="K381" s="9">
        <v>0.56388888888888888</v>
      </c>
      <c r="L381" s="7" t="s">
        <v>28</v>
      </c>
      <c r="M381" s="10">
        <v>4.7300000000000004</v>
      </c>
      <c r="N381" s="7">
        <v>4</v>
      </c>
    </row>
    <row r="382" spans="1:14" x14ac:dyDescent="0.25">
      <c r="A382" s="7" t="s">
        <v>411</v>
      </c>
      <c r="B382" s="7" t="s">
        <v>13</v>
      </c>
      <c r="C382" s="7" t="s">
        <v>14</v>
      </c>
      <c r="D382" s="7" t="s">
        <v>15</v>
      </c>
      <c r="E382" s="7" t="s">
        <v>26</v>
      </c>
      <c r="F382" s="7" t="s">
        <v>31</v>
      </c>
      <c r="G382" s="7" t="str">
        <f t="shared" si="16"/>
        <v>Sunday</v>
      </c>
      <c r="H382" s="7" t="str">
        <f t="shared" si="17"/>
        <v>Jan</v>
      </c>
      <c r="I382" s="8">
        <v>43476</v>
      </c>
      <c r="J382" s="8" t="str">
        <f t="shared" si="15"/>
        <v>Morning</v>
      </c>
      <c r="K382" s="9">
        <v>0.44236111111111115</v>
      </c>
      <c r="L382" s="7" t="s">
        <v>28</v>
      </c>
      <c r="M382" s="10">
        <v>16.466000000000001</v>
      </c>
      <c r="N382" s="7">
        <v>7.5</v>
      </c>
    </row>
    <row r="383" spans="1:14" x14ac:dyDescent="0.25">
      <c r="A383" s="7" t="s">
        <v>412</v>
      </c>
      <c r="B383" s="7" t="s">
        <v>20</v>
      </c>
      <c r="C383" s="7" t="s">
        <v>21</v>
      </c>
      <c r="D383" s="7" t="s">
        <v>22</v>
      </c>
      <c r="E383" s="7" t="s">
        <v>16</v>
      </c>
      <c r="F383" s="7" t="s">
        <v>23</v>
      </c>
      <c r="G383" s="7" t="str">
        <f t="shared" si="16"/>
        <v>Wednesday</v>
      </c>
      <c r="H383" s="7" t="str">
        <f t="shared" si="17"/>
        <v>Mar</v>
      </c>
      <c r="I383" s="8">
        <v>43543</v>
      </c>
      <c r="J383" s="8" t="str">
        <f t="shared" si="15"/>
        <v>Afternoon</v>
      </c>
      <c r="K383" s="9">
        <v>0.60763888888888895</v>
      </c>
      <c r="L383" s="7" t="s">
        <v>24</v>
      </c>
      <c r="M383" s="10">
        <v>2.661</v>
      </c>
      <c r="N383" s="7">
        <v>4.2</v>
      </c>
    </row>
    <row r="384" spans="1:14" x14ac:dyDescent="0.25">
      <c r="A384" s="7" t="s">
        <v>413</v>
      </c>
      <c r="B384" s="7" t="s">
        <v>37</v>
      </c>
      <c r="C384" s="7" t="s">
        <v>38</v>
      </c>
      <c r="D384" s="7" t="s">
        <v>22</v>
      </c>
      <c r="E384" s="7" t="s">
        <v>16</v>
      </c>
      <c r="F384" s="7" t="s">
        <v>39</v>
      </c>
      <c r="G384" s="7" t="str">
        <f t="shared" si="16"/>
        <v>Monday</v>
      </c>
      <c r="H384" s="7" t="str">
        <f t="shared" si="17"/>
        <v>Jan</v>
      </c>
      <c r="I384" s="8">
        <v>43479</v>
      </c>
      <c r="J384" s="8" t="str">
        <f t="shared" si="15"/>
        <v>Afternoon</v>
      </c>
      <c r="K384" s="9">
        <v>0.50624999999999998</v>
      </c>
      <c r="L384" s="7" t="s">
        <v>24</v>
      </c>
      <c r="M384" s="10">
        <v>24.922499999999999</v>
      </c>
      <c r="N384" s="7">
        <v>9.9</v>
      </c>
    </row>
    <row r="385" spans="1:14" x14ac:dyDescent="0.25">
      <c r="A385" s="7" t="s">
        <v>414</v>
      </c>
      <c r="B385" s="7" t="s">
        <v>20</v>
      </c>
      <c r="C385" s="7" t="s">
        <v>21</v>
      </c>
      <c r="D385" s="7" t="s">
        <v>15</v>
      </c>
      <c r="E385" s="7" t="s">
        <v>16</v>
      </c>
      <c r="F385" s="7" t="s">
        <v>39</v>
      </c>
      <c r="G385" s="7" t="str">
        <f t="shared" si="16"/>
        <v>Sunday</v>
      </c>
      <c r="H385" s="7" t="str">
        <f t="shared" si="17"/>
        <v>Mar</v>
      </c>
      <c r="I385" s="8">
        <v>43525</v>
      </c>
      <c r="J385" s="8" t="str">
        <f t="shared" si="15"/>
        <v>Afternoon</v>
      </c>
      <c r="K385" s="9">
        <v>0.64722222222222225</v>
      </c>
      <c r="L385" s="7" t="s">
        <v>18</v>
      </c>
      <c r="M385" s="10">
        <v>14.978</v>
      </c>
      <c r="N385" s="7">
        <v>4.2</v>
      </c>
    </row>
    <row r="386" spans="1:14" x14ac:dyDescent="0.25">
      <c r="A386" s="7" t="s">
        <v>415</v>
      </c>
      <c r="B386" s="7" t="s">
        <v>13</v>
      </c>
      <c r="C386" s="7" t="s">
        <v>14</v>
      </c>
      <c r="D386" s="7" t="s">
        <v>22</v>
      </c>
      <c r="E386" s="7" t="s">
        <v>16</v>
      </c>
      <c r="F386" s="7" t="s">
        <v>39</v>
      </c>
      <c r="G386" s="7" t="str">
        <f t="shared" si="16"/>
        <v>Sunday</v>
      </c>
      <c r="H386" s="7" t="str">
        <f t="shared" si="17"/>
        <v>Jan</v>
      </c>
      <c r="I386" s="8">
        <v>43471</v>
      </c>
      <c r="J386" s="8" t="str">
        <f t="shared" ref="J386:J449" si="18">IF(AND(K386&gt;=TIME(9,0,0),K386&lt;TIME(12,0,0)),"Morning",IF(AND(K386&gt;=TIME(12,0,0),K386&lt;TIME(16,0,0)),"Afternoon","Evening"))</f>
        <v>Afternoon</v>
      </c>
      <c r="K386" s="9">
        <v>0.58194444444444449</v>
      </c>
      <c r="L386" s="7" t="s">
        <v>18</v>
      </c>
      <c r="M386" s="10">
        <v>10.234999999999999</v>
      </c>
      <c r="N386" s="7">
        <v>9.9</v>
      </c>
    </row>
    <row r="387" spans="1:14" x14ac:dyDescent="0.25">
      <c r="A387" s="7" t="s">
        <v>416</v>
      </c>
      <c r="B387" s="7" t="s">
        <v>37</v>
      </c>
      <c r="C387" s="7" t="s">
        <v>38</v>
      </c>
      <c r="D387" s="7" t="s">
        <v>15</v>
      </c>
      <c r="E387" s="7" t="s">
        <v>26</v>
      </c>
      <c r="F387" s="7" t="s">
        <v>31</v>
      </c>
      <c r="G387" s="7" t="str">
        <f t="shared" ref="G387:G450" si="19">TEXT(I387/7,"dddd")</f>
        <v>Wednesday</v>
      </c>
      <c r="H387" s="7" t="str">
        <f t="shared" ref="H387:H450" si="20">TEXT(I387,"mmm")</f>
        <v>Jan</v>
      </c>
      <c r="I387" s="8">
        <v>43496</v>
      </c>
      <c r="J387" s="8" t="str">
        <f t="shared" si="18"/>
        <v>Afternoon</v>
      </c>
      <c r="K387" s="9">
        <v>0.55486111111111114</v>
      </c>
      <c r="L387" s="7" t="s">
        <v>24</v>
      </c>
      <c r="M387" s="10">
        <v>3.7909999999999999</v>
      </c>
      <c r="N387" s="7">
        <v>5.8</v>
      </c>
    </row>
    <row r="388" spans="1:14" x14ac:dyDescent="0.25">
      <c r="A388" s="7" t="s">
        <v>417</v>
      </c>
      <c r="B388" s="7" t="s">
        <v>20</v>
      </c>
      <c r="C388" s="7" t="s">
        <v>21</v>
      </c>
      <c r="D388" s="7" t="s">
        <v>22</v>
      </c>
      <c r="E388" s="7" t="s">
        <v>26</v>
      </c>
      <c r="F388" s="7" t="s">
        <v>39</v>
      </c>
      <c r="G388" s="7" t="str">
        <f t="shared" si="19"/>
        <v>Tuesday</v>
      </c>
      <c r="H388" s="7" t="str">
        <f t="shared" si="20"/>
        <v>Mar</v>
      </c>
      <c r="I388" s="8">
        <v>43535</v>
      </c>
      <c r="J388" s="8" t="str">
        <f t="shared" si="18"/>
        <v>Afternoon</v>
      </c>
      <c r="K388" s="9">
        <v>0.56736111111111109</v>
      </c>
      <c r="L388" s="7" t="s">
        <v>24</v>
      </c>
      <c r="M388" s="10">
        <v>14.031000000000001</v>
      </c>
      <c r="N388" s="7">
        <v>6</v>
      </c>
    </row>
    <row r="389" spans="1:14" x14ac:dyDescent="0.25">
      <c r="A389" s="7" t="s">
        <v>418</v>
      </c>
      <c r="B389" s="7" t="s">
        <v>13</v>
      </c>
      <c r="C389" s="7" t="s">
        <v>14</v>
      </c>
      <c r="D389" s="7" t="s">
        <v>22</v>
      </c>
      <c r="E389" s="7" t="s">
        <v>16</v>
      </c>
      <c r="F389" s="7" t="s">
        <v>17</v>
      </c>
      <c r="G389" s="7" t="str">
        <f t="shared" si="19"/>
        <v>Saturday</v>
      </c>
      <c r="H389" s="7" t="str">
        <f t="shared" si="20"/>
        <v>Feb</v>
      </c>
      <c r="I389" s="8">
        <v>43516</v>
      </c>
      <c r="J389" s="8" t="str">
        <f t="shared" si="18"/>
        <v>Evening</v>
      </c>
      <c r="K389" s="9">
        <v>0.7006944444444444</v>
      </c>
      <c r="L389" s="7" t="s">
        <v>28</v>
      </c>
      <c r="M389" s="10">
        <v>16.16</v>
      </c>
      <c r="N389" s="7">
        <v>10</v>
      </c>
    </row>
    <row r="390" spans="1:14" x14ac:dyDescent="0.25">
      <c r="A390" s="7" t="s">
        <v>419</v>
      </c>
      <c r="B390" s="7" t="s">
        <v>20</v>
      </c>
      <c r="C390" s="7" t="s">
        <v>21</v>
      </c>
      <c r="D390" s="7" t="s">
        <v>15</v>
      </c>
      <c r="E390" s="7" t="s">
        <v>16</v>
      </c>
      <c r="F390" s="7" t="s">
        <v>41</v>
      </c>
      <c r="G390" s="7" t="str">
        <f t="shared" si="19"/>
        <v>Wednesday</v>
      </c>
      <c r="H390" s="7" t="str">
        <f t="shared" si="20"/>
        <v>Jan</v>
      </c>
      <c r="I390" s="8">
        <v>43492</v>
      </c>
      <c r="J390" s="8" t="str">
        <f t="shared" si="18"/>
        <v>Afternoon</v>
      </c>
      <c r="K390" s="9">
        <v>0.62152777777777779</v>
      </c>
      <c r="L390" s="7" t="s">
        <v>18</v>
      </c>
      <c r="M390" s="10">
        <v>24.331499999999998</v>
      </c>
      <c r="N390" s="7">
        <v>9.5</v>
      </c>
    </row>
    <row r="391" spans="1:14" x14ac:dyDescent="0.25">
      <c r="A391" s="7" t="s">
        <v>420</v>
      </c>
      <c r="B391" s="7" t="s">
        <v>37</v>
      </c>
      <c r="C391" s="7" t="s">
        <v>38</v>
      </c>
      <c r="D391" s="7" t="s">
        <v>22</v>
      </c>
      <c r="E391" s="7" t="s">
        <v>26</v>
      </c>
      <c r="F391" s="7" t="s">
        <v>39</v>
      </c>
      <c r="G391" s="7" t="str">
        <f t="shared" si="19"/>
        <v>Tuesday</v>
      </c>
      <c r="H391" s="7" t="str">
        <f t="shared" si="20"/>
        <v>Mar</v>
      </c>
      <c r="I391" s="8">
        <v>43534</v>
      </c>
      <c r="J391" s="8" t="str">
        <f t="shared" si="18"/>
        <v>Afternoon</v>
      </c>
      <c r="K391" s="9">
        <v>0.58611111111111114</v>
      </c>
      <c r="L391" s="7" t="s">
        <v>28</v>
      </c>
      <c r="M391" s="10">
        <v>6.3769999999999998</v>
      </c>
      <c r="N391" s="7">
        <v>6.6</v>
      </c>
    </row>
    <row r="392" spans="1:14" x14ac:dyDescent="0.25">
      <c r="A392" s="7" t="s">
        <v>421</v>
      </c>
      <c r="B392" s="7" t="s">
        <v>20</v>
      </c>
      <c r="C392" s="7" t="s">
        <v>21</v>
      </c>
      <c r="D392" s="7" t="s">
        <v>15</v>
      </c>
      <c r="E392" s="7" t="s">
        <v>16</v>
      </c>
      <c r="F392" s="7" t="s">
        <v>41</v>
      </c>
      <c r="G392" s="7" t="str">
        <f t="shared" si="19"/>
        <v>Friday</v>
      </c>
      <c r="H392" s="7" t="str">
        <f t="shared" si="20"/>
        <v>Feb</v>
      </c>
      <c r="I392" s="8">
        <v>43511</v>
      </c>
      <c r="J392" s="8" t="str">
        <f t="shared" si="18"/>
        <v>Afternoon</v>
      </c>
      <c r="K392" s="9">
        <v>0.52152777777777781</v>
      </c>
      <c r="L392" s="7" t="s">
        <v>24</v>
      </c>
      <c r="M392" s="10">
        <v>12.071999999999999</v>
      </c>
      <c r="N392" s="7">
        <v>8.1</v>
      </c>
    </row>
    <row r="393" spans="1:14" x14ac:dyDescent="0.25">
      <c r="A393" s="7" t="s">
        <v>422</v>
      </c>
      <c r="B393" s="7" t="s">
        <v>37</v>
      </c>
      <c r="C393" s="7" t="s">
        <v>38</v>
      </c>
      <c r="D393" s="7" t="s">
        <v>22</v>
      </c>
      <c r="E393" s="7" t="s">
        <v>16</v>
      </c>
      <c r="F393" s="7" t="s">
        <v>41</v>
      </c>
      <c r="G393" s="7" t="str">
        <f t="shared" si="19"/>
        <v>Wednesday</v>
      </c>
      <c r="H393" s="7" t="str">
        <f t="shared" si="20"/>
        <v>Jan</v>
      </c>
      <c r="I393" s="8">
        <v>43491</v>
      </c>
      <c r="J393" s="8" t="str">
        <f t="shared" si="18"/>
        <v>Afternoon</v>
      </c>
      <c r="K393" s="9">
        <v>0.61875000000000002</v>
      </c>
      <c r="L393" s="7" t="s">
        <v>24</v>
      </c>
      <c r="M393" s="10">
        <v>18.975000000000001</v>
      </c>
      <c r="N393" s="7">
        <v>9.6999999999999993</v>
      </c>
    </row>
    <row r="394" spans="1:14" x14ac:dyDescent="0.25">
      <c r="A394" s="7" t="s">
        <v>423</v>
      </c>
      <c r="B394" s="7" t="s">
        <v>13</v>
      </c>
      <c r="C394" s="7" t="s">
        <v>14</v>
      </c>
      <c r="D394" s="7" t="s">
        <v>15</v>
      </c>
      <c r="E394" s="7" t="s">
        <v>26</v>
      </c>
      <c r="F394" s="7" t="s">
        <v>23</v>
      </c>
      <c r="G394" s="7" t="str">
        <f t="shared" si="19"/>
        <v>Friday</v>
      </c>
      <c r="H394" s="7" t="str">
        <f t="shared" si="20"/>
        <v>Feb</v>
      </c>
      <c r="I394" s="8">
        <v>43509</v>
      </c>
      <c r="J394" s="8" t="str">
        <f t="shared" si="18"/>
        <v>Evening</v>
      </c>
      <c r="K394" s="9">
        <v>0.76874999999999993</v>
      </c>
      <c r="L394" s="7" t="s">
        <v>18</v>
      </c>
      <c r="M394" s="10">
        <v>3.8410000000000002</v>
      </c>
      <c r="N394" s="7">
        <v>7.2</v>
      </c>
    </row>
    <row r="395" spans="1:14" x14ac:dyDescent="0.25">
      <c r="A395" s="7" t="s">
        <v>424</v>
      </c>
      <c r="B395" s="7" t="s">
        <v>13</v>
      </c>
      <c r="C395" s="7" t="s">
        <v>14</v>
      </c>
      <c r="D395" s="7" t="s">
        <v>15</v>
      </c>
      <c r="E395" s="7" t="s">
        <v>16</v>
      </c>
      <c r="F395" s="7" t="s">
        <v>31</v>
      </c>
      <c r="G395" s="7" t="str">
        <f t="shared" si="19"/>
        <v>Tuesday</v>
      </c>
      <c r="H395" s="7" t="str">
        <f t="shared" si="20"/>
        <v>Mar</v>
      </c>
      <c r="I395" s="8">
        <v>43533</v>
      </c>
      <c r="J395" s="8" t="str">
        <f t="shared" si="18"/>
        <v>Afternoon</v>
      </c>
      <c r="K395" s="9">
        <v>0.53125</v>
      </c>
      <c r="L395" s="7" t="s">
        <v>28</v>
      </c>
      <c r="M395" s="10">
        <v>26.13</v>
      </c>
      <c r="N395" s="7">
        <v>6.2</v>
      </c>
    </row>
    <row r="396" spans="1:14" x14ac:dyDescent="0.25">
      <c r="A396" s="7" t="s">
        <v>425</v>
      </c>
      <c r="B396" s="7" t="s">
        <v>13</v>
      </c>
      <c r="C396" s="7" t="s">
        <v>14</v>
      </c>
      <c r="D396" s="7" t="s">
        <v>22</v>
      </c>
      <c r="E396" s="7" t="s">
        <v>16</v>
      </c>
      <c r="F396" s="7" t="s">
        <v>17</v>
      </c>
      <c r="G396" s="7" t="str">
        <f t="shared" si="19"/>
        <v>Monday</v>
      </c>
      <c r="H396" s="7" t="str">
        <f t="shared" si="20"/>
        <v>Mar</v>
      </c>
      <c r="I396" s="8">
        <v>43530</v>
      </c>
      <c r="J396" s="8" t="str">
        <f t="shared" si="18"/>
        <v>Morning</v>
      </c>
      <c r="K396" s="9">
        <v>0.44166666666666665</v>
      </c>
      <c r="L396" s="7" t="s">
        <v>18</v>
      </c>
      <c r="M396" s="10">
        <v>3.9870000000000001</v>
      </c>
      <c r="N396" s="7">
        <v>7.3</v>
      </c>
    </row>
    <row r="397" spans="1:14" x14ac:dyDescent="0.25">
      <c r="A397" s="7" t="s">
        <v>426</v>
      </c>
      <c r="B397" s="7" t="s">
        <v>13</v>
      </c>
      <c r="C397" s="7" t="s">
        <v>14</v>
      </c>
      <c r="D397" s="7" t="s">
        <v>22</v>
      </c>
      <c r="E397" s="7" t="s">
        <v>16</v>
      </c>
      <c r="F397" s="7" t="s">
        <v>17</v>
      </c>
      <c r="G397" s="7" t="str">
        <f t="shared" si="19"/>
        <v>Tuesday</v>
      </c>
      <c r="H397" s="7" t="str">
        <f t="shared" si="20"/>
        <v>Jan</v>
      </c>
      <c r="I397" s="8">
        <v>43489</v>
      </c>
      <c r="J397" s="8" t="str">
        <f t="shared" si="18"/>
        <v>Evening</v>
      </c>
      <c r="K397" s="9">
        <v>0.85833333333333339</v>
      </c>
      <c r="L397" s="7" t="s">
        <v>18</v>
      </c>
      <c r="M397" s="10">
        <v>19.375</v>
      </c>
      <c r="N397" s="7">
        <v>4.3</v>
      </c>
    </row>
    <row r="398" spans="1:14" x14ac:dyDescent="0.25">
      <c r="A398" s="7" t="s">
        <v>427</v>
      </c>
      <c r="B398" s="7" t="s">
        <v>13</v>
      </c>
      <c r="C398" s="7" t="s">
        <v>14</v>
      </c>
      <c r="D398" s="7" t="s">
        <v>22</v>
      </c>
      <c r="E398" s="7" t="s">
        <v>16</v>
      </c>
      <c r="F398" s="7" t="s">
        <v>39</v>
      </c>
      <c r="G398" s="7" t="str">
        <f t="shared" si="19"/>
        <v>Tuesday</v>
      </c>
      <c r="H398" s="7" t="str">
        <f t="shared" si="20"/>
        <v>Mar</v>
      </c>
      <c r="I398" s="8">
        <v>43537</v>
      </c>
      <c r="J398" s="8" t="str">
        <f t="shared" si="18"/>
        <v>Afternoon</v>
      </c>
      <c r="K398" s="9">
        <v>0.59444444444444444</v>
      </c>
      <c r="L398" s="7" t="s">
        <v>18</v>
      </c>
      <c r="M398" s="10">
        <v>13.567500000000001</v>
      </c>
      <c r="N398" s="7">
        <v>4.5999999999999996</v>
      </c>
    </row>
    <row r="399" spans="1:14" x14ac:dyDescent="0.25">
      <c r="A399" s="7" t="s">
        <v>428</v>
      </c>
      <c r="B399" s="7" t="s">
        <v>37</v>
      </c>
      <c r="C399" s="7" t="s">
        <v>38</v>
      </c>
      <c r="D399" s="7" t="s">
        <v>22</v>
      </c>
      <c r="E399" s="7" t="s">
        <v>26</v>
      </c>
      <c r="F399" s="7" t="s">
        <v>27</v>
      </c>
      <c r="G399" s="7" t="str">
        <f t="shared" si="19"/>
        <v>Tuesday</v>
      </c>
      <c r="H399" s="7" t="str">
        <f t="shared" si="20"/>
        <v>Mar</v>
      </c>
      <c r="I399" s="8">
        <v>43539</v>
      </c>
      <c r="J399" s="8" t="str">
        <f t="shared" si="18"/>
        <v>Morning</v>
      </c>
      <c r="K399" s="9">
        <v>0.43472222222222223</v>
      </c>
      <c r="L399" s="7" t="s">
        <v>24</v>
      </c>
      <c r="M399" s="10">
        <v>6.1154999999999999</v>
      </c>
      <c r="N399" s="7">
        <v>5.8</v>
      </c>
    </row>
    <row r="400" spans="1:14" x14ac:dyDescent="0.25">
      <c r="A400" s="7" t="s">
        <v>429</v>
      </c>
      <c r="B400" s="7" t="s">
        <v>37</v>
      </c>
      <c r="C400" s="7" t="s">
        <v>38</v>
      </c>
      <c r="D400" s="7" t="s">
        <v>15</v>
      </c>
      <c r="E400" s="7" t="s">
        <v>16</v>
      </c>
      <c r="F400" s="7" t="s">
        <v>17</v>
      </c>
      <c r="G400" s="7" t="str">
        <f t="shared" si="19"/>
        <v>Monday</v>
      </c>
      <c r="H400" s="7" t="str">
        <f t="shared" si="20"/>
        <v>Mar</v>
      </c>
      <c r="I400" s="8">
        <v>43529</v>
      </c>
      <c r="J400" s="8" t="str">
        <f t="shared" si="18"/>
        <v>Afternoon</v>
      </c>
      <c r="K400" s="9">
        <v>0.5625</v>
      </c>
      <c r="L400" s="7" t="s">
        <v>28</v>
      </c>
      <c r="M400" s="10">
        <v>12.318</v>
      </c>
      <c r="N400" s="7">
        <v>8.3000000000000007</v>
      </c>
    </row>
    <row r="401" spans="1:14" x14ac:dyDescent="0.25">
      <c r="A401" s="7" t="s">
        <v>430</v>
      </c>
      <c r="B401" s="7" t="s">
        <v>37</v>
      </c>
      <c r="C401" s="7" t="s">
        <v>38</v>
      </c>
      <c r="D401" s="7" t="s">
        <v>15</v>
      </c>
      <c r="E401" s="7" t="s">
        <v>26</v>
      </c>
      <c r="F401" s="7" t="s">
        <v>23</v>
      </c>
      <c r="G401" s="7" t="str">
        <f t="shared" si="19"/>
        <v>Monday</v>
      </c>
      <c r="H401" s="7" t="str">
        <f t="shared" si="20"/>
        <v>Mar</v>
      </c>
      <c r="I401" s="8">
        <v>43528</v>
      </c>
      <c r="J401" s="8" t="str">
        <f t="shared" si="18"/>
        <v>Evening</v>
      </c>
      <c r="K401" s="9">
        <v>0.68611111111111101</v>
      </c>
      <c r="L401" s="7" t="s">
        <v>24</v>
      </c>
      <c r="M401" s="10">
        <v>8.6579999999999995</v>
      </c>
      <c r="N401" s="7">
        <v>8</v>
      </c>
    </row>
    <row r="402" spans="1:14" x14ac:dyDescent="0.25">
      <c r="A402" s="7" t="s">
        <v>431</v>
      </c>
      <c r="B402" s="7" t="s">
        <v>20</v>
      </c>
      <c r="C402" s="7" t="s">
        <v>21</v>
      </c>
      <c r="D402" s="7" t="s">
        <v>22</v>
      </c>
      <c r="E402" s="7" t="s">
        <v>16</v>
      </c>
      <c r="F402" s="7" t="s">
        <v>39</v>
      </c>
      <c r="G402" s="7" t="str">
        <f t="shared" si="19"/>
        <v>Thursday</v>
      </c>
      <c r="H402" s="7" t="str">
        <f t="shared" si="20"/>
        <v>Mar</v>
      </c>
      <c r="I402" s="8">
        <v>43549</v>
      </c>
      <c r="J402" s="8" t="str">
        <f t="shared" si="18"/>
        <v>Evening</v>
      </c>
      <c r="K402" s="9">
        <v>0.84583333333333333</v>
      </c>
      <c r="L402" s="7" t="s">
        <v>28</v>
      </c>
      <c r="M402" s="10">
        <v>11.829000000000001</v>
      </c>
      <c r="N402" s="7">
        <v>9.4</v>
      </c>
    </row>
    <row r="403" spans="1:14" x14ac:dyDescent="0.25">
      <c r="A403" s="7" t="s">
        <v>432</v>
      </c>
      <c r="B403" s="7" t="s">
        <v>20</v>
      </c>
      <c r="C403" s="7" t="s">
        <v>21</v>
      </c>
      <c r="D403" s="7" t="s">
        <v>22</v>
      </c>
      <c r="E403" s="7" t="s">
        <v>26</v>
      </c>
      <c r="F403" s="7" t="s">
        <v>27</v>
      </c>
      <c r="G403" s="7" t="str">
        <f t="shared" si="19"/>
        <v>Tuesday</v>
      </c>
      <c r="H403" s="7" t="str">
        <f t="shared" si="20"/>
        <v>Mar</v>
      </c>
      <c r="I403" s="8">
        <v>43536</v>
      </c>
      <c r="J403" s="8" t="str">
        <f t="shared" si="18"/>
        <v>Evening</v>
      </c>
      <c r="K403" s="9">
        <v>0.83611111111111114</v>
      </c>
      <c r="L403" s="7" t="s">
        <v>28</v>
      </c>
      <c r="M403" s="10">
        <v>9.2439999999999998</v>
      </c>
      <c r="N403" s="7">
        <v>6.2</v>
      </c>
    </row>
    <row r="404" spans="1:14" x14ac:dyDescent="0.25">
      <c r="A404" s="7" t="s">
        <v>433</v>
      </c>
      <c r="B404" s="7" t="s">
        <v>20</v>
      </c>
      <c r="C404" s="7" t="s">
        <v>21</v>
      </c>
      <c r="D404" s="7" t="s">
        <v>15</v>
      </c>
      <c r="E404" s="7" t="s">
        <v>26</v>
      </c>
      <c r="F404" s="7" t="s">
        <v>27</v>
      </c>
      <c r="G404" s="7" t="str">
        <f t="shared" si="19"/>
        <v>Thursday</v>
      </c>
      <c r="H404" s="7" t="str">
        <f t="shared" si="20"/>
        <v>Feb</v>
      </c>
      <c r="I404" s="8">
        <v>43500</v>
      </c>
      <c r="J404" s="8" t="str">
        <f t="shared" si="18"/>
        <v>Afternoon</v>
      </c>
      <c r="K404" s="9">
        <v>0.56805555555555554</v>
      </c>
      <c r="L404" s="7" t="s">
        <v>18</v>
      </c>
      <c r="M404" s="10">
        <v>0.69899999999999995</v>
      </c>
      <c r="N404" s="7">
        <v>9.8000000000000007</v>
      </c>
    </row>
    <row r="405" spans="1:14" x14ac:dyDescent="0.25">
      <c r="A405" s="7" t="s">
        <v>434</v>
      </c>
      <c r="B405" s="7" t="s">
        <v>37</v>
      </c>
      <c r="C405" s="7" t="s">
        <v>38</v>
      </c>
      <c r="D405" s="7" t="s">
        <v>22</v>
      </c>
      <c r="E405" s="7" t="s">
        <v>16</v>
      </c>
      <c r="F405" s="7" t="s">
        <v>41</v>
      </c>
      <c r="G405" s="7" t="str">
        <f t="shared" si="19"/>
        <v>Saturday</v>
      </c>
      <c r="H405" s="7" t="str">
        <f t="shared" si="20"/>
        <v>Feb</v>
      </c>
      <c r="I405" s="8">
        <v>43518</v>
      </c>
      <c r="J405" s="8" t="str">
        <f t="shared" si="18"/>
        <v>Morning</v>
      </c>
      <c r="K405" s="9">
        <v>0.4465277777777778</v>
      </c>
      <c r="L405" s="7" t="s">
        <v>18</v>
      </c>
      <c r="M405" s="10">
        <v>9.9375</v>
      </c>
      <c r="N405" s="7">
        <v>9.6</v>
      </c>
    </row>
    <row r="406" spans="1:14" x14ac:dyDescent="0.25">
      <c r="A406" s="7" t="s">
        <v>435</v>
      </c>
      <c r="B406" s="7" t="s">
        <v>20</v>
      </c>
      <c r="C406" s="7" t="s">
        <v>21</v>
      </c>
      <c r="D406" s="7" t="s">
        <v>15</v>
      </c>
      <c r="E406" s="7" t="s">
        <v>16</v>
      </c>
      <c r="F406" s="7" t="s">
        <v>41</v>
      </c>
      <c r="G406" s="7" t="str">
        <f t="shared" si="19"/>
        <v>Saturday</v>
      </c>
      <c r="H406" s="7" t="str">
        <f t="shared" si="20"/>
        <v>Feb</v>
      </c>
      <c r="I406" s="8">
        <v>43512</v>
      </c>
      <c r="J406" s="8" t="str">
        <f t="shared" si="18"/>
        <v>Evening</v>
      </c>
      <c r="K406" s="9">
        <v>0.72916666666666663</v>
      </c>
      <c r="L406" s="7" t="s">
        <v>18</v>
      </c>
      <c r="M406" s="10">
        <v>34.226500000000001</v>
      </c>
      <c r="N406" s="7">
        <v>4.9000000000000004</v>
      </c>
    </row>
    <row r="407" spans="1:14" x14ac:dyDescent="0.25">
      <c r="A407" s="7" t="s">
        <v>436</v>
      </c>
      <c r="B407" s="7" t="s">
        <v>13</v>
      </c>
      <c r="C407" s="7" t="s">
        <v>14</v>
      </c>
      <c r="D407" s="7" t="s">
        <v>15</v>
      </c>
      <c r="E407" s="7" t="s">
        <v>26</v>
      </c>
      <c r="F407" s="7" t="s">
        <v>31</v>
      </c>
      <c r="G407" s="7" t="str">
        <f t="shared" si="19"/>
        <v>Tuesday</v>
      </c>
      <c r="H407" s="7" t="str">
        <f t="shared" si="20"/>
        <v>Jan</v>
      </c>
      <c r="I407" s="8">
        <v>43484</v>
      </c>
      <c r="J407" s="8" t="str">
        <f t="shared" si="18"/>
        <v>Afternoon</v>
      </c>
      <c r="K407" s="9">
        <v>0.64444444444444449</v>
      </c>
      <c r="L407" s="7" t="s">
        <v>28</v>
      </c>
      <c r="M407" s="10">
        <v>13.452</v>
      </c>
      <c r="N407" s="7">
        <v>8</v>
      </c>
    </row>
    <row r="408" spans="1:14" x14ac:dyDescent="0.25">
      <c r="A408" s="7" t="s">
        <v>437</v>
      </c>
      <c r="B408" s="7" t="s">
        <v>13</v>
      </c>
      <c r="C408" s="7" t="s">
        <v>14</v>
      </c>
      <c r="D408" s="7" t="s">
        <v>22</v>
      </c>
      <c r="E408" s="7" t="s">
        <v>26</v>
      </c>
      <c r="F408" s="7" t="s">
        <v>39</v>
      </c>
      <c r="G408" s="7" t="str">
        <f t="shared" si="19"/>
        <v>Sunday</v>
      </c>
      <c r="H408" s="7" t="str">
        <f t="shared" si="20"/>
        <v>Jan</v>
      </c>
      <c r="I408" s="8">
        <v>43476</v>
      </c>
      <c r="J408" s="8" t="str">
        <f t="shared" si="18"/>
        <v>Evening</v>
      </c>
      <c r="K408" s="9">
        <v>0.79652777777777783</v>
      </c>
      <c r="L408" s="7" t="s">
        <v>28</v>
      </c>
      <c r="M408" s="10">
        <v>3.4474999999999998</v>
      </c>
      <c r="N408" s="7">
        <v>7.8</v>
      </c>
    </row>
    <row r="409" spans="1:14" x14ac:dyDescent="0.25">
      <c r="A409" s="7" t="s">
        <v>438</v>
      </c>
      <c r="B409" s="7" t="s">
        <v>37</v>
      </c>
      <c r="C409" s="7" t="s">
        <v>38</v>
      </c>
      <c r="D409" s="7" t="s">
        <v>15</v>
      </c>
      <c r="E409" s="7" t="s">
        <v>16</v>
      </c>
      <c r="F409" s="7" t="s">
        <v>41</v>
      </c>
      <c r="G409" s="7" t="str">
        <f t="shared" si="19"/>
        <v>Saturday</v>
      </c>
      <c r="H409" s="7" t="str">
        <f t="shared" si="20"/>
        <v>Jan</v>
      </c>
      <c r="I409" s="8">
        <v>43469</v>
      </c>
      <c r="J409" s="8" t="str">
        <f t="shared" si="18"/>
        <v>Evening</v>
      </c>
      <c r="K409" s="9">
        <v>0.79236111111111107</v>
      </c>
      <c r="L409" s="7" t="s">
        <v>24</v>
      </c>
      <c r="M409" s="10">
        <v>13.742000000000001</v>
      </c>
      <c r="N409" s="7">
        <v>4.0999999999999996</v>
      </c>
    </row>
    <row r="410" spans="1:14" x14ac:dyDescent="0.25">
      <c r="A410" s="7" t="s">
        <v>439</v>
      </c>
      <c r="B410" s="7" t="s">
        <v>13</v>
      </c>
      <c r="C410" s="7" t="s">
        <v>14</v>
      </c>
      <c r="D410" s="7" t="s">
        <v>22</v>
      </c>
      <c r="E410" s="7" t="s">
        <v>16</v>
      </c>
      <c r="F410" s="7" t="s">
        <v>27</v>
      </c>
      <c r="G410" s="7" t="str">
        <f t="shared" si="19"/>
        <v>Monday</v>
      </c>
      <c r="H410" s="7" t="str">
        <f t="shared" si="20"/>
        <v>Mar</v>
      </c>
      <c r="I410" s="8">
        <v>43528</v>
      </c>
      <c r="J410" s="8" t="str">
        <f t="shared" si="18"/>
        <v>Evening</v>
      </c>
      <c r="K410" s="9">
        <v>0.82500000000000007</v>
      </c>
      <c r="L410" s="7" t="s">
        <v>18</v>
      </c>
      <c r="M410" s="10">
        <v>11.305999999999999</v>
      </c>
      <c r="N410" s="7">
        <v>5.5</v>
      </c>
    </row>
    <row r="411" spans="1:14" x14ac:dyDescent="0.25">
      <c r="A411" s="7" t="s">
        <v>440</v>
      </c>
      <c r="B411" s="7" t="s">
        <v>20</v>
      </c>
      <c r="C411" s="7" t="s">
        <v>21</v>
      </c>
      <c r="D411" s="7" t="s">
        <v>22</v>
      </c>
      <c r="E411" s="7" t="s">
        <v>16</v>
      </c>
      <c r="F411" s="7" t="s">
        <v>41</v>
      </c>
      <c r="G411" s="7" t="str">
        <f t="shared" si="19"/>
        <v>Wednesday</v>
      </c>
      <c r="H411" s="7" t="str">
        <f t="shared" si="20"/>
        <v>Jan</v>
      </c>
      <c r="I411" s="8">
        <v>43493</v>
      </c>
      <c r="J411" s="8" t="str">
        <f t="shared" si="18"/>
        <v>Evening</v>
      </c>
      <c r="K411" s="9">
        <v>0.80833333333333324</v>
      </c>
      <c r="L411" s="7" t="s">
        <v>18</v>
      </c>
      <c r="M411" s="10">
        <v>5.9550000000000001</v>
      </c>
      <c r="N411" s="7">
        <v>5.4</v>
      </c>
    </row>
    <row r="412" spans="1:14" x14ac:dyDescent="0.25">
      <c r="A412" s="7" t="s">
        <v>441</v>
      </c>
      <c r="B412" s="7" t="s">
        <v>37</v>
      </c>
      <c r="C412" s="7" t="s">
        <v>38</v>
      </c>
      <c r="D412" s="7" t="s">
        <v>22</v>
      </c>
      <c r="E412" s="7" t="s">
        <v>16</v>
      </c>
      <c r="F412" s="7" t="s">
        <v>17</v>
      </c>
      <c r="G412" s="7" t="str">
        <f t="shared" si="19"/>
        <v>Saturday</v>
      </c>
      <c r="H412" s="7" t="str">
        <f t="shared" si="20"/>
        <v>Jan</v>
      </c>
      <c r="I412" s="8">
        <v>43467</v>
      </c>
      <c r="J412" s="8" t="str">
        <f t="shared" si="18"/>
        <v>Afternoon</v>
      </c>
      <c r="K412" s="9">
        <v>0.54166666666666663</v>
      </c>
      <c r="L412" s="7" t="s">
        <v>24</v>
      </c>
      <c r="M412" s="10">
        <v>17.105</v>
      </c>
      <c r="N412" s="7">
        <v>5.0999999999999996</v>
      </c>
    </row>
    <row r="413" spans="1:14" x14ac:dyDescent="0.25">
      <c r="A413" s="7" t="s">
        <v>442</v>
      </c>
      <c r="B413" s="7" t="s">
        <v>37</v>
      </c>
      <c r="C413" s="7" t="s">
        <v>38</v>
      </c>
      <c r="D413" s="7" t="s">
        <v>22</v>
      </c>
      <c r="E413" s="7" t="s">
        <v>26</v>
      </c>
      <c r="F413" s="7" t="s">
        <v>31</v>
      </c>
      <c r="G413" s="7" t="str">
        <f t="shared" si="19"/>
        <v>Tuesday</v>
      </c>
      <c r="H413" s="7" t="str">
        <f t="shared" si="20"/>
        <v>Jan</v>
      </c>
      <c r="I413" s="8">
        <v>43490</v>
      </c>
      <c r="J413" s="8" t="str">
        <f t="shared" si="18"/>
        <v>Afternoon</v>
      </c>
      <c r="K413" s="9">
        <v>0.60347222222222219</v>
      </c>
      <c r="L413" s="7" t="s">
        <v>18</v>
      </c>
      <c r="M413" s="10">
        <v>2.1869999999999998</v>
      </c>
      <c r="N413" s="7">
        <v>6.9</v>
      </c>
    </row>
    <row r="414" spans="1:14" x14ac:dyDescent="0.25">
      <c r="A414" s="7" t="s">
        <v>443</v>
      </c>
      <c r="B414" s="7" t="s">
        <v>13</v>
      </c>
      <c r="C414" s="7" t="s">
        <v>14</v>
      </c>
      <c r="D414" s="7" t="s">
        <v>15</v>
      </c>
      <c r="E414" s="7" t="s">
        <v>26</v>
      </c>
      <c r="F414" s="7" t="s">
        <v>17</v>
      </c>
      <c r="G414" s="7" t="str">
        <f t="shared" si="19"/>
        <v>Saturday</v>
      </c>
      <c r="H414" s="7" t="str">
        <f t="shared" si="20"/>
        <v>Jan</v>
      </c>
      <c r="I414" s="8">
        <v>43469</v>
      </c>
      <c r="J414" s="8" t="str">
        <f t="shared" si="18"/>
        <v>Afternoon</v>
      </c>
      <c r="K414" s="9">
        <v>0.55625000000000002</v>
      </c>
      <c r="L414" s="7" t="s">
        <v>24</v>
      </c>
      <c r="M414" s="10">
        <v>5.2424999999999997</v>
      </c>
      <c r="N414" s="7">
        <v>7.8</v>
      </c>
    </row>
    <row r="415" spans="1:14" x14ac:dyDescent="0.25">
      <c r="A415" s="7" t="s">
        <v>444</v>
      </c>
      <c r="B415" s="7" t="s">
        <v>13</v>
      </c>
      <c r="C415" s="7" t="s">
        <v>14</v>
      </c>
      <c r="D415" s="7" t="s">
        <v>22</v>
      </c>
      <c r="E415" s="7" t="s">
        <v>26</v>
      </c>
      <c r="F415" s="7" t="s">
        <v>31</v>
      </c>
      <c r="G415" s="7" t="str">
        <f t="shared" si="19"/>
        <v>Tuesday</v>
      </c>
      <c r="H415" s="7" t="str">
        <f t="shared" si="20"/>
        <v>Mar</v>
      </c>
      <c r="I415" s="8">
        <v>43534</v>
      </c>
      <c r="J415" s="8" t="str">
        <f t="shared" si="18"/>
        <v>Evening</v>
      </c>
      <c r="K415" s="9">
        <v>0.78819444444444453</v>
      </c>
      <c r="L415" s="7" t="s">
        <v>18</v>
      </c>
      <c r="M415" s="10">
        <v>3.8759999999999999</v>
      </c>
      <c r="N415" s="7">
        <v>6.6</v>
      </c>
    </row>
    <row r="416" spans="1:14" x14ac:dyDescent="0.25">
      <c r="A416" s="7" t="s">
        <v>445</v>
      </c>
      <c r="B416" s="7" t="s">
        <v>13</v>
      </c>
      <c r="C416" s="7" t="s">
        <v>14</v>
      </c>
      <c r="D416" s="7" t="s">
        <v>22</v>
      </c>
      <c r="E416" s="7" t="s">
        <v>26</v>
      </c>
      <c r="F416" s="7" t="s">
        <v>27</v>
      </c>
      <c r="G416" s="7" t="str">
        <f t="shared" si="19"/>
        <v>Wednesday</v>
      </c>
      <c r="H416" s="7" t="str">
        <f t="shared" si="20"/>
        <v>Mar</v>
      </c>
      <c r="I416" s="8">
        <v>43546</v>
      </c>
      <c r="J416" s="8" t="str">
        <f t="shared" si="18"/>
        <v>Evening</v>
      </c>
      <c r="K416" s="9">
        <v>0.81666666666666676</v>
      </c>
      <c r="L416" s="7" t="s">
        <v>18</v>
      </c>
      <c r="M416" s="10">
        <v>20.372</v>
      </c>
      <c r="N416" s="7">
        <v>9.1999999999999993</v>
      </c>
    </row>
    <row r="417" spans="1:14" x14ac:dyDescent="0.25">
      <c r="A417" s="7" t="s">
        <v>446</v>
      </c>
      <c r="B417" s="7" t="s">
        <v>37</v>
      </c>
      <c r="C417" s="7" t="s">
        <v>38</v>
      </c>
      <c r="D417" s="7" t="s">
        <v>22</v>
      </c>
      <c r="E417" s="7" t="s">
        <v>26</v>
      </c>
      <c r="F417" s="7" t="s">
        <v>17</v>
      </c>
      <c r="G417" s="7" t="str">
        <f t="shared" si="19"/>
        <v>Tuesday</v>
      </c>
      <c r="H417" s="7" t="str">
        <f t="shared" si="20"/>
        <v>Jan</v>
      </c>
      <c r="I417" s="8">
        <v>43490</v>
      </c>
      <c r="J417" s="8" t="str">
        <f t="shared" si="18"/>
        <v>Evening</v>
      </c>
      <c r="K417" s="9">
        <v>0.68611111111111101</v>
      </c>
      <c r="L417" s="7" t="s">
        <v>18</v>
      </c>
      <c r="M417" s="10">
        <v>4.8055000000000003</v>
      </c>
      <c r="N417" s="7">
        <v>7.8</v>
      </c>
    </row>
    <row r="418" spans="1:14" x14ac:dyDescent="0.25">
      <c r="A418" s="7" t="s">
        <v>447</v>
      </c>
      <c r="B418" s="7" t="s">
        <v>20</v>
      </c>
      <c r="C418" s="7" t="s">
        <v>21</v>
      </c>
      <c r="D418" s="7" t="s">
        <v>22</v>
      </c>
      <c r="E418" s="7" t="s">
        <v>16</v>
      </c>
      <c r="F418" s="7" t="s">
        <v>27</v>
      </c>
      <c r="G418" s="7" t="str">
        <f t="shared" si="19"/>
        <v>Sunday</v>
      </c>
      <c r="H418" s="7" t="str">
        <f t="shared" si="20"/>
        <v>Jan</v>
      </c>
      <c r="I418" s="8">
        <v>43473</v>
      </c>
      <c r="J418" s="8" t="str">
        <f t="shared" si="18"/>
        <v>Afternoon</v>
      </c>
      <c r="K418" s="9">
        <v>0.57500000000000007</v>
      </c>
      <c r="L418" s="7" t="s">
        <v>28</v>
      </c>
      <c r="M418" s="10">
        <v>9.0760000000000005</v>
      </c>
      <c r="N418" s="7">
        <v>8.6999999999999993</v>
      </c>
    </row>
    <row r="419" spans="1:14" x14ac:dyDescent="0.25">
      <c r="A419" s="7" t="s">
        <v>448</v>
      </c>
      <c r="B419" s="7" t="s">
        <v>20</v>
      </c>
      <c r="C419" s="7" t="s">
        <v>21</v>
      </c>
      <c r="D419" s="7" t="s">
        <v>15</v>
      </c>
      <c r="E419" s="7" t="s">
        <v>16</v>
      </c>
      <c r="F419" s="7" t="s">
        <v>17</v>
      </c>
      <c r="G419" s="7" t="str">
        <f t="shared" si="19"/>
        <v>Tuesday</v>
      </c>
      <c r="H419" s="7" t="str">
        <f t="shared" si="20"/>
        <v>Jan</v>
      </c>
      <c r="I419" s="8">
        <v>43487</v>
      </c>
      <c r="J419" s="8" t="str">
        <f t="shared" si="18"/>
        <v>Morning</v>
      </c>
      <c r="K419" s="9">
        <v>0.45624999999999999</v>
      </c>
      <c r="L419" s="7" t="s">
        <v>18</v>
      </c>
      <c r="M419" s="10">
        <v>4.0754999999999999</v>
      </c>
      <c r="N419" s="7">
        <v>9.1999999999999993</v>
      </c>
    </row>
    <row r="420" spans="1:14" x14ac:dyDescent="0.25">
      <c r="A420" s="7" t="s">
        <v>449</v>
      </c>
      <c r="B420" s="7" t="s">
        <v>37</v>
      </c>
      <c r="C420" s="7" t="s">
        <v>38</v>
      </c>
      <c r="D420" s="7" t="s">
        <v>22</v>
      </c>
      <c r="E420" s="7" t="s">
        <v>16</v>
      </c>
      <c r="F420" s="7" t="s">
        <v>17</v>
      </c>
      <c r="G420" s="7" t="str">
        <f t="shared" si="19"/>
        <v>Monday</v>
      </c>
      <c r="H420" s="7" t="str">
        <f t="shared" si="20"/>
        <v>Jan</v>
      </c>
      <c r="I420" s="8">
        <v>43477</v>
      </c>
      <c r="J420" s="8" t="str">
        <f t="shared" si="18"/>
        <v>Evening</v>
      </c>
      <c r="K420" s="9">
        <v>0.71736111111111101</v>
      </c>
      <c r="L420" s="7" t="s">
        <v>18</v>
      </c>
      <c r="M420" s="10">
        <v>5.7220000000000004</v>
      </c>
      <c r="N420" s="7">
        <v>8.3000000000000007</v>
      </c>
    </row>
    <row r="421" spans="1:14" x14ac:dyDescent="0.25">
      <c r="A421" s="7" t="s">
        <v>450</v>
      </c>
      <c r="B421" s="7" t="s">
        <v>13</v>
      </c>
      <c r="C421" s="7" t="s">
        <v>14</v>
      </c>
      <c r="D421" s="7" t="s">
        <v>15</v>
      </c>
      <c r="E421" s="7" t="s">
        <v>16</v>
      </c>
      <c r="F421" s="7" t="s">
        <v>23</v>
      </c>
      <c r="G421" s="7" t="str">
        <f t="shared" si="19"/>
        <v>Thursday</v>
      </c>
      <c r="H421" s="7" t="str">
        <f t="shared" si="20"/>
        <v>Feb</v>
      </c>
      <c r="I421" s="8">
        <v>43500</v>
      </c>
      <c r="J421" s="8" t="str">
        <f t="shared" si="18"/>
        <v>Morning</v>
      </c>
      <c r="K421" s="9">
        <v>0.43263888888888885</v>
      </c>
      <c r="L421" s="7" t="s">
        <v>24</v>
      </c>
      <c r="M421" s="10">
        <v>8.827</v>
      </c>
      <c r="N421" s="7">
        <v>8.1999999999999993</v>
      </c>
    </row>
    <row r="422" spans="1:14" x14ac:dyDescent="0.25">
      <c r="A422" s="7" t="s">
        <v>451</v>
      </c>
      <c r="B422" s="7" t="s">
        <v>20</v>
      </c>
      <c r="C422" s="7" t="s">
        <v>21</v>
      </c>
      <c r="D422" s="7" t="s">
        <v>15</v>
      </c>
      <c r="E422" s="7" t="s">
        <v>16</v>
      </c>
      <c r="F422" s="7" t="s">
        <v>39</v>
      </c>
      <c r="G422" s="7" t="str">
        <f t="shared" si="19"/>
        <v>Thursday</v>
      </c>
      <c r="H422" s="7" t="str">
        <f t="shared" si="20"/>
        <v>Mar</v>
      </c>
      <c r="I422" s="8">
        <v>43552</v>
      </c>
      <c r="J422" s="8" t="str">
        <f t="shared" si="18"/>
        <v>Afternoon</v>
      </c>
      <c r="K422" s="9">
        <v>0.58124999999999993</v>
      </c>
      <c r="L422" s="7" t="s">
        <v>18</v>
      </c>
      <c r="M422" s="10">
        <v>5.79</v>
      </c>
      <c r="N422" s="7">
        <v>7.5</v>
      </c>
    </row>
    <row r="423" spans="1:14" x14ac:dyDescent="0.25">
      <c r="A423" s="7" t="s">
        <v>452</v>
      </c>
      <c r="B423" s="7" t="s">
        <v>20</v>
      </c>
      <c r="C423" s="7" t="s">
        <v>21</v>
      </c>
      <c r="D423" s="7" t="s">
        <v>22</v>
      </c>
      <c r="E423" s="7" t="s">
        <v>16</v>
      </c>
      <c r="F423" s="7" t="s">
        <v>23</v>
      </c>
      <c r="G423" s="7" t="str">
        <f t="shared" si="19"/>
        <v>Tuesday</v>
      </c>
      <c r="H423" s="7" t="str">
        <f t="shared" si="20"/>
        <v>Jan</v>
      </c>
      <c r="I423" s="8">
        <v>43488</v>
      </c>
      <c r="J423" s="8" t="str">
        <f t="shared" si="18"/>
        <v>Afternoon</v>
      </c>
      <c r="K423" s="9">
        <v>0.56180555555555556</v>
      </c>
      <c r="L423" s="7" t="s">
        <v>24</v>
      </c>
      <c r="M423" s="10">
        <v>12.6075</v>
      </c>
      <c r="N423" s="7">
        <v>9.8000000000000007</v>
      </c>
    </row>
    <row r="424" spans="1:14" x14ac:dyDescent="0.25">
      <c r="A424" s="7" t="s">
        <v>453</v>
      </c>
      <c r="B424" s="7" t="s">
        <v>20</v>
      </c>
      <c r="C424" s="7" t="s">
        <v>21</v>
      </c>
      <c r="D424" s="7" t="s">
        <v>15</v>
      </c>
      <c r="E424" s="7" t="s">
        <v>16</v>
      </c>
      <c r="F424" s="7" t="s">
        <v>41</v>
      </c>
      <c r="G424" s="7" t="str">
        <f t="shared" si="19"/>
        <v>Thursday</v>
      </c>
      <c r="H424" s="7" t="str">
        <f t="shared" si="20"/>
        <v>Feb</v>
      </c>
      <c r="I424" s="8">
        <v>43504</v>
      </c>
      <c r="J424" s="8" t="str">
        <f t="shared" si="18"/>
        <v>Afternoon</v>
      </c>
      <c r="K424" s="9">
        <v>0.54166666666666663</v>
      </c>
      <c r="L424" s="7" t="s">
        <v>28</v>
      </c>
      <c r="M424" s="10">
        <v>48.604999999999997</v>
      </c>
      <c r="N424" s="7">
        <v>8.6999999999999993</v>
      </c>
    </row>
    <row r="425" spans="1:14" x14ac:dyDescent="0.25">
      <c r="A425" s="7" t="s">
        <v>454</v>
      </c>
      <c r="B425" s="7" t="s">
        <v>37</v>
      </c>
      <c r="C425" s="7" t="s">
        <v>38</v>
      </c>
      <c r="D425" s="7" t="s">
        <v>15</v>
      </c>
      <c r="E425" s="7" t="s">
        <v>26</v>
      </c>
      <c r="F425" s="7" t="s">
        <v>41</v>
      </c>
      <c r="G425" s="7" t="str">
        <f t="shared" si="19"/>
        <v>Wednesday</v>
      </c>
      <c r="H425" s="7" t="str">
        <f t="shared" si="20"/>
        <v>Mar</v>
      </c>
      <c r="I425" s="8">
        <v>43543</v>
      </c>
      <c r="J425" s="8" t="str">
        <f t="shared" si="18"/>
        <v>Evening</v>
      </c>
      <c r="K425" s="9">
        <v>0.8208333333333333</v>
      </c>
      <c r="L425" s="7" t="s">
        <v>28</v>
      </c>
      <c r="M425" s="10">
        <v>10.167999999999999</v>
      </c>
      <c r="N425" s="7">
        <v>6.7</v>
      </c>
    </row>
    <row r="426" spans="1:14" x14ac:dyDescent="0.25">
      <c r="A426" s="7" t="s">
        <v>455</v>
      </c>
      <c r="B426" s="7" t="s">
        <v>20</v>
      </c>
      <c r="C426" s="7" t="s">
        <v>21</v>
      </c>
      <c r="D426" s="7" t="s">
        <v>22</v>
      </c>
      <c r="E426" s="7" t="s">
        <v>26</v>
      </c>
      <c r="F426" s="7" t="s">
        <v>41</v>
      </c>
      <c r="G426" s="7" t="str">
        <f t="shared" si="19"/>
        <v>Tuesday</v>
      </c>
      <c r="H426" s="7" t="str">
        <f t="shared" si="20"/>
        <v>Mar</v>
      </c>
      <c r="I426" s="8">
        <v>43533</v>
      </c>
      <c r="J426" s="8" t="str">
        <f t="shared" si="18"/>
        <v>Afternoon</v>
      </c>
      <c r="K426" s="9">
        <v>0.65</v>
      </c>
      <c r="L426" s="7" t="s">
        <v>24</v>
      </c>
      <c r="M426" s="10">
        <v>0.81399999999999995</v>
      </c>
      <c r="N426" s="7">
        <v>5</v>
      </c>
    </row>
    <row r="427" spans="1:14" x14ac:dyDescent="0.25">
      <c r="A427" s="7" t="s">
        <v>456</v>
      </c>
      <c r="B427" s="7" t="s">
        <v>37</v>
      </c>
      <c r="C427" s="7" t="s">
        <v>38</v>
      </c>
      <c r="D427" s="7" t="s">
        <v>15</v>
      </c>
      <c r="E427" s="7" t="s">
        <v>26</v>
      </c>
      <c r="F427" s="7" t="s">
        <v>41</v>
      </c>
      <c r="G427" s="7" t="str">
        <f t="shared" si="19"/>
        <v>Saturday</v>
      </c>
      <c r="H427" s="7" t="str">
        <f t="shared" si="20"/>
        <v>Jan</v>
      </c>
      <c r="I427" s="8">
        <v>43467</v>
      </c>
      <c r="J427" s="8" t="str">
        <f t="shared" si="18"/>
        <v>Afternoon</v>
      </c>
      <c r="K427" s="9">
        <v>0.56944444444444442</v>
      </c>
      <c r="L427" s="7" t="s">
        <v>24</v>
      </c>
      <c r="M427" s="10">
        <v>18.2745</v>
      </c>
      <c r="N427" s="7">
        <v>7</v>
      </c>
    </row>
    <row r="428" spans="1:14" x14ac:dyDescent="0.25">
      <c r="A428" s="7" t="s">
        <v>457</v>
      </c>
      <c r="B428" s="7" t="s">
        <v>13</v>
      </c>
      <c r="C428" s="7" t="s">
        <v>14</v>
      </c>
      <c r="D428" s="7" t="s">
        <v>15</v>
      </c>
      <c r="E428" s="7" t="s">
        <v>26</v>
      </c>
      <c r="F428" s="7" t="s">
        <v>17</v>
      </c>
      <c r="G428" s="7" t="str">
        <f t="shared" si="19"/>
        <v>Tuesday</v>
      </c>
      <c r="H428" s="7" t="str">
        <f t="shared" si="20"/>
        <v>Jan</v>
      </c>
      <c r="I428" s="8">
        <v>43486</v>
      </c>
      <c r="J428" s="8" t="str">
        <f t="shared" si="18"/>
        <v>Evening</v>
      </c>
      <c r="K428" s="9">
        <v>0.75069444444444444</v>
      </c>
      <c r="L428" s="7" t="s">
        <v>24</v>
      </c>
      <c r="M428" s="10">
        <v>18.609500000000001</v>
      </c>
      <c r="N428" s="7">
        <v>8.9</v>
      </c>
    </row>
    <row r="429" spans="1:14" x14ac:dyDescent="0.25">
      <c r="A429" s="7" t="s">
        <v>458</v>
      </c>
      <c r="B429" s="7" t="s">
        <v>37</v>
      </c>
      <c r="C429" s="7" t="s">
        <v>38</v>
      </c>
      <c r="D429" s="7" t="s">
        <v>15</v>
      </c>
      <c r="E429" s="7" t="s">
        <v>16</v>
      </c>
      <c r="F429" s="7" t="s">
        <v>39</v>
      </c>
      <c r="G429" s="7" t="str">
        <f t="shared" si="19"/>
        <v>Wednesday</v>
      </c>
      <c r="H429" s="7" t="str">
        <f t="shared" si="20"/>
        <v>Mar</v>
      </c>
      <c r="I429" s="8">
        <v>43544</v>
      </c>
      <c r="J429" s="8" t="str">
        <f t="shared" si="18"/>
        <v>Afternoon</v>
      </c>
      <c r="K429" s="9">
        <v>0.57847222222222217</v>
      </c>
      <c r="L429" s="7" t="s">
        <v>28</v>
      </c>
      <c r="M429" s="10">
        <v>3.1305000000000001</v>
      </c>
      <c r="N429" s="7">
        <v>8</v>
      </c>
    </row>
    <row r="430" spans="1:14" x14ac:dyDescent="0.25">
      <c r="A430" s="7" t="s">
        <v>459</v>
      </c>
      <c r="B430" s="7" t="s">
        <v>37</v>
      </c>
      <c r="C430" s="7" t="s">
        <v>38</v>
      </c>
      <c r="D430" s="7" t="s">
        <v>22</v>
      </c>
      <c r="E430" s="7" t="s">
        <v>26</v>
      </c>
      <c r="F430" s="7" t="s">
        <v>31</v>
      </c>
      <c r="G430" s="7" t="str">
        <f t="shared" si="19"/>
        <v>Sunday</v>
      </c>
      <c r="H430" s="7" t="str">
        <f t="shared" si="20"/>
        <v>Feb</v>
      </c>
      <c r="I430" s="8">
        <v>43523</v>
      </c>
      <c r="J430" s="8" t="str">
        <f t="shared" si="18"/>
        <v>Evening</v>
      </c>
      <c r="K430" s="9">
        <v>0.7270833333333333</v>
      </c>
      <c r="L430" s="7" t="s">
        <v>24</v>
      </c>
      <c r="M430" s="10">
        <v>16.817499999999999</v>
      </c>
      <c r="N430" s="7">
        <v>6.9</v>
      </c>
    </row>
    <row r="431" spans="1:14" x14ac:dyDescent="0.25">
      <c r="A431" s="7" t="s">
        <v>460</v>
      </c>
      <c r="B431" s="7" t="s">
        <v>13</v>
      </c>
      <c r="C431" s="7" t="s">
        <v>14</v>
      </c>
      <c r="D431" s="7" t="s">
        <v>15</v>
      </c>
      <c r="E431" s="7" t="s">
        <v>16</v>
      </c>
      <c r="F431" s="7" t="s">
        <v>27</v>
      </c>
      <c r="G431" s="7" t="str">
        <f t="shared" si="19"/>
        <v>Monday</v>
      </c>
      <c r="H431" s="7" t="str">
        <f t="shared" si="20"/>
        <v>Mar</v>
      </c>
      <c r="I431" s="8">
        <v>43532</v>
      </c>
      <c r="J431" s="8" t="str">
        <f t="shared" si="18"/>
        <v>Morning</v>
      </c>
      <c r="K431" s="9">
        <v>0.45347222222222222</v>
      </c>
      <c r="L431" s="7" t="s">
        <v>18</v>
      </c>
      <c r="M431" s="10">
        <v>45.325000000000003</v>
      </c>
      <c r="N431" s="7">
        <v>7.3</v>
      </c>
    </row>
    <row r="432" spans="1:14" x14ac:dyDescent="0.25">
      <c r="A432" s="7" t="s">
        <v>461</v>
      </c>
      <c r="B432" s="7" t="s">
        <v>37</v>
      </c>
      <c r="C432" s="7" t="s">
        <v>38</v>
      </c>
      <c r="D432" s="7" t="s">
        <v>22</v>
      </c>
      <c r="E432" s="7" t="s">
        <v>26</v>
      </c>
      <c r="F432" s="7" t="s">
        <v>41</v>
      </c>
      <c r="G432" s="7" t="str">
        <f t="shared" si="19"/>
        <v>Wednesday</v>
      </c>
      <c r="H432" s="7" t="str">
        <f t="shared" si="20"/>
        <v>Jan</v>
      </c>
      <c r="I432" s="8">
        <v>43496</v>
      </c>
      <c r="J432" s="8" t="str">
        <f t="shared" si="18"/>
        <v>Evening</v>
      </c>
      <c r="K432" s="9">
        <v>0.82500000000000007</v>
      </c>
      <c r="L432" s="7" t="s">
        <v>28</v>
      </c>
      <c r="M432" s="10">
        <v>6.9080000000000004</v>
      </c>
      <c r="N432" s="7">
        <v>6.9</v>
      </c>
    </row>
    <row r="433" spans="1:14" x14ac:dyDescent="0.25">
      <c r="A433" s="7" t="s">
        <v>462</v>
      </c>
      <c r="B433" s="7" t="s">
        <v>20</v>
      </c>
      <c r="C433" s="7" t="s">
        <v>21</v>
      </c>
      <c r="D433" s="7" t="s">
        <v>22</v>
      </c>
      <c r="E433" s="7" t="s">
        <v>26</v>
      </c>
      <c r="F433" s="7" t="s">
        <v>39</v>
      </c>
      <c r="G433" s="7" t="str">
        <f t="shared" si="19"/>
        <v>Monday</v>
      </c>
      <c r="H433" s="7" t="str">
        <f t="shared" si="20"/>
        <v>Mar</v>
      </c>
      <c r="I433" s="8">
        <v>43532</v>
      </c>
      <c r="J433" s="8" t="str">
        <f t="shared" si="18"/>
        <v>Evening</v>
      </c>
      <c r="K433" s="9">
        <v>0.70347222222222217</v>
      </c>
      <c r="L433" s="7" t="s">
        <v>18</v>
      </c>
      <c r="M433" s="10">
        <v>4.327</v>
      </c>
      <c r="N433" s="7">
        <v>5.7</v>
      </c>
    </row>
    <row r="434" spans="1:14" x14ac:dyDescent="0.25">
      <c r="A434" s="7" t="s">
        <v>463</v>
      </c>
      <c r="B434" s="7" t="s">
        <v>13</v>
      </c>
      <c r="C434" s="7" t="s">
        <v>14</v>
      </c>
      <c r="D434" s="7" t="s">
        <v>22</v>
      </c>
      <c r="E434" s="7" t="s">
        <v>16</v>
      </c>
      <c r="F434" s="7" t="s">
        <v>23</v>
      </c>
      <c r="G434" s="7" t="str">
        <f t="shared" si="19"/>
        <v>Monday</v>
      </c>
      <c r="H434" s="7" t="str">
        <f t="shared" si="20"/>
        <v>Jan</v>
      </c>
      <c r="I434" s="8">
        <v>43478</v>
      </c>
      <c r="J434" s="8" t="str">
        <f t="shared" si="18"/>
        <v>Evening</v>
      </c>
      <c r="K434" s="9">
        <v>0.80138888888888893</v>
      </c>
      <c r="L434" s="7" t="s">
        <v>18</v>
      </c>
      <c r="M434" s="10">
        <v>7.0380000000000003</v>
      </c>
      <c r="N434" s="7">
        <v>6.4</v>
      </c>
    </row>
    <row r="435" spans="1:14" x14ac:dyDescent="0.25">
      <c r="A435" s="7" t="s">
        <v>464</v>
      </c>
      <c r="B435" s="7" t="s">
        <v>37</v>
      </c>
      <c r="C435" s="7" t="s">
        <v>38</v>
      </c>
      <c r="D435" s="7" t="s">
        <v>22</v>
      </c>
      <c r="E435" s="7" t="s">
        <v>26</v>
      </c>
      <c r="F435" s="7" t="s">
        <v>41</v>
      </c>
      <c r="G435" s="7" t="str">
        <f t="shared" si="19"/>
        <v>Tuesday</v>
      </c>
      <c r="H435" s="7" t="str">
        <f t="shared" si="20"/>
        <v>Mar</v>
      </c>
      <c r="I435" s="8">
        <v>43533</v>
      </c>
      <c r="J435" s="8" t="str">
        <f t="shared" si="18"/>
        <v>Afternoon</v>
      </c>
      <c r="K435" s="9">
        <v>0.60833333333333328</v>
      </c>
      <c r="L435" s="7" t="s">
        <v>28</v>
      </c>
      <c r="M435" s="10">
        <v>33.439</v>
      </c>
      <c r="N435" s="7">
        <v>9.6</v>
      </c>
    </row>
    <row r="436" spans="1:14" x14ac:dyDescent="0.25">
      <c r="A436" s="7" t="s">
        <v>465</v>
      </c>
      <c r="B436" s="7" t="s">
        <v>37</v>
      </c>
      <c r="C436" s="7" t="s">
        <v>38</v>
      </c>
      <c r="D436" s="7" t="s">
        <v>22</v>
      </c>
      <c r="E436" s="7" t="s">
        <v>16</v>
      </c>
      <c r="F436" s="7" t="s">
        <v>41</v>
      </c>
      <c r="G436" s="7" t="str">
        <f t="shared" si="19"/>
        <v>Saturday</v>
      </c>
      <c r="H436" s="7" t="str">
        <f t="shared" si="20"/>
        <v>Feb</v>
      </c>
      <c r="I436" s="8">
        <v>43518</v>
      </c>
      <c r="J436" s="8" t="str">
        <f t="shared" si="18"/>
        <v>Evening</v>
      </c>
      <c r="K436" s="9">
        <v>0.7631944444444444</v>
      </c>
      <c r="L436" s="7" t="s">
        <v>28</v>
      </c>
      <c r="M436" s="10">
        <v>2.3719999999999999</v>
      </c>
      <c r="N436" s="7">
        <v>6.8</v>
      </c>
    </row>
    <row r="437" spans="1:14" x14ac:dyDescent="0.25">
      <c r="A437" s="7" t="s">
        <v>466</v>
      </c>
      <c r="B437" s="7" t="s">
        <v>20</v>
      </c>
      <c r="C437" s="7" t="s">
        <v>21</v>
      </c>
      <c r="D437" s="7" t="s">
        <v>22</v>
      </c>
      <c r="E437" s="7" t="s">
        <v>26</v>
      </c>
      <c r="F437" s="7" t="s">
        <v>31</v>
      </c>
      <c r="G437" s="7" t="str">
        <f t="shared" si="19"/>
        <v>Wednesday</v>
      </c>
      <c r="H437" s="7" t="str">
        <f t="shared" si="20"/>
        <v>Mar</v>
      </c>
      <c r="I437" s="8">
        <v>43543</v>
      </c>
      <c r="J437" s="8" t="str">
        <f t="shared" si="18"/>
        <v>Evening</v>
      </c>
      <c r="K437" s="9">
        <v>0.79791666666666661</v>
      </c>
      <c r="L437" s="7" t="s">
        <v>18</v>
      </c>
      <c r="M437" s="10">
        <v>44.658000000000001</v>
      </c>
      <c r="N437" s="7">
        <v>9</v>
      </c>
    </row>
    <row r="438" spans="1:14" x14ac:dyDescent="0.25">
      <c r="A438" s="7" t="s">
        <v>467</v>
      </c>
      <c r="B438" s="7" t="s">
        <v>20</v>
      </c>
      <c r="C438" s="7" t="s">
        <v>21</v>
      </c>
      <c r="D438" s="7" t="s">
        <v>15</v>
      </c>
      <c r="E438" s="7" t="s">
        <v>26</v>
      </c>
      <c r="F438" s="7" t="s">
        <v>31</v>
      </c>
      <c r="G438" s="7" t="str">
        <f t="shared" si="19"/>
        <v>Tuesday</v>
      </c>
      <c r="H438" s="7" t="str">
        <f t="shared" si="20"/>
        <v>Jan</v>
      </c>
      <c r="I438" s="8">
        <v>43485</v>
      </c>
      <c r="J438" s="8" t="str">
        <f t="shared" si="18"/>
        <v>Evening</v>
      </c>
      <c r="K438" s="9">
        <v>0.70208333333333339</v>
      </c>
      <c r="L438" s="7" t="s">
        <v>18</v>
      </c>
      <c r="M438" s="10">
        <v>16.585999999999999</v>
      </c>
      <c r="N438" s="7">
        <v>9.6</v>
      </c>
    </row>
    <row r="439" spans="1:14" x14ac:dyDescent="0.25">
      <c r="A439" s="7" t="s">
        <v>468</v>
      </c>
      <c r="B439" s="7" t="s">
        <v>13</v>
      </c>
      <c r="C439" s="7" t="s">
        <v>14</v>
      </c>
      <c r="D439" s="7" t="s">
        <v>22</v>
      </c>
      <c r="E439" s="7" t="s">
        <v>26</v>
      </c>
      <c r="F439" s="7" t="s">
        <v>27</v>
      </c>
      <c r="G439" s="7" t="str">
        <f t="shared" si="19"/>
        <v>Monday</v>
      </c>
      <c r="H439" s="7" t="str">
        <f t="shared" si="20"/>
        <v>Mar</v>
      </c>
      <c r="I439" s="8">
        <v>43532</v>
      </c>
      <c r="J439" s="8" t="str">
        <f t="shared" si="18"/>
        <v>Afternoon</v>
      </c>
      <c r="K439" s="9">
        <v>0.65069444444444446</v>
      </c>
      <c r="L439" s="7" t="s">
        <v>28</v>
      </c>
      <c r="M439" s="10">
        <v>10.196999999999999</v>
      </c>
      <c r="N439" s="7">
        <v>7.7</v>
      </c>
    </row>
    <row r="440" spans="1:14" x14ac:dyDescent="0.25">
      <c r="A440" s="7" t="s">
        <v>469</v>
      </c>
      <c r="B440" s="7" t="s">
        <v>20</v>
      </c>
      <c r="C440" s="7" t="s">
        <v>21</v>
      </c>
      <c r="D440" s="7" t="s">
        <v>15</v>
      </c>
      <c r="E440" s="7" t="s">
        <v>26</v>
      </c>
      <c r="F440" s="7" t="s">
        <v>39</v>
      </c>
      <c r="G440" s="7" t="str">
        <f t="shared" si="19"/>
        <v>Monday</v>
      </c>
      <c r="H440" s="7" t="str">
        <f t="shared" si="20"/>
        <v>Mar</v>
      </c>
      <c r="I440" s="8">
        <v>43532</v>
      </c>
      <c r="J440" s="8" t="str">
        <f t="shared" si="18"/>
        <v>Evening</v>
      </c>
      <c r="K440" s="9">
        <v>0.84375</v>
      </c>
      <c r="L440" s="7" t="s">
        <v>18</v>
      </c>
      <c r="M440" s="10">
        <v>3.4079999999999999</v>
      </c>
      <c r="N440" s="7">
        <v>7</v>
      </c>
    </row>
    <row r="441" spans="1:14" x14ac:dyDescent="0.25">
      <c r="A441" s="7" t="s">
        <v>470</v>
      </c>
      <c r="B441" s="7" t="s">
        <v>20</v>
      </c>
      <c r="C441" s="7" t="s">
        <v>21</v>
      </c>
      <c r="D441" s="7" t="s">
        <v>22</v>
      </c>
      <c r="E441" s="7" t="s">
        <v>16</v>
      </c>
      <c r="F441" s="7" t="s">
        <v>23</v>
      </c>
      <c r="G441" s="7" t="str">
        <f t="shared" si="19"/>
        <v>Thursday</v>
      </c>
      <c r="H441" s="7" t="str">
        <f t="shared" si="20"/>
        <v>Feb</v>
      </c>
      <c r="I441" s="8">
        <v>43503</v>
      </c>
      <c r="J441" s="8" t="str">
        <f t="shared" si="18"/>
        <v>Afternoon</v>
      </c>
      <c r="K441" s="9">
        <v>0.60972222222222217</v>
      </c>
      <c r="L441" s="7" t="s">
        <v>28</v>
      </c>
      <c r="M441" s="10">
        <v>16.344000000000001</v>
      </c>
      <c r="N441" s="7">
        <v>6.5</v>
      </c>
    </row>
    <row r="442" spans="1:14" x14ac:dyDescent="0.25">
      <c r="A442" s="7" t="s">
        <v>471</v>
      </c>
      <c r="B442" s="7" t="s">
        <v>20</v>
      </c>
      <c r="C442" s="7" t="s">
        <v>21</v>
      </c>
      <c r="D442" s="7" t="s">
        <v>15</v>
      </c>
      <c r="E442" s="7" t="s">
        <v>26</v>
      </c>
      <c r="F442" s="7" t="s">
        <v>39</v>
      </c>
      <c r="G442" s="7" t="str">
        <f t="shared" si="19"/>
        <v>Monday</v>
      </c>
      <c r="H442" s="7" t="str">
        <f t="shared" si="20"/>
        <v>Jan</v>
      </c>
      <c r="I442" s="8">
        <v>43480</v>
      </c>
      <c r="J442" s="8" t="str">
        <f t="shared" si="18"/>
        <v>Evening</v>
      </c>
      <c r="K442" s="9">
        <v>0.80902777777777779</v>
      </c>
      <c r="L442" s="7" t="s">
        <v>24</v>
      </c>
      <c r="M442" s="10">
        <v>4.3600000000000003</v>
      </c>
      <c r="N442" s="7">
        <v>8.1</v>
      </c>
    </row>
    <row r="443" spans="1:14" x14ac:dyDescent="0.25">
      <c r="A443" s="7" t="s">
        <v>472</v>
      </c>
      <c r="B443" s="7" t="s">
        <v>37</v>
      </c>
      <c r="C443" s="7" t="s">
        <v>38</v>
      </c>
      <c r="D443" s="7" t="s">
        <v>15</v>
      </c>
      <c r="E443" s="7" t="s">
        <v>16</v>
      </c>
      <c r="F443" s="7" t="s">
        <v>31</v>
      </c>
      <c r="G443" s="7" t="str">
        <f t="shared" si="19"/>
        <v>Wednesday</v>
      </c>
      <c r="H443" s="7" t="str">
        <f t="shared" si="20"/>
        <v>Mar</v>
      </c>
      <c r="I443" s="8">
        <v>43546</v>
      </c>
      <c r="J443" s="8" t="str">
        <f t="shared" si="18"/>
        <v>Evening</v>
      </c>
      <c r="K443" s="9">
        <v>0.81597222222222221</v>
      </c>
      <c r="L443" s="7" t="s">
        <v>28</v>
      </c>
      <c r="M443" s="10">
        <v>35.372</v>
      </c>
      <c r="N443" s="7">
        <v>4.3</v>
      </c>
    </row>
    <row r="444" spans="1:14" x14ac:dyDescent="0.25">
      <c r="A444" s="7" t="s">
        <v>473</v>
      </c>
      <c r="B444" s="7" t="s">
        <v>13</v>
      </c>
      <c r="C444" s="7" t="s">
        <v>14</v>
      </c>
      <c r="D444" s="7" t="s">
        <v>15</v>
      </c>
      <c r="E444" s="7" t="s">
        <v>16</v>
      </c>
      <c r="F444" s="7" t="s">
        <v>27</v>
      </c>
      <c r="G444" s="7" t="str">
        <f t="shared" si="19"/>
        <v>Monday</v>
      </c>
      <c r="H444" s="7" t="str">
        <f t="shared" si="20"/>
        <v>Jan</v>
      </c>
      <c r="I444" s="8">
        <v>43480</v>
      </c>
      <c r="J444" s="8" t="str">
        <f t="shared" si="18"/>
        <v>Afternoon</v>
      </c>
      <c r="K444" s="9">
        <v>0.65416666666666667</v>
      </c>
      <c r="L444" s="7" t="s">
        <v>28</v>
      </c>
      <c r="M444" s="10">
        <v>40.144500000000001</v>
      </c>
      <c r="N444" s="7">
        <v>6.5</v>
      </c>
    </row>
    <row r="445" spans="1:14" x14ac:dyDescent="0.25">
      <c r="A445" s="7" t="s">
        <v>474</v>
      </c>
      <c r="B445" s="7" t="s">
        <v>20</v>
      </c>
      <c r="C445" s="7" t="s">
        <v>21</v>
      </c>
      <c r="D445" s="7" t="s">
        <v>22</v>
      </c>
      <c r="E445" s="7" t="s">
        <v>26</v>
      </c>
      <c r="F445" s="7" t="s">
        <v>41</v>
      </c>
      <c r="G445" s="7" t="str">
        <f t="shared" si="19"/>
        <v>Sunday</v>
      </c>
      <c r="H445" s="7" t="str">
        <f t="shared" si="20"/>
        <v>Jan</v>
      </c>
      <c r="I445" s="8">
        <v>43473</v>
      </c>
      <c r="J445" s="8" t="str">
        <f t="shared" si="18"/>
        <v>Afternoon</v>
      </c>
      <c r="K445" s="9">
        <v>0.59097222222222223</v>
      </c>
      <c r="L445" s="7" t="s">
        <v>18</v>
      </c>
      <c r="M445" s="10">
        <v>0.63900000000000001</v>
      </c>
      <c r="N445" s="7">
        <v>9.5</v>
      </c>
    </row>
    <row r="446" spans="1:14" x14ac:dyDescent="0.25">
      <c r="A446" s="7" t="s">
        <v>475</v>
      </c>
      <c r="B446" s="7" t="s">
        <v>13</v>
      </c>
      <c r="C446" s="7" t="s">
        <v>14</v>
      </c>
      <c r="D446" s="7" t="s">
        <v>22</v>
      </c>
      <c r="E446" s="7" t="s">
        <v>16</v>
      </c>
      <c r="F446" s="7" t="s">
        <v>31</v>
      </c>
      <c r="G446" s="7" t="str">
        <f t="shared" si="19"/>
        <v>Monday</v>
      </c>
      <c r="H446" s="7" t="str">
        <f t="shared" si="20"/>
        <v>Jan</v>
      </c>
      <c r="I446" s="8">
        <v>43480</v>
      </c>
      <c r="J446" s="8" t="str">
        <f t="shared" si="18"/>
        <v>Morning</v>
      </c>
      <c r="K446" s="9">
        <v>0.4465277777777778</v>
      </c>
      <c r="L446" s="7" t="s">
        <v>24</v>
      </c>
      <c r="M446" s="10">
        <v>6.6849999999999996</v>
      </c>
      <c r="N446" s="7">
        <v>9.6999999999999993</v>
      </c>
    </row>
    <row r="447" spans="1:14" x14ac:dyDescent="0.25">
      <c r="A447" s="7" t="s">
        <v>476</v>
      </c>
      <c r="B447" s="7" t="s">
        <v>37</v>
      </c>
      <c r="C447" s="7" t="s">
        <v>38</v>
      </c>
      <c r="D447" s="7" t="s">
        <v>15</v>
      </c>
      <c r="E447" s="7" t="s">
        <v>16</v>
      </c>
      <c r="F447" s="7" t="s">
        <v>17</v>
      </c>
      <c r="G447" s="7" t="str">
        <f t="shared" si="19"/>
        <v>Wednesday</v>
      </c>
      <c r="H447" s="7" t="str">
        <f t="shared" si="20"/>
        <v>Jan</v>
      </c>
      <c r="I447" s="8">
        <v>43493</v>
      </c>
      <c r="J447" s="8" t="str">
        <f t="shared" si="18"/>
        <v>Evening</v>
      </c>
      <c r="K447" s="9">
        <v>0.74861111111111101</v>
      </c>
      <c r="L447" s="7" t="s">
        <v>28</v>
      </c>
      <c r="M447" s="10">
        <v>0.95750000000000002</v>
      </c>
      <c r="N447" s="7">
        <v>9.5</v>
      </c>
    </row>
    <row r="448" spans="1:14" x14ac:dyDescent="0.25">
      <c r="A448" s="7" t="s">
        <v>477</v>
      </c>
      <c r="B448" s="7" t="s">
        <v>20</v>
      </c>
      <c r="C448" s="7" t="s">
        <v>21</v>
      </c>
      <c r="D448" s="7" t="s">
        <v>15</v>
      </c>
      <c r="E448" s="7" t="s">
        <v>26</v>
      </c>
      <c r="F448" s="7" t="s">
        <v>39</v>
      </c>
      <c r="G448" s="7" t="str">
        <f t="shared" si="19"/>
        <v>Friday</v>
      </c>
      <c r="H448" s="7" t="str">
        <f t="shared" si="20"/>
        <v>Feb</v>
      </c>
      <c r="I448" s="8">
        <v>43510</v>
      </c>
      <c r="J448" s="8" t="str">
        <f t="shared" si="18"/>
        <v>Morning</v>
      </c>
      <c r="K448" s="9">
        <v>0.47638888888888892</v>
      </c>
      <c r="L448" s="7" t="s">
        <v>28</v>
      </c>
      <c r="M448" s="10">
        <v>13.83</v>
      </c>
      <c r="N448" s="7">
        <v>8.9</v>
      </c>
    </row>
    <row r="449" spans="1:14" x14ac:dyDescent="0.25">
      <c r="A449" s="7" t="s">
        <v>478</v>
      </c>
      <c r="B449" s="7" t="s">
        <v>20</v>
      </c>
      <c r="C449" s="7" t="s">
        <v>21</v>
      </c>
      <c r="D449" s="7" t="s">
        <v>22</v>
      </c>
      <c r="E449" s="7" t="s">
        <v>26</v>
      </c>
      <c r="F449" s="7" t="s">
        <v>41</v>
      </c>
      <c r="G449" s="7" t="str">
        <f t="shared" si="19"/>
        <v>Tuesday</v>
      </c>
      <c r="H449" s="7" t="str">
        <f t="shared" si="20"/>
        <v>Mar</v>
      </c>
      <c r="I449" s="8">
        <v>43534</v>
      </c>
      <c r="J449" s="8" t="str">
        <f t="shared" si="18"/>
        <v>Evening</v>
      </c>
      <c r="K449" s="9">
        <v>0.73472222222222217</v>
      </c>
      <c r="L449" s="7" t="s">
        <v>28</v>
      </c>
      <c r="M449" s="10">
        <v>6.8609999999999998</v>
      </c>
      <c r="N449" s="7">
        <v>6.5</v>
      </c>
    </row>
    <row r="450" spans="1:14" x14ac:dyDescent="0.25">
      <c r="A450" s="7" t="s">
        <v>479</v>
      </c>
      <c r="B450" s="7" t="s">
        <v>37</v>
      </c>
      <c r="C450" s="7" t="s">
        <v>38</v>
      </c>
      <c r="D450" s="7" t="s">
        <v>15</v>
      </c>
      <c r="E450" s="7" t="s">
        <v>16</v>
      </c>
      <c r="F450" s="7" t="s">
        <v>17</v>
      </c>
      <c r="G450" s="7" t="str">
        <f t="shared" si="19"/>
        <v>Monday</v>
      </c>
      <c r="H450" s="7" t="str">
        <f t="shared" si="20"/>
        <v>Jan</v>
      </c>
      <c r="I450" s="8">
        <v>43477</v>
      </c>
      <c r="J450" s="8" t="str">
        <f t="shared" ref="J450:J513" si="21">IF(AND(K450&gt;=TIME(9,0,0),K450&lt;TIME(12,0,0)),"Morning",IF(AND(K450&gt;=TIME(12,0,0),K450&lt;TIME(16,0,0)),"Afternoon","Evening"))</f>
        <v>Evening</v>
      </c>
      <c r="K450" s="9">
        <v>0.83819444444444446</v>
      </c>
      <c r="L450" s="7" t="s">
        <v>28</v>
      </c>
      <c r="M450" s="10">
        <v>1.3534999999999999</v>
      </c>
      <c r="N450" s="7">
        <v>5.3</v>
      </c>
    </row>
    <row r="451" spans="1:14" x14ac:dyDescent="0.25">
      <c r="A451" s="7" t="s">
        <v>480</v>
      </c>
      <c r="B451" s="7" t="s">
        <v>37</v>
      </c>
      <c r="C451" s="7" t="s">
        <v>38</v>
      </c>
      <c r="D451" s="7" t="s">
        <v>15</v>
      </c>
      <c r="E451" s="7" t="s">
        <v>16</v>
      </c>
      <c r="F451" s="7" t="s">
        <v>31</v>
      </c>
      <c r="G451" s="7" t="str">
        <f t="shared" ref="G451:G514" si="22">TEXT(I451/7,"dddd")</f>
        <v>Thursday</v>
      </c>
      <c r="H451" s="7" t="str">
        <f t="shared" ref="H451:H514" si="23">TEXT(I451,"mmm")</f>
        <v>Mar</v>
      </c>
      <c r="I451" s="8">
        <v>43550</v>
      </c>
      <c r="J451" s="8" t="str">
        <f t="shared" si="21"/>
        <v>Morning</v>
      </c>
      <c r="K451" s="9">
        <v>0.4597222222222222</v>
      </c>
      <c r="L451" s="7" t="s">
        <v>28</v>
      </c>
      <c r="M451" s="10">
        <v>1.956</v>
      </c>
      <c r="N451" s="7">
        <v>9.6</v>
      </c>
    </row>
    <row r="452" spans="1:14" x14ac:dyDescent="0.25">
      <c r="A452" s="7" t="s">
        <v>481</v>
      </c>
      <c r="B452" s="7" t="s">
        <v>37</v>
      </c>
      <c r="C452" s="7" t="s">
        <v>38</v>
      </c>
      <c r="D452" s="7" t="s">
        <v>22</v>
      </c>
      <c r="E452" s="7" t="s">
        <v>16</v>
      </c>
      <c r="F452" s="7" t="s">
        <v>23</v>
      </c>
      <c r="G452" s="7" t="str">
        <f t="shared" si="22"/>
        <v>Saturday</v>
      </c>
      <c r="H452" s="7" t="str">
        <f t="shared" si="23"/>
        <v>Jan</v>
      </c>
      <c r="I452" s="8">
        <v>43466</v>
      </c>
      <c r="J452" s="8" t="str">
        <f t="shared" si="21"/>
        <v>Evening</v>
      </c>
      <c r="K452" s="9">
        <v>0.79652777777777783</v>
      </c>
      <c r="L452" s="7" t="s">
        <v>24</v>
      </c>
      <c r="M452" s="10">
        <v>22.413</v>
      </c>
      <c r="N452" s="7">
        <v>6.7</v>
      </c>
    </row>
    <row r="453" spans="1:14" x14ac:dyDescent="0.25">
      <c r="A453" s="7" t="s">
        <v>482</v>
      </c>
      <c r="B453" s="7" t="s">
        <v>37</v>
      </c>
      <c r="C453" s="7" t="s">
        <v>38</v>
      </c>
      <c r="D453" s="7" t="s">
        <v>22</v>
      </c>
      <c r="E453" s="7" t="s">
        <v>26</v>
      </c>
      <c r="F453" s="7" t="s">
        <v>23</v>
      </c>
      <c r="G453" s="7" t="str">
        <f t="shared" si="22"/>
        <v>Saturday</v>
      </c>
      <c r="H453" s="7" t="str">
        <f t="shared" si="23"/>
        <v>Jan</v>
      </c>
      <c r="I453" s="8">
        <v>43467</v>
      </c>
      <c r="J453" s="8" t="str">
        <f t="shared" si="21"/>
        <v>Evening</v>
      </c>
      <c r="K453" s="9">
        <v>0.78472222222222221</v>
      </c>
      <c r="L453" s="7" t="s">
        <v>24</v>
      </c>
      <c r="M453" s="10">
        <v>6.6029999999999998</v>
      </c>
      <c r="N453" s="7">
        <v>7.6</v>
      </c>
    </row>
    <row r="454" spans="1:14" x14ac:dyDescent="0.25">
      <c r="A454" s="7" t="s">
        <v>483</v>
      </c>
      <c r="B454" s="7" t="s">
        <v>13</v>
      </c>
      <c r="C454" s="7" t="s">
        <v>14</v>
      </c>
      <c r="D454" s="7" t="s">
        <v>22</v>
      </c>
      <c r="E454" s="7" t="s">
        <v>16</v>
      </c>
      <c r="F454" s="7" t="s">
        <v>39</v>
      </c>
      <c r="G454" s="7" t="str">
        <f t="shared" si="22"/>
        <v>Wednesday</v>
      </c>
      <c r="H454" s="7" t="str">
        <f t="shared" si="23"/>
        <v>Mar</v>
      </c>
      <c r="I454" s="8">
        <v>43540</v>
      </c>
      <c r="J454" s="8" t="str">
        <f t="shared" si="21"/>
        <v>Afternoon</v>
      </c>
      <c r="K454" s="9">
        <v>0.52986111111111112</v>
      </c>
      <c r="L454" s="7" t="s">
        <v>18</v>
      </c>
      <c r="M454" s="10">
        <v>15.9025</v>
      </c>
      <c r="N454" s="7">
        <v>4.8</v>
      </c>
    </row>
    <row r="455" spans="1:14" x14ac:dyDescent="0.25">
      <c r="A455" s="7" t="s">
        <v>484</v>
      </c>
      <c r="B455" s="7" t="s">
        <v>13</v>
      </c>
      <c r="C455" s="7" t="s">
        <v>14</v>
      </c>
      <c r="D455" s="7" t="s">
        <v>22</v>
      </c>
      <c r="E455" s="7" t="s">
        <v>26</v>
      </c>
      <c r="F455" s="7" t="s">
        <v>17</v>
      </c>
      <c r="G455" s="7" t="str">
        <f t="shared" si="22"/>
        <v>Monday</v>
      </c>
      <c r="H455" s="7" t="str">
        <f t="shared" si="23"/>
        <v>Mar</v>
      </c>
      <c r="I455" s="8">
        <v>43527</v>
      </c>
      <c r="J455" s="8" t="str">
        <f t="shared" si="21"/>
        <v>Afternoon</v>
      </c>
      <c r="K455" s="9">
        <v>0.63124999999999998</v>
      </c>
      <c r="L455" s="7" t="s">
        <v>18</v>
      </c>
      <c r="M455" s="10">
        <v>1.25</v>
      </c>
      <c r="N455" s="7">
        <v>5.5</v>
      </c>
    </row>
    <row r="456" spans="1:14" x14ac:dyDescent="0.25">
      <c r="A456" s="7" t="s">
        <v>485</v>
      </c>
      <c r="B456" s="7" t="s">
        <v>13</v>
      </c>
      <c r="C456" s="7" t="s">
        <v>14</v>
      </c>
      <c r="D456" s="7" t="s">
        <v>15</v>
      </c>
      <c r="E456" s="7" t="s">
        <v>26</v>
      </c>
      <c r="F456" s="7" t="s">
        <v>23</v>
      </c>
      <c r="G456" s="7" t="str">
        <f t="shared" si="22"/>
        <v>Wednesday</v>
      </c>
      <c r="H456" s="7" t="str">
        <f t="shared" si="23"/>
        <v>Jan</v>
      </c>
      <c r="I456" s="8">
        <v>43496</v>
      </c>
      <c r="J456" s="8" t="str">
        <f t="shared" si="21"/>
        <v>Afternoon</v>
      </c>
      <c r="K456" s="9">
        <v>0.57430555555555551</v>
      </c>
      <c r="L456" s="7" t="s">
        <v>24</v>
      </c>
      <c r="M456" s="10">
        <v>4.1539999999999999</v>
      </c>
      <c r="N456" s="7">
        <v>4.7</v>
      </c>
    </row>
    <row r="457" spans="1:14" x14ac:dyDescent="0.25">
      <c r="A457" s="7" t="s">
        <v>486</v>
      </c>
      <c r="B457" s="7" t="s">
        <v>37</v>
      </c>
      <c r="C457" s="7" t="s">
        <v>38</v>
      </c>
      <c r="D457" s="7" t="s">
        <v>15</v>
      </c>
      <c r="E457" s="7" t="s">
        <v>16</v>
      </c>
      <c r="F457" s="7" t="s">
        <v>41</v>
      </c>
      <c r="G457" s="7" t="str">
        <f t="shared" si="22"/>
        <v>Friday</v>
      </c>
      <c r="H457" s="7" t="str">
        <f t="shared" si="23"/>
        <v>Feb</v>
      </c>
      <c r="I457" s="8">
        <v>43509</v>
      </c>
      <c r="J457" s="8" t="str">
        <f t="shared" si="21"/>
        <v>Evening</v>
      </c>
      <c r="K457" s="9">
        <v>0.70763888888888893</v>
      </c>
      <c r="L457" s="7" t="s">
        <v>24</v>
      </c>
      <c r="M457" s="10">
        <v>7.39</v>
      </c>
      <c r="N457" s="7">
        <v>6.9</v>
      </c>
    </row>
    <row r="458" spans="1:14" x14ac:dyDescent="0.25">
      <c r="A458" s="7" t="s">
        <v>487</v>
      </c>
      <c r="B458" s="7" t="s">
        <v>37</v>
      </c>
      <c r="C458" s="7" t="s">
        <v>38</v>
      </c>
      <c r="D458" s="7" t="s">
        <v>15</v>
      </c>
      <c r="E458" s="7" t="s">
        <v>16</v>
      </c>
      <c r="F458" s="7" t="s">
        <v>39</v>
      </c>
      <c r="G458" s="7" t="str">
        <f t="shared" si="22"/>
        <v>Friday</v>
      </c>
      <c r="H458" s="7" t="str">
        <f t="shared" si="23"/>
        <v>Feb</v>
      </c>
      <c r="I458" s="8">
        <v>43511</v>
      </c>
      <c r="J458" s="8" t="str">
        <f t="shared" si="21"/>
        <v>Afternoon</v>
      </c>
      <c r="K458" s="9">
        <v>0.59375</v>
      </c>
      <c r="L458" s="7" t="s">
        <v>28</v>
      </c>
      <c r="M458" s="10">
        <v>34.83</v>
      </c>
      <c r="N458" s="7">
        <v>4.5</v>
      </c>
    </row>
    <row r="459" spans="1:14" x14ac:dyDescent="0.25">
      <c r="A459" s="7" t="s">
        <v>488</v>
      </c>
      <c r="B459" s="7" t="s">
        <v>37</v>
      </c>
      <c r="C459" s="7" t="s">
        <v>38</v>
      </c>
      <c r="D459" s="7" t="s">
        <v>22</v>
      </c>
      <c r="E459" s="7" t="s">
        <v>26</v>
      </c>
      <c r="F459" s="7" t="s">
        <v>23</v>
      </c>
      <c r="G459" s="7" t="str">
        <f t="shared" si="22"/>
        <v>Thursday</v>
      </c>
      <c r="H459" s="7" t="str">
        <f t="shared" si="23"/>
        <v>Feb</v>
      </c>
      <c r="I459" s="8">
        <v>43503</v>
      </c>
      <c r="J459" s="8" t="str">
        <f t="shared" si="21"/>
        <v>Evening</v>
      </c>
      <c r="K459" s="9">
        <v>0.85</v>
      </c>
      <c r="L459" s="7" t="s">
        <v>24</v>
      </c>
      <c r="M459" s="10">
        <v>39.695</v>
      </c>
      <c r="N459" s="7">
        <v>6.2</v>
      </c>
    </row>
    <row r="460" spans="1:14" x14ac:dyDescent="0.25">
      <c r="A460" s="7" t="s">
        <v>489</v>
      </c>
      <c r="B460" s="7" t="s">
        <v>20</v>
      </c>
      <c r="C460" s="7" t="s">
        <v>21</v>
      </c>
      <c r="D460" s="7" t="s">
        <v>15</v>
      </c>
      <c r="E460" s="7" t="s">
        <v>16</v>
      </c>
      <c r="F460" s="7" t="s">
        <v>23</v>
      </c>
      <c r="G460" s="7" t="str">
        <f t="shared" si="22"/>
        <v>Wednesday</v>
      </c>
      <c r="H460" s="7" t="str">
        <f t="shared" si="23"/>
        <v>Jan</v>
      </c>
      <c r="I460" s="8">
        <v>43492</v>
      </c>
      <c r="J460" s="8" t="str">
        <f t="shared" si="21"/>
        <v>Afternoon</v>
      </c>
      <c r="K460" s="9">
        <v>0.58194444444444449</v>
      </c>
      <c r="L460" s="7" t="s">
        <v>24</v>
      </c>
      <c r="M460" s="10">
        <v>23.285</v>
      </c>
      <c r="N460" s="7">
        <v>7.6</v>
      </c>
    </row>
    <row r="461" spans="1:14" x14ac:dyDescent="0.25">
      <c r="A461" s="7" t="s">
        <v>490</v>
      </c>
      <c r="B461" s="7" t="s">
        <v>20</v>
      </c>
      <c r="C461" s="7" t="s">
        <v>21</v>
      </c>
      <c r="D461" s="7" t="s">
        <v>22</v>
      </c>
      <c r="E461" s="7" t="s">
        <v>26</v>
      </c>
      <c r="F461" s="7" t="s">
        <v>39</v>
      </c>
      <c r="G461" s="7" t="str">
        <f t="shared" si="22"/>
        <v>Sunday</v>
      </c>
      <c r="H461" s="7" t="str">
        <f t="shared" si="23"/>
        <v>Feb</v>
      </c>
      <c r="I461" s="8">
        <v>43519</v>
      </c>
      <c r="J461" s="8" t="str">
        <f t="shared" si="21"/>
        <v>Evening</v>
      </c>
      <c r="K461" s="9">
        <v>0.70277777777777783</v>
      </c>
      <c r="L461" s="7" t="s">
        <v>28</v>
      </c>
      <c r="M461" s="10">
        <v>1.7945</v>
      </c>
      <c r="N461" s="7">
        <v>7.9</v>
      </c>
    </row>
    <row r="462" spans="1:14" x14ac:dyDescent="0.25">
      <c r="A462" s="7" t="s">
        <v>491</v>
      </c>
      <c r="B462" s="7" t="s">
        <v>20</v>
      </c>
      <c r="C462" s="7" t="s">
        <v>21</v>
      </c>
      <c r="D462" s="7" t="s">
        <v>22</v>
      </c>
      <c r="E462" s="7" t="s">
        <v>26</v>
      </c>
      <c r="F462" s="7" t="s">
        <v>39</v>
      </c>
      <c r="G462" s="7" t="str">
        <f t="shared" si="22"/>
        <v>Thursday</v>
      </c>
      <c r="H462" s="7" t="str">
        <f t="shared" si="23"/>
        <v>Feb</v>
      </c>
      <c r="I462" s="8">
        <v>43499</v>
      </c>
      <c r="J462" s="8" t="str">
        <f t="shared" si="21"/>
        <v>Afternoon</v>
      </c>
      <c r="K462" s="9">
        <v>0.6381944444444444</v>
      </c>
      <c r="L462" s="7" t="s">
        <v>24</v>
      </c>
      <c r="M462" s="10">
        <v>10.130000000000001</v>
      </c>
      <c r="N462" s="7">
        <v>4.5</v>
      </c>
    </row>
    <row r="463" spans="1:14" x14ac:dyDescent="0.25">
      <c r="A463" s="7" t="s">
        <v>492</v>
      </c>
      <c r="B463" s="7" t="s">
        <v>37</v>
      </c>
      <c r="C463" s="7" t="s">
        <v>38</v>
      </c>
      <c r="D463" s="7" t="s">
        <v>15</v>
      </c>
      <c r="E463" s="7" t="s">
        <v>16</v>
      </c>
      <c r="F463" s="7" t="s">
        <v>39</v>
      </c>
      <c r="G463" s="7" t="str">
        <f t="shared" si="22"/>
        <v>Monday</v>
      </c>
      <c r="H463" s="7" t="str">
        <f t="shared" si="23"/>
        <v>Mar</v>
      </c>
      <c r="I463" s="8">
        <v>43527</v>
      </c>
      <c r="J463" s="8" t="str">
        <f t="shared" si="21"/>
        <v>Afternoon</v>
      </c>
      <c r="K463" s="9">
        <v>0.51736111111111105</v>
      </c>
      <c r="L463" s="7" t="s">
        <v>28</v>
      </c>
      <c r="M463" s="10">
        <v>36.524999999999999</v>
      </c>
      <c r="N463" s="7">
        <v>8.6999999999999993</v>
      </c>
    </row>
    <row r="464" spans="1:14" x14ac:dyDescent="0.25">
      <c r="A464" s="7" t="s">
        <v>493</v>
      </c>
      <c r="B464" s="7" t="s">
        <v>20</v>
      </c>
      <c r="C464" s="7" t="s">
        <v>21</v>
      </c>
      <c r="D464" s="7" t="s">
        <v>22</v>
      </c>
      <c r="E464" s="7" t="s">
        <v>16</v>
      </c>
      <c r="F464" s="7" t="s">
        <v>31</v>
      </c>
      <c r="G464" s="7" t="str">
        <f t="shared" si="22"/>
        <v>Thursday</v>
      </c>
      <c r="H464" s="7" t="str">
        <f t="shared" si="23"/>
        <v>Feb</v>
      </c>
      <c r="I464" s="8">
        <v>43499</v>
      </c>
      <c r="J464" s="8" t="str">
        <f t="shared" si="21"/>
        <v>Morning</v>
      </c>
      <c r="K464" s="9">
        <v>0.41805555555555557</v>
      </c>
      <c r="L464" s="7" t="s">
        <v>24</v>
      </c>
      <c r="M464" s="10">
        <v>14.79</v>
      </c>
      <c r="N464" s="7">
        <v>6.1</v>
      </c>
    </row>
    <row r="465" spans="1:14" x14ac:dyDescent="0.25">
      <c r="A465" s="7" t="s">
        <v>494</v>
      </c>
      <c r="B465" s="7" t="s">
        <v>20</v>
      </c>
      <c r="C465" s="7" t="s">
        <v>21</v>
      </c>
      <c r="D465" s="7" t="s">
        <v>15</v>
      </c>
      <c r="E465" s="7" t="s">
        <v>16</v>
      </c>
      <c r="F465" s="7" t="s">
        <v>39</v>
      </c>
      <c r="G465" s="7" t="str">
        <f t="shared" si="22"/>
        <v>Wednesday</v>
      </c>
      <c r="H465" s="7" t="str">
        <f t="shared" si="23"/>
        <v>Mar</v>
      </c>
      <c r="I465" s="8">
        <v>43541</v>
      </c>
      <c r="J465" s="8" t="str">
        <f t="shared" si="21"/>
        <v>Evening</v>
      </c>
      <c r="K465" s="9">
        <v>0.79027777777777775</v>
      </c>
      <c r="L465" s="7" t="s">
        <v>24</v>
      </c>
      <c r="M465" s="10">
        <v>1.131</v>
      </c>
      <c r="N465" s="7">
        <v>6.4</v>
      </c>
    </row>
    <row r="466" spans="1:14" x14ac:dyDescent="0.25">
      <c r="A466" s="7" t="s">
        <v>495</v>
      </c>
      <c r="B466" s="7" t="s">
        <v>13</v>
      </c>
      <c r="C466" s="7" t="s">
        <v>14</v>
      </c>
      <c r="D466" s="7" t="s">
        <v>15</v>
      </c>
      <c r="E466" s="7" t="s">
        <v>26</v>
      </c>
      <c r="F466" s="7" t="s">
        <v>39</v>
      </c>
      <c r="G466" s="7" t="str">
        <f t="shared" si="22"/>
        <v>Thursday</v>
      </c>
      <c r="H466" s="7" t="str">
        <f t="shared" si="23"/>
        <v>Mar</v>
      </c>
      <c r="I466" s="8">
        <v>43552</v>
      </c>
      <c r="J466" s="8" t="str">
        <f t="shared" si="21"/>
        <v>Afternoon</v>
      </c>
      <c r="K466" s="9">
        <v>0.64652777777777781</v>
      </c>
      <c r="L466" s="7" t="s">
        <v>28</v>
      </c>
      <c r="M466" s="10">
        <v>12.835000000000001</v>
      </c>
      <c r="N466" s="7">
        <v>9.1</v>
      </c>
    </row>
    <row r="467" spans="1:14" x14ac:dyDescent="0.25">
      <c r="A467" s="7" t="s">
        <v>496</v>
      </c>
      <c r="B467" s="7" t="s">
        <v>20</v>
      </c>
      <c r="C467" s="7" t="s">
        <v>21</v>
      </c>
      <c r="D467" s="7" t="s">
        <v>15</v>
      </c>
      <c r="E467" s="7" t="s">
        <v>16</v>
      </c>
      <c r="F467" s="7" t="s">
        <v>31</v>
      </c>
      <c r="G467" s="7" t="str">
        <f t="shared" si="22"/>
        <v>Monday</v>
      </c>
      <c r="H467" s="7" t="str">
        <f t="shared" si="23"/>
        <v>Mar</v>
      </c>
      <c r="I467" s="8">
        <v>43526</v>
      </c>
      <c r="J467" s="8" t="str">
        <f t="shared" si="21"/>
        <v>Morning</v>
      </c>
      <c r="K467" s="9">
        <v>0.47361111111111115</v>
      </c>
      <c r="L467" s="7" t="s">
        <v>28</v>
      </c>
      <c r="M467" s="10">
        <v>27.274999999999999</v>
      </c>
      <c r="N467" s="7">
        <v>7.1</v>
      </c>
    </row>
    <row r="468" spans="1:14" x14ac:dyDescent="0.25">
      <c r="A468" s="7" t="s">
        <v>497</v>
      </c>
      <c r="B468" s="7" t="s">
        <v>20</v>
      </c>
      <c r="C468" s="7" t="s">
        <v>21</v>
      </c>
      <c r="D468" s="7" t="s">
        <v>15</v>
      </c>
      <c r="E468" s="7" t="s">
        <v>16</v>
      </c>
      <c r="F468" s="7" t="s">
        <v>17</v>
      </c>
      <c r="G468" s="7" t="str">
        <f t="shared" si="22"/>
        <v>Thursday</v>
      </c>
      <c r="H468" s="7" t="str">
        <f t="shared" si="23"/>
        <v>Feb</v>
      </c>
      <c r="I468" s="8">
        <v>43504</v>
      </c>
      <c r="J468" s="8" t="str">
        <f t="shared" si="21"/>
        <v>Afternoon</v>
      </c>
      <c r="K468" s="9">
        <v>0.54999999999999993</v>
      </c>
      <c r="L468" s="7" t="s">
        <v>28</v>
      </c>
      <c r="M468" s="10">
        <v>13.0025</v>
      </c>
      <c r="N468" s="7">
        <v>7.7</v>
      </c>
    </row>
    <row r="469" spans="1:14" x14ac:dyDescent="0.25">
      <c r="A469" s="7" t="s">
        <v>498</v>
      </c>
      <c r="B469" s="7" t="s">
        <v>37</v>
      </c>
      <c r="C469" s="7" t="s">
        <v>38</v>
      </c>
      <c r="D469" s="7" t="s">
        <v>22</v>
      </c>
      <c r="E469" s="7" t="s">
        <v>26</v>
      </c>
      <c r="F469" s="7" t="s">
        <v>31</v>
      </c>
      <c r="G469" s="7" t="str">
        <f t="shared" si="22"/>
        <v>Wednesday</v>
      </c>
      <c r="H469" s="7" t="str">
        <f t="shared" si="23"/>
        <v>Mar</v>
      </c>
      <c r="I469" s="8">
        <v>43546</v>
      </c>
      <c r="J469" s="8" t="str">
        <f t="shared" si="21"/>
        <v>Evening</v>
      </c>
      <c r="K469" s="9">
        <v>0.7729166666666667</v>
      </c>
      <c r="L469" s="7" t="s">
        <v>24</v>
      </c>
      <c r="M469" s="10">
        <v>11.106</v>
      </c>
      <c r="N469" s="7">
        <v>4.5</v>
      </c>
    </row>
    <row r="470" spans="1:14" x14ac:dyDescent="0.25">
      <c r="A470" s="7" t="s">
        <v>499</v>
      </c>
      <c r="B470" s="7" t="s">
        <v>20</v>
      </c>
      <c r="C470" s="7" t="s">
        <v>21</v>
      </c>
      <c r="D470" s="7" t="s">
        <v>22</v>
      </c>
      <c r="E470" s="7" t="s">
        <v>26</v>
      </c>
      <c r="F470" s="7" t="s">
        <v>39</v>
      </c>
      <c r="G470" s="7" t="str">
        <f t="shared" si="22"/>
        <v>Friday</v>
      </c>
      <c r="H470" s="7" t="str">
        <f t="shared" si="23"/>
        <v>Feb</v>
      </c>
      <c r="I470" s="8">
        <v>43505</v>
      </c>
      <c r="J470" s="8" t="str">
        <f t="shared" si="21"/>
        <v>Morning</v>
      </c>
      <c r="K470" s="9">
        <v>0.41805555555555557</v>
      </c>
      <c r="L470" s="7" t="s">
        <v>18</v>
      </c>
      <c r="M470" s="10">
        <v>1.079</v>
      </c>
      <c r="N470" s="7">
        <v>7.2</v>
      </c>
    </row>
    <row r="471" spans="1:14" x14ac:dyDescent="0.25">
      <c r="A471" s="7" t="s">
        <v>500</v>
      </c>
      <c r="B471" s="7" t="s">
        <v>20</v>
      </c>
      <c r="C471" s="7" t="s">
        <v>21</v>
      </c>
      <c r="D471" s="7" t="s">
        <v>15</v>
      </c>
      <c r="E471" s="7" t="s">
        <v>16</v>
      </c>
      <c r="F471" s="7" t="s">
        <v>23</v>
      </c>
      <c r="G471" s="7" t="str">
        <f t="shared" si="22"/>
        <v>Friday</v>
      </c>
      <c r="H471" s="7" t="str">
        <f t="shared" si="23"/>
        <v>Feb</v>
      </c>
      <c r="I471" s="8">
        <v>43511</v>
      </c>
      <c r="J471" s="8" t="str">
        <f t="shared" si="21"/>
        <v>Morning</v>
      </c>
      <c r="K471" s="9">
        <v>0.47291666666666665</v>
      </c>
      <c r="L471" s="7" t="s">
        <v>24</v>
      </c>
      <c r="M471" s="10">
        <v>4.9420000000000002</v>
      </c>
      <c r="N471" s="7">
        <v>8.4</v>
      </c>
    </row>
    <row r="472" spans="1:14" x14ac:dyDescent="0.25">
      <c r="A472" s="7" t="s">
        <v>501</v>
      </c>
      <c r="B472" s="7" t="s">
        <v>20</v>
      </c>
      <c r="C472" s="7" t="s">
        <v>21</v>
      </c>
      <c r="D472" s="7" t="s">
        <v>15</v>
      </c>
      <c r="E472" s="7" t="s">
        <v>16</v>
      </c>
      <c r="F472" s="7" t="s">
        <v>27</v>
      </c>
      <c r="G472" s="7" t="str">
        <f t="shared" si="22"/>
        <v>Tuesday</v>
      </c>
      <c r="H472" s="7" t="str">
        <f t="shared" si="23"/>
        <v>Jan</v>
      </c>
      <c r="I472" s="8">
        <v>43488</v>
      </c>
      <c r="J472" s="8" t="str">
        <f t="shared" si="21"/>
        <v>Afternoon</v>
      </c>
      <c r="K472" s="9">
        <v>0.50694444444444442</v>
      </c>
      <c r="L472" s="7" t="s">
        <v>18</v>
      </c>
      <c r="M472" s="10">
        <v>25.131</v>
      </c>
      <c r="N472" s="7">
        <v>5.4</v>
      </c>
    </row>
    <row r="473" spans="1:14" x14ac:dyDescent="0.25">
      <c r="A473" s="7" t="s">
        <v>502</v>
      </c>
      <c r="B473" s="7" t="s">
        <v>13</v>
      </c>
      <c r="C473" s="7" t="s">
        <v>14</v>
      </c>
      <c r="D473" s="7" t="s">
        <v>15</v>
      </c>
      <c r="E473" s="7" t="s">
        <v>16</v>
      </c>
      <c r="F473" s="7" t="s">
        <v>31</v>
      </c>
      <c r="G473" s="7" t="str">
        <f t="shared" si="22"/>
        <v>Tuesday</v>
      </c>
      <c r="H473" s="7" t="str">
        <f t="shared" si="23"/>
        <v>Jan</v>
      </c>
      <c r="I473" s="8">
        <v>43490</v>
      </c>
      <c r="J473" s="8" t="str">
        <f t="shared" si="21"/>
        <v>Morning</v>
      </c>
      <c r="K473" s="9">
        <v>0.4861111111111111</v>
      </c>
      <c r="L473" s="7" t="s">
        <v>24</v>
      </c>
      <c r="M473" s="10">
        <v>8.01</v>
      </c>
      <c r="N473" s="7">
        <v>9.6999999999999993</v>
      </c>
    </row>
    <row r="474" spans="1:14" x14ac:dyDescent="0.25">
      <c r="A474" s="7" t="s">
        <v>503</v>
      </c>
      <c r="B474" s="7" t="s">
        <v>13</v>
      </c>
      <c r="C474" s="7" t="s">
        <v>14</v>
      </c>
      <c r="D474" s="7" t="s">
        <v>15</v>
      </c>
      <c r="E474" s="7" t="s">
        <v>26</v>
      </c>
      <c r="F474" s="7" t="s">
        <v>41</v>
      </c>
      <c r="G474" s="7" t="str">
        <f t="shared" si="22"/>
        <v>Thursday</v>
      </c>
      <c r="H474" s="7" t="str">
        <f t="shared" si="23"/>
        <v>Feb</v>
      </c>
      <c r="I474" s="8">
        <v>43498</v>
      </c>
      <c r="J474" s="8" t="str">
        <f t="shared" si="21"/>
        <v>Evening</v>
      </c>
      <c r="K474" s="9">
        <v>0.7715277777777777</v>
      </c>
      <c r="L474" s="7" t="s">
        <v>28</v>
      </c>
      <c r="M474" s="10">
        <v>21.565000000000001</v>
      </c>
      <c r="N474" s="7">
        <v>5.5</v>
      </c>
    </row>
    <row r="475" spans="1:14" x14ac:dyDescent="0.25">
      <c r="A475" s="7" t="s">
        <v>504</v>
      </c>
      <c r="B475" s="7" t="s">
        <v>37</v>
      </c>
      <c r="C475" s="7" t="s">
        <v>38</v>
      </c>
      <c r="D475" s="7" t="s">
        <v>15</v>
      </c>
      <c r="E475" s="7" t="s">
        <v>26</v>
      </c>
      <c r="F475" s="7" t="s">
        <v>17</v>
      </c>
      <c r="G475" s="7" t="str">
        <f t="shared" si="22"/>
        <v>Friday</v>
      </c>
      <c r="H475" s="7" t="str">
        <f t="shared" si="23"/>
        <v>Mar</v>
      </c>
      <c r="I475" s="8">
        <v>43554</v>
      </c>
      <c r="J475" s="8" t="str">
        <f t="shared" si="21"/>
        <v>Evening</v>
      </c>
      <c r="K475" s="9">
        <v>0.74861111111111101</v>
      </c>
      <c r="L475" s="7" t="s">
        <v>24</v>
      </c>
      <c r="M475" s="10">
        <v>29.027999999999999</v>
      </c>
      <c r="N475" s="7">
        <v>4.5999999999999996</v>
      </c>
    </row>
    <row r="476" spans="1:14" x14ac:dyDescent="0.25">
      <c r="A476" s="7" t="s">
        <v>505</v>
      </c>
      <c r="B476" s="7" t="s">
        <v>13</v>
      </c>
      <c r="C476" s="7" t="s">
        <v>14</v>
      </c>
      <c r="D476" s="7" t="s">
        <v>15</v>
      </c>
      <c r="E476" s="7" t="s">
        <v>16</v>
      </c>
      <c r="F476" s="7" t="s">
        <v>23</v>
      </c>
      <c r="G476" s="7" t="str">
        <f t="shared" si="22"/>
        <v>Friday</v>
      </c>
      <c r="H476" s="7" t="str">
        <f t="shared" si="23"/>
        <v>Mar</v>
      </c>
      <c r="I476" s="8">
        <v>43554</v>
      </c>
      <c r="J476" s="8" t="str">
        <f t="shared" si="21"/>
        <v>Evening</v>
      </c>
      <c r="K476" s="9">
        <v>0.71111111111111114</v>
      </c>
      <c r="L476" s="7" t="s">
        <v>24</v>
      </c>
      <c r="M476" s="10">
        <v>16.11</v>
      </c>
      <c r="N476" s="7">
        <v>6.6</v>
      </c>
    </row>
    <row r="477" spans="1:14" x14ac:dyDescent="0.25">
      <c r="A477" s="7" t="s">
        <v>506</v>
      </c>
      <c r="B477" s="7" t="s">
        <v>13</v>
      </c>
      <c r="C477" s="7" t="s">
        <v>14</v>
      </c>
      <c r="D477" s="7" t="s">
        <v>22</v>
      </c>
      <c r="E477" s="7" t="s">
        <v>26</v>
      </c>
      <c r="F477" s="7" t="s">
        <v>17</v>
      </c>
      <c r="G477" s="7" t="str">
        <f t="shared" si="22"/>
        <v>Sunday</v>
      </c>
      <c r="H477" s="7" t="str">
        <f t="shared" si="23"/>
        <v>Feb</v>
      </c>
      <c r="I477" s="8">
        <v>43521</v>
      </c>
      <c r="J477" s="8" t="str">
        <f t="shared" si="21"/>
        <v>Evening</v>
      </c>
      <c r="K477" s="9">
        <v>0.85763888888888884</v>
      </c>
      <c r="L477" s="7" t="s">
        <v>28</v>
      </c>
      <c r="M477" s="10">
        <v>9.7769999999999992</v>
      </c>
      <c r="N477" s="7">
        <v>6.3</v>
      </c>
    </row>
    <row r="478" spans="1:14" x14ac:dyDescent="0.25">
      <c r="A478" s="7" t="s">
        <v>507</v>
      </c>
      <c r="B478" s="7" t="s">
        <v>13</v>
      </c>
      <c r="C478" s="7" t="s">
        <v>14</v>
      </c>
      <c r="D478" s="7" t="s">
        <v>22</v>
      </c>
      <c r="E478" s="7" t="s">
        <v>16</v>
      </c>
      <c r="F478" s="7" t="s">
        <v>31</v>
      </c>
      <c r="G478" s="7" t="str">
        <f t="shared" si="22"/>
        <v>Wednesday</v>
      </c>
      <c r="H478" s="7" t="str">
        <f t="shared" si="23"/>
        <v>Mar</v>
      </c>
      <c r="I478" s="8">
        <v>43542</v>
      </c>
      <c r="J478" s="8" t="str">
        <f t="shared" si="21"/>
        <v>Evening</v>
      </c>
      <c r="K478" s="9">
        <v>0.67361111111111116</v>
      </c>
      <c r="L478" s="7" t="s">
        <v>28</v>
      </c>
      <c r="M478" s="10">
        <v>8.3149999999999995</v>
      </c>
      <c r="N478" s="7">
        <v>4.2</v>
      </c>
    </row>
    <row r="479" spans="1:14" x14ac:dyDescent="0.25">
      <c r="A479" s="7" t="s">
        <v>508</v>
      </c>
      <c r="B479" s="7" t="s">
        <v>20</v>
      </c>
      <c r="C479" s="7" t="s">
        <v>21</v>
      </c>
      <c r="D479" s="7" t="s">
        <v>22</v>
      </c>
      <c r="E479" s="7" t="s">
        <v>26</v>
      </c>
      <c r="F479" s="7" t="s">
        <v>23</v>
      </c>
      <c r="G479" s="7" t="str">
        <f t="shared" si="22"/>
        <v>Monday</v>
      </c>
      <c r="H479" s="7" t="str">
        <f t="shared" si="23"/>
        <v>Mar</v>
      </c>
      <c r="I479" s="8">
        <v>43531</v>
      </c>
      <c r="J479" s="8" t="str">
        <f t="shared" si="21"/>
        <v>Evening</v>
      </c>
      <c r="K479" s="9">
        <v>0.70416666666666661</v>
      </c>
      <c r="L479" s="7" t="s">
        <v>18</v>
      </c>
      <c r="M479" s="10">
        <v>16.814</v>
      </c>
      <c r="N479" s="7">
        <v>4.4000000000000004</v>
      </c>
    </row>
    <row r="480" spans="1:14" x14ac:dyDescent="0.25">
      <c r="A480" s="7" t="s">
        <v>509</v>
      </c>
      <c r="B480" s="7" t="s">
        <v>37</v>
      </c>
      <c r="C480" s="7" t="s">
        <v>38</v>
      </c>
      <c r="D480" s="7" t="s">
        <v>22</v>
      </c>
      <c r="E480" s="7" t="s">
        <v>26</v>
      </c>
      <c r="F480" s="7" t="s">
        <v>31</v>
      </c>
      <c r="G480" s="7" t="str">
        <f t="shared" si="22"/>
        <v>Wednesday</v>
      </c>
      <c r="H480" s="7" t="str">
        <f t="shared" si="23"/>
        <v>Mar</v>
      </c>
      <c r="I480" s="8">
        <v>43540</v>
      </c>
      <c r="J480" s="8" t="str">
        <f t="shared" si="21"/>
        <v>Morning</v>
      </c>
      <c r="K480" s="9">
        <v>0.42430555555555555</v>
      </c>
      <c r="L480" s="7" t="s">
        <v>18</v>
      </c>
      <c r="M480" s="10">
        <v>17.184999999999999</v>
      </c>
      <c r="N480" s="7">
        <v>6.7</v>
      </c>
    </row>
    <row r="481" spans="1:14" x14ac:dyDescent="0.25">
      <c r="A481" s="7" t="s">
        <v>510</v>
      </c>
      <c r="B481" s="7" t="s">
        <v>13</v>
      </c>
      <c r="C481" s="7" t="s">
        <v>14</v>
      </c>
      <c r="D481" s="7" t="s">
        <v>22</v>
      </c>
      <c r="E481" s="7" t="s">
        <v>26</v>
      </c>
      <c r="F481" s="7" t="s">
        <v>23</v>
      </c>
      <c r="G481" s="7" t="str">
        <f t="shared" si="22"/>
        <v>Wednesday</v>
      </c>
      <c r="H481" s="7" t="str">
        <f t="shared" si="23"/>
        <v>Jan</v>
      </c>
      <c r="I481" s="8">
        <v>43494</v>
      </c>
      <c r="J481" s="8" t="str">
        <f t="shared" si="21"/>
        <v>Morning</v>
      </c>
      <c r="K481" s="9">
        <v>0.47638888888888892</v>
      </c>
      <c r="L481" s="7" t="s">
        <v>18</v>
      </c>
      <c r="M481" s="10">
        <v>1.93</v>
      </c>
      <c r="N481" s="7">
        <v>6.7</v>
      </c>
    </row>
    <row r="482" spans="1:14" x14ac:dyDescent="0.25">
      <c r="A482" s="7" t="s">
        <v>511</v>
      </c>
      <c r="B482" s="7" t="s">
        <v>20</v>
      </c>
      <c r="C482" s="7" t="s">
        <v>21</v>
      </c>
      <c r="D482" s="7" t="s">
        <v>22</v>
      </c>
      <c r="E482" s="7" t="s">
        <v>26</v>
      </c>
      <c r="F482" s="7" t="s">
        <v>39</v>
      </c>
      <c r="G482" s="7" t="str">
        <f t="shared" si="22"/>
        <v>Thursday</v>
      </c>
      <c r="H482" s="7" t="str">
        <f t="shared" si="23"/>
        <v>Feb</v>
      </c>
      <c r="I482" s="8">
        <v>43498</v>
      </c>
      <c r="J482" s="8" t="str">
        <f t="shared" si="21"/>
        <v>Evening</v>
      </c>
      <c r="K482" s="9">
        <v>0.8534722222222223</v>
      </c>
      <c r="L482" s="7" t="s">
        <v>24</v>
      </c>
      <c r="M482" s="10">
        <v>26.388000000000002</v>
      </c>
      <c r="N482" s="7">
        <v>8.4</v>
      </c>
    </row>
    <row r="483" spans="1:14" x14ac:dyDescent="0.25">
      <c r="A483" s="7" t="s">
        <v>512</v>
      </c>
      <c r="B483" s="7" t="s">
        <v>20</v>
      </c>
      <c r="C483" s="7" t="s">
        <v>21</v>
      </c>
      <c r="D483" s="7" t="s">
        <v>22</v>
      </c>
      <c r="E483" s="7" t="s">
        <v>16</v>
      </c>
      <c r="F483" s="7" t="s">
        <v>23</v>
      </c>
      <c r="G483" s="7" t="str">
        <f t="shared" si="22"/>
        <v>Friday</v>
      </c>
      <c r="H483" s="7" t="str">
        <f t="shared" si="23"/>
        <v>Feb</v>
      </c>
      <c r="I483" s="8">
        <v>43511</v>
      </c>
      <c r="J483" s="8" t="str">
        <f t="shared" si="21"/>
        <v>Afternoon</v>
      </c>
      <c r="K483" s="9">
        <v>0.5083333333333333</v>
      </c>
      <c r="L483" s="7" t="s">
        <v>24</v>
      </c>
      <c r="M483" s="10">
        <v>16.399999999999999</v>
      </c>
      <c r="N483" s="7">
        <v>6.2</v>
      </c>
    </row>
    <row r="484" spans="1:14" x14ac:dyDescent="0.25">
      <c r="A484" s="7" t="s">
        <v>513</v>
      </c>
      <c r="B484" s="7" t="s">
        <v>13</v>
      </c>
      <c r="C484" s="7" t="s">
        <v>14</v>
      </c>
      <c r="D484" s="7" t="s">
        <v>22</v>
      </c>
      <c r="E484" s="7" t="s">
        <v>26</v>
      </c>
      <c r="F484" s="7" t="s">
        <v>31</v>
      </c>
      <c r="G484" s="7" t="str">
        <f t="shared" si="22"/>
        <v>Sunday</v>
      </c>
      <c r="H484" s="7" t="str">
        <f t="shared" si="23"/>
        <v>Jan</v>
      </c>
      <c r="I484" s="8">
        <v>43473</v>
      </c>
      <c r="J484" s="8" t="str">
        <f t="shared" si="21"/>
        <v>Afternoon</v>
      </c>
      <c r="K484" s="9">
        <v>0.54513888888888895</v>
      </c>
      <c r="L484" s="7" t="s">
        <v>18</v>
      </c>
      <c r="M484" s="10">
        <v>9.2850000000000001</v>
      </c>
      <c r="N484" s="7">
        <v>5</v>
      </c>
    </row>
    <row r="485" spans="1:14" x14ac:dyDescent="0.25">
      <c r="A485" s="7" t="s">
        <v>514</v>
      </c>
      <c r="B485" s="7" t="s">
        <v>37</v>
      </c>
      <c r="C485" s="7" t="s">
        <v>38</v>
      </c>
      <c r="D485" s="7" t="s">
        <v>15</v>
      </c>
      <c r="E485" s="7" t="s">
        <v>26</v>
      </c>
      <c r="F485" s="7" t="s">
        <v>27</v>
      </c>
      <c r="G485" s="7" t="str">
        <f t="shared" si="22"/>
        <v>Friday</v>
      </c>
      <c r="H485" s="7" t="str">
        <f t="shared" si="23"/>
        <v>Feb</v>
      </c>
      <c r="I485" s="8">
        <v>43508</v>
      </c>
      <c r="J485" s="8" t="str">
        <f t="shared" si="21"/>
        <v>Evening</v>
      </c>
      <c r="K485" s="9">
        <v>0.67986111111111114</v>
      </c>
      <c r="L485" s="7" t="s">
        <v>24</v>
      </c>
      <c r="M485" s="10">
        <v>30.19</v>
      </c>
      <c r="N485" s="7">
        <v>6</v>
      </c>
    </row>
    <row r="486" spans="1:14" x14ac:dyDescent="0.25">
      <c r="A486" s="7" t="s">
        <v>515</v>
      </c>
      <c r="B486" s="7" t="s">
        <v>20</v>
      </c>
      <c r="C486" s="7" t="s">
        <v>21</v>
      </c>
      <c r="D486" s="7" t="s">
        <v>15</v>
      </c>
      <c r="E486" s="7" t="s">
        <v>16</v>
      </c>
      <c r="F486" s="7" t="s">
        <v>31</v>
      </c>
      <c r="G486" s="7" t="str">
        <f t="shared" si="22"/>
        <v>Saturday</v>
      </c>
      <c r="H486" s="7" t="str">
        <f t="shared" si="23"/>
        <v>Jan</v>
      </c>
      <c r="I486" s="8">
        <v>43466</v>
      </c>
      <c r="J486" s="8" t="str">
        <f t="shared" si="21"/>
        <v>Evening</v>
      </c>
      <c r="K486" s="9">
        <v>0.82500000000000007</v>
      </c>
      <c r="L486" s="7" t="s">
        <v>28</v>
      </c>
      <c r="M486" s="10">
        <v>18.489999999999998</v>
      </c>
      <c r="N486" s="7">
        <v>7</v>
      </c>
    </row>
    <row r="487" spans="1:14" x14ac:dyDescent="0.25">
      <c r="A487" s="7" t="s">
        <v>516</v>
      </c>
      <c r="B487" s="7" t="s">
        <v>37</v>
      </c>
      <c r="C487" s="7" t="s">
        <v>38</v>
      </c>
      <c r="D487" s="7" t="s">
        <v>15</v>
      </c>
      <c r="E487" s="7" t="s">
        <v>16</v>
      </c>
      <c r="F487" s="7" t="s">
        <v>31</v>
      </c>
      <c r="G487" s="7" t="str">
        <f t="shared" si="22"/>
        <v>Wednesday</v>
      </c>
      <c r="H487" s="7" t="str">
        <f t="shared" si="23"/>
        <v>Mar</v>
      </c>
      <c r="I487" s="8">
        <v>43545</v>
      </c>
      <c r="J487" s="8" t="str">
        <f t="shared" si="21"/>
        <v>Afternoon</v>
      </c>
      <c r="K487" s="9">
        <v>0.64236111111111105</v>
      </c>
      <c r="L487" s="7" t="s">
        <v>18</v>
      </c>
      <c r="M487" s="10">
        <v>9.8979999999999997</v>
      </c>
      <c r="N487" s="7">
        <v>6.6</v>
      </c>
    </row>
    <row r="488" spans="1:14" x14ac:dyDescent="0.25">
      <c r="A488" s="7" t="s">
        <v>517</v>
      </c>
      <c r="B488" s="7" t="s">
        <v>37</v>
      </c>
      <c r="C488" s="7" t="s">
        <v>38</v>
      </c>
      <c r="D488" s="7" t="s">
        <v>22</v>
      </c>
      <c r="E488" s="7" t="s">
        <v>16</v>
      </c>
      <c r="F488" s="7" t="s">
        <v>41</v>
      </c>
      <c r="G488" s="7" t="str">
        <f t="shared" si="22"/>
        <v>Sunday</v>
      </c>
      <c r="H488" s="7" t="str">
        <f t="shared" si="23"/>
        <v>Feb</v>
      </c>
      <c r="I488" s="8">
        <v>43524</v>
      </c>
      <c r="J488" s="8" t="str">
        <f t="shared" si="21"/>
        <v>Afternoon</v>
      </c>
      <c r="K488" s="9">
        <v>0.61249999999999993</v>
      </c>
      <c r="L488" s="7" t="s">
        <v>24</v>
      </c>
      <c r="M488" s="10">
        <v>20.545000000000002</v>
      </c>
      <c r="N488" s="7">
        <v>7.3</v>
      </c>
    </row>
    <row r="489" spans="1:14" x14ac:dyDescent="0.25">
      <c r="A489" s="7" t="s">
        <v>518</v>
      </c>
      <c r="B489" s="7" t="s">
        <v>13</v>
      </c>
      <c r="C489" s="7" t="s">
        <v>14</v>
      </c>
      <c r="D489" s="7" t="s">
        <v>22</v>
      </c>
      <c r="E489" s="7" t="s">
        <v>26</v>
      </c>
      <c r="F489" s="7" t="s">
        <v>41</v>
      </c>
      <c r="G489" s="7" t="str">
        <f t="shared" si="22"/>
        <v>Thursday</v>
      </c>
      <c r="H489" s="7" t="str">
        <f t="shared" si="23"/>
        <v>Mar</v>
      </c>
      <c r="I489" s="8">
        <v>43547</v>
      </c>
      <c r="J489" s="8" t="str">
        <f t="shared" si="21"/>
        <v>Evening</v>
      </c>
      <c r="K489" s="9">
        <v>0.7909722222222223</v>
      </c>
      <c r="L489" s="7" t="s">
        <v>18</v>
      </c>
      <c r="M489" s="10">
        <v>7.43</v>
      </c>
      <c r="N489" s="7">
        <v>8.3000000000000007</v>
      </c>
    </row>
    <row r="490" spans="1:14" x14ac:dyDescent="0.25">
      <c r="A490" s="7" t="s">
        <v>519</v>
      </c>
      <c r="B490" s="7" t="s">
        <v>20</v>
      </c>
      <c r="C490" s="7" t="s">
        <v>21</v>
      </c>
      <c r="D490" s="7" t="s">
        <v>22</v>
      </c>
      <c r="E490" s="7" t="s">
        <v>26</v>
      </c>
      <c r="F490" s="7" t="s">
        <v>27</v>
      </c>
      <c r="G490" s="7" t="str">
        <f t="shared" si="22"/>
        <v>Wednesday</v>
      </c>
      <c r="H490" s="7" t="str">
        <f t="shared" si="23"/>
        <v>Jan</v>
      </c>
      <c r="I490" s="8">
        <v>43495</v>
      </c>
      <c r="J490" s="8" t="str">
        <f t="shared" si="21"/>
        <v>Evening</v>
      </c>
      <c r="K490" s="9">
        <v>0.86597222222222225</v>
      </c>
      <c r="L490" s="7" t="s">
        <v>24</v>
      </c>
      <c r="M490" s="10">
        <v>1.1479999999999999</v>
      </c>
      <c r="N490" s="7">
        <v>4.3</v>
      </c>
    </row>
    <row r="491" spans="1:14" x14ac:dyDescent="0.25">
      <c r="A491" s="7" t="s">
        <v>520</v>
      </c>
      <c r="B491" s="7" t="s">
        <v>37</v>
      </c>
      <c r="C491" s="7" t="s">
        <v>38</v>
      </c>
      <c r="D491" s="7" t="s">
        <v>15</v>
      </c>
      <c r="E491" s="7" t="s">
        <v>16</v>
      </c>
      <c r="F491" s="7" t="s">
        <v>27</v>
      </c>
      <c r="G491" s="7" t="str">
        <f t="shared" si="22"/>
        <v>Thursday</v>
      </c>
      <c r="H491" s="7" t="str">
        <f t="shared" si="23"/>
        <v>Feb</v>
      </c>
      <c r="I491" s="8">
        <v>43500</v>
      </c>
      <c r="J491" s="8" t="str">
        <f t="shared" si="21"/>
        <v>Afternoon</v>
      </c>
      <c r="K491" s="9">
        <v>0.55625000000000002</v>
      </c>
      <c r="L491" s="7" t="s">
        <v>18</v>
      </c>
      <c r="M491" s="10">
        <v>34.956000000000003</v>
      </c>
      <c r="N491" s="7">
        <v>9.8000000000000007</v>
      </c>
    </row>
    <row r="492" spans="1:14" x14ac:dyDescent="0.25">
      <c r="A492" s="7" t="s">
        <v>521</v>
      </c>
      <c r="B492" s="7" t="s">
        <v>37</v>
      </c>
      <c r="C492" s="7" t="s">
        <v>38</v>
      </c>
      <c r="D492" s="7" t="s">
        <v>22</v>
      </c>
      <c r="E492" s="7" t="s">
        <v>16</v>
      </c>
      <c r="F492" s="7" t="s">
        <v>41</v>
      </c>
      <c r="G492" s="7" t="str">
        <f t="shared" si="22"/>
        <v>Tuesday</v>
      </c>
      <c r="H492" s="7" t="str">
        <f t="shared" si="23"/>
        <v>Mar</v>
      </c>
      <c r="I492" s="8">
        <v>43537</v>
      </c>
      <c r="J492" s="8" t="str">
        <f t="shared" si="21"/>
        <v>Evening</v>
      </c>
      <c r="K492" s="9">
        <v>0.82500000000000007</v>
      </c>
      <c r="L492" s="7" t="s">
        <v>18</v>
      </c>
      <c r="M492" s="10">
        <v>3.47</v>
      </c>
      <c r="N492" s="7">
        <v>8.1999999999999993</v>
      </c>
    </row>
    <row r="493" spans="1:14" x14ac:dyDescent="0.25">
      <c r="A493" s="7" t="s">
        <v>522</v>
      </c>
      <c r="B493" s="7" t="s">
        <v>13</v>
      </c>
      <c r="C493" s="7" t="s">
        <v>14</v>
      </c>
      <c r="D493" s="7" t="s">
        <v>15</v>
      </c>
      <c r="E493" s="7" t="s">
        <v>16</v>
      </c>
      <c r="F493" s="7" t="s">
        <v>41</v>
      </c>
      <c r="G493" s="7" t="str">
        <f t="shared" si="22"/>
        <v>Tuesday</v>
      </c>
      <c r="H493" s="7" t="str">
        <f t="shared" si="23"/>
        <v>Mar</v>
      </c>
      <c r="I493" s="8">
        <v>43539</v>
      </c>
      <c r="J493" s="8" t="str">
        <f t="shared" si="21"/>
        <v>Evening</v>
      </c>
      <c r="K493" s="9">
        <v>0.76388888888888884</v>
      </c>
      <c r="L493" s="7" t="s">
        <v>28</v>
      </c>
      <c r="M493" s="10">
        <v>9.83</v>
      </c>
      <c r="N493" s="7">
        <v>7.2</v>
      </c>
    </row>
    <row r="494" spans="1:14" x14ac:dyDescent="0.25">
      <c r="A494" s="7" t="s">
        <v>523</v>
      </c>
      <c r="B494" s="7" t="s">
        <v>37</v>
      </c>
      <c r="C494" s="7" t="s">
        <v>38</v>
      </c>
      <c r="D494" s="7" t="s">
        <v>15</v>
      </c>
      <c r="E494" s="7" t="s">
        <v>16</v>
      </c>
      <c r="F494" s="7" t="s">
        <v>17</v>
      </c>
      <c r="G494" s="7" t="str">
        <f t="shared" si="22"/>
        <v>Monday</v>
      </c>
      <c r="H494" s="7" t="str">
        <f t="shared" si="23"/>
        <v>Mar</v>
      </c>
      <c r="I494" s="8">
        <v>43529</v>
      </c>
      <c r="J494" s="8" t="str">
        <f t="shared" si="21"/>
        <v>Evening</v>
      </c>
      <c r="K494" s="9">
        <v>0.85</v>
      </c>
      <c r="L494" s="7" t="s">
        <v>18</v>
      </c>
      <c r="M494" s="10">
        <v>10.128</v>
      </c>
      <c r="N494" s="7">
        <v>8.6999999999999993</v>
      </c>
    </row>
    <row r="495" spans="1:14" x14ac:dyDescent="0.25">
      <c r="A495" s="7" t="s">
        <v>524</v>
      </c>
      <c r="B495" s="7" t="s">
        <v>20</v>
      </c>
      <c r="C495" s="7" t="s">
        <v>21</v>
      </c>
      <c r="D495" s="7" t="s">
        <v>15</v>
      </c>
      <c r="E495" s="7" t="s">
        <v>16</v>
      </c>
      <c r="F495" s="7" t="s">
        <v>27</v>
      </c>
      <c r="G495" s="7" t="str">
        <f t="shared" si="22"/>
        <v>Monday</v>
      </c>
      <c r="H495" s="7" t="str">
        <f t="shared" si="23"/>
        <v>Mar</v>
      </c>
      <c r="I495" s="8">
        <v>43529</v>
      </c>
      <c r="J495" s="8" t="str">
        <f t="shared" si="21"/>
        <v>Afternoon</v>
      </c>
      <c r="K495" s="9">
        <v>0.57222222222222219</v>
      </c>
      <c r="L495" s="7" t="s">
        <v>28</v>
      </c>
      <c r="M495" s="10">
        <v>6.06</v>
      </c>
      <c r="N495" s="7">
        <v>8.4</v>
      </c>
    </row>
    <row r="496" spans="1:14" x14ac:dyDescent="0.25">
      <c r="A496" s="7" t="s">
        <v>525</v>
      </c>
      <c r="B496" s="7" t="s">
        <v>37</v>
      </c>
      <c r="C496" s="7" t="s">
        <v>38</v>
      </c>
      <c r="D496" s="7" t="s">
        <v>22</v>
      </c>
      <c r="E496" s="7" t="s">
        <v>26</v>
      </c>
      <c r="F496" s="7" t="s">
        <v>41</v>
      </c>
      <c r="G496" s="7" t="str">
        <f t="shared" si="22"/>
        <v>Sunday</v>
      </c>
      <c r="H496" s="7" t="str">
        <f t="shared" si="23"/>
        <v>Feb</v>
      </c>
      <c r="I496" s="8">
        <v>43522</v>
      </c>
      <c r="J496" s="8" t="str">
        <f t="shared" si="21"/>
        <v>Morning</v>
      </c>
      <c r="K496" s="9">
        <v>0.4916666666666667</v>
      </c>
      <c r="L496" s="7" t="s">
        <v>18</v>
      </c>
      <c r="M496" s="10">
        <v>9.9890000000000008</v>
      </c>
      <c r="N496" s="7">
        <v>7.1</v>
      </c>
    </row>
    <row r="497" spans="1:14" x14ac:dyDescent="0.25">
      <c r="A497" s="7" t="s">
        <v>526</v>
      </c>
      <c r="B497" s="7" t="s">
        <v>37</v>
      </c>
      <c r="C497" s="7" t="s">
        <v>38</v>
      </c>
      <c r="D497" s="7" t="s">
        <v>22</v>
      </c>
      <c r="E497" s="7" t="s">
        <v>26</v>
      </c>
      <c r="F497" s="7" t="s">
        <v>31</v>
      </c>
      <c r="G497" s="7" t="str">
        <f t="shared" si="22"/>
        <v>Wednesday</v>
      </c>
      <c r="H497" s="7" t="str">
        <f t="shared" si="23"/>
        <v>Mar</v>
      </c>
      <c r="I497" s="8">
        <v>43544</v>
      </c>
      <c r="J497" s="8" t="str">
        <f t="shared" si="21"/>
        <v>Afternoon</v>
      </c>
      <c r="K497" s="9">
        <v>0.59305555555555556</v>
      </c>
      <c r="L497" s="7" t="s">
        <v>24</v>
      </c>
      <c r="M497" s="10">
        <v>30.367999999999999</v>
      </c>
      <c r="N497" s="7">
        <v>5.5</v>
      </c>
    </row>
    <row r="498" spans="1:14" x14ac:dyDescent="0.25">
      <c r="A498" s="7" t="s">
        <v>527</v>
      </c>
      <c r="B498" s="7" t="s">
        <v>20</v>
      </c>
      <c r="C498" s="7" t="s">
        <v>21</v>
      </c>
      <c r="D498" s="7" t="s">
        <v>22</v>
      </c>
      <c r="E498" s="7" t="s">
        <v>16</v>
      </c>
      <c r="F498" s="7" t="s">
        <v>23</v>
      </c>
      <c r="G498" s="7" t="str">
        <f t="shared" si="22"/>
        <v>Saturday</v>
      </c>
      <c r="H498" s="7" t="str">
        <f t="shared" si="23"/>
        <v>Jan</v>
      </c>
      <c r="I498" s="8">
        <v>43466</v>
      </c>
      <c r="J498" s="8" t="str">
        <f t="shared" si="21"/>
        <v>Afternoon</v>
      </c>
      <c r="K498" s="9">
        <v>0.66041666666666665</v>
      </c>
      <c r="L498" s="7" t="s">
        <v>24</v>
      </c>
      <c r="M498" s="10">
        <v>6.3220000000000001</v>
      </c>
      <c r="N498" s="7">
        <v>8.5</v>
      </c>
    </row>
    <row r="499" spans="1:14" x14ac:dyDescent="0.25">
      <c r="A499" s="7" t="s">
        <v>528</v>
      </c>
      <c r="B499" s="7" t="s">
        <v>20</v>
      </c>
      <c r="C499" s="7" t="s">
        <v>21</v>
      </c>
      <c r="D499" s="7" t="s">
        <v>22</v>
      </c>
      <c r="E499" s="7" t="s">
        <v>16</v>
      </c>
      <c r="F499" s="7" t="s">
        <v>39</v>
      </c>
      <c r="G499" s="7" t="str">
        <f t="shared" si="22"/>
        <v>Wednesday</v>
      </c>
      <c r="H499" s="7" t="str">
        <f t="shared" si="23"/>
        <v>Jan</v>
      </c>
      <c r="I499" s="8">
        <v>43492</v>
      </c>
      <c r="J499" s="8" t="str">
        <f t="shared" si="21"/>
        <v>Morning</v>
      </c>
      <c r="K499" s="9">
        <v>0.47013888888888888</v>
      </c>
      <c r="L499" s="7" t="s">
        <v>24</v>
      </c>
      <c r="M499" s="10">
        <v>27.071999999999999</v>
      </c>
      <c r="N499" s="7">
        <v>6.2</v>
      </c>
    </row>
    <row r="500" spans="1:14" x14ac:dyDescent="0.25">
      <c r="A500" s="7" t="s">
        <v>529</v>
      </c>
      <c r="B500" s="7" t="s">
        <v>37</v>
      </c>
      <c r="C500" s="7" t="s">
        <v>38</v>
      </c>
      <c r="D500" s="7" t="s">
        <v>15</v>
      </c>
      <c r="E500" s="7" t="s">
        <v>16</v>
      </c>
      <c r="F500" s="7" t="s">
        <v>31</v>
      </c>
      <c r="G500" s="7" t="str">
        <f t="shared" si="22"/>
        <v>Tuesday</v>
      </c>
      <c r="H500" s="7" t="str">
        <f t="shared" si="23"/>
        <v>Jan</v>
      </c>
      <c r="I500" s="8">
        <v>43486</v>
      </c>
      <c r="J500" s="8" t="str">
        <f t="shared" si="21"/>
        <v>Evening</v>
      </c>
      <c r="K500" s="9">
        <v>0.73333333333333339</v>
      </c>
      <c r="L500" s="7" t="s">
        <v>24</v>
      </c>
      <c r="M500" s="10">
        <v>4.9065000000000003</v>
      </c>
      <c r="N500" s="7">
        <v>8.9</v>
      </c>
    </row>
    <row r="501" spans="1:14" x14ac:dyDescent="0.25">
      <c r="A501" s="7" t="s">
        <v>530</v>
      </c>
      <c r="B501" s="7" t="s">
        <v>13</v>
      </c>
      <c r="C501" s="7" t="s">
        <v>14</v>
      </c>
      <c r="D501" s="7" t="s">
        <v>15</v>
      </c>
      <c r="E501" s="7" t="s">
        <v>16</v>
      </c>
      <c r="F501" s="7" t="s">
        <v>31</v>
      </c>
      <c r="G501" s="7" t="str">
        <f t="shared" si="22"/>
        <v>Thursday</v>
      </c>
      <c r="H501" s="7" t="str">
        <f t="shared" si="23"/>
        <v>Feb</v>
      </c>
      <c r="I501" s="8">
        <v>43498</v>
      </c>
      <c r="J501" s="8" t="str">
        <f t="shared" si="21"/>
        <v>Afternoon</v>
      </c>
      <c r="K501" s="9">
        <v>0.65763888888888888</v>
      </c>
      <c r="L501" s="7" t="s">
        <v>24</v>
      </c>
      <c r="M501" s="10">
        <v>20.608000000000001</v>
      </c>
      <c r="N501" s="7">
        <v>9.6</v>
      </c>
    </row>
    <row r="502" spans="1:14" x14ac:dyDescent="0.25">
      <c r="A502" s="7" t="s">
        <v>531</v>
      </c>
      <c r="B502" s="7" t="s">
        <v>37</v>
      </c>
      <c r="C502" s="7" t="s">
        <v>38</v>
      </c>
      <c r="D502" s="7" t="s">
        <v>15</v>
      </c>
      <c r="E502" s="7" t="s">
        <v>26</v>
      </c>
      <c r="F502" s="7" t="s">
        <v>31</v>
      </c>
      <c r="G502" s="7" t="str">
        <f t="shared" si="22"/>
        <v>Thursday</v>
      </c>
      <c r="H502" s="7" t="str">
        <f t="shared" si="23"/>
        <v>Feb</v>
      </c>
      <c r="I502" s="8">
        <v>43499</v>
      </c>
      <c r="J502" s="8" t="str">
        <f t="shared" si="21"/>
        <v>Afternoon</v>
      </c>
      <c r="K502" s="9">
        <v>0.66180555555555554</v>
      </c>
      <c r="L502" s="7" t="s">
        <v>28</v>
      </c>
      <c r="M502" s="10">
        <v>3.6985000000000001</v>
      </c>
      <c r="N502" s="7">
        <v>5.4</v>
      </c>
    </row>
    <row r="503" spans="1:14" x14ac:dyDescent="0.25">
      <c r="A503" s="7" t="s">
        <v>532</v>
      </c>
      <c r="B503" s="7" t="s">
        <v>20</v>
      </c>
      <c r="C503" s="7" t="s">
        <v>21</v>
      </c>
      <c r="D503" s="7" t="s">
        <v>15</v>
      </c>
      <c r="E503" s="7" t="s">
        <v>16</v>
      </c>
      <c r="F503" s="7" t="s">
        <v>41</v>
      </c>
      <c r="G503" s="7" t="str">
        <f t="shared" si="22"/>
        <v>Sunday</v>
      </c>
      <c r="H503" s="7" t="str">
        <f t="shared" si="23"/>
        <v>Jan</v>
      </c>
      <c r="I503" s="8">
        <v>43470</v>
      </c>
      <c r="J503" s="8" t="str">
        <f t="shared" si="21"/>
        <v>Afternoon</v>
      </c>
      <c r="K503" s="9">
        <v>0.52777777777777779</v>
      </c>
      <c r="L503" s="7" t="s">
        <v>18</v>
      </c>
      <c r="M503" s="10">
        <v>1.595</v>
      </c>
      <c r="N503" s="7">
        <v>9.1</v>
      </c>
    </row>
    <row r="504" spans="1:14" x14ac:dyDescent="0.25">
      <c r="A504" s="7" t="s">
        <v>533</v>
      </c>
      <c r="B504" s="7" t="s">
        <v>20</v>
      </c>
      <c r="C504" s="7" t="s">
        <v>21</v>
      </c>
      <c r="D504" s="7" t="s">
        <v>22</v>
      </c>
      <c r="E504" s="7" t="s">
        <v>26</v>
      </c>
      <c r="F504" s="7" t="s">
        <v>27</v>
      </c>
      <c r="G504" s="7" t="str">
        <f t="shared" si="22"/>
        <v>Wednesday</v>
      </c>
      <c r="H504" s="7" t="str">
        <f t="shared" si="23"/>
        <v>Jan</v>
      </c>
      <c r="I504" s="8">
        <v>43492</v>
      </c>
      <c r="J504" s="8" t="str">
        <f t="shared" si="21"/>
        <v>Evening</v>
      </c>
      <c r="K504" s="9">
        <v>0.82500000000000007</v>
      </c>
      <c r="L504" s="7" t="s">
        <v>18</v>
      </c>
      <c r="M504" s="10">
        <v>6.94</v>
      </c>
      <c r="N504" s="7">
        <v>9</v>
      </c>
    </row>
    <row r="505" spans="1:14" x14ac:dyDescent="0.25">
      <c r="A505" s="7" t="s">
        <v>534</v>
      </c>
      <c r="B505" s="7" t="s">
        <v>37</v>
      </c>
      <c r="C505" s="7" t="s">
        <v>38</v>
      </c>
      <c r="D505" s="7" t="s">
        <v>22</v>
      </c>
      <c r="E505" s="7" t="s">
        <v>16</v>
      </c>
      <c r="F505" s="7" t="s">
        <v>31</v>
      </c>
      <c r="G505" s="7" t="str">
        <f t="shared" si="22"/>
        <v>Thursday</v>
      </c>
      <c r="H505" s="7" t="str">
        <f t="shared" si="23"/>
        <v>Mar</v>
      </c>
      <c r="I505" s="8">
        <v>43549</v>
      </c>
      <c r="J505" s="8" t="str">
        <f t="shared" si="21"/>
        <v>Evening</v>
      </c>
      <c r="K505" s="9">
        <v>0.74513888888888891</v>
      </c>
      <c r="L505" s="7" t="s">
        <v>24</v>
      </c>
      <c r="M505" s="10">
        <v>9.3309999999999995</v>
      </c>
      <c r="N505" s="7">
        <v>6.3</v>
      </c>
    </row>
    <row r="506" spans="1:14" x14ac:dyDescent="0.25">
      <c r="A506" s="7" t="s">
        <v>535</v>
      </c>
      <c r="B506" s="7" t="s">
        <v>37</v>
      </c>
      <c r="C506" s="7" t="s">
        <v>38</v>
      </c>
      <c r="D506" s="7" t="s">
        <v>22</v>
      </c>
      <c r="E506" s="7" t="s">
        <v>26</v>
      </c>
      <c r="F506" s="7" t="s">
        <v>31</v>
      </c>
      <c r="G506" s="7" t="str">
        <f t="shared" si="22"/>
        <v>Sunday</v>
      </c>
      <c r="H506" s="7" t="str">
        <f t="shared" si="23"/>
        <v>Feb</v>
      </c>
      <c r="I506" s="8">
        <v>43521</v>
      </c>
      <c r="J506" s="8" t="str">
        <f t="shared" si="21"/>
        <v>Evening</v>
      </c>
      <c r="K506" s="9">
        <v>0.69166666666666676</v>
      </c>
      <c r="L506" s="7" t="s">
        <v>28</v>
      </c>
      <c r="M506" s="10">
        <v>4.4225000000000003</v>
      </c>
      <c r="N506" s="7">
        <v>9.5</v>
      </c>
    </row>
    <row r="507" spans="1:14" x14ac:dyDescent="0.25">
      <c r="A507" s="7" t="s">
        <v>536</v>
      </c>
      <c r="B507" s="7" t="s">
        <v>13</v>
      </c>
      <c r="C507" s="7" t="s">
        <v>14</v>
      </c>
      <c r="D507" s="7" t="s">
        <v>15</v>
      </c>
      <c r="E507" s="7" t="s">
        <v>26</v>
      </c>
      <c r="F507" s="7" t="s">
        <v>23</v>
      </c>
      <c r="G507" s="7" t="str">
        <f t="shared" si="22"/>
        <v>Wednesday</v>
      </c>
      <c r="H507" s="7" t="str">
        <f t="shared" si="23"/>
        <v>Jan</v>
      </c>
      <c r="I507" s="8">
        <v>43493</v>
      </c>
      <c r="J507" s="8" t="str">
        <f t="shared" si="21"/>
        <v>Evening</v>
      </c>
      <c r="K507" s="9">
        <v>0.87083333333333324</v>
      </c>
      <c r="L507" s="7" t="s">
        <v>18</v>
      </c>
      <c r="M507" s="10">
        <v>9.6720000000000006</v>
      </c>
      <c r="N507" s="7">
        <v>9.8000000000000007</v>
      </c>
    </row>
    <row r="508" spans="1:14" x14ac:dyDescent="0.25">
      <c r="A508" s="7" t="s">
        <v>537</v>
      </c>
      <c r="B508" s="7" t="s">
        <v>37</v>
      </c>
      <c r="C508" s="7" t="s">
        <v>38</v>
      </c>
      <c r="D508" s="7" t="s">
        <v>15</v>
      </c>
      <c r="E508" s="7" t="s">
        <v>16</v>
      </c>
      <c r="F508" s="7" t="s">
        <v>31</v>
      </c>
      <c r="G508" s="7" t="str">
        <f t="shared" si="22"/>
        <v>Sunday</v>
      </c>
      <c r="H508" s="7" t="str">
        <f t="shared" si="23"/>
        <v>Jan</v>
      </c>
      <c r="I508" s="8">
        <v>43473</v>
      </c>
      <c r="J508" s="8" t="str">
        <f t="shared" si="21"/>
        <v>Afternoon</v>
      </c>
      <c r="K508" s="9">
        <v>0.53472222222222221</v>
      </c>
      <c r="L508" s="7" t="s">
        <v>24</v>
      </c>
      <c r="M508" s="10">
        <v>7.2750000000000004</v>
      </c>
      <c r="N508" s="7">
        <v>6.7</v>
      </c>
    </row>
    <row r="509" spans="1:14" x14ac:dyDescent="0.25">
      <c r="A509" s="7" t="s">
        <v>538</v>
      </c>
      <c r="B509" s="7" t="s">
        <v>37</v>
      </c>
      <c r="C509" s="7" t="s">
        <v>38</v>
      </c>
      <c r="D509" s="7" t="s">
        <v>22</v>
      </c>
      <c r="E509" s="7" t="s">
        <v>16</v>
      </c>
      <c r="F509" s="7" t="s">
        <v>39</v>
      </c>
      <c r="G509" s="7" t="str">
        <f t="shared" si="22"/>
        <v>Wednesday</v>
      </c>
      <c r="H509" s="7" t="str">
        <f t="shared" si="23"/>
        <v>Jan</v>
      </c>
      <c r="I509" s="8">
        <v>43494</v>
      </c>
      <c r="J509" s="8" t="str">
        <f t="shared" si="21"/>
        <v>Morning</v>
      </c>
      <c r="K509" s="9">
        <v>0.45</v>
      </c>
      <c r="L509" s="7" t="s">
        <v>28</v>
      </c>
      <c r="M509" s="10">
        <v>25.215</v>
      </c>
      <c r="N509" s="7">
        <v>7.7</v>
      </c>
    </row>
    <row r="510" spans="1:14" x14ac:dyDescent="0.25">
      <c r="A510" s="7" t="s">
        <v>539</v>
      </c>
      <c r="B510" s="7" t="s">
        <v>37</v>
      </c>
      <c r="C510" s="7" t="s">
        <v>38</v>
      </c>
      <c r="D510" s="7" t="s">
        <v>15</v>
      </c>
      <c r="E510" s="7" t="s">
        <v>26</v>
      </c>
      <c r="F510" s="7" t="s">
        <v>17</v>
      </c>
      <c r="G510" s="7" t="str">
        <f t="shared" si="22"/>
        <v>Thursday</v>
      </c>
      <c r="H510" s="7" t="str">
        <f t="shared" si="23"/>
        <v>Mar</v>
      </c>
      <c r="I510" s="8">
        <v>43553</v>
      </c>
      <c r="J510" s="8" t="str">
        <f t="shared" si="21"/>
        <v>Afternoon</v>
      </c>
      <c r="K510" s="9">
        <v>0.60277777777777775</v>
      </c>
      <c r="L510" s="7" t="s">
        <v>24</v>
      </c>
      <c r="M510" s="10">
        <v>15.3225</v>
      </c>
      <c r="N510" s="7">
        <v>7</v>
      </c>
    </row>
    <row r="511" spans="1:14" x14ac:dyDescent="0.25">
      <c r="A511" s="7" t="s">
        <v>540</v>
      </c>
      <c r="B511" s="7" t="s">
        <v>20</v>
      </c>
      <c r="C511" s="7" t="s">
        <v>21</v>
      </c>
      <c r="D511" s="7" t="s">
        <v>15</v>
      </c>
      <c r="E511" s="7" t="s">
        <v>16</v>
      </c>
      <c r="F511" s="7" t="s">
        <v>27</v>
      </c>
      <c r="G511" s="7" t="str">
        <f t="shared" si="22"/>
        <v>Friday</v>
      </c>
      <c r="H511" s="7" t="str">
        <f t="shared" si="23"/>
        <v>Feb</v>
      </c>
      <c r="I511" s="8">
        <v>43505</v>
      </c>
      <c r="J511" s="8" t="str">
        <f t="shared" si="21"/>
        <v>Evening</v>
      </c>
      <c r="K511" s="9">
        <v>0.71875</v>
      </c>
      <c r="L511" s="7" t="s">
        <v>28</v>
      </c>
      <c r="M511" s="10">
        <v>4.7850000000000001</v>
      </c>
      <c r="N511" s="7">
        <v>5.0999999999999996</v>
      </c>
    </row>
    <row r="512" spans="1:14" x14ac:dyDescent="0.25">
      <c r="A512" s="7" t="s">
        <v>541</v>
      </c>
      <c r="B512" s="7" t="s">
        <v>37</v>
      </c>
      <c r="C512" s="7" t="s">
        <v>38</v>
      </c>
      <c r="D512" s="7" t="s">
        <v>15</v>
      </c>
      <c r="E512" s="7" t="s">
        <v>16</v>
      </c>
      <c r="F512" s="7" t="s">
        <v>31</v>
      </c>
      <c r="G512" s="7" t="str">
        <f t="shared" si="22"/>
        <v>Monday</v>
      </c>
      <c r="H512" s="7" t="str">
        <f t="shared" si="23"/>
        <v>Jan</v>
      </c>
      <c r="I512" s="8">
        <v>43481</v>
      </c>
      <c r="J512" s="8" t="str">
        <f t="shared" si="21"/>
        <v>Evening</v>
      </c>
      <c r="K512" s="9">
        <v>0.75208333333333333</v>
      </c>
      <c r="L512" s="7" t="s">
        <v>28</v>
      </c>
      <c r="M512" s="10">
        <v>31.759</v>
      </c>
      <c r="N512" s="7">
        <v>6.2</v>
      </c>
    </row>
    <row r="513" spans="1:14" x14ac:dyDescent="0.25">
      <c r="A513" s="7" t="s">
        <v>542</v>
      </c>
      <c r="B513" s="7" t="s">
        <v>13</v>
      </c>
      <c r="C513" s="7" t="s">
        <v>14</v>
      </c>
      <c r="D513" s="7" t="s">
        <v>22</v>
      </c>
      <c r="E513" s="7" t="s">
        <v>16</v>
      </c>
      <c r="F513" s="7" t="s">
        <v>27</v>
      </c>
      <c r="G513" s="7" t="str">
        <f t="shared" si="22"/>
        <v>Sunday</v>
      </c>
      <c r="H513" s="7" t="str">
        <f t="shared" si="23"/>
        <v>Jan</v>
      </c>
      <c r="I513" s="8">
        <v>43470</v>
      </c>
      <c r="J513" s="8" t="str">
        <f t="shared" si="21"/>
        <v>Evening</v>
      </c>
      <c r="K513" s="9">
        <v>0.7284722222222223</v>
      </c>
      <c r="L513" s="7" t="s">
        <v>18</v>
      </c>
      <c r="M513" s="10">
        <v>10.727499999999999</v>
      </c>
      <c r="N513" s="7">
        <v>6.1</v>
      </c>
    </row>
    <row r="514" spans="1:14" x14ac:dyDescent="0.25">
      <c r="A514" s="7" t="s">
        <v>543</v>
      </c>
      <c r="B514" s="7" t="s">
        <v>13</v>
      </c>
      <c r="C514" s="7" t="s">
        <v>14</v>
      </c>
      <c r="D514" s="7" t="s">
        <v>22</v>
      </c>
      <c r="E514" s="7" t="s">
        <v>16</v>
      </c>
      <c r="F514" s="7" t="s">
        <v>41</v>
      </c>
      <c r="G514" s="7" t="str">
        <f t="shared" si="22"/>
        <v>Wednesday</v>
      </c>
      <c r="H514" s="7" t="str">
        <f t="shared" si="23"/>
        <v>Jan</v>
      </c>
      <c r="I514" s="8">
        <v>43492</v>
      </c>
      <c r="J514" s="8" t="str">
        <f t="shared" ref="J514:J577" si="24">IF(AND(K514&gt;=TIME(9,0,0),K514&lt;TIME(12,0,0)),"Morning",IF(AND(K514&gt;=TIME(12,0,0),K514&lt;TIME(16,0,0)),"Afternoon","Evening"))</f>
        <v>Evening</v>
      </c>
      <c r="K514" s="9">
        <v>0.75347222222222221</v>
      </c>
      <c r="L514" s="7" t="s">
        <v>18</v>
      </c>
      <c r="M514" s="10">
        <v>18.998000000000001</v>
      </c>
      <c r="N514" s="7">
        <v>9.3000000000000007</v>
      </c>
    </row>
    <row r="515" spans="1:14" x14ac:dyDescent="0.25">
      <c r="A515" s="7" t="s">
        <v>544</v>
      </c>
      <c r="B515" s="7" t="s">
        <v>13</v>
      </c>
      <c r="C515" s="7" t="s">
        <v>14</v>
      </c>
      <c r="D515" s="7" t="s">
        <v>22</v>
      </c>
      <c r="E515" s="7" t="s">
        <v>26</v>
      </c>
      <c r="F515" s="7" t="s">
        <v>23</v>
      </c>
      <c r="G515" s="7" t="str">
        <f t="shared" ref="G515:G578" si="25">TEXT(I515/7,"dddd")</f>
        <v>Tuesday</v>
      </c>
      <c r="H515" s="7" t="str">
        <f t="shared" ref="H515:H578" si="26">TEXT(I515,"mmm")</f>
        <v>Mar</v>
      </c>
      <c r="I515" s="8">
        <v>43538</v>
      </c>
      <c r="J515" s="8" t="str">
        <f t="shared" si="24"/>
        <v>Afternoon</v>
      </c>
      <c r="K515" s="9">
        <v>0.50486111111111109</v>
      </c>
      <c r="L515" s="7" t="s">
        <v>24</v>
      </c>
      <c r="M515" s="10">
        <v>34.842500000000001</v>
      </c>
      <c r="N515" s="7">
        <v>7.6</v>
      </c>
    </row>
    <row r="516" spans="1:14" x14ac:dyDescent="0.25">
      <c r="A516" s="7" t="s">
        <v>545</v>
      </c>
      <c r="B516" s="7" t="s">
        <v>20</v>
      </c>
      <c r="C516" s="7" t="s">
        <v>21</v>
      </c>
      <c r="D516" s="7" t="s">
        <v>15</v>
      </c>
      <c r="E516" s="7" t="s">
        <v>26</v>
      </c>
      <c r="F516" s="7" t="s">
        <v>31</v>
      </c>
      <c r="G516" s="7" t="str">
        <f t="shared" si="25"/>
        <v>Sunday</v>
      </c>
      <c r="H516" s="7" t="str">
        <f t="shared" si="26"/>
        <v>Feb</v>
      </c>
      <c r="I516" s="8">
        <v>43519</v>
      </c>
      <c r="J516" s="8" t="str">
        <f t="shared" si="24"/>
        <v>Evening</v>
      </c>
      <c r="K516" s="9">
        <v>0.8256944444444444</v>
      </c>
      <c r="L516" s="7" t="s">
        <v>28</v>
      </c>
      <c r="M516" s="10">
        <v>20.436499999999999</v>
      </c>
      <c r="N516" s="7">
        <v>8.1999999999999993</v>
      </c>
    </row>
    <row r="517" spans="1:14" x14ac:dyDescent="0.25">
      <c r="A517" s="7" t="s">
        <v>546</v>
      </c>
      <c r="B517" s="7" t="s">
        <v>20</v>
      </c>
      <c r="C517" s="7" t="s">
        <v>21</v>
      </c>
      <c r="D517" s="7" t="s">
        <v>15</v>
      </c>
      <c r="E517" s="7" t="s">
        <v>16</v>
      </c>
      <c r="F517" s="7" t="s">
        <v>41</v>
      </c>
      <c r="G517" s="7" t="str">
        <f t="shared" si="25"/>
        <v>Wednesday</v>
      </c>
      <c r="H517" s="7" t="str">
        <f t="shared" si="26"/>
        <v>Mar</v>
      </c>
      <c r="I517" s="8">
        <v>43542</v>
      </c>
      <c r="J517" s="8" t="str">
        <f t="shared" si="24"/>
        <v>Afternoon</v>
      </c>
      <c r="K517" s="9">
        <v>0.66111111111111109</v>
      </c>
      <c r="L517" s="7" t="s">
        <v>18</v>
      </c>
      <c r="M517" s="10">
        <v>2.5735000000000001</v>
      </c>
      <c r="N517" s="7">
        <v>8.5</v>
      </c>
    </row>
    <row r="518" spans="1:14" x14ac:dyDescent="0.25">
      <c r="A518" s="7" t="s">
        <v>547</v>
      </c>
      <c r="B518" s="7" t="s">
        <v>37</v>
      </c>
      <c r="C518" s="7" t="s">
        <v>38</v>
      </c>
      <c r="D518" s="7" t="s">
        <v>15</v>
      </c>
      <c r="E518" s="7" t="s">
        <v>26</v>
      </c>
      <c r="F518" s="7" t="s">
        <v>17</v>
      </c>
      <c r="G518" s="7" t="str">
        <f t="shared" si="25"/>
        <v>Thursday</v>
      </c>
      <c r="H518" s="7" t="str">
        <f t="shared" si="26"/>
        <v>Mar</v>
      </c>
      <c r="I518" s="8">
        <v>43553</v>
      </c>
      <c r="J518" s="8" t="str">
        <f t="shared" si="24"/>
        <v>Evening</v>
      </c>
      <c r="K518" s="9">
        <v>0.70000000000000007</v>
      </c>
      <c r="L518" s="7" t="s">
        <v>18</v>
      </c>
      <c r="M518" s="10">
        <v>13.715</v>
      </c>
      <c r="N518" s="7">
        <v>9.8000000000000007</v>
      </c>
    </row>
    <row r="519" spans="1:14" x14ac:dyDescent="0.25">
      <c r="A519" s="7" t="s">
        <v>548</v>
      </c>
      <c r="B519" s="7" t="s">
        <v>20</v>
      </c>
      <c r="C519" s="7" t="s">
        <v>21</v>
      </c>
      <c r="D519" s="7" t="s">
        <v>15</v>
      </c>
      <c r="E519" s="7" t="s">
        <v>26</v>
      </c>
      <c r="F519" s="7" t="s">
        <v>27</v>
      </c>
      <c r="G519" s="7" t="str">
        <f t="shared" si="25"/>
        <v>Tuesday</v>
      </c>
      <c r="H519" s="7" t="str">
        <f t="shared" si="26"/>
        <v>Jan</v>
      </c>
      <c r="I519" s="8">
        <v>43487</v>
      </c>
      <c r="J519" s="8" t="str">
        <f t="shared" si="24"/>
        <v>Evening</v>
      </c>
      <c r="K519" s="9">
        <v>0.8652777777777777</v>
      </c>
      <c r="L519" s="7" t="s">
        <v>28</v>
      </c>
      <c r="M519" s="10">
        <v>9.8475000000000001</v>
      </c>
      <c r="N519" s="7">
        <v>8.6999999999999993</v>
      </c>
    </row>
    <row r="520" spans="1:14" x14ac:dyDescent="0.25">
      <c r="A520" s="7" t="s">
        <v>549</v>
      </c>
      <c r="B520" s="7" t="s">
        <v>13</v>
      </c>
      <c r="C520" s="7" t="s">
        <v>14</v>
      </c>
      <c r="D520" s="7" t="s">
        <v>22</v>
      </c>
      <c r="E520" s="7" t="s">
        <v>26</v>
      </c>
      <c r="F520" s="7" t="s">
        <v>27</v>
      </c>
      <c r="G520" s="7" t="str">
        <f t="shared" si="25"/>
        <v>Sunday</v>
      </c>
      <c r="H520" s="7" t="str">
        <f t="shared" si="26"/>
        <v>Mar</v>
      </c>
      <c r="I520" s="8">
        <v>43525</v>
      </c>
      <c r="J520" s="8" t="str">
        <f t="shared" si="24"/>
        <v>Evening</v>
      </c>
      <c r="K520" s="9">
        <v>0.7597222222222223</v>
      </c>
      <c r="L520" s="7" t="s">
        <v>18</v>
      </c>
      <c r="M520" s="10">
        <v>3.4729999999999999</v>
      </c>
      <c r="N520" s="7">
        <v>9.6999999999999993</v>
      </c>
    </row>
    <row r="521" spans="1:14" x14ac:dyDescent="0.25">
      <c r="A521" s="7" t="s">
        <v>550</v>
      </c>
      <c r="B521" s="7" t="s">
        <v>20</v>
      </c>
      <c r="C521" s="7" t="s">
        <v>21</v>
      </c>
      <c r="D521" s="7" t="s">
        <v>15</v>
      </c>
      <c r="E521" s="7" t="s">
        <v>26</v>
      </c>
      <c r="F521" s="7" t="s">
        <v>31</v>
      </c>
      <c r="G521" s="7" t="str">
        <f t="shared" si="25"/>
        <v>Monday</v>
      </c>
      <c r="H521" s="7" t="str">
        <f t="shared" si="26"/>
        <v>Jan</v>
      </c>
      <c r="I521" s="8">
        <v>43482</v>
      </c>
      <c r="J521" s="8" t="str">
        <f t="shared" si="24"/>
        <v>Afternoon</v>
      </c>
      <c r="K521" s="9">
        <v>0.62847222222222221</v>
      </c>
      <c r="L521" s="7" t="s">
        <v>28</v>
      </c>
      <c r="M521" s="10">
        <v>17.98</v>
      </c>
      <c r="N521" s="7">
        <v>4.3</v>
      </c>
    </row>
    <row r="522" spans="1:14" x14ac:dyDescent="0.25">
      <c r="A522" s="7" t="s">
        <v>551</v>
      </c>
      <c r="B522" s="7" t="s">
        <v>37</v>
      </c>
      <c r="C522" s="7" t="s">
        <v>38</v>
      </c>
      <c r="D522" s="7" t="s">
        <v>22</v>
      </c>
      <c r="E522" s="7" t="s">
        <v>16</v>
      </c>
      <c r="F522" s="7" t="s">
        <v>23</v>
      </c>
      <c r="G522" s="7" t="str">
        <f t="shared" si="25"/>
        <v>Thursday</v>
      </c>
      <c r="H522" s="7" t="str">
        <f t="shared" si="26"/>
        <v>Mar</v>
      </c>
      <c r="I522" s="8">
        <v>43550</v>
      </c>
      <c r="J522" s="8" t="str">
        <f t="shared" si="24"/>
        <v>Morning</v>
      </c>
      <c r="K522" s="9">
        <v>0.44027777777777777</v>
      </c>
      <c r="L522" s="7" t="s">
        <v>28</v>
      </c>
      <c r="M522" s="10">
        <v>6.8564999999999996</v>
      </c>
      <c r="N522" s="7">
        <v>7.7</v>
      </c>
    </row>
    <row r="523" spans="1:14" x14ac:dyDescent="0.25">
      <c r="A523" s="7" t="s">
        <v>552</v>
      </c>
      <c r="B523" s="7" t="s">
        <v>20</v>
      </c>
      <c r="C523" s="7" t="s">
        <v>21</v>
      </c>
      <c r="D523" s="7" t="s">
        <v>15</v>
      </c>
      <c r="E523" s="7" t="s">
        <v>16</v>
      </c>
      <c r="F523" s="7" t="s">
        <v>27</v>
      </c>
      <c r="G523" s="7" t="str">
        <f t="shared" si="25"/>
        <v>Wednesday</v>
      </c>
      <c r="H523" s="7" t="str">
        <f t="shared" si="26"/>
        <v>Mar</v>
      </c>
      <c r="I523" s="8">
        <v>43544</v>
      </c>
      <c r="J523" s="8" t="str">
        <f t="shared" si="24"/>
        <v>Morning</v>
      </c>
      <c r="K523" s="9">
        <v>0.47430555555555554</v>
      </c>
      <c r="L523" s="7" t="s">
        <v>24</v>
      </c>
      <c r="M523" s="10">
        <v>24.951000000000001</v>
      </c>
      <c r="N523" s="7">
        <v>7.3</v>
      </c>
    </row>
    <row r="524" spans="1:14" x14ac:dyDescent="0.25">
      <c r="A524" s="7" t="s">
        <v>553</v>
      </c>
      <c r="B524" s="7" t="s">
        <v>13</v>
      </c>
      <c r="C524" s="7" t="s">
        <v>14</v>
      </c>
      <c r="D524" s="7" t="s">
        <v>15</v>
      </c>
      <c r="E524" s="7" t="s">
        <v>16</v>
      </c>
      <c r="F524" s="7" t="s">
        <v>27</v>
      </c>
      <c r="G524" s="7" t="str">
        <f t="shared" si="25"/>
        <v>Thursday</v>
      </c>
      <c r="H524" s="7" t="str">
        <f t="shared" si="26"/>
        <v>Feb</v>
      </c>
      <c r="I524" s="8">
        <v>43502</v>
      </c>
      <c r="J524" s="8" t="str">
        <f t="shared" si="24"/>
        <v>Afternoon</v>
      </c>
      <c r="K524" s="9">
        <v>0.57986111111111105</v>
      </c>
      <c r="L524" s="7" t="s">
        <v>28</v>
      </c>
      <c r="M524" s="10">
        <v>11.231999999999999</v>
      </c>
      <c r="N524" s="7">
        <v>5.9</v>
      </c>
    </row>
    <row r="525" spans="1:14" x14ac:dyDescent="0.25">
      <c r="A525" s="7" t="s">
        <v>554</v>
      </c>
      <c r="B525" s="7" t="s">
        <v>20</v>
      </c>
      <c r="C525" s="7" t="s">
        <v>21</v>
      </c>
      <c r="D525" s="7" t="s">
        <v>22</v>
      </c>
      <c r="E525" s="7" t="s">
        <v>26</v>
      </c>
      <c r="F525" s="7" t="s">
        <v>17</v>
      </c>
      <c r="G525" s="7" t="str">
        <f t="shared" si="25"/>
        <v>Saturday</v>
      </c>
      <c r="H525" s="7" t="str">
        <f t="shared" si="26"/>
        <v>Jan</v>
      </c>
      <c r="I525" s="8">
        <v>43466</v>
      </c>
      <c r="J525" s="8" t="str">
        <f t="shared" si="24"/>
        <v>Morning</v>
      </c>
      <c r="K525" s="9">
        <v>0.48819444444444443</v>
      </c>
      <c r="L525" s="7" t="s">
        <v>24</v>
      </c>
      <c r="M525" s="10">
        <v>6.2869999999999999</v>
      </c>
      <c r="N525" s="7">
        <v>5</v>
      </c>
    </row>
    <row r="526" spans="1:14" x14ac:dyDescent="0.25">
      <c r="A526" s="7" t="s">
        <v>555</v>
      </c>
      <c r="B526" s="7" t="s">
        <v>13</v>
      </c>
      <c r="C526" s="7" t="s">
        <v>14</v>
      </c>
      <c r="D526" s="7" t="s">
        <v>22</v>
      </c>
      <c r="E526" s="7" t="s">
        <v>26</v>
      </c>
      <c r="F526" s="7" t="s">
        <v>39</v>
      </c>
      <c r="G526" s="7" t="str">
        <f t="shared" si="25"/>
        <v>Wednesday</v>
      </c>
      <c r="H526" s="7" t="str">
        <f t="shared" si="26"/>
        <v>Jan</v>
      </c>
      <c r="I526" s="8">
        <v>43492</v>
      </c>
      <c r="J526" s="8" t="str">
        <f t="shared" si="24"/>
        <v>Afternoon</v>
      </c>
      <c r="K526" s="9">
        <v>0.60833333333333328</v>
      </c>
      <c r="L526" s="7" t="s">
        <v>28</v>
      </c>
      <c r="M526" s="10">
        <v>24.513000000000002</v>
      </c>
      <c r="N526" s="7">
        <v>8</v>
      </c>
    </row>
    <row r="527" spans="1:14" x14ac:dyDescent="0.25">
      <c r="A527" s="7" t="s">
        <v>556</v>
      </c>
      <c r="B527" s="7" t="s">
        <v>13</v>
      </c>
      <c r="C527" s="7" t="s">
        <v>14</v>
      </c>
      <c r="D527" s="7" t="s">
        <v>15</v>
      </c>
      <c r="E527" s="7" t="s">
        <v>16</v>
      </c>
      <c r="F527" s="7" t="s">
        <v>31</v>
      </c>
      <c r="G527" s="7" t="str">
        <f t="shared" si="25"/>
        <v>Sunday</v>
      </c>
      <c r="H527" s="7" t="str">
        <f t="shared" si="26"/>
        <v>Feb</v>
      </c>
      <c r="I527" s="8">
        <v>43521</v>
      </c>
      <c r="J527" s="8" t="str">
        <f t="shared" si="24"/>
        <v>Evening</v>
      </c>
      <c r="K527" s="9">
        <v>0.66875000000000007</v>
      </c>
      <c r="L527" s="7" t="s">
        <v>18</v>
      </c>
      <c r="M527" s="10">
        <v>22.852499999999999</v>
      </c>
      <c r="N527" s="7">
        <v>7.1</v>
      </c>
    </row>
    <row r="528" spans="1:14" x14ac:dyDescent="0.25">
      <c r="A528" s="7" t="s">
        <v>557</v>
      </c>
      <c r="B528" s="7" t="s">
        <v>37</v>
      </c>
      <c r="C528" s="7" t="s">
        <v>38</v>
      </c>
      <c r="D528" s="7" t="s">
        <v>22</v>
      </c>
      <c r="E528" s="7" t="s">
        <v>26</v>
      </c>
      <c r="F528" s="7" t="s">
        <v>41</v>
      </c>
      <c r="G528" s="7" t="str">
        <f t="shared" si="25"/>
        <v>Monday</v>
      </c>
      <c r="H528" s="7" t="str">
        <f t="shared" si="26"/>
        <v>Jan</v>
      </c>
      <c r="I528" s="8">
        <v>43481</v>
      </c>
      <c r="J528" s="8" t="str">
        <f t="shared" si="24"/>
        <v>Evening</v>
      </c>
      <c r="K528" s="9">
        <v>0.8354166666666667</v>
      </c>
      <c r="L528" s="7" t="s">
        <v>28</v>
      </c>
      <c r="M528" s="10">
        <v>7.8419999999999996</v>
      </c>
      <c r="N528" s="7">
        <v>9</v>
      </c>
    </row>
    <row r="529" spans="1:14" x14ac:dyDescent="0.25">
      <c r="A529" s="7" t="s">
        <v>558</v>
      </c>
      <c r="B529" s="7" t="s">
        <v>37</v>
      </c>
      <c r="C529" s="7" t="s">
        <v>38</v>
      </c>
      <c r="D529" s="7" t="s">
        <v>15</v>
      </c>
      <c r="E529" s="7" t="s">
        <v>26</v>
      </c>
      <c r="F529" s="7" t="s">
        <v>41</v>
      </c>
      <c r="G529" s="7" t="str">
        <f t="shared" si="25"/>
        <v>Monday</v>
      </c>
      <c r="H529" s="7" t="str">
        <f t="shared" si="26"/>
        <v>Jan</v>
      </c>
      <c r="I529" s="8">
        <v>43478</v>
      </c>
      <c r="J529" s="8" t="str">
        <f t="shared" si="24"/>
        <v>Afternoon</v>
      </c>
      <c r="K529" s="9">
        <v>0.62152777777777779</v>
      </c>
      <c r="L529" s="7" t="s">
        <v>18</v>
      </c>
      <c r="M529" s="10">
        <v>5.9859999999999998</v>
      </c>
      <c r="N529" s="7">
        <v>6.7</v>
      </c>
    </row>
    <row r="530" spans="1:14" x14ac:dyDescent="0.25">
      <c r="A530" s="7" t="s">
        <v>559</v>
      </c>
      <c r="B530" s="7" t="s">
        <v>37</v>
      </c>
      <c r="C530" s="7" t="s">
        <v>38</v>
      </c>
      <c r="D530" s="7" t="s">
        <v>15</v>
      </c>
      <c r="E530" s="7" t="s">
        <v>16</v>
      </c>
      <c r="F530" s="7" t="s">
        <v>39</v>
      </c>
      <c r="G530" s="7" t="str">
        <f t="shared" si="25"/>
        <v>Thursday</v>
      </c>
      <c r="H530" s="7" t="str">
        <f t="shared" si="26"/>
        <v>Feb</v>
      </c>
      <c r="I530" s="8">
        <v>43503</v>
      </c>
      <c r="J530" s="8" t="str">
        <f t="shared" si="24"/>
        <v>Morning</v>
      </c>
      <c r="K530" s="9">
        <v>0.4777777777777778</v>
      </c>
      <c r="L530" s="7" t="s">
        <v>28</v>
      </c>
      <c r="M530" s="10">
        <v>27.18</v>
      </c>
      <c r="N530" s="7">
        <v>6.1</v>
      </c>
    </row>
    <row r="531" spans="1:14" x14ac:dyDescent="0.25">
      <c r="A531" s="7" t="s">
        <v>560</v>
      </c>
      <c r="B531" s="7" t="s">
        <v>13</v>
      </c>
      <c r="C531" s="7" t="s">
        <v>14</v>
      </c>
      <c r="D531" s="7" t="s">
        <v>22</v>
      </c>
      <c r="E531" s="7" t="s">
        <v>26</v>
      </c>
      <c r="F531" s="7" t="s">
        <v>31</v>
      </c>
      <c r="G531" s="7" t="str">
        <f t="shared" si="25"/>
        <v>Saturday</v>
      </c>
      <c r="H531" s="7" t="str">
        <f t="shared" si="26"/>
        <v>Feb</v>
      </c>
      <c r="I531" s="8">
        <v>43513</v>
      </c>
      <c r="J531" s="8" t="str">
        <f t="shared" si="24"/>
        <v>Evening</v>
      </c>
      <c r="K531" s="9">
        <v>0.82013888888888886</v>
      </c>
      <c r="L531" s="7" t="s">
        <v>24</v>
      </c>
      <c r="M531" s="10">
        <v>44.140500000000003</v>
      </c>
      <c r="N531" s="7">
        <v>9.3000000000000007</v>
      </c>
    </row>
    <row r="532" spans="1:14" x14ac:dyDescent="0.25">
      <c r="A532" s="7" t="s">
        <v>561</v>
      </c>
      <c r="B532" s="7" t="s">
        <v>13</v>
      </c>
      <c r="C532" s="7" t="s">
        <v>14</v>
      </c>
      <c r="D532" s="7" t="s">
        <v>22</v>
      </c>
      <c r="E532" s="7" t="s">
        <v>26</v>
      </c>
      <c r="F532" s="7" t="s">
        <v>17</v>
      </c>
      <c r="G532" s="7" t="str">
        <f t="shared" si="25"/>
        <v>Friday</v>
      </c>
      <c r="H532" s="7" t="str">
        <f t="shared" si="26"/>
        <v>Feb</v>
      </c>
      <c r="I532" s="8">
        <v>43508</v>
      </c>
      <c r="J532" s="8" t="str">
        <f t="shared" si="24"/>
        <v>Evening</v>
      </c>
      <c r="K532" s="9">
        <v>0.79236111111111107</v>
      </c>
      <c r="L532" s="7" t="s">
        <v>18</v>
      </c>
      <c r="M532" s="10">
        <v>7.6289999999999996</v>
      </c>
      <c r="N532" s="7">
        <v>7</v>
      </c>
    </row>
    <row r="533" spans="1:14" x14ac:dyDescent="0.25">
      <c r="A533" s="7" t="s">
        <v>562</v>
      </c>
      <c r="B533" s="7" t="s">
        <v>13</v>
      </c>
      <c r="C533" s="7" t="s">
        <v>14</v>
      </c>
      <c r="D533" s="7" t="s">
        <v>15</v>
      </c>
      <c r="E533" s="7" t="s">
        <v>26</v>
      </c>
      <c r="F533" s="7" t="s">
        <v>41</v>
      </c>
      <c r="G533" s="7" t="str">
        <f t="shared" si="25"/>
        <v>Tuesday</v>
      </c>
      <c r="H533" s="7" t="str">
        <f t="shared" si="26"/>
        <v>Jan</v>
      </c>
      <c r="I533" s="8">
        <v>43489</v>
      </c>
      <c r="J533" s="8" t="str">
        <f t="shared" si="24"/>
        <v>Evening</v>
      </c>
      <c r="K533" s="9">
        <v>0.75277777777777777</v>
      </c>
      <c r="L533" s="7" t="s">
        <v>28</v>
      </c>
      <c r="M533" s="10">
        <v>34.671999999999997</v>
      </c>
      <c r="N533" s="7">
        <v>7.2</v>
      </c>
    </row>
    <row r="534" spans="1:14" x14ac:dyDescent="0.25">
      <c r="A534" s="7" t="s">
        <v>563</v>
      </c>
      <c r="B534" s="7" t="s">
        <v>37</v>
      </c>
      <c r="C534" s="7" t="s">
        <v>38</v>
      </c>
      <c r="D534" s="7" t="s">
        <v>22</v>
      </c>
      <c r="E534" s="7" t="s">
        <v>26</v>
      </c>
      <c r="F534" s="7" t="s">
        <v>23</v>
      </c>
      <c r="G534" s="7" t="str">
        <f t="shared" si="25"/>
        <v>Thursday</v>
      </c>
      <c r="H534" s="7" t="str">
        <f t="shared" si="26"/>
        <v>Feb</v>
      </c>
      <c r="I534" s="8">
        <v>43502</v>
      </c>
      <c r="J534" s="8" t="str">
        <f t="shared" si="24"/>
        <v>Evening</v>
      </c>
      <c r="K534" s="9">
        <v>0.80555555555555547</v>
      </c>
      <c r="L534" s="7" t="s">
        <v>18</v>
      </c>
      <c r="M534" s="10">
        <v>11.475</v>
      </c>
      <c r="N534" s="7">
        <v>8.1999999999999993</v>
      </c>
    </row>
    <row r="535" spans="1:14" x14ac:dyDescent="0.25">
      <c r="A535" s="7" t="s">
        <v>564</v>
      </c>
      <c r="B535" s="7" t="s">
        <v>20</v>
      </c>
      <c r="C535" s="7" t="s">
        <v>21</v>
      </c>
      <c r="D535" s="7" t="s">
        <v>22</v>
      </c>
      <c r="E535" s="7" t="s">
        <v>16</v>
      </c>
      <c r="F535" s="7" t="s">
        <v>39</v>
      </c>
      <c r="G535" s="7" t="str">
        <f t="shared" si="25"/>
        <v>Thursday</v>
      </c>
      <c r="H535" s="7" t="str">
        <f t="shared" si="26"/>
        <v>Mar</v>
      </c>
      <c r="I535" s="8">
        <v>43550</v>
      </c>
      <c r="J535" s="8" t="str">
        <f t="shared" si="24"/>
        <v>Morning</v>
      </c>
      <c r="K535" s="9">
        <v>0.4381944444444445</v>
      </c>
      <c r="L535" s="7" t="s">
        <v>18</v>
      </c>
      <c r="M535" s="10">
        <v>7.3395000000000001</v>
      </c>
      <c r="N535" s="7">
        <v>8.4</v>
      </c>
    </row>
    <row r="536" spans="1:14" x14ac:dyDescent="0.25">
      <c r="A536" s="7" t="s">
        <v>565</v>
      </c>
      <c r="B536" s="7" t="s">
        <v>13</v>
      </c>
      <c r="C536" s="7" t="s">
        <v>14</v>
      </c>
      <c r="D536" s="7" t="s">
        <v>22</v>
      </c>
      <c r="E536" s="7" t="s">
        <v>16</v>
      </c>
      <c r="F536" s="7" t="s">
        <v>27</v>
      </c>
      <c r="G536" s="7" t="str">
        <f t="shared" si="25"/>
        <v>Tuesday</v>
      </c>
      <c r="H536" s="7" t="str">
        <f t="shared" si="26"/>
        <v>Mar</v>
      </c>
      <c r="I536" s="8">
        <v>43535</v>
      </c>
      <c r="J536" s="8" t="str">
        <f t="shared" si="24"/>
        <v>Afternoon</v>
      </c>
      <c r="K536" s="9">
        <v>0.56111111111111112</v>
      </c>
      <c r="L536" s="7" t="s">
        <v>18</v>
      </c>
      <c r="M536" s="10">
        <v>7.08</v>
      </c>
      <c r="N536" s="7">
        <v>6.2</v>
      </c>
    </row>
    <row r="537" spans="1:14" x14ac:dyDescent="0.25">
      <c r="A537" s="7" t="s">
        <v>566</v>
      </c>
      <c r="B537" s="7" t="s">
        <v>20</v>
      </c>
      <c r="C537" s="7" t="s">
        <v>21</v>
      </c>
      <c r="D537" s="7" t="s">
        <v>22</v>
      </c>
      <c r="E537" s="7" t="s">
        <v>26</v>
      </c>
      <c r="F537" s="7" t="s">
        <v>27</v>
      </c>
      <c r="G537" s="7" t="str">
        <f t="shared" si="25"/>
        <v>Thursday</v>
      </c>
      <c r="H537" s="7" t="str">
        <f t="shared" si="26"/>
        <v>Feb</v>
      </c>
      <c r="I537" s="8">
        <v>43503</v>
      </c>
      <c r="J537" s="8" t="str">
        <f t="shared" si="24"/>
        <v>Morning</v>
      </c>
      <c r="K537" s="9">
        <v>0.48333333333333334</v>
      </c>
      <c r="L537" s="7" t="s">
        <v>18</v>
      </c>
      <c r="M537" s="10">
        <v>5.8345000000000002</v>
      </c>
      <c r="N537" s="7">
        <v>7.4</v>
      </c>
    </row>
    <row r="538" spans="1:14" x14ac:dyDescent="0.25">
      <c r="A538" s="7" t="s">
        <v>567</v>
      </c>
      <c r="B538" s="7" t="s">
        <v>37</v>
      </c>
      <c r="C538" s="7" t="s">
        <v>38</v>
      </c>
      <c r="D538" s="7" t="s">
        <v>15</v>
      </c>
      <c r="E538" s="7" t="s">
        <v>16</v>
      </c>
      <c r="F538" s="7" t="s">
        <v>41</v>
      </c>
      <c r="G538" s="7" t="str">
        <f t="shared" si="25"/>
        <v>Sunday</v>
      </c>
      <c r="H538" s="7" t="str">
        <f t="shared" si="26"/>
        <v>Jan</v>
      </c>
      <c r="I538" s="8">
        <v>43470</v>
      </c>
      <c r="J538" s="8" t="str">
        <f t="shared" si="24"/>
        <v>Morning</v>
      </c>
      <c r="K538" s="9">
        <v>0.48055555555555557</v>
      </c>
      <c r="L538" s="7" t="s">
        <v>28</v>
      </c>
      <c r="M538" s="10">
        <v>3.698</v>
      </c>
      <c r="N538" s="7">
        <v>5</v>
      </c>
    </row>
    <row r="539" spans="1:14" x14ac:dyDescent="0.25">
      <c r="A539" s="7" t="s">
        <v>568</v>
      </c>
      <c r="B539" s="7" t="s">
        <v>13</v>
      </c>
      <c r="C539" s="7" t="s">
        <v>14</v>
      </c>
      <c r="D539" s="7" t="s">
        <v>22</v>
      </c>
      <c r="E539" s="7" t="s">
        <v>26</v>
      </c>
      <c r="F539" s="7" t="s">
        <v>27</v>
      </c>
      <c r="G539" s="7" t="str">
        <f t="shared" si="25"/>
        <v>Monday</v>
      </c>
      <c r="H539" s="7" t="str">
        <f t="shared" si="26"/>
        <v>Mar</v>
      </c>
      <c r="I539" s="8">
        <v>43531</v>
      </c>
      <c r="J539" s="8" t="str">
        <f t="shared" si="24"/>
        <v>Morning</v>
      </c>
      <c r="K539" s="9">
        <v>0.48888888888888887</v>
      </c>
      <c r="L539" s="7" t="s">
        <v>18</v>
      </c>
      <c r="M539" s="10">
        <v>4.8970000000000002</v>
      </c>
      <c r="N539" s="7">
        <v>6.9</v>
      </c>
    </row>
    <row r="540" spans="1:14" x14ac:dyDescent="0.25">
      <c r="A540" s="7" t="s">
        <v>569</v>
      </c>
      <c r="B540" s="7" t="s">
        <v>13</v>
      </c>
      <c r="C540" s="7" t="s">
        <v>14</v>
      </c>
      <c r="D540" s="7" t="s">
        <v>22</v>
      </c>
      <c r="E540" s="7" t="s">
        <v>16</v>
      </c>
      <c r="F540" s="7" t="s">
        <v>41</v>
      </c>
      <c r="G540" s="7" t="str">
        <f t="shared" si="25"/>
        <v>Sunday</v>
      </c>
      <c r="H540" s="7" t="str">
        <f t="shared" si="26"/>
        <v>Feb</v>
      </c>
      <c r="I540" s="8">
        <v>43521</v>
      </c>
      <c r="J540" s="8" t="str">
        <f t="shared" si="24"/>
        <v>Evening</v>
      </c>
      <c r="K540" s="9">
        <v>0.71944444444444444</v>
      </c>
      <c r="L540" s="7" t="s">
        <v>28</v>
      </c>
      <c r="M540" s="10">
        <v>14.61</v>
      </c>
      <c r="N540" s="7">
        <v>4.9000000000000004</v>
      </c>
    </row>
    <row r="541" spans="1:14" x14ac:dyDescent="0.25">
      <c r="A541" s="7" t="s">
        <v>570</v>
      </c>
      <c r="B541" s="7" t="s">
        <v>20</v>
      </c>
      <c r="C541" s="7" t="s">
        <v>21</v>
      </c>
      <c r="D541" s="7" t="s">
        <v>15</v>
      </c>
      <c r="E541" s="7" t="s">
        <v>16</v>
      </c>
      <c r="F541" s="7" t="s">
        <v>39</v>
      </c>
      <c r="G541" s="7" t="str">
        <f t="shared" si="25"/>
        <v>Wednesday</v>
      </c>
      <c r="H541" s="7" t="str">
        <f t="shared" si="26"/>
        <v>Feb</v>
      </c>
      <c r="I541" s="8">
        <v>43497</v>
      </c>
      <c r="J541" s="8" t="str">
        <f t="shared" si="24"/>
        <v>Evening</v>
      </c>
      <c r="K541" s="9">
        <v>0.77986111111111101</v>
      </c>
      <c r="L541" s="7" t="s">
        <v>18</v>
      </c>
      <c r="M541" s="10">
        <v>26.244</v>
      </c>
      <c r="N541" s="7">
        <v>5.0999999999999996</v>
      </c>
    </row>
    <row r="542" spans="1:14" x14ac:dyDescent="0.25">
      <c r="A542" s="7" t="s">
        <v>571</v>
      </c>
      <c r="B542" s="7" t="s">
        <v>13</v>
      </c>
      <c r="C542" s="7" t="s">
        <v>14</v>
      </c>
      <c r="D542" s="7" t="s">
        <v>22</v>
      </c>
      <c r="E542" s="7" t="s">
        <v>26</v>
      </c>
      <c r="F542" s="7" t="s">
        <v>27</v>
      </c>
      <c r="G542" s="7" t="str">
        <f t="shared" si="25"/>
        <v>Tuesday</v>
      </c>
      <c r="H542" s="7" t="str">
        <f t="shared" si="26"/>
        <v>Jan</v>
      </c>
      <c r="I542" s="8">
        <v>43487</v>
      </c>
      <c r="J542" s="8" t="str">
        <f t="shared" si="24"/>
        <v>Morning</v>
      </c>
      <c r="K542" s="9">
        <v>0.45833333333333331</v>
      </c>
      <c r="L542" s="7" t="s">
        <v>18</v>
      </c>
      <c r="M542" s="10">
        <v>4.6020000000000003</v>
      </c>
      <c r="N542" s="7">
        <v>9.1</v>
      </c>
    </row>
    <row r="543" spans="1:14" x14ac:dyDescent="0.25">
      <c r="A543" s="7" t="s">
        <v>572</v>
      </c>
      <c r="B543" s="7" t="s">
        <v>20</v>
      </c>
      <c r="C543" s="7" t="s">
        <v>21</v>
      </c>
      <c r="D543" s="7" t="s">
        <v>15</v>
      </c>
      <c r="E543" s="7" t="s">
        <v>26</v>
      </c>
      <c r="F543" s="7" t="s">
        <v>17</v>
      </c>
      <c r="G543" s="7" t="str">
        <f t="shared" si="25"/>
        <v>Saturday</v>
      </c>
      <c r="H543" s="7" t="str">
        <f t="shared" si="26"/>
        <v>Jan</v>
      </c>
      <c r="I543" s="8">
        <v>43468</v>
      </c>
      <c r="J543" s="8" t="str">
        <f t="shared" si="24"/>
        <v>Morning</v>
      </c>
      <c r="K543" s="9">
        <v>0.4375</v>
      </c>
      <c r="L543" s="7" t="s">
        <v>28</v>
      </c>
      <c r="M543" s="10">
        <v>3.794</v>
      </c>
      <c r="N543" s="7">
        <v>7.1</v>
      </c>
    </row>
    <row r="544" spans="1:14" x14ac:dyDescent="0.25">
      <c r="A544" s="7" t="s">
        <v>573</v>
      </c>
      <c r="B544" s="7" t="s">
        <v>37</v>
      </c>
      <c r="C544" s="7" t="s">
        <v>38</v>
      </c>
      <c r="D544" s="7" t="s">
        <v>15</v>
      </c>
      <c r="E544" s="7" t="s">
        <v>16</v>
      </c>
      <c r="F544" s="7" t="s">
        <v>31</v>
      </c>
      <c r="G544" s="7" t="str">
        <f t="shared" si="25"/>
        <v>Friday</v>
      </c>
      <c r="H544" s="7" t="str">
        <f t="shared" si="26"/>
        <v>Feb</v>
      </c>
      <c r="I544" s="8">
        <v>43509</v>
      </c>
      <c r="J544" s="8" t="str">
        <f t="shared" si="24"/>
        <v>Afternoon</v>
      </c>
      <c r="K544" s="9">
        <v>0.50972222222222219</v>
      </c>
      <c r="L544" s="7" t="s">
        <v>28</v>
      </c>
      <c r="M544" s="10">
        <v>4.0359999999999996</v>
      </c>
      <c r="N544" s="7">
        <v>5</v>
      </c>
    </row>
    <row r="545" spans="1:14" x14ac:dyDescent="0.25">
      <c r="A545" s="7" t="s">
        <v>574</v>
      </c>
      <c r="B545" s="7" t="s">
        <v>20</v>
      </c>
      <c r="C545" s="7" t="s">
        <v>21</v>
      </c>
      <c r="D545" s="7" t="s">
        <v>15</v>
      </c>
      <c r="E545" s="7" t="s">
        <v>26</v>
      </c>
      <c r="F545" s="7" t="s">
        <v>23</v>
      </c>
      <c r="G545" s="7" t="str">
        <f t="shared" si="25"/>
        <v>Wednesday</v>
      </c>
      <c r="H545" s="7" t="str">
        <f t="shared" si="26"/>
        <v>Jan</v>
      </c>
      <c r="I545" s="8">
        <v>43493</v>
      </c>
      <c r="J545" s="8" t="str">
        <f t="shared" si="24"/>
        <v>Evening</v>
      </c>
      <c r="K545" s="9">
        <v>0.69652777777777775</v>
      </c>
      <c r="L545" s="7" t="s">
        <v>28</v>
      </c>
      <c r="M545" s="10">
        <v>5.6310000000000002</v>
      </c>
      <c r="N545" s="7">
        <v>5.5</v>
      </c>
    </row>
    <row r="546" spans="1:14" x14ac:dyDescent="0.25">
      <c r="A546" s="7" t="s">
        <v>575</v>
      </c>
      <c r="B546" s="7" t="s">
        <v>37</v>
      </c>
      <c r="C546" s="7" t="s">
        <v>38</v>
      </c>
      <c r="D546" s="7" t="s">
        <v>22</v>
      </c>
      <c r="E546" s="7" t="s">
        <v>16</v>
      </c>
      <c r="F546" s="7" t="s">
        <v>39</v>
      </c>
      <c r="G546" s="7" t="str">
        <f t="shared" si="25"/>
        <v>Sunday</v>
      </c>
      <c r="H546" s="7" t="str">
        <f t="shared" si="26"/>
        <v>Jan</v>
      </c>
      <c r="I546" s="8">
        <v>43470</v>
      </c>
      <c r="J546" s="8" t="str">
        <f t="shared" si="24"/>
        <v>Evening</v>
      </c>
      <c r="K546" s="9">
        <v>0.86111111111111116</v>
      </c>
      <c r="L546" s="7" t="s">
        <v>28</v>
      </c>
      <c r="M546" s="10">
        <v>3.56</v>
      </c>
      <c r="N546" s="7">
        <v>9.1999999999999993</v>
      </c>
    </row>
    <row r="547" spans="1:14" x14ac:dyDescent="0.25">
      <c r="A547" s="7" t="s">
        <v>576</v>
      </c>
      <c r="B547" s="7" t="s">
        <v>37</v>
      </c>
      <c r="C547" s="7" t="s">
        <v>38</v>
      </c>
      <c r="D547" s="7" t="s">
        <v>15</v>
      </c>
      <c r="E547" s="7" t="s">
        <v>26</v>
      </c>
      <c r="F547" s="7" t="s">
        <v>27</v>
      </c>
      <c r="G547" s="7" t="str">
        <f t="shared" si="25"/>
        <v>Wednesday</v>
      </c>
      <c r="H547" s="7" t="str">
        <f t="shared" si="26"/>
        <v>Mar</v>
      </c>
      <c r="I547" s="8">
        <v>43543</v>
      </c>
      <c r="J547" s="8" t="str">
        <f t="shared" si="24"/>
        <v>Afternoon</v>
      </c>
      <c r="K547" s="9">
        <v>0.56944444444444442</v>
      </c>
      <c r="L547" s="7" t="s">
        <v>18</v>
      </c>
      <c r="M547" s="10">
        <v>7.7619999999999996</v>
      </c>
      <c r="N547" s="7">
        <v>4.9000000000000004</v>
      </c>
    </row>
    <row r="548" spans="1:14" x14ac:dyDescent="0.25">
      <c r="A548" s="7" t="s">
        <v>577</v>
      </c>
      <c r="B548" s="7" t="s">
        <v>13</v>
      </c>
      <c r="C548" s="7" t="s">
        <v>14</v>
      </c>
      <c r="D548" s="7" t="s">
        <v>22</v>
      </c>
      <c r="E548" s="7" t="s">
        <v>16</v>
      </c>
      <c r="F548" s="7" t="s">
        <v>41</v>
      </c>
      <c r="G548" s="7" t="str">
        <f t="shared" si="25"/>
        <v>Monday</v>
      </c>
      <c r="H548" s="7" t="str">
        <f t="shared" si="26"/>
        <v>Jan</v>
      </c>
      <c r="I548" s="8">
        <v>43477</v>
      </c>
      <c r="J548" s="8" t="str">
        <f t="shared" si="24"/>
        <v>Evening</v>
      </c>
      <c r="K548" s="9">
        <v>0.68263888888888891</v>
      </c>
      <c r="L548" s="7" t="s">
        <v>18</v>
      </c>
      <c r="M548" s="10">
        <v>14.71</v>
      </c>
      <c r="N548" s="7">
        <v>8.9</v>
      </c>
    </row>
    <row r="549" spans="1:14" x14ac:dyDescent="0.25">
      <c r="A549" s="7" t="s">
        <v>578</v>
      </c>
      <c r="B549" s="7" t="s">
        <v>13</v>
      </c>
      <c r="C549" s="7" t="s">
        <v>14</v>
      </c>
      <c r="D549" s="7" t="s">
        <v>22</v>
      </c>
      <c r="E549" s="7" t="s">
        <v>26</v>
      </c>
      <c r="F549" s="7" t="s">
        <v>31</v>
      </c>
      <c r="G549" s="7" t="str">
        <f t="shared" si="25"/>
        <v>Sunday</v>
      </c>
      <c r="H549" s="7" t="str">
        <f t="shared" si="26"/>
        <v>Jan</v>
      </c>
      <c r="I549" s="8">
        <v>43472</v>
      </c>
      <c r="J549" s="8" t="str">
        <f t="shared" si="24"/>
        <v>Afternoon</v>
      </c>
      <c r="K549" s="9">
        <v>0.50555555555555554</v>
      </c>
      <c r="L549" s="7" t="s">
        <v>28</v>
      </c>
      <c r="M549" s="10">
        <v>27.427499999999998</v>
      </c>
      <c r="N549" s="7">
        <v>6</v>
      </c>
    </row>
    <row r="550" spans="1:14" x14ac:dyDescent="0.25">
      <c r="A550" s="7" t="s">
        <v>579</v>
      </c>
      <c r="B550" s="7" t="s">
        <v>37</v>
      </c>
      <c r="C550" s="7" t="s">
        <v>38</v>
      </c>
      <c r="D550" s="7" t="s">
        <v>22</v>
      </c>
      <c r="E550" s="7" t="s">
        <v>16</v>
      </c>
      <c r="F550" s="7" t="s">
        <v>31</v>
      </c>
      <c r="G550" s="7" t="str">
        <f t="shared" si="25"/>
        <v>Wednesday</v>
      </c>
      <c r="H550" s="7" t="str">
        <f t="shared" si="26"/>
        <v>Jan</v>
      </c>
      <c r="I550" s="8">
        <v>43491</v>
      </c>
      <c r="J550" s="8" t="str">
        <f t="shared" si="24"/>
        <v>Evening</v>
      </c>
      <c r="K550" s="9">
        <v>0.73958333333333337</v>
      </c>
      <c r="L550" s="7" t="s">
        <v>24</v>
      </c>
      <c r="M550" s="10">
        <v>12.885</v>
      </c>
      <c r="N550" s="7">
        <v>4.2</v>
      </c>
    </row>
    <row r="551" spans="1:14" x14ac:dyDescent="0.25">
      <c r="A551" s="7" t="s">
        <v>580</v>
      </c>
      <c r="B551" s="7" t="s">
        <v>13</v>
      </c>
      <c r="C551" s="7" t="s">
        <v>14</v>
      </c>
      <c r="D551" s="7" t="s">
        <v>22</v>
      </c>
      <c r="E551" s="7" t="s">
        <v>16</v>
      </c>
      <c r="F551" s="7" t="s">
        <v>23</v>
      </c>
      <c r="G551" s="7" t="str">
        <f t="shared" si="25"/>
        <v>Tuesday</v>
      </c>
      <c r="H551" s="7" t="str">
        <f t="shared" si="26"/>
        <v>Jan</v>
      </c>
      <c r="I551" s="8">
        <v>43488</v>
      </c>
      <c r="J551" s="8" t="str">
        <f t="shared" si="24"/>
        <v>Morning</v>
      </c>
      <c r="K551" s="9">
        <v>0.43611111111111112</v>
      </c>
      <c r="L551" s="7" t="s">
        <v>24</v>
      </c>
      <c r="M551" s="10">
        <v>19.818000000000001</v>
      </c>
      <c r="N551" s="7">
        <v>7.3</v>
      </c>
    </row>
    <row r="552" spans="1:14" x14ac:dyDescent="0.25">
      <c r="A552" s="7" t="s">
        <v>581</v>
      </c>
      <c r="B552" s="7" t="s">
        <v>37</v>
      </c>
      <c r="C552" s="7" t="s">
        <v>38</v>
      </c>
      <c r="D552" s="7" t="s">
        <v>22</v>
      </c>
      <c r="E552" s="7" t="s">
        <v>26</v>
      </c>
      <c r="F552" s="7" t="s">
        <v>41</v>
      </c>
      <c r="G552" s="7" t="str">
        <f t="shared" si="25"/>
        <v>Friday</v>
      </c>
      <c r="H552" s="7" t="str">
        <f t="shared" si="26"/>
        <v>Feb</v>
      </c>
      <c r="I552" s="8">
        <v>43505</v>
      </c>
      <c r="J552" s="8" t="str">
        <f t="shared" si="24"/>
        <v>Evening</v>
      </c>
      <c r="K552" s="9">
        <v>0.85486111111111107</v>
      </c>
      <c r="L552" s="7" t="s">
        <v>18</v>
      </c>
      <c r="M552" s="10">
        <v>8.5905000000000005</v>
      </c>
      <c r="N552" s="7">
        <v>6.5</v>
      </c>
    </row>
    <row r="553" spans="1:14" x14ac:dyDescent="0.25">
      <c r="A553" s="7" t="s">
        <v>582</v>
      </c>
      <c r="B553" s="7" t="s">
        <v>37</v>
      </c>
      <c r="C553" s="7" t="s">
        <v>38</v>
      </c>
      <c r="D553" s="7" t="s">
        <v>22</v>
      </c>
      <c r="E553" s="7" t="s">
        <v>16</v>
      </c>
      <c r="F553" s="7" t="s">
        <v>41</v>
      </c>
      <c r="G553" s="7" t="str">
        <f t="shared" si="25"/>
        <v>Saturday</v>
      </c>
      <c r="H553" s="7" t="str">
        <f t="shared" si="26"/>
        <v>Feb</v>
      </c>
      <c r="I553" s="8">
        <v>43518</v>
      </c>
      <c r="J553" s="8" t="str">
        <f t="shared" si="24"/>
        <v>Morning</v>
      </c>
      <c r="K553" s="9">
        <v>0.45069444444444445</v>
      </c>
      <c r="L553" s="7" t="s">
        <v>24</v>
      </c>
      <c r="M553" s="10">
        <v>24.439499999999999</v>
      </c>
      <c r="N553" s="7">
        <v>8.9</v>
      </c>
    </row>
    <row r="554" spans="1:14" x14ac:dyDescent="0.25">
      <c r="A554" s="7" t="s">
        <v>583</v>
      </c>
      <c r="B554" s="7" t="s">
        <v>37</v>
      </c>
      <c r="C554" s="7" t="s">
        <v>38</v>
      </c>
      <c r="D554" s="7" t="s">
        <v>22</v>
      </c>
      <c r="E554" s="7" t="s">
        <v>16</v>
      </c>
      <c r="F554" s="7" t="s">
        <v>17</v>
      </c>
      <c r="G554" s="7" t="str">
        <f t="shared" si="25"/>
        <v>Thursday</v>
      </c>
      <c r="H554" s="7" t="str">
        <f t="shared" si="26"/>
        <v>Feb</v>
      </c>
      <c r="I554" s="8">
        <v>43501</v>
      </c>
      <c r="J554" s="8" t="str">
        <f t="shared" si="24"/>
        <v>Afternoon</v>
      </c>
      <c r="K554" s="9">
        <v>0.52361111111111114</v>
      </c>
      <c r="L554" s="7" t="s">
        <v>24</v>
      </c>
      <c r="M554" s="10">
        <v>26.207999999999998</v>
      </c>
      <c r="N554" s="7">
        <v>9.6999999999999993</v>
      </c>
    </row>
    <row r="555" spans="1:14" x14ac:dyDescent="0.25">
      <c r="A555" s="7" t="s">
        <v>584</v>
      </c>
      <c r="B555" s="7" t="s">
        <v>20</v>
      </c>
      <c r="C555" s="7" t="s">
        <v>21</v>
      </c>
      <c r="D555" s="7" t="s">
        <v>22</v>
      </c>
      <c r="E555" s="7" t="s">
        <v>26</v>
      </c>
      <c r="F555" s="7" t="s">
        <v>23</v>
      </c>
      <c r="G555" s="7" t="str">
        <f t="shared" si="25"/>
        <v>Monday</v>
      </c>
      <c r="H555" s="7" t="str">
        <f t="shared" si="26"/>
        <v>Mar</v>
      </c>
      <c r="I555" s="8">
        <v>43531</v>
      </c>
      <c r="J555" s="8" t="str">
        <f t="shared" si="24"/>
        <v>Morning</v>
      </c>
      <c r="K555" s="9">
        <v>0.43263888888888885</v>
      </c>
      <c r="L555" s="7" t="s">
        <v>28</v>
      </c>
      <c r="M555" s="10">
        <v>6.6630000000000003</v>
      </c>
      <c r="N555" s="7">
        <v>8.6</v>
      </c>
    </row>
    <row r="556" spans="1:14" x14ac:dyDescent="0.25">
      <c r="A556" s="7" t="s">
        <v>585</v>
      </c>
      <c r="B556" s="7" t="s">
        <v>13</v>
      </c>
      <c r="C556" s="7" t="s">
        <v>14</v>
      </c>
      <c r="D556" s="7" t="s">
        <v>15</v>
      </c>
      <c r="E556" s="7" t="s">
        <v>26</v>
      </c>
      <c r="F556" s="7" t="s">
        <v>23</v>
      </c>
      <c r="G556" s="7" t="str">
        <f t="shared" si="25"/>
        <v>Thursday</v>
      </c>
      <c r="H556" s="7" t="str">
        <f t="shared" si="26"/>
        <v>Mar</v>
      </c>
      <c r="I556" s="8">
        <v>43549</v>
      </c>
      <c r="J556" s="8" t="str">
        <f t="shared" si="24"/>
        <v>Evening</v>
      </c>
      <c r="K556" s="9">
        <v>0.78541666666666676</v>
      </c>
      <c r="L556" s="7" t="s">
        <v>24</v>
      </c>
      <c r="M556" s="10">
        <v>6.7619999999999996</v>
      </c>
      <c r="N556" s="7">
        <v>6.9</v>
      </c>
    </row>
    <row r="557" spans="1:14" x14ac:dyDescent="0.25">
      <c r="A557" s="7" t="s">
        <v>586</v>
      </c>
      <c r="B557" s="7" t="s">
        <v>37</v>
      </c>
      <c r="C557" s="7" t="s">
        <v>38</v>
      </c>
      <c r="D557" s="7" t="s">
        <v>22</v>
      </c>
      <c r="E557" s="7" t="s">
        <v>26</v>
      </c>
      <c r="F557" s="7" t="s">
        <v>27</v>
      </c>
      <c r="G557" s="7" t="str">
        <f t="shared" si="25"/>
        <v>Tuesday</v>
      </c>
      <c r="H557" s="7" t="str">
        <f t="shared" si="26"/>
        <v>Jan</v>
      </c>
      <c r="I557" s="8">
        <v>43485</v>
      </c>
      <c r="J557" s="8" t="str">
        <f t="shared" si="24"/>
        <v>Afternoon</v>
      </c>
      <c r="K557" s="9">
        <v>0.57291666666666663</v>
      </c>
      <c r="L557" s="7" t="s">
        <v>28</v>
      </c>
      <c r="M557" s="10">
        <v>5.6219999999999999</v>
      </c>
      <c r="N557" s="7">
        <v>7.7</v>
      </c>
    </row>
    <row r="558" spans="1:14" x14ac:dyDescent="0.25">
      <c r="A558" s="7" t="s">
        <v>587</v>
      </c>
      <c r="B558" s="7" t="s">
        <v>37</v>
      </c>
      <c r="C558" s="7" t="s">
        <v>38</v>
      </c>
      <c r="D558" s="7" t="s">
        <v>15</v>
      </c>
      <c r="E558" s="7" t="s">
        <v>16</v>
      </c>
      <c r="F558" s="7" t="s">
        <v>41</v>
      </c>
      <c r="G558" s="7" t="str">
        <f t="shared" si="25"/>
        <v>Thursday</v>
      </c>
      <c r="H558" s="7" t="str">
        <f t="shared" si="26"/>
        <v>Feb</v>
      </c>
      <c r="I558" s="8">
        <v>43500</v>
      </c>
      <c r="J558" s="8" t="str">
        <f t="shared" si="24"/>
        <v>Evening</v>
      </c>
      <c r="K558" s="9">
        <v>0.81805555555555554</v>
      </c>
      <c r="L558" s="7" t="s">
        <v>24</v>
      </c>
      <c r="M558" s="10">
        <v>7.2039999999999997</v>
      </c>
      <c r="N558" s="7">
        <v>9.5</v>
      </c>
    </row>
    <row r="559" spans="1:14" x14ac:dyDescent="0.25">
      <c r="A559" s="7" t="s">
        <v>588</v>
      </c>
      <c r="B559" s="7" t="s">
        <v>20</v>
      </c>
      <c r="C559" s="7" t="s">
        <v>21</v>
      </c>
      <c r="D559" s="7" t="s">
        <v>15</v>
      </c>
      <c r="E559" s="7" t="s">
        <v>16</v>
      </c>
      <c r="F559" s="7" t="s">
        <v>39</v>
      </c>
      <c r="G559" s="7" t="str">
        <f t="shared" si="25"/>
        <v>Wednesday</v>
      </c>
      <c r="H559" s="7" t="str">
        <f t="shared" si="26"/>
        <v>Jan</v>
      </c>
      <c r="I559" s="8">
        <v>43495</v>
      </c>
      <c r="J559" s="8" t="str">
        <f t="shared" si="24"/>
        <v>Evening</v>
      </c>
      <c r="K559" s="9">
        <v>0.84930555555555554</v>
      </c>
      <c r="L559" s="7" t="s">
        <v>18</v>
      </c>
      <c r="M559" s="10">
        <v>49.26</v>
      </c>
      <c r="N559" s="7">
        <v>4.5</v>
      </c>
    </row>
    <row r="560" spans="1:14" x14ac:dyDescent="0.25">
      <c r="A560" s="7" t="s">
        <v>589</v>
      </c>
      <c r="B560" s="7" t="s">
        <v>13</v>
      </c>
      <c r="C560" s="7" t="s">
        <v>14</v>
      </c>
      <c r="D560" s="7" t="s">
        <v>15</v>
      </c>
      <c r="E560" s="7" t="s">
        <v>26</v>
      </c>
      <c r="F560" s="7" t="s">
        <v>39</v>
      </c>
      <c r="G560" s="7" t="str">
        <f t="shared" si="25"/>
        <v>Saturday</v>
      </c>
      <c r="H560" s="7" t="str">
        <f t="shared" si="26"/>
        <v>Jan</v>
      </c>
      <c r="I560" s="8">
        <v>43467</v>
      </c>
      <c r="J560" s="8" t="str">
        <f t="shared" si="24"/>
        <v>Afternoon</v>
      </c>
      <c r="K560" s="9">
        <v>0.64166666666666672</v>
      </c>
      <c r="L560" s="7" t="s">
        <v>18</v>
      </c>
      <c r="M560" s="10">
        <v>12.497999999999999</v>
      </c>
      <c r="N560" s="7">
        <v>5.6</v>
      </c>
    </row>
    <row r="561" spans="1:14" x14ac:dyDescent="0.25">
      <c r="A561" s="7" t="s">
        <v>590</v>
      </c>
      <c r="B561" s="7" t="s">
        <v>13</v>
      </c>
      <c r="C561" s="7" t="s">
        <v>14</v>
      </c>
      <c r="D561" s="7" t="s">
        <v>15</v>
      </c>
      <c r="E561" s="7" t="s">
        <v>16</v>
      </c>
      <c r="F561" s="7" t="s">
        <v>27</v>
      </c>
      <c r="G561" s="7" t="str">
        <f t="shared" si="25"/>
        <v>Thursday</v>
      </c>
      <c r="H561" s="7" t="str">
        <f t="shared" si="26"/>
        <v>Mar</v>
      </c>
      <c r="I561" s="8">
        <v>43553</v>
      </c>
      <c r="J561" s="8" t="str">
        <f t="shared" si="24"/>
        <v>Evening</v>
      </c>
      <c r="K561" s="9">
        <v>0.70416666666666661</v>
      </c>
      <c r="L561" s="7" t="s">
        <v>18</v>
      </c>
      <c r="M561" s="10">
        <v>10.863</v>
      </c>
      <c r="N561" s="7">
        <v>8.1999999999999993</v>
      </c>
    </row>
    <row r="562" spans="1:14" x14ac:dyDescent="0.25">
      <c r="A562" s="7" t="s">
        <v>591</v>
      </c>
      <c r="B562" s="7" t="s">
        <v>37</v>
      </c>
      <c r="C562" s="7" t="s">
        <v>38</v>
      </c>
      <c r="D562" s="7" t="s">
        <v>22</v>
      </c>
      <c r="E562" s="7" t="s">
        <v>26</v>
      </c>
      <c r="F562" s="7" t="s">
        <v>23</v>
      </c>
      <c r="G562" s="7" t="str">
        <f t="shared" si="25"/>
        <v>Tuesday</v>
      </c>
      <c r="H562" s="7" t="str">
        <f t="shared" si="26"/>
        <v>Mar</v>
      </c>
      <c r="I562" s="8">
        <v>43538</v>
      </c>
      <c r="J562" s="8" t="str">
        <f t="shared" si="24"/>
        <v>Afternoon</v>
      </c>
      <c r="K562" s="9">
        <v>0.52222222222222225</v>
      </c>
      <c r="L562" s="7" t="s">
        <v>24</v>
      </c>
      <c r="M562" s="10">
        <v>9.7110000000000003</v>
      </c>
      <c r="N562" s="7">
        <v>7.3</v>
      </c>
    </row>
    <row r="563" spans="1:14" x14ac:dyDescent="0.25">
      <c r="A563" s="7" t="s">
        <v>592</v>
      </c>
      <c r="B563" s="7" t="s">
        <v>20</v>
      </c>
      <c r="C563" s="7" t="s">
        <v>21</v>
      </c>
      <c r="D563" s="7" t="s">
        <v>22</v>
      </c>
      <c r="E563" s="7" t="s">
        <v>26</v>
      </c>
      <c r="F563" s="7" t="s">
        <v>39</v>
      </c>
      <c r="G563" s="7" t="str">
        <f t="shared" si="25"/>
        <v>Friday</v>
      </c>
      <c r="H563" s="7" t="str">
        <f t="shared" si="26"/>
        <v>Feb</v>
      </c>
      <c r="I563" s="8">
        <v>43507</v>
      </c>
      <c r="J563" s="8" t="str">
        <f t="shared" si="24"/>
        <v>Afternoon</v>
      </c>
      <c r="K563" s="9">
        <v>0.65416666666666667</v>
      </c>
      <c r="L563" s="7" t="s">
        <v>28</v>
      </c>
      <c r="M563" s="10">
        <v>44.6</v>
      </c>
      <c r="N563" s="7">
        <v>4.4000000000000004</v>
      </c>
    </row>
    <row r="564" spans="1:14" x14ac:dyDescent="0.25">
      <c r="A564" s="7" t="s">
        <v>593</v>
      </c>
      <c r="B564" s="7" t="s">
        <v>37</v>
      </c>
      <c r="C564" s="7" t="s">
        <v>38</v>
      </c>
      <c r="D564" s="7" t="s">
        <v>22</v>
      </c>
      <c r="E564" s="7" t="s">
        <v>16</v>
      </c>
      <c r="F564" s="7" t="s">
        <v>23</v>
      </c>
      <c r="G564" s="7" t="str">
        <f t="shared" si="25"/>
        <v>Wednesday</v>
      </c>
      <c r="H564" s="7" t="str">
        <f t="shared" si="26"/>
        <v>Jan</v>
      </c>
      <c r="I564" s="8">
        <v>43495</v>
      </c>
      <c r="J564" s="8" t="str">
        <f t="shared" si="24"/>
        <v>Afternoon</v>
      </c>
      <c r="K564" s="9">
        <v>0.58194444444444449</v>
      </c>
      <c r="L564" s="7" t="s">
        <v>18</v>
      </c>
      <c r="M564" s="10">
        <v>16.968</v>
      </c>
      <c r="N564" s="7">
        <v>5.7</v>
      </c>
    </row>
    <row r="565" spans="1:14" x14ac:dyDescent="0.25">
      <c r="A565" s="7" t="s">
        <v>594</v>
      </c>
      <c r="B565" s="7" t="s">
        <v>13</v>
      </c>
      <c r="C565" s="7" t="s">
        <v>14</v>
      </c>
      <c r="D565" s="7" t="s">
        <v>15</v>
      </c>
      <c r="E565" s="7" t="s">
        <v>26</v>
      </c>
      <c r="F565" s="7" t="s">
        <v>23</v>
      </c>
      <c r="G565" s="7" t="str">
        <f t="shared" si="25"/>
        <v>Wednesday</v>
      </c>
      <c r="H565" s="7" t="str">
        <f t="shared" si="26"/>
        <v>Mar</v>
      </c>
      <c r="I565" s="8">
        <v>43544</v>
      </c>
      <c r="J565" s="8" t="str">
        <f t="shared" si="24"/>
        <v>Afternoon</v>
      </c>
      <c r="K565" s="9">
        <v>0.63055555555555554</v>
      </c>
      <c r="L565" s="7" t="s">
        <v>18</v>
      </c>
      <c r="M565" s="10">
        <v>22.353000000000002</v>
      </c>
      <c r="N565" s="7">
        <v>5</v>
      </c>
    </row>
    <row r="566" spans="1:14" x14ac:dyDescent="0.25">
      <c r="A566" s="7" t="s">
        <v>595</v>
      </c>
      <c r="B566" s="7" t="s">
        <v>37</v>
      </c>
      <c r="C566" s="7" t="s">
        <v>38</v>
      </c>
      <c r="D566" s="7" t="s">
        <v>22</v>
      </c>
      <c r="E566" s="7" t="s">
        <v>26</v>
      </c>
      <c r="F566" s="7" t="s">
        <v>41</v>
      </c>
      <c r="G566" s="7" t="str">
        <f t="shared" si="25"/>
        <v>Wednesday</v>
      </c>
      <c r="H566" s="7" t="str">
        <f t="shared" si="26"/>
        <v>Mar</v>
      </c>
      <c r="I566" s="8">
        <v>43544</v>
      </c>
      <c r="J566" s="8" t="str">
        <f t="shared" si="24"/>
        <v>Afternoon</v>
      </c>
      <c r="K566" s="9">
        <v>0.54305555555555551</v>
      </c>
      <c r="L566" s="7" t="s">
        <v>24</v>
      </c>
      <c r="M566" s="10">
        <v>9.9250000000000007</v>
      </c>
      <c r="N566" s="7">
        <v>9</v>
      </c>
    </row>
    <row r="567" spans="1:14" x14ac:dyDescent="0.25">
      <c r="A567" s="7" t="s">
        <v>596</v>
      </c>
      <c r="B567" s="7" t="s">
        <v>13</v>
      </c>
      <c r="C567" s="7" t="s">
        <v>14</v>
      </c>
      <c r="D567" s="7" t="s">
        <v>22</v>
      </c>
      <c r="E567" s="7" t="s">
        <v>16</v>
      </c>
      <c r="F567" s="7" t="s">
        <v>39</v>
      </c>
      <c r="G567" s="7" t="str">
        <f t="shared" si="25"/>
        <v>Monday</v>
      </c>
      <c r="H567" s="7" t="str">
        <f t="shared" si="26"/>
        <v>Jan</v>
      </c>
      <c r="I567" s="8">
        <v>43482</v>
      </c>
      <c r="J567" s="8" t="str">
        <f t="shared" si="24"/>
        <v>Afternoon</v>
      </c>
      <c r="K567" s="9">
        <v>0.54236111111111118</v>
      </c>
      <c r="L567" s="7" t="s">
        <v>28</v>
      </c>
      <c r="M567" s="10">
        <v>40.604999999999997</v>
      </c>
      <c r="N567" s="7">
        <v>6.3</v>
      </c>
    </row>
    <row r="568" spans="1:14" x14ac:dyDescent="0.25">
      <c r="A568" s="7" t="s">
        <v>597</v>
      </c>
      <c r="B568" s="7" t="s">
        <v>20</v>
      </c>
      <c r="C568" s="7" t="s">
        <v>21</v>
      </c>
      <c r="D568" s="7" t="s">
        <v>22</v>
      </c>
      <c r="E568" s="7" t="s">
        <v>16</v>
      </c>
      <c r="F568" s="7" t="s">
        <v>31</v>
      </c>
      <c r="G568" s="7" t="str">
        <f t="shared" si="25"/>
        <v>Thursday</v>
      </c>
      <c r="H568" s="7" t="str">
        <f t="shared" si="26"/>
        <v>Feb</v>
      </c>
      <c r="I568" s="8">
        <v>43499</v>
      </c>
      <c r="J568" s="8" t="str">
        <f t="shared" si="24"/>
        <v>Evening</v>
      </c>
      <c r="K568" s="9">
        <v>0.69444444444444453</v>
      </c>
      <c r="L568" s="7" t="s">
        <v>28</v>
      </c>
      <c r="M568" s="10">
        <v>24.664999999999999</v>
      </c>
      <c r="N568" s="7">
        <v>9.4</v>
      </c>
    </row>
    <row r="569" spans="1:14" x14ac:dyDescent="0.25">
      <c r="A569" s="7" t="s">
        <v>598</v>
      </c>
      <c r="B569" s="7" t="s">
        <v>13</v>
      </c>
      <c r="C569" s="7" t="s">
        <v>14</v>
      </c>
      <c r="D569" s="7" t="s">
        <v>22</v>
      </c>
      <c r="E569" s="7" t="s">
        <v>16</v>
      </c>
      <c r="F569" s="7" t="s">
        <v>41</v>
      </c>
      <c r="G569" s="7" t="str">
        <f t="shared" si="25"/>
        <v>Saturday</v>
      </c>
      <c r="H569" s="7" t="str">
        <f t="shared" si="26"/>
        <v>Jan</v>
      </c>
      <c r="I569" s="8">
        <v>43466</v>
      </c>
      <c r="J569" s="8" t="str">
        <f t="shared" si="24"/>
        <v>Afternoon</v>
      </c>
      <c r="K569" s="9">
        <v>0.57986111111111105</v>
      </c>
      <c r="L569" s="7" t="s">
        <v>24</v>
      </c>
      <c r="M569" s="10">
        <v>29.582999999999998</v>
      </c>
      <c r="N569" s="7">
        <v>7.7</v>
      </c>
    </row>
    <row r="570" spans="1:14" x14ac:dyDescent="0.25">
      <c r="A570" s="7" t="s">
        <v>599</v>
      </c>
      <c r="B570" s="7" t="s">
        <v>37</v>
      </c>
      <c r="C570" s="7" t="s">
        <v>38</v>
      </c>
      <c r="D570" s="7" t="s">
        <v>22</v>
      </c>
      <c r="E570" s="7" t="s">
        <v>16</v>
      </c>
      <c r="F570" s="7" t="s">
        <v>41</v>
      </c>
      <c r="G570" s="7" t="str">
        <f t="shared" si="25"/>
        <v>Sunday</v>
      </c>
      <c r="H570" s="7" t="str">
        <f t="shared" si="26"/>
        <v>Jan</v>
      </c>
      <c r="I570" s="8">
        <v>43475</v>
      </c>
      <c r="J570" s="8" t="str">
        <f t="shared" si="24"/>
        <v>Morning</v>
      </c>
      <c r="K570" s="9">
        <v>0.43958333333333338</v>
      </c>
      <c r="L570" s="7" t="s">
        <v>28</v>
      </c>
      <c r="M570" s="10">
        <v>27.951000000000001</v>
      </c>
      <c r="N570" s="7">
        <v>5.5</v>
      </c>
    </row>
    <row r="571" spans="1:14" x14ac:dyDescent="0.25">
      <c r="A571" s="7" t="s">
        <v>600</v>
      </c>
      <c r="B571" s="7" t="s">
        <v>20</v>
      </c>
      <c r="C571" s="7" t="s">
        <v>21</v>
      </c>
      <c r="D571" s="7" t="s">
        <v>22</v>
      </c>
      <c r="E571" s="7" t="s">
        <v>16</v>
      </c>
      <c r="F571" s="7" t="s">
        <v>31</v>
      </c>
      <c r="G571" s="7" t="str">
        <f t="shared" si="25"/>
        <v>Monday</v>
      </c>
      <c r="H571" s="7" t="str">
        <f t="shared" si="26"/>
        <v>Mar</v>
      </c>
      <c r="I571" s="8">
        <v>43526</v>
      </c>
      <c r="J571" s="8" t="str">
        <f t="shared" si="24"/>
        <v>Evening</v>
      </c>
      <c r="K571" s="9">
        <v>0.6958333333333333</v>
      </c>
      <c r="L571" s="7" t="s">
        <v>18</v>
      </c>
      <c r="M571" s="10">
        <v>25.893000000000001</v>
      </c>
      <c r="N571" s="7">
        <v>4.0999999999999996</v>
      </c>
    </row>
    <row r="572" spans="1:14" x14ac:dyDescent="0.25">
      <c r="A572" s="7" t="s">
        <v>601</v>
      </c>
      <c r="B572" s="7" t="s">
        <v>37</v>
      </c>
      <c r="C572" s="7" t="s">
        <v>38</v>
      </c>
      <c r="D572" s="7" t="s">
        <v>15</v>
      </c>
      <c r="E572" s="7" t="s">
        <v>16</v>
      </c>
      <c r="F572" s="7" t="s">
        <v>27</v>
      </c>
      <c r="G572" s="7" t="str">
        <f t="shared" si="25"/>
        <v>Sunday</v>
      </c>
      <c r="H572" s="7" t="str">
        <f t="shared" si="26"/>
        <v>Feb</v>
      </c>
      <c r="I572" s="8">
        <v>43521</v>
      </c>
      <c r="J572" s="8" t="str">
        <f t="shared" si="24"/>
        <v>Evening</v>
      </c>
      <c r="K572" s="9">
        <v>0.71944444444444444</v>
      </c>
      <c r="L572" s="7" t="s">
        <v>28</v>
      </c>
      <c r="M572" s="10">
        <v>20.51</v>
      </c>
      <c r="N572" s="7">
        <v>7.6</v>
      </c>
    </row>
    <row r="573" spans="1:14" x14ac:dyDescent="0.25">
      <c r="A573" s="7" t="s">
        <v>602</v>
      </c>
      <c r="B573" s="7" t="s">
        <v>37</v>
      </c>
      <c r="C573" s="7" t="s">
        <v>38</v>
      </c>
      <c r="D573" s="7" t="s">
        <v>15</v>
      </c>
      <c r="E573" s="7" t="s">
        <v>26</v>
      </c>
      <c r="F573" s="7" t="s">
        <v>31</v>
      </c>
      <c r="G573" s="7" t="str">
        <f t="shared" si="25"/>
        <v>Wednesday</v>
      </c>
      <c r="H573" s="7" t="str">
        <f t="shared" si="26"/>
        <v>Jan</v>
      </c>
      <c r="I573" s="8">
        <v>43494</v>
      </c>
      <c r="J573" s="8" t="str">
        <f t="shared" si="24"/>
        <v>Morning</v>
      </c>
      <c r="K573" s="9">
        <v>0.4916666666666667</v>
      </c>
      <c r="L573" s="7" t="s">
        <v>24</v>
      </c>
      <c r="M573" s="10">
        <v>13.335000000000001</v>
      </c>
      <c r="N573" s="7">
        <v>8.6</v>
      </c>
    </row>
    <row r="574" spans="1:14" x14ac:dyDescent="0.25">
      <c r="A574" s="7" t="s">
        <v>603</v>
      </c>
      <c r="B574" s="7" t="s">
        <v>13</v>
      </c>
      <c r="C574" s="7" t="s">
        <v>14</v>
      </c>
      <c r="D574" s="7" t="s">
        <v>15</v>
      </c>
      <c r="E574" s="7" t="s">
        <v>26</v>
      </c>
      <c r="F574" s="7" t="s">
        <v>39</v>
      </c>
      <c r="G574" s="7" t="str">
        <f t="shared" si="25"/>
        <v>Tuesday</v>
      </c>
      <c r="H574" s="7" t="str">
        <f t="shared" si="26"/>
        <v>Mar</v>
      </c>
      <c r="I574" s="8">
        <v>43534</v>
      </c>
      <c r="J574" s="8" t="str">
        <f t="shared" si="24"/>
        <v>Evening</v>
      </c>
      <c r="K574" s="9">
        <v>0.81597222222222221</v>
      </c>
      <c r="L574" s="7" t="s">
        <v>18</v>
      </c>
      <c r="M574" s="10">
        <v>3.5455000000000001</v>
      </c>
      <c r="N574" s="7">
        <v>8.3000000000000007</v>
      </c>
    </row>
    <row r="575" spans="1:14" x14ac:dyDescent="0.25">
      <c r="A575" s="7" t="s">
        <v>604</v>
      </c>
      <c r="B575" s="7" t="s">
        <v>37</v>
      </c>
      <c r="C575" s="7" t="s">
        <v>38</v>
      </c>
      <c r="D575" s="7" t="s">
        <v>22</v>
      </c>
      <c r="E575" s="7" t="s">
        <v>26</v>
      </c>
      <c r="F575" s="7" t="s">
        <v>39</v>
      </c>
      <c r="G575" s="7" t="str">
        <f t="shared" si="25"/>
        <v>Monday</v>
      </c>
      <c r="H575" s="7" t="str">
        <f t="shared" si="26"/>
        <v>Jan</v>
      </c>
      <c r="I575" s="8">
        <v>43478</v>
      </c>
      <c r="J575" s="8" t="str">
        <f t="shared" si="24"/>
        <v>Evening</v>
      </c>
      <c r="K575" s="9">
        <v>0.82986111111111116</v>
      </c>
      <c r="L575" s="7" t="s">
        <v>28</v>
      </c>
      <c r="M575" s="10">
        <v>7.2389999999999999</v>
      </c>
      <c r="N575" s="7">
        <v>8.1</v>
      </c>
    </row>
    <row r="576" spans="1:14" x14ac:dyDescent="0.25">
      <c r="A576" s="7" t="s">
        <v>605</v>
      </c>
      <c r="B576" s="7" t="s">
        <v>13</v>
      </c>
      <c r="C576" s="7" t="s">
        <v>14</v>
      </c>
      <c r="D576" s="7" t="s">
        <v>22</v>
      </c>
      <c r="E576" s="7" t="s">
        <v>26</v>
      </c>
      <c r="F576" s="7" t="s">
        <v>31</v>
      </c>
      <c r="G576" s="7" t="str">
        <f t="shared" si="25"/>
        <v>Wednesday</v>
      </c>
      <c r="H576" s="7" t="str">
        <f t="shared" si="26"/>
        <v>Mar</v>
      </c>
      <c r="I576" s="8">
        <v>43546</v>
      </c>
      <c r="J576" s="8" t="str">
        <f t="shared" si="24"/>
        <v>Afternoon</v>
      </c>
      <c r="K576" s="9">
        <v>0.60625000000000007</v>
      </c>
      <c r="L576" s="7" t="s">
        <v>28</v>
      </c>
      <c r="M576" s="10">
        <v>21.477499999999999</v>
      </c>
      <c r="N576" s="7">
        <v>8.6</v>
      </c>
    </row>
    <row r="577" spans="1:14" x14ac:dyDescent="0.25">
      <c r="A577" s="7" t="s">
        <v>606</v>
      </c>
      <c r="B577" s="7" t="s">
        <v>37</v>
      </c>
      <c r="C577" s="7" t="s">
        <v>38</v>
      </c>
      <c r="D577" s="7" t="s">
        <v>15</v>
      </c>
      <c r="E577" s="7" t="s">
        <v>26</v>
      </c>
      <c r="F577" s="7" t="s">
        <v>41</v>
      </c>
      <c r="G577" s="7" t="str">
        <f t="shared" si="25"/>
        <v>Sunday</v>
      </c>
      <c r="H577" s="7" t="str">
        <f t="shared" si="26"/>
        <v>Mar</v>
      </c>
      <c r="I577" s="8">
        <v>43525</v>
      </c>
      <c r="J577" s="8" t="str">
        <f t="shared" si="24"/>
        <v>Evening</v>
      </c>
      <c r="K577" s="9">
        <v>0.8256944444444444</v>
      </c>
      <c r="L577" s="7" t="s">
        <v>18</v>
      </c>
      <c r="M577" s="10">
        <v>28.458500000000001</v>
      </c>
      <c r="N577" s="7">
        <v>6.3</v>
      </c>
    </row>
    <row r="578" spans="1:14" x14ac:dyDescent="0.25">
      <c r="A578" s="7" t="s">
        <v>607</v>
      </c>
      <c r="B578" s="7" t="s">
        <v>37</v>
      </c>
      <c r="C578" s="7" t="s">
        <v>38</v>
      </c>
      <c r="D578" s="7" t="s">
        <v>22</v>
      </c>
      <c r="E578" s="7" t="s">
        <v>26</v>
      </c>
      <c r="F578" s="7" t="s">
        <v>39</v>
      </c>
      <c r="G578" s="7" t="str">
        <f t="shared" si="25"/>
        <v>Saturday</v>
      </c>
      <c r="H578" s="7" t="str">
        <f t="shared" si="26"/>
        <v>Feb</v>
      </c>
      <c r="I578" s="8">
        <v>43516</v>
      </c>
      <c r="J578" s="8" t="str">
        <f t="shared" ref="J578:J641" si="27">IF(AND(K578&gt;=TIME(9,0,0),K578&lt;TIME(12,0,0)),"Morning",IF(AND(K578&gt;=TIME(12,0,0),K578&lt;TIME(16,0,0)),"Afternoon","Evening"))</f>
        <v>Evening</v>
      </c>
      <c r="K578" s="9">
        <v>0.77986111111111101</v>
      </c>
      <c r="L578" s="7" t="s">
        <v>24</v>
      </c>
      <c r="M578" s="10">
        <v>12.06</v>
      </c>
      <c r="N578" s="7">
        <v>5.8</v>
      </c>
    </row>
    <row r="579" spans="1:14" x14ac:dyDescent="0.25">
      <c r="A579" s="7" t="s">
        <v>608</v>
      </c>
      <c r="B579" s="7" t="s">
        <v>20</v>
      </c>
      <c r="C579" s="7" t="s">
        <v>21</v>
      </c>
      <c r="D579" s="7" t="s">
        <v>22</v>
      </c>
      <c r="E579" s="7" t="s">
        <v>26</v>
      </c>
      <c r="F579" s="7" t="s">
        <v>39</v>
      </c>
      <c r="G579" s="7" t="str">
        <f t="shared" ref="G579:G642" si="28">TEXT(I579/7,"dddd")</f>
        <v>Monday</v>
      </c>
      <c r="H579" s="7" t="str">
        <f t="shared" ref="H579:H642" si="29">TEXT(I579,"mmm")</f>
        <v>Jan</v>
      </c>
      <c r="I579" s="8">
        <v>43479</v>
      </c>
      <c r="J579" s="8" t="str">
        <f t="shared" si="27"/>
        <v>Afternoon</v>
      </c>
      <c r="K579" s="9">
        <v>0.61319444444444449</v>
      </c>
      <c r="L579" s="7" t="s">
        <v>18</v>
      </c>
      <c r="M579" s="10">
        <v>6.3540000000000001</v>
      </c>
      <c r="N579" s="7">
        <v>6.2</v>
      </c>
    </row>
    <row r="580" spans="1:14" x14ac:dyDescent="0.25">
      <c r="A580" s="7" t="s">
        <v>609</v>
      </c>
      <c r="B580" s="7" t="s">
        <v>13</v>
      </c>
      <c r="C580" s="7" t="s">
        <v>14</v>
      </c>
      <c r="D580" s="7" t="s">
        <v>22</v>
      </c>
      <c r="E580" s="7" t="s">
        <v>16</v>
      </c>
      <c r="F580" s="7" t="s">
        <v>17</v>
      </c>
      <c r="G580" s="7" t="str">
        <f t="shared" si="28"/>
        <v>Thursday</v>
      </c>
      <c r="H580" s="7" t="str">
        <f t="shared" si="29"/>
        <v>Mar</v>
      </c>
      <c r="I580" s="8">
        <v>43550</v>
      </c>
      <c r="J580" s="8" t="str">
        <f t="shared" si="27"/>
        <v>Afternoon</v>
      </c>
      <c r="K580" s="9">
        <v>0.57916666666666672</v>
      </c>
      <c r="L580" s="7" t="s">
        <v>24</v>
      </c>
      <c r="M580" s="10">
        <v>12.853999999999999</v>
      </c>
      <c r="N580" s="7">
        <v>7.7</v>
      </c>
    </row>
    <row r="581" spans="1:14" x14ac:dyDescent="0.25">
      <c r="A581" s="7" t="s">
        <v>610</v>
      </c>
      <c r="B581" s="7" t="s">
        <v>37</v>
      </c>
      <c r="C581" s="7" t="s">
        <v>38</v>
      </c>
      <c r="D581" s="7" t="s">
        <v>22</v>
      </c>
      <c r="E581" s="7" t="s">
        <v>26</v>
      </c>
      <c r="F581" s="7" t="s">
        <v>17</v>
      </c>
      <c r="G581" s="7" t="str">
        <f t="shared" si="28"/>
        <v>Sunday</v>
      </c>
      <c r="H581" s="7" t="str">
        <f t="shared" si="29"/>
        <v>Mar</v>
      </c>
      <c r="I581" s="8">
        <v>43525</v>
      </c>
      <c r="J581" s="8" t="str">
        <f t="shared" si="27"/>
        <v>Afternoon</v>
      </c>
      <c r="K581" s="9">
        <v>0.51041666666666663</v>
      </c>
      <c r="L581" s="7" t="s">
        <v>18</v>
      </c>
      <c r="M581" s="10">
        <v>6.9509999999999996</v>
      </c>
      <c r="N581" s="7">
        <v>8.1</v>
      </c>
    </row>
    <row r="582" spans="1:14" x14ac:dyDescent="0.25">
      <c r="A582" s="7" t="s">
        <v>611</v>
      </c>
      <c r="B582" s="7" t="s">
        <v>20</v>
      </c>
      <c r="C582" s="7" t="s">
        <v>21</v>
      </c>
      <c r="D582" s="7" t="s">
        <v>22</v>
      </c>
      <c r="E582" s="7" t="s">
        <v>26</v>
      </c>
      <c r="F582" s="7" t="s">
        <v>39</v>
      </c>
      <c r="G582" s="7" t="str">
        <f t="shared" si="28"/>
        <v>Sunday</v>
      </c>
      <c r="H582" s="7" t="str">
        <f t="shared" si="29"/>
        <v>Jan</v>
      </c>
      <c r="I582" s="8">
        <v>43472</v>
      </c>
      <c r="J582" s="8" t="str">
        <f t="shared" si="27"/>
        <v>Afternoon</v>
      </c>
      <c r="K582" s="9">
        <v>0.52569444444444446</v>
      </c>
      <c r="L582" s="7" t="s">
        <v>24</v>
      </c>
      <c r="M582" s="10">
        <v>4.0830000000000002</v>
      </c>
      <c r="N582" s="7">
        <v>7.3</v>
      </c>
    </row>
    <row r="583" spans="1:14" x14ac:dyDescent="0.25">
      <c r="A583" s="7" t="s">
        <v>612</v>
      </c>
      <c r="B583" s="7" t="s">
        <v>13</v>
      </c>
      <c r="C583" s="7" t="s">
        <v>14</v>
      </c>
      <c r="D583" s="7" t="s">
        <v>15</v>
      </c>
      <c r="E583" s="7" t="s">
        <v>16</v>
      </c>
      <c r="F583" s="7" t="s">
        <v>17</v>
      </c>
      <c r="G583" s="7" t="str">
        <f t="shared" si="28"/>
        <v>Wednesday</v>
      </c>
      <c r="H583" s="7" t="str">
        <f t="shared" si="29"/>
        <v>Feb</v>
      </c>
      <c r="I583" s="8">
        <v>43497</v>
      </c>
      <c r="J583" s="8" t="str">
        <f t="shared" si="27"/>
        <v>Evening</v>
      </c>
      <c r="K583" s="9">
        <v>0.82916666666666661</v>
      </c>
      <c r="L583" s="7" t="s">
        <v>24</v>
      </c>
      <c r="M583" s="10">
        <v>15.536</v>
      </c>
      <c r="N583" s="7">
        <v>8.4</v>
      </c>
    </row>
    <row r="584" spans="1:14" x14ac:dyDescent="0.25">
      <c r="A584" s="7" t="s">
        <v>613</v>
      </c>
      <c r="B584" s="7" t="s">
        <v>20</v>
      </c>
      <c r="C584" s="7" t="s">
        <v>21</v>
      </c>
      <c r="D584" s="7" t="s">
        <v>15</v>
      </c>
      <c r="E584" s="7" t="s">
        <v>16</v>
      </c>
      <c r="F584" s="7" t="s">
        <v>41</v>
      </c>
      <c r="G584" s="7" t="str">
        <f t="shared" si="28"/>
        <v>Friday</v>
      </c>
      <c r="H584" s="7" t="str">
        <f t="shared" si="29"/>
        <v>Feb</v>
      </c>
      <c r="I584" s="8">
        <v>43509</v>
      </c>
      <c r="J584" s="8" t="str">
        <f t="shared" si="27"/>
        <v>Afternoon</v>
      </c>
      <c r="K584" s="9">
        <v>0.62916666666666665</v>
      </c>
      <c r="L584" s="7" t="s">
        <v>28</v>
      </c>
      <c r="M584" s="10">
        <v>9.298</v>
      </c>
      <c r="N584" s="7">
        <v>8</v>
      </c>
    </row>
    <row r="585" spans="1:14" x14ac:dyDescent="0.25">
      <c r="A585" s="7" t="s">
        <v>614</v>
      </c>
      <c r="B585" s="7" t="s">
        <v>37</v>
      </c>
      <c r="C585" s="7" t="s">
        <v>38</v>
      </c>
      <c r="D585" s="7" t="s">
        <v>15</v>
      </c>
      <c r="E585" s="7" t="s">
        <v>16</v>
      </c>
      <c r="F585" s="7" t="s">
        <v>41</v>
      </c>
      <c r="G585" s="7" t="str">
        <f t="shared" si="28"/>
        <v>Monday</v>
      </c>
      <c r="H585" s="7" t="str">
        <f t="shared" si="29"/>
        <v>Jan</v>
      </c>
      <c r="I585" s="8">
        <v>43479</v>
      </c>
      <c r="J585" s="8" t="str">
        <f t="shared" si="27"/>
        <v>Evening</v>
      </c>
      <c r="K585" s="9">
        <v>0.75208333333333333</v>
      </c>
      <c r="L585" s="7" t="s">
        <v>28</v>
      </c>
      <c r="M585" s="10">
        <v>3.6160000000000001</v>
      </c>
      <c r="N585" s="7">
        <v>9.5</v>
      </c>
    </row>
    <row r="586" spans="1:14" x14ac:dyDescent="0.25">
      <c r="A586" s="7" t="s">
        <v>615</v>
      </c>
      <c r="B586" s="7" t="s">
        <v>37</v>
      </c>
      <c r="C586" s="7" t="s">
        <v>38</v>
      </c>
      <c r="D586" s="7" t="s">
        <v>22</v>
      </c>
      <c r="E586" s="7" t="s">
        <v>26</v>
      </c>
      <c r="F586" s="7" t="s">
        <v>31</v>
      </c>
      <c r="G586" s="7" t="str">
        <f t="shared" si="28"/>
        <v>Tuesday</v>
      </c>
      <c r="H586" s="7" t="str">
        <f t="shared" si="29"/>
        <v>Jan</v>
      </c>
      <c r="I586" s="8">
        <v>43484</v>
      </c>
      <c r="J586" s="8" t="str">
        <f t="shared" si="27"/>
        <v>Afternoon</v>
      </c>
      <c r="K586" s="9">
        <v>0.66527777777777775</v>
      </c>
      <c r="L586" s="7" t="s">
        <v>18</v>
      </c>
      <c r="M586" s="10">
        <v>9.4589999999999996</v>
      </c>
      <c r="N586" s="7">
        <v>7</v>
      </c>
    </row>
    <row r="587" spans="1:14" x14ac:dyDescent="0.25">
      <c r="A587" s="7" t="s">
        <v>616</v>
      </c>
      <c r="B587" s="7" t="s">
        <v>13</v>
      </c>
      <c r="C587" s="7" t="s">
        <v>14</v>
      </c>
      <c r="D587" s="7" t="s">
        <v>22</v>
      </c>
      <c r="E587" s="7" t="s">
        <v>26</v>
      </c>
      <c r="F587" s="7" t="s">
        <v>17</v>
      </c>
      <c r="G587" s="7" t="str">
        <f t="shared" si="28"/>
        <v>Tuesday</v>
      </c>
      <c r="H587" s="7" t="str">
        <f t="shared" si="29"/>
        <v>Mar</v>
      </c>
      <c r="I587" s="8">
        <v>43533</v>
      </c>
      <c r="J587" s="8" t="str">
        <f t="shared" si="27"/>
        <v>Afternoon</v>
      </c>
      <c r="K587" s="9">
        <v>0.57847222222222217</v>
      </c>
      <c r="L587" s="7" t="s">
        <v>28</v>
      </c>
      <c r="M587" s="10">
        <v>10.342000000000001</v>
      </c>
      <c r="N587" s="7">
        <v>9.8000000000000007</v>
      </c>
    </row>
    <row r="588" spans="1:14" x14ac:dyDescent="0.25">
      <c r="A588" s="7" t="s">
        <v>617</v>
      </c>
      <c r="B588" s="7" t="s">
        <v>13</v>
      </c>
      <c r="C588" s="7" t="s">
        <v>14</v>
      </c>
      <c r="D588" s="7" t="s">
        <v>22</v>
      </c>
      <c r="E588" s="7" t="s">
        <v>16</v>
      </c>
      <c r="F588" s="7" t="s">
        <v>39</v>
      </c>
      <c r="G588" s="7" t="str">
        <f t="shared" si="28"/>
        <v>Thursday</v>
      </c>
      <c r="H588" s="7" t="str">
        <f t="shared" si="29"/>
        <v>Mar</v>
      </c>
      <c r="I588" s="8">
        <v>43551</v>
      </c>
      <c r="J588" s="8" t="str">
        <f t="shared" si="27"/>
        <v>Afternoon</v>
      </c>
      <c r="K588" s="9">
        <v>0.5854166666666667</v>
      </c>
      <c r="L588" s="7" t="s">
        <v>24</v>
      </c>
      <c r="M588" s="10">
        <v>7.851</v>
      </c>
      <c r="N588" s="7">
        <v>9.1999999999999993</v>
      </c>
    </row>
    <row r="589" spans="1:14" x14ac:dyDescent="0.25">
      <c r="A589" s="7" t="s">
        <v>618</v>
      </c>
      <c r="B589" s="7" t="s">
        <v>13</v>
      </c>
      <c r="C589" s="7" t="s">
        <v>14</v>
      </c>
      <c r="D589" s="7" t="s">
        <v>22</v>
      </c>
      <c r="E589" s="7" t="s">
        <v>16</v>
      </c>
      <c r="F589" s="7" t="s">
        <v>31</v>
      </c>
      <c r="G589" s="7" t="str">
        <f t="shared" si="28"/>
        <v>Thursday</v>
      </c>
      <c r="H589" s="7" t="str">
        <f t="shared" si="29"/>
        <v>Feb</v>
      </c>
      <c r="I589" s="8">
        <v>43500</v>
      </c>
      <c r="J589" s="8" t="str">
        <f t="shared" si="27"/>
        <v>Evening</v>
      </c>
      <c r="K589" s="9">
        <v>0.69305555555555554</v>
      </c>
      <c r="L589" s="7" t="s">
        <v>18</v>
      </c>
      <c r="M589" s="10">
        <v>10.765000000000001</v>
      </c>
      <c r="N589" s="7">
        <v>7.7</v>
      </c>
    </row>
    <row r="590" spans="1:14" x14ac:dyDescent="0.25">
      <c r="A590" s="7" t="s">
        <v>619</v>
      </c>
      <c r="B590" s="7" t="s">
        <v>20</v>
      </c>
      <c r="C590" s="7" t="s">
        <v>21</v>
      </c>
      <c r="D590" s="7" t="s">
        <v>22</v>
      </c>
      <c r="E590" s="7" t="s">
        <v>26</v>
      </c>
      <c r="F590" s="7" t="s">
        <v>41</v>
      </c>
      <c r="G590" s="7" t="str">
        <f t="shared" si="28"/>
        <v>Tuesday</v>
      </c>
      <c r="H590" s="7" t="str">
        <f t="shared" si="29"/>
        <v>Mar</v>
      </c>
      <c r="I590" s="8">
        <v>43538</v>
      </c>
      <c r="J590" s="8" t="str">
        <f t="shared" si="27"/>
        <v>Morning</v>
      </c>
      <c r="K590" s="9">
        <v>0.46319444444444446</v>
      </c>
      <c r="L590" s="7" t="s">
        <v>24</v>
      </c>
      <c r="M590" s="10">
        <v>29.805</v>
      </c>
      <c r="N590" s="7">
        <v>5.3</v>
      </c>
    </row>
    <row r="591" spans="1:14" x14ac:dyDescent="0.25">
      <c r="A591" s="7" t="s">
        <v>620</v>
      </c>
      <c r="B591" s="7" t="s">
        <v>13</v>
      </c>
      <c r="C591" s="7" t="s">
        <v>14</v>
      </c>
      <c r="D591" s="7" t="s">
        <v>22</v>
      </c>
      <c r="E591" s="7" t="s">
        <v>26</v>
      </c>
      <c r="F591" s="7" t="s">
        <v>17</v>
      </c>
      <c r="G591" s="7" t="str">
        <f t="shared" si="28"/>
        <v>Monday</v>
      </c>
      <c r="H591" s="7" t="str">
        <f t="shared" si="29"/>
        <v>Mar</v>
      </c>
      <c r="I591" s="8">
        <v>43528</v>
      </c>
      <c r="J591" s="8" t="str">
        <f t="shared" si="27"/>
        <v>Afternoon</v>
      </c>
      <c r="K591" s="9">
        <v>0.51597222222222217</v>
      </c>
      <c r="L591" s="7" t="s">
        <v>24</v>
      </c>
      <c r="M591" s="10">
        <v>3.6549999999999998</v>
      </c>
      <c r="N591" s="7">
        <v>4.4000000000000004</v>
      </c>
    </row>
    <row r="592" spans="1:14" x14ac:dyDescent="0.25">
      <c r="A592" s="7" t="s">
        <v>621</v>
      </c>
      <c r="B592" s="7" t="s">
        <v>20</v>
      </c>
      <c r="C592" s="7" t="s">
        <v>21</v>
      </c>
      <c r="D592" s="7" t="s">
        <v>15</v>
      </c>
      <c r="E592" s="7" t="s">
        <v>26</v>
      </c>
      <c r="F592" s="7" t="s">
        <v>17</v>
      </c>
      <c r="G592" s="7" t="str">
        <f t="shared" si="28"/>
        <v>Monday</v>
      </c>
      <c r="H592" s="7" t="str">
        <f t="shared" si="29"/>
        <v>Mar</v>
      </c>
      <c r="I592" s="8">
        <v>43527</v>
      </c>
      <c r="J592" s="8" t="str">
        <f t="shared" si="27"/>
        <v>Morning</v>
      </c>
      <c r="K592" s="9">
        <v>0.45416666666666666</v>
      </c>
      <c r="L592" s="7" t="s">
        <v>28</v>
      </c>
      <c r="M592" s="10">
        <v>13.959</v>
      </c>
      <c r="N592" s="7">
        <v>4.3</v>
      </c>
    </row>
    <row r="593" spans="1:14" x14ac:dyDescent="0.25">
      <c r="A593" s="7" t="s">
        <v>622</v>
      </c>
      <c r="B593" s="7" t="s">
        <v>20</v>
      </c>
      <c r="C593" s="7" t="s">
        <v>21</v>
      </c>
      <c r="D593" s="7" t="s">
        <v>15</v>
      </c>
      <c r="E593" s="7" t="s">
        <v>16</v>
      </c>
      <c r="F593" s="7" t="s">
        <v>27</v>
      </c>
      <c r="G593" s="7" t="str">
        <f t="shared" si="28"/>
        <v>Wednesday</v>
      </c>
      <c r="H593" s="7" t="str">
        <f t="shared" si="29"/>
        <v>Jan</v>
      </c>
      <c r="I593" s="8">
        <v>43492</v>
      </c>
      <c r="J593" s="8" t="str">
        <f t="shared" si="27"/>
        <v>Evening</v>
      </c>
      <c r="K593" s="9">
        <v>0.73472222222222217</v>
      </c>
      <c r="L593" s="7" t="s">
        <v>18</v>
      </c>
      <c r="M593" s="10">
        <v>8.484</v>
      </c>
      <c r="N593" s="7">
        <v>9.4</v>
      </c>
    </row>
    <row r="594" spans="1:14" x14ac:dyDescent="0.25">
      <c r="A594" s="7" t="s">
        <v>623</v>
      </c>
      <c r="B594" s="7" t="s">
        <v>13</v>
      </c>
      <c r="C594" s="7" t="s">
        <v>14</v>
      </c>
      <c r="D594" s="7" t="s">
        <v>15</v>
      </c>
      <c r="E594" s="7" t="s">
        <v>16</v>
      </c>
      <c r="F594" s="7" t="s">
        <v>31</v>
      </c>
      <c r="G594" s="7" t="str">
        <f t="shared" si="28"/>
        <v>Thursday</v>
      </c>
      <c r="H594" s="7" t="str">
        <f t="shared" si="29"/>
        <v>Feb</v>
      </c>
      <c r="I594" s="8">
        <v>43503</v>
      </c>
      <c r="J594" s="8" t="str">
        <f t="shared" si="27"/>
        <v>Afternoon</v>
      </c>
      <c r="K594" s="9">
        <v>0.59236111111111112</v>
      </c>
      <c r="L594" s="7" t="s">
        <v>24</v>
      </c>
      <c r="M594" s="10">
        <v>2.2789999999999999</v>
      </c>
      <c r="N594" s="7">
        <v>9.8000000000000007</v>
      </c>
    </row>
    <row r="595" spans="1:14" x14ac:dyDescent="0.25">
      <c r="A595" s="7" t="s">
        <v>624</v>
      </c>
      <c r="B595" s="7" t="s">
        <v>13</v>
      </c>
      <c r="C595" s="7" t="s">
        <v>14</v>
      </c>
      <c r="D595" s="7" t="s">
        <v>15</v>
      </c>
      <c r="E595" s="7" t="s">
        <v>16</v>
      </c>
      <c r="F595" s="7" t="s">
        <v>31</v>
      </c>
      <c r="G595" s="7" t="str">
        <f t="shared" si="28"/>
        <v>Thursday</v>
      </c>
      <c r="H595" s="7" t="str">
        <f t="shared" si="29"/>
        <v>Feb</v>
      </c>
      <c r="I595" s="8">
        <v>43501</v>
      </c>
      <c r="J595" s="8" t="str">
        <f t="shared" si="27"/>
        <v>Morning</v>
      </c>
      <c r="K595" s="9">
        <v>0.49374999999999997</v>
      </c>
      <c r="L595" s="7" t="s">
        <v>18</v>
      </c>
      <c r="M595" s="10">
        <v>11.28</v>
      </c>
      <c r="N595" s="7">
        <v>4.8</v>
      </c>
    </row>
    <row r="596" spans="1:14" x14ac:dyDescent="0.25">
      <c r="A596" s="7" t="s">
        <v>625</v>
      </c>
      <c r="B596" s="7" t="s">
        <v>37</v>
      </c>
      <c r="C596" s="7" t="s">
        <v>38</v>
      </c>
      <c r="D596" s="7" t="s">
        <v>15</v>
      </c>
      <c r="E596" s="7" t="s">
        <v>26</v>
      </c>
      <c r="F596" s="7" t="s">
        <v>31</v>
      </c>
      <c r="G596" s="7" t="str">
        <f t="shared" si="28"/>
        <v>Tuesday</v>
      </c>
      <c r="H596" s="7" t="str">
        <f t="shared" si="29"/>
        <v>Mar</v>
      </c>
      <c r="I596" s="8">
        <v>43539</v>
      </c>
      <c r="J596" s="8" t="str">
        <f t="shared" si="27"/>
        <v>Afternoon</v>
      </c>
      <c r="K596" s="9">
        <v>0.54513888888888895</v>
      </c>
      <c r="L596" s="7" t="s">
        <v>24</v>
      </c>
      <c r="M596" s="10">
        <v>14.52</v>
      </c>
      <c r="N596" s="7">
        <v>5.3</v>
      </c>
    </row>
    <row r="597" spans="1:14" x14ac:dyDescent="0.25">
      <c r="A597" s="7" t="s">
        <v>626</v>
      </c>
      <c r="B597" s="7" t="s">
        <v>37</v>
      </c>
      <c r="C597" s="7" t="s">
        <v>38</v>
      </c>
      <c r="D597" s="7" t="s">
        <v>22</v>
      </c>
      <c r="E597" s="7" t="s">
        <v>26</v>
      </c>
      <c r="F597" s="7" t="s">
        <v>17</v>
      </c>
      <c r="G597" s="7" t="str">
        <f t="shared" si="28"/>
        <v>Sunday</v>
      </c>
      <c r="H597" s="7" t="str">
        <f t="shared" si="29"/>
        <v>Mar</v>
      </c>
      <c r="I597" s="8">
        <v>43525</v>
      </c>
      <c r="J597" s="8" t="str">
        <f t="shared" si="27"/>
        <v>Morning</v>
      </c>
      <c r="K597" s="9">
        <v>0.47916666666666669</v>
      </c>
      <c r="L597" s="7" t="s">
        <v>28</v>
      </c>
      <c r="M597" s="10">
        <v>2.2229999999999999</v>
      </c>
      <c r="N597" s="7">
        <v>8.6999999999999993</v>
      </c>
    </row>
    <row r="598" spans="1:14" x14ac:dyDescent="0.25">
      <c r="A598" s="7" t="s">
        <v>627</v>
      </c>
      <c r="B598" s="7" t="s">
        <v>13</v>
      </c>
      <c r="C598" s="7" t="s">
        <v>14</v>
      </c>
      <c r="D598" s="7" t="s">
        <v>22</v>
      </c>
      <c r="E598" s="7" t="s">
        <v>26</v>
      </c>
      <c r="F598" s="7" t="s">
        <v>39</v>
      </c>
      <c r="G598" s="7" t="str">
        <f t="shared" si="28"/>
        <v>Friday</v>
      </c>
      <c r="H598" s="7" t="str">
        <f t="shared" si="29"/>
        <v>Feb</v>
      </c>
      <c r="I598" s="8">
        <v>43511</v>
      </c>
      <c r="J598" s="8" t="str">
        <f t="shared" si="27"/>
        <v>Afternoon</v>
      </c>
      <c r="K598" s="9">
        <v>0.5625</v>
      </c>
      <c r="L598" s="7" t="s">
        <v>28</v>
      </c>
      <c r="M598" s="10">
        <v>7.83</v>
      </c>
      <c r="N598" s="7">
        <v>9.5</v>
      </c>
    </row>
    <row r="599" spans="1:14" x14ac:dyDescent="0.25">
      <c r="A599" s="7" t="s">
        <v>628</v>
      </c>
      <c r="B599" s="7" t="s">
        <v>20</v>
      </c>
      <c r="C599" s="7" t="s">
        <v>21</v>
      </c>
      <c r="D599" s="7" t="s">
        <v>22</v>
      </c>
      <c r="E599" s="7" t="s">
        <v>16</v>
      </c>
      <c r="F599" s="7" t="s">
        <v>31</v>
      </c>
      <c r="G599" s="7" t="str">
        <f t="shared" si="28"/>
        <v>Saturday</v>
      </c>
      <c r="H599" s="7" t="str">
        <f t="shared" si="29"/>
        <v>Feb</v>
      </c>
      <c r="I599" s="8">
        <v>43513</v>
      </c>
      <c r="J599" s="8" t="str">
        <f t="shared" si="27"/>
        <v>Evening</v>
      </c>
      <c r="K599" s="9">
        <v>0.7993055555555556</v>
      </c>
      <c r="L599" s="7" t="s">
        <v>18</v>
      </c>
      <c r="M599" s="10">
        <v>20.997</v>
      </c>
      <c r="N599" s="7">
        <v>5.3</v>
      </c>
    </row>
    <row r="600" spans="1:14" x14ac:dyDescent="0.25">
      <c r="A600" s="7" t="s">
        <v>629</v>
      </c>
      <c r="B600" s="7" t="s">
        <v>20</v>
      </c>
      <c r="C600" s="7" t="s">
        <v>21</v>
      </c>
      <c r="D600" s="7" t="s">
        <v>22</v>
      </c>
      <c r="E600" s="7" t="s">
        <v>16</v>
      </c>
      <c r="F600" s="7" t="s">
        <v>41</v>
      </c>
      <c r="G600" s="7" t="str">
        <f t="shared" si="28"/>
        <v>Wednesday</v>
      </c>
      <c r="H600" s="7" t="str">
        <f t="shared" si="29"/>
        <v>Jan</v>
      </c>
      <c r="I600" s="8">
        <v>43491</v>
      </c>
      <c r="J600" s="8" t="str">
        <f t="shared" si="27"/>
        <v>Evening</v>
      </c>
      <c r="K600" s="9">
        <v>0.78680555555555554</v>
      </c>
      <c r="L600" s="7" t="s">
        <v>24</v>
      </c>
      <c r="M600" s="10">
        <v>9.2125000000000004</v>
      </c>
      <c r="N600" s="7">
        <v>9.1999999999999993</v>
      </c>
    </row>
    <row r="601" spans="1:14" x14ac:dyDescent="0.25">
      <c r="A601" s="7" t="s">
        <v>630</v>
      </c>
      <c r="B601" s="7" t="s">
        <v>13</v>
      </c>
      <c r="C601" s="7" t="s">
        <v>14</v>
      </c>
      <c r="D601" s="7" t="s">
        <v>15</v>
      </c>
      <c r="E601" s="7" t="s">
        <v>16</v>
      </c>
      <c r="F601" s="7" t="s">
        <v>27</v>
      </c>
      <c r="G601" s="7" t="str">
        <f t="shared" si="28"/>
        <v>Thursday</v>
      </c>
      <c r="H601" s="7" t="str">
        <f t="shared" si="29"/>
        <v>Mar</v>
      </c>
      <c r="I601" s="8">
        <v>43548</v>
      </c>
      <c r="J601" s="8" t="str">
        <f t="shared" si="27"/>
        <v>Afternoon</v>
      </c>
      <c r="K601" s="9">
        <v>0.59861111111111109</v>
      </c>
      <c r="L601" s="7" t="s">
        <v>18</v>
      </c>
      <c r="M601" s="10">
        <v>7.032</v>
      </c>
      <c r="N601" s="7">
        <v>9.6</v>
      </c>
    </row>
    <row r="602" spans="1:14" x14ac:dyDescent="0.25">
      <c r="A602" s="7" t="s">
        <v>631</v>
      </c>
      <c r="B602" s="7" t="s">
        <v>20</v>
      </c>
      <c r="C602" s="7" t="s">
        <v>21</v>
      </c>
      <c r="D602" s="7" t="s">
        <v>22</v>
      </c>
      <c r="E602" s="7" t="s">
        <v>26</v>
      </c>
      <c r="F602" s="7" t="s">
        <v>23</v>
      </c>
      <c r="G602" s="7" t="str">
        <f t="shared" si="28"/>
        <v>Tuesday</v>
      </c>
      <c r="H602" s="7" t="str">
        <f t="shared" si="29"/>
        <v>Jan</v>
      </c>
      <c r="I602" s="8">
        <v>43488</v>
      </c>
      <c r="J602" s="8" t="str">
        <f t="shared" si="27"/>
        <v>Evening</v>
      </c>
      <c r="K602" s="9">
        <v>0.71944444444444444</v>
      </c>
      <c r="L602" s="7" t="s">
        <v>18</v>
      </c>
      <c r="M602" s="10">
        <v>4.1539999999999999</v>
      </c>
      <c r="N602" s="7">
        <v>6.4</v>
      </c>
    </row>
    <row r="603" spans="1:14" x14ac:dyDescent="0.25">
      <c r="A603" s="7" t="s">
        <v>632</v>
      </c>
      <c r="B603" s="7" t="s">
        <v>20</v>
      </c>
      <c r="C603" s="7" t="s">
        <v>21</v>
      </c>
      <c r="D603" s="7" t="s">
        <v>22</v>
      </c>
      <c r="E603" s="7" t="s">
        <v>16</v>
      </c>
      <c r="F603" s="7" t="s">
        <v>41</v>
      </c>
      <c r="G603" s="7" t="str">
        <f t="shared" si="28"/>
        <v>Wednesday</v>
      </c>
      <c r="H603" s="7" t="str">
        <f t="shared" si="29"/>
        <v>Jan</v>
      </c>
      <c r="I603" s="8">
        <v>43491</v>
      </c>
      <c r="J603" s="8" t="str">
        <f t="shared" si="27"/>
        <v>Morning</v>
      </c>
      <c r="K603" s="9">
        <v>0.42083333333333334</v>
      </c>
      <c r="L603" s="7" t="s">
        <v>28</v>
      </c>
      <c r="M603" s="10">
        <v>3.2494999999999998</v>
      </c>
      <c r="N603" s="7">
        <v>4.5</v>
      </c>
    </row>
    <row r="604" spans="1:14" x14ac:dyDescent="0.25">
      <c r="A604" s="7" t="s">
        <v>633</v>
      </c>
      <c r="B604" s="7" t="s">
        <v>20</v>
      </c>
      <c r="C604" s="7" t="s">
        <v>21</v>
      </c>
      <c r="D604" s="7" t="s">
        <v>22</v>
      </c>
      <c r="E604" s="7" t="s">
        <v>26</v>
      </c>
      <c r="F604" s="7" t="s">
        <v>39</v>
      </c>
      <c r="G604" s="7" t="str">
        <f t="shared" si="28"/>
        <v>Tuesday</v>
      </c>
      <c r="H604" s="7" t="str">
        <f t="shared" si="29"/>
        <v>Mar</v>
      </c>
      <c r="I604" s="8">
        <v>43538</v>
      </c>
      <c r="J604" s="8" t="str">
        <f t="shared" si="27"/>
        <v>Evening</v>
      </c>
      <c r="K604" s="9">
        <v>0.85763888888888884</v>
      </c>
      <c r="L604" s="7" t="s">
        <v>18</v>
      </c>
      <c r="M604" s="10">
        <v>38.78</v>
      </c>
      <c r="N604" s="7">
        <v>6.9</v>
      </c>
    </row>
    <row r="605" spans="1:14" x14ac:dyDescent="0.25">
      <c r="A605" s="7" t="s">
        <v>634</v>
      </c>
      <c r="B605" s="7" t="s">
        <v>37</v>
      </c>
      <c r="C605" s="7" t="s">
        <v>38</v>
      </c>
      <c r="D605" s="7" t="s">
        <v>22</v>
      </c>
      <c r="E605" s="7" t="s">
        <v>16</v>
      </c>
      <c r="F605" s="7" t="s">
        <v>31</v>
      </c>
      <c r="G605" s="7" t="str">
        <f t="shared" si="28"/>
        <v>Wednesday</v>
      </c>
      <c r="H605" s="7" t="str">
        <f t="shared" si="29"/>
        <v>Mar</v>
      </c>
      <c r="I605" s="8">
        <v>43541</v>
      </c>
      <c r="J605" s="8" t="str">
        <f t="shared" si="27"/>
        <v>Afternoon</v>
      </c>
      <c r="K605" s="9">
        <v>0.57916666666666672</v>
      </c>
      <c r="L605" s="7" t="s">
        <v>18</v>
      </c>
      <c r="M605" s="10">
        <v>16.353000000000002</v>
      </c>
      <c r="N605" s="7">
        <v>7.8</v>
      </c>
    </row>
    <row r="606" spans="1:14" x14ac:dyDescent="0.25">
      <c r="A606" s="7" t="s">
        <v>635</v>
      </c>
      <c r="B606" s="7" t="s">
        <v>20</v>
      </c>
      <c r="C606" s="7" t="s">
        <v>21</v>
      </c>
      <c r="D606" s="7" t="s">
        <v>15</v>
      </c>
      <c r="E606" s="7" t="s">
        <v>16</v>
      </c>
      <c r="F606" s="7" t="s">
        <v>41</v>
      </c>
      <c r="G606" s="7" t="str">
        <f t="shared" si="28"/>
        <v>Sunday</v>
      </c>
      <c r="H606" s="7" t="str">
        <f t="shared" si="29"/>
        <v>Jan</v>
      </c>
      <c r="I606" s="8">
        <v>43473</v>
      </c>
      <c r="J606" s="8" t="str">
        <f t="shared" si="27"/>
        <v>Evening</v>
      </c>
      <c r="K606" s="9">
        <v>0.83888888888888891</v>
      </c>
      <c r="L606" s="7" t="s">
        <v>24</v>
      </c>
      <c r="M606" s="10">
        <v>18.1615</v>
      </c>
      <c r="N606" s="7">
        <v>4.5</v>
      </c>
    </row>
    <row r="607" spans="1:14" x14ac:dyDescent="0.25">
      <c r="A607" s="7" t="s">
        <v>636</v>
      </c>
      <c r="B607" s="7" t="s">
        <v>37</v>
      </c>
      <c r="C607" s="7" t="s">
        <v>38</v>
      </c>
      <c r="D607" s="7" t="s">
        <v>22</v>
      </c>
      <c r="E607" s="7" t="s">
        <v>26</v>
      </c>
      <c r="F607" s="7" t="s">
        <v>27</v>
      </c>
      <c r="G607" s="7" t="str">
        <f t="shared" si="28"/>
        <v>Thursday</v>
      </c>
      <c r="H607" s="7" t="str">
        <f t="shared" si="29"/>
        <v>Feb</v>
      </c>
      <c r="I607" s="8">
        <v>43504</v>
      </c>
      <c r="J607" s="8" t="str">
        <f t="shared" si="27"/>
        <v>Afternoon</v>
      </c>
      <c r="K607" s="9">
        <v>0.6430555555555556</v>
      </c>
      <c r="L607" s="7" t="s">
        <v>24</v>
      </c>
      <c r="M607" s="10">
        <v>6.35</v>
      </c>
      <c r="N607" s="7">
        <v>8.6</v>
      </c>
    </row>
    <row r="608" spans="1:14" x14ac:dyDescent="0.25">
      <c r="A608" s="7" t="s">
        <v>637</v>
      </c>
      <c r="B608" s="7" t="s">
        <v>13</v>
      </c>
      <c r="C608" s="7" t="s">
        <v>14</v>
      </c>
      <c r="D608" s="7" t="s">
        <v>15</v>
      </c>
      <c r="E608" s="7" t="s">
        <v>16</v>
      </c>
      <c r="F608" s="7" t="s">
        <v>41</v>
      </c>
      <c r="G608" s="7" t="str">
        <f t="shared" si="28"/>
        <v>Friday</v>
      </c>
      <c r="H608" s="7" t="str">
        <f t="shared" si="29"/>
        <v>Feb</v>
      </c>
      <c r="I608" s="8">
        <v>43506</v>
      </c>
      <c r="J608" s="8" t="str">
        <f t="shared" si="27"/>
        <v>Afternoon</v>
      </c>
      <c r="K608" s="9">
        <v>0.53888888888888886</v>
      </c>
      <c r="L608" s="7" t="s">
        <v>18</v>
      </c>
      <c r="M608" s="10">
        <v>18.7775</v>
      </c>
      <c r="N608" s="7">
        <v>5.2</v>
      </c>
    </row>
    <row r="609" spans="1:14" x14ac:dyDescent="0.25">
      <c r="A609" s="7" t="s">
        <v>638</v>
      </c>
      <c r="B609" s="7" t="s">
        <v>20</v>
      </c>
      <c r="C609" s="7" t="s">
        <v>21</v>
      </c>
      <c r="D609" s="7" t="s">
        <v>15</v>
      </c>
      <c r="E609" s="7" t="s">
        <v>16</v>
      </c>
      <c r="F609" s="7" t="s">
        <v>39</v>
      </c>
      <c r="G609" s="7" t="str">
        <f t="shared" si="28"/>
        <v>Thursday</v>
      </c>
      <c r="H609" s="7" t="str">
        <f t="shared" si="29"/>
        <v>Mar</v>
      </c>
      <c r="I609" s="8">
        <v>43552</v>
      </c>
      <c r="J609" s="8" t="str">
        <f t="shared" si="27"/>
        <v>Evening</v>
      </c>
      <c r="K609" s="9">
        <v>0.8027777777777777</v>
      </c>
      <c r="L609" s="7" t="s">
        <v>28</v>
      </c>
      <c r="M609" s="10">
        <v>9.9580000000000002</v>
      </c>
      <c r="N609" s="7">
        <v>6.4</v>
      </c>
    </row>
    <row r="610" spans="1:14" x14ac:dyDescent="0.25">
      <c r="A610" s="7" t="s">
        <v>639</v>
      </c>
      <c r="B610" s="7" t="s">
        <v>13</v>
      </c>
      <c r="C610" s="7" t="s">
        <v>14</v>
      </c>
      <c r="D610" s="7" t="s">
        <v>22</v>
      </c>
      <c r="E610" s="7" t="s">
        <v>26</v>
      </c>
      <c r="F610" s="7" t="s">
        <v>41</v>
      </c>
      <c r="G610" s="7" t="str">
        <f t="shared" si="28"/>
        <v>Tuesday</v>
      </c>
      <c r="H610" s="7" t="str">
        <f t="shared" si="29"/>
        <v>Jan</v>
      </c>
      <c r="I610" s="8">
        <v>43488</v>
      </c>
      <c r="J610" s="8" t="str">
        <f t="shared" si="27"/>
        <v>Afternoon</v>
      </c>
      <c r="K610" s="9">
        <v>0.51388888888888895</v>
      </c>
      <c r="L610" s="7" t="s">
        <v>18</v>
      </c>
      <c r="M610" s="10">
        <v>1.5305</v>
      </c>
      <c r="N610" s="7">
        <v>5.2</v>
      </c>
    </row>
    <row r="611" spans="1:14" x14ac:dyDescent="0.25">
      <c r="A611" s="7" t="s">
        <v>640</v>
      </c>
      <c r="B611" s="7" t="s">
        <v>37</v>
      </c>
      <c r="C611" s="7" t="s">
        <v>38</v>
      </c>
      <c r="D611" s="7" t="s">
        <v>15</v>
      </c>
      <c r="E611" s="7" t="s">
        <v>26</v>
      </c>
      <c r="F611" s="7" t="s">
        <v>39</v>
      </c>
      <c r="G611" s="7" t="str">
        <f t="shared" si="28"/>
        <v>Monday</v>
      </c>
      <c r="H611" s="7" t="str">
        <f t="shared" si="29"/>
        <v>Jan</v>
      </c>
      <c r="I611" s="8">
        <v>43482</v>
      </c>
      <c r="J611" s="8" t="str">
        <f t="shared" si="27"/>
        <v>Morning</v>
      </c>
      <c r="K611" s="9">
        <v>0.44236111111111115</v>
      </c>
      <c r="L611" s="7" t="s">
        <v>18</v>
      </c>
      <c r="M611" s="10">
        <v>5.7889999999999997</v>
      </c>
      <c r="N611" s="7">
        <v>8.9</v>
      </c>
    </row>
    <row r="612" spans="1:14" x14ac:dyDescent="0.25">
      <c r="A612" s="7" t="s">
        <v>641</v>
      </c>
      <c r="B612" s="7" t="s">
        <v>13</v>
      </c>
      <c r="C612" s="7" t="s">
        <v>14</v>
      </c>
      <c r="D612" s="7" t="s">
        <v>22</v>
      </c>
      <c r="E612" s="7" t="s">
        <v>16</v>
      </c>
      <c r="F612" s="7" t="s">
        <v>23</v>
      </c>
      <c r="G612" s="7" t="str">
        <f t="shared" si="28"/>
        <v>Thursday</v>
      </c>
      <c r="H612" s="7" t="str">
        <f t="shared" si="29"/>
        <v>Feb</v>
      </c>
      <c r="I612" s="8">
        <v>43503</v>
      </c>
      <c r="J612" s="8" t="str">
        <f t="shared" si="27"/>
        <v>Morning</v>
      </c>
      <c r="K612" s="9">
        <v>0.4291666666666667</v>
      </c>
      <c r="L612" s="7" t="s">
        <v>28</v>
      </c>
      <c r="M612" s="10">
        <v>1.448</v>
      </c>
      <c r="N612" s="7">
        <v>6.2</v>
      </c>
    </row>
    <row r="613" spans="1:14" x14ac:dyDescent="0.25">
      <c r="A613" s="7" t="s">
        <v>642</v>
      </c>
      <c r="B613" s="7" t="s">
        <v>20</v>
      </c>
      <c r="C613" s="7" t="s">
        <v>21</v>
      </c>
      <c r="D613" s="7" t="s">
        <v>15</v>
      </c>
      <c r="E613" s="7" t="s">
        <v>16</v>
      </c>
      <c r="F613" s="7" t="s">
        <v>39</v>
      </c>
      <c r="G613" s="7" t="str">
        <f t="shared" si="28"/>
        <v>Tuesday</v>
      </c>
      <c r="H613" s="7" t="str">
        <f t="shared" si="29"/>
        <v>Mar</v>
      </c>
      <c r="I613" s="8">
        <v>43533</v>
      </c>
      <c r="J613" s="8" t="str">
        <f t="shared" si="27"/>
        <v>Morning</v>
      </c>
      <c r="K613" s="9">
        <v>0.47430555555555554</v>
      </c>
      <c r="L613" s="7" t="s">
        <v>24</v>
      </c>
      <c r="M613" s="10">
        <v>44.536499999999997</v>
      </c>
      <c r="N613" s="7">
        <v>6.7</v>
      </c>
    </row>
    <row r="614" spans="1:14" x14ac:dyDescent="0.25">
      <c r="A614" s="7" t="s">
        <v>643</v>
      </c>
      <c r="B614" s="7" t="s">
        <v>37</v>
      </c>
      <c r="C614" s="7" t="s">
        <v>38</v>
      </c>
      <c r="D614" s="7" t="s">
        <v>15</v>
      </c>
      <c r="E614" s="7" t="s">
        <v>26</v>
      </c>
      <c r="F614" s="7" t="s">
        <v>41</v>
      </c>
      <c r="G614" s="7" t="str">
        <f t="shared" si="28"/>
        <v>Tuesday</v>
      </c>
      <c r="H614" s="7" t="str">
        <f t="shared" si="29"/>
        <v>Jan</v>
      </c>
      <c r="I614" s="8">
        <v>43489</v>
      </c>
      <c r="J614" s="8" t="str">
        <f t="shared" si="27"/>
        <v>Morning</v>
      </c>
      <c r="K614" s="9">
        <v>0.48958333333333331</v>
      </c>
      <c r="L614" s="7" t="s">
        <v>24</v>
      </c>
      <c r="M614" s="10">
        <v>13.983000000000001</v>
      </c>
      <c r="N614" s="7">
        <v>7.2</v>
      </c>
    </row>
    <row r="615" spans="1:14" x14ac:dyDescent="0.25">
      <c r="A615" s="7" t="s">
        <v>644</v>
      </c>
      <c r="B615" s="7" t="s">
        <v>20</v>
      </c>
      <c r="C615" s="7" t="s">
        <v>21</v>
      </c>
      <c r="D615" s="7" t="s">
        <v>15</v>
      </c>
      <c r="E615" s="7" t="s">
        <v>26</v>
      </c>
      <c r="F615" s="7" t="s">
        <v>31</v>
      </c>
      <c r="G615" s="7" t="str">
        <f t="shared" si="28"/>
        <v>Tuesday</v>
      </c>
      <c r="H615" s="7" t="str">
        <f t="shared" si="29"/>
        <v>Jan</v>
      </c>
      <c r="I615" s="8">
        <v>43484</v>
      </c>
      <c r="J615" s="8" t="str">
        <f t="shared" si="27"/>
        <v>Evening</v>
      </c>
      <c r="K615" s="9">
        <v>0.67222222222222217</v>
      </c>
      <c r="L615" s="7" t="s">
        <v>28</v>
      </c>
      <c r="M615" s="10">
        <v>4.0465</v>
      </c>
      <c r="N615" s="7">
        <v>9</v>
      </c>
    </row>
    <row r="616" spans="1:14" x14ac:dyDescent="0.25">
      <c r="A616" s="7" t="s">
        <v>645</v>
      </c>
      <c r="B616" s="7" t="s">
        <v>13</v>
      </c>
      <c r="C616" s="7" t="s">
        <v>14</v>
      </c>
      <c r="D616" s="7" t="s">
        <v>15</v>
      </c>
      <c r="E616" s="7" t="s">
        <v>26</v>
      </c>
      <c r="F616" s="7" t="s">
        <v>39</v>
      </c>
      <c r="G616" s="7" t="str">
        <f t="shared" si="28"/>
        <v>Thursday</v>
      </c>
      <c r="H616" s="7" t="str">
        <f t="shared" si="29"/>
        <v>Feb</v>
      </c>
      <c r="I616" s="8">
        <v>43499</v>
      </c>
      <c r="J616" s="8" t="str">
        <f t="shared" si="27"/>
        <v>Morning</v>
      </c>
      <c r="K616" s="9">
        <v>0.47569444444444442</v>
      </c>
      <c r="L616" s="7" t="s">
        <v>18</v>
      </c>
      <c r="M616" s="10">
        <v>33.725000000000001</v>
      </c>
      <c r="N616" s="7">
        <v>4.2</v>
      </c>
    </row>
    <row r="617" spans="1:14" x14ac:dyDescent="0.25">
      <c r="A617" s="7" t="s">
        <v>646</v>
      </c>
      <c r="B617" s="7" t="s">
        <v>13</v>
      </c>
      <c r="C617" s="7" t="s">
        <v>14</v>
      </c>
      <c r="D617" s="7" t="s">
        <v>15</v>
      </c>
      <c r="E617" s="7" t="s">
        <v>16</v>
      </c>
      <c r="F617" s="7" t="s">
        <v>31</v>
      </c>
      <c r="G617" s="7" t="str">
        <f t="shared" si="28"/>
        <v>Wednesday</v>
      </c>
      <c r="H617" s="7" t="str">
        <f t="shared" si="29"/>
        <v>Mar</v>
      </c>
      <c r="I617" s="8">
        <v>43544</v>
      </c>
      <c r="J617" s="8" t="str">
        <f t="shared" si="27"/>
        <v>Afternoon</v>
      </c>
      <c r="K617" s="9">
        <v>0.51666666666666672</v>
      </c>
      <c r="L617" s="7" t="s">
        <v>18</v>
      </c>
      <c r="M617" s="10">
        <v>17.423999999999999</v>
      </c>
      <c r="N617" s="7">
        <v>4.2</v>
      </c>
    </row>
    <row r="618" spans="1:14" x14ac:dyDescent="0.25">
      <c r="A618" s="7" t="s">
        <v>647</v>
      </c>
      <c r="B618" s="7" t="s">
        <v>37</v>
      </c>
      <c r="C618" s="7" t="s">
        <v>38</v>
      </c>
      <c r="D618" s="7" t="s">
        <v>15</v>
      </c>
      <c r="E618" s="7" t="s">
        <v>26</v>
      </c>
      <c r="F618" s="7" t="s">
        <v>31</v>
      </c>
      <c r="G618" s="7" t="str">
        <f t="shared" si="28"/>
        <v>Monday</v>
      </c>
      <c r="H618" s="7" t="str">
        <f t="shared" si="29"/>
        <v>Jan</v>
      </c>
      <c r="I618" s="8">
        <v>43478</v>
      </c>
      <c r="J618" s="8" t="str">
        <f t="shared" si="27"/>
        <v>Evening</v>
      </c>
      <c r="K618" s="9">
        <v>0.82708333333333339</v>
      </c>
      <c r="L618" s="7" t="s">
        <v>24</v>
      </c>
      <c r="M618" s="10">
        <v>21.78</v>
      </c>
      <c r="N618" s="7">
        <v>6.9</v>
      </c>
    </row>
    <row r="619" spans="1:14" x14ac:dyDescent="0.25">
      <c r="A619" s="7" t="s">
        <v>648</v>
      </c>
      <c r="B619" s="7" t="s">
        <v>20</v>
      </c>
      <c r="C619" s="7" t="s">
        <v>21</v>
      </c>
      <c r="D619" s="7" t="s">
        <v>15</v>
      </c>
      <c r="E619" s="7" t="s">
        <v>26</v>
      </c>
      <c r="F619" s="7" t="s">
        <v>23</v>
      </c>
      <c r="G619" s="7" t="str">
        <f t="shared" si="28"/>
        <v>Tuesday</v>
      </c>
      <c r="H619" s="7" t="str">
        <f t="shared" si="29"/>
        <v>Mar</v>
      </c>
      <c r="I619" s="8">
        <v>43538</v>
      </c>
      <c r="J619" s="8" t="str">
        <f t="shared" si="27"/>
        <v>Evening</v>
      </c>
      <c r="K619" s="9">
        <v>0.75694444444444453</v>
      </c>
      <c r="L619" s="7" t="s">
        <v>18</v>
      </c>
      <c r="M619" s="10">
        <v>21.977499999999999</v>
      </c>
      <c r="N619" s="7">
        <v>4.4000000000000004</v>
      </c>
    </row>
    <row r="620" spans="1:14" x14ac:dyDescent="0.25">
      <c r="A620" s="7" t="s">
        <v>649</v>
      </c>
      <c r="B620" s="7" t="s">
        <v>13</v>
      </c>
      <c r="C620" s="7" t="s">
        <v>14</v>
      </c>
      <c r="D620" s="7" t="s">
        <v>15</v>
      </c>
      <c r="E620" s="7" t="s">
        <v>26</v>
      </c>
      <c r="F620" s="7" t="s">
        <v>39</v>
      </c>
      <c r="G620" s="7" t="str">
        <f t="shared" si="28"/>
        <v>Tuesday</v>
      </c>
      <c r="H620" s="7" t="str">
        <f t="shared" si="29"/>
        <v>Jan</v>
      </c>
      <c r="I620" s="8">
        <v>43488</v>
      </c>
      <c r="J620" s="8" t="str">
        <f t="shared" si="27"/>
        <v>Morning</v>
      </c>
      <c r="K620" s="9">
        <v>0.47361111111111115</v>
      </c>
      <c r="L620" s="7" t="s">
        <v>28</v>
      </c>
      <c r="M620" s="10">
        <v>29.559000000000001</v>
      </c>
      <c r="N620" s="7">
        <v>4</v>
      </c>
    </row>
    <row r="621" spans="1:14" x14ac:dyDescent="0.25">
      <c r="A621" s="7" t="s">
        <v>650</v>
      </c>
      <c r="B621" s="7" t="s">
        <v>20</v>
      </c>
      <c r="C621" s="7" t="s">
        <v>21</v>
      </c>
      <c r="D621" s="7" t="s">
        <v>15</v>
      </c>
      <c r="E621" s="7" t="s">
        <v>16</v>
      </c>
      <c r="F621" s="7" t="s">
        <v>41</v>
      </c>
      <c r="G621" s="7" t="str">
        <f t="shared" si="28"/>
        <v>Thursday</v>
      </c>
      <c r="H621" s="7" t="str">
        <f t="shared" si="29"/>
        <v>Feb</v>
      </c>
      <c r="I621" s="8">
        <v>43503</v>
      </c>
      <c r="J621" s="8" t="str">
        <f t="shared" si="27"/>
        <v>Evening</v>
      </c>
      <c r="K621" s="9">
        <v>0.74652777777777779</v>
      </c>
      <c r="L621" s="7" t="s">
        <v>18</v>
      </c>
      <c r="M621" s="10">
        <v>13.038</v>
      </c>
      <c r="N621" s="7">
        <v>8.5</v>
      </c>
    </row>
    <row r="622" spans="1:14" x14ac:dyDescent="0.25">
      <c r="A622" s="7" t="s">
        <v>651</v>
      </c>
      <c r="B622" s="7" t="s">
        <v>13</v>
      </c>
      <c r="C622" s="7" t="s">
        <v>14</v>
      </c>
      <c r="D622" s="7" t="s">
        <v>22</v>
      </c>
      <c r="E622" s="7" t="s">
        <v>16</v>
      </c>
      <c r="F622" s="7" t="s">
        <v>39</v>
      </c>
      <c r="G622" s="7" t="str">
        <f t="shared" si="28"/>
        <v>Thursday</v>
      </c>
      <c r="H622" s="7" t="str">
        <f t="shared" si="29"/>
        <v>Mar</v>
      </c>
      <c r="I622" s="8">
        <v>43552</v>
      </c>
      <c r="J622" s="8" t="str">
        <f t="shared" si="27"/>
        <v>Afternoon</v>
      </c>
      <c r="K622" s="9">
        <v>0.64583333333333337</v>
      </c>
      <c r="L622" s="7" t="s">
        <v>28</v>
      </c>
      <c r="M622" s="10">
        <v>10.752000000000001</v>
      </c>
      <c r="N622" s="7">
        <v>9.1999999999999993</v>
      </c>
    </row>
    <row r="623" spans="1:14" x14ac:dyDescent="0.25">
      <c r="A623" s="7" t="s">
        <v>652</v>
      </c>
      <c r="B623" s="7" t="s">
        <v>13</v>
      </c>
      <c r="C623" s="7" t="s">
        <v>14</v>
      </c>
      <c r="D623" s="7" t="s">
        <v>15</v>
      </c>
      <c r="E623" s="7" t="s">
        <v>16</v>
      </c>
      <c r="F623" s="7" t="s">
        <v>39</v>
      </c>
      <c r="G623" s="7" t="str">
        <f t="shared" si="28"/>
        <v>Wednesday</v>
      </c>
      <c r="H623" s="7" t="str">
        <f t="shared" si="29"/>
        <v>Mar</v>
      </c>
      <c r="I623" s="8">
        <v>43544</v>
      </c>
      <c r="J623" s="8" t="str">
        <f t="shared" si="27"/>
        <v>Evening</v>
      </c>
      <c r="K623" s="9">
        <v>0.8222222222222223</v>
      </c>
      <c r="L623" s="7" t="s">
        <v>24</v>
      </c>
      <c r="M623" s="10">
        <v>4.5804999999999998</v>
      </c>
      <c r="N623" s="7">
        <v>9.8000000000000007</v>
      </c>
    </row>
    <row r="624" spans="1:14" x14ac:dyDescent="0.25">
      <c r="A624" s="7" t="s">
        <v>653</v>
      </c>
      <c r="B624" s="7" t="s">
        <v>37</v>
      </c>
      <c r="C624" s="7" t="s">
        <v>38</v>
      </c>
      <c r="D624" s="7" t="s">
        <v>15</v>
      </c>
      <c r="E624" s="7" t="s">
        <v>16</v>
      </c>
      <c r="F624" s="7" t="s">
        <v>27</v>
      </c>
      <c r="G624" s="7" t="str">
        <f t="shared" si="28"/>
        <v>Monday</v>
      </c>
      <c r="H624" s="7" t="str">
        <f t="shared" si="29"/>
        <v>Jan</v>
      </c>
      <c r="I624" s="8">
        <v>43482</v>
      </c>
      <c r="J624" s="8" t="str">
        <f t="shared" si="27"/>
        <v>Afternoon</v>
      </c>
      <c r="K624" s="9">
        <v>0.64374999999999993</v>
      </c>
      <c r="L624" s="7" t="s">
        <v>28</v>
      </c>
      <c r="M624" s="10">
        <v>33.106499999999997</v>
      </c>
      <c r="N624" s="7">
        <v>4.9000000000000004</v>
      </c>
    </row>
    <row r="625" spans="1:14" x14ac:dyDescent="0.25">
      <c r="A625" s="7" t="s">
        <v>654</v>
      </c>
      <c r="B625" s="7" t="s">
        <v>37</v>
      </c>
      <c r="C625" s="7" t="s">
        <v>38</v>
      </c>
      <c r="D625" s="7" t="s">
        <v>22</v>
      </c>
      <c r="E625" s="7" t="s">
        <v>16</v>
      </c>
      <c r="F625" s="7" t="s">
        <v>41</v>
      </c>
      <c r="G625" s="7" t="str">
        <f t="shared" si="28"/>
        <v>Monday</v>
      </c>
      <c r="H625" s="7" t="str">
        <f t="shared" si="29"/>
        <v>Jan</v>
      </c>
      <c r="I625" s="8">
        <v>43477</v>
      </c>
      <c r="J625" s="8" t="str">
        <f t="shared" si="27"/>
        <v>Morning</v>
      </c>
      <c r="K625" s="9">
        <v>0.47569444444444442</v>
      </c>
      <c r="L625" s="7" t="s">
        <v>28</v>
      </c>
      <c r="M625" s="10">
        <v>41.625</v>
      </c>
      <c r="N625" s="7">
        <v>4.4000000000000004</v>
      </c>
    </row>
    <row r="626" spans="1:14" x14ac:dyDescent="0.25">
      <c r="A626" s="7" t="s">
        <v>655</v>
      </c>
      <c r="B626" s="7" t="s">
        <v>37</v>
      </c>
      <c r="C626" s="7" t="s">
        <v>38</v>
      </c>
      <c r="D626" s="7" t="s">
        <v>15</v>
      </c>
      <c r="E626" s="7" t="s">
        <v>26</v>
      </c>
      <c r="F626" s="7" t="s">
        <v>41</v>
      </c>
      <c r="G626" s="7" t="str">
        <f t="shared" si="28"/>
        <v>Saturday</v>
      </c>
      <c r="H626" s="7" t="str">
        <f t="shared" si="29"/>
        <v>Feb</v>
      </c>
      <c r="I626" s="8">
        <v>43512</v>
      </c>
      <c r="J626" s="8" t="str">
        <f t="shared" si="27"/>
        <v>Afternoon</v>
      </c>
      <c r="K626" s="9">
        <v>0.65416666666666667</v>
      </c>
      <c r="L626" s="7" t="s">
        <v>24</v>
      </c>
      <c r="M626" s="10">
        <v>4.5674999999999999</v>
      </c>
      <c r="N626" s="7">
        <v>6.8</v>
      </c>
    </row>
    <row r="627" spans="1:14" x14ac:dyDescent="0.25">
      <c r="A627" s="7" t="s">
        <v>656</v>
      </c>
      <c r="B627" s="7" t="s">
        <v>37</v>
      </c>
      <c r="C627" s="7" t="s">
        <v>38</v>
      </c>
      <c r="D627" s="7" t="s">
        <v>15</v>
      </c>
      <c r="E627" s="7" t="s">
        <v>16</v>
      </c>
      <c r="F627" s="7" t="s">
        <v>39</v>
      </c>
      <c r="G627" s="7" t="str">
        <f t="shared" si="28"/>
        <v>Wednesday</v>
      </c>
      <c r="H627" s="7" t="str">
        <f t="shared" si="29"/>
        <v>Jan</v>
      </c>
      <c r="I627" s="8">
        <v>43491</v>
      </c>
      <c r="J627" s="8" t="str">
        <f t="shared" si="27"/>
        <v>Evening</v>
      </c>
      <c r="K627" s="9">
        <v>0.6694444444444444</v>
      </c>
      <c r="L627" s="7" t="s">
        <v>24</v>
      </c>
      <c r="M627" s="10">
        <v>7.8879999999999999</v>
      </c>
      <c r="N627" s="7">
        <v>9.1</v>
      </c>
    </row>
    <row r="628" spans="1:14" x14ac:dyDescent="0.25">
      <c r="A628" s="7" t="s">
        <v>657</v>
      </c>
      <c r="B628" s="7" t="s">
        <v>13</v>
      </c>
      <c r="C628" s="7" t="s">
        <v>14</v>
      </c>
      <c r="D628" s="7" t="s">
        <v>22</v>
      </c>
      <c r="E628" s="7" t="s">
        <v>26</v>
      </c>
      <c r="F628" s="7" t="s">
        <v>31</v>
      </c>
      <c r="G628" s="7" t="str">
        <f t="shared" si="28"/>
        <v>Tuesday</v>
      </c>
      <c r="H628" s="7" t="str">
        <f t="shared" si="29"/>
        <v>Mar</v>
      </c>
      <c r="I628" s="8">
        <v>43533</v>
      </c>
      <c r="J628" s="8" t="str">
        <f t="shared" si="27"/>
        <v>Afternoon</v>
      </c>
      <c r="K628" s="9">
        <v>0.52569444444444446</v>
      </c>
      <c r="L628" s="7" t="s">
        <v>18</v>
      </c>
      <c r="M628" s="10">
        <v>6.0869999999999997</v>
      </c>
      <c r="N628" s="7">
        <v>8.6999999999999993</v>
      </c>
    </row>
    <row r="629" spans="1:14" x14ac:dyDescent="0.25">
      <c r="A629" s="7" t="s">
        <v>658</v>
      </c>
      <c r="B629" s="7" t="s">
        <v>37</v>
      </c>
      <c r="C629" s="7" t="s">
        <v>38</v>
      </c>
      <c r="D629" s="7" t="s">
        <v>15</v>
      </c>
      <c r="E629" s="7" t="s">
        <v>26</v>
      </c>
      <c r="F629" s="7" t="s">
        <v>17</v>
      </c>
      <c r="G629" s="7" t="str">
        <f t="shared" si="28"/>
        <v>Tuesday</v>
      </c>
      <c r="H629" s="7" t="str">
        <f t="shared" si="29"/>
        <v>Mar</v>
      </c>
      <c r="I629" s="8">
        <v>43538</v>
      </c>
      <c r="J629" s="8" t="str">
        <f t="shared" si="27"/>
        <v>Afternoon</v>
      </c>
      <c r="K629" s="9">
        <v>0.6118055555555556</v>
      </c>
      <c r="L629" s="7" t="s">
        <v>24</v>
      </c>
      <c r="M629" s="10">
        <v>41.29</v>
      </c>
      <c r="N629" s="7">
        <v>5</v>
      </c>
    </row>
    <row r="630" spans="1:14" x14ac:dyDescent="0.25">
      <c r="A630" s="7" t="s">
        <v>659</v>
      </c>
      <c r="B630" s="7" t="s">
        <v>13</v>
      </c>
      <c r="C630" s="7" t="s">
        <v>14</v>
      </c>
      <c r="D630" s="7" t="s">
        <v>15</v>
      </c>
      <c r="E630" s="7" t="s">
        <v>26</v>
      </c>
      <c r="F630" s="7" t="s">
        <v>27</v>
      </c>
      <c r="G630" s="7" t="str">
        <f t="shared" si="28"/>
        <v>Tuesday</v>
      </c>
      <c r="H630" s="7" t="str">
        <f t="shared" si="29"/>
        <v>Jan</v>
      </c>
      <c r="I630" s="8">
        <v>43490</v>
      </c>
      <c r="J630" s="8" t="str">
        <f t="shared" si="27"/>
        <v>Afternoon</v>
      </c>
      <c r="K630" s="9">
        <v>0.59652777777777777</v>
      </c>
      <c r="L630" s="7" t="s">
        <v>18</v>
      </c>
      <c r="M630" s="10">
        <v>7.9950000000000001</v>
      </c>
      <c r="N630" s="7">
        <v>7.5</v>
      </c>
    </row>
    <row r="631" spans="1:14" x14ac:dyDescent="0.25">
      <c r="A631" s="7" t="s">
        <v>660</v>
      </c>
      <c r="B631" s="7" t="s">
        <v>13</v>
      </c>
      <c r="C631" s="7" t="s">
        <v>14</v>
      </c>
      <c r="D631" s="7" t="s">
        <v>22</v>
      </c>
      <c r="E631" s="7" t="s">
        <v>16</v>
      </c>
      <c r="F631" s="7" t="s">
        <v>41</v>
      </c>
      <c r="G631" s="7" t="str">
        <f t="shared" si="28"/>
        <v>Wednesday</v>
      </c>
      <c r="H631" s="7" t="str">
        <f t="shared" si="29"/>
        <v>Jan</v>
      </c>
      <c r="I631" s="8">
        <v>43491</v>
      </c>
      <c r="J631" s="8" t="str">
        <f t="shared" si="27"/>
        <v>Evening</v>
      </c>
      <c r="K631" s="9">
        <v>0.7631944444444444</v>
      </c>
      <c r="L631" s="7" t="s">
        <v>28</v>
      </c>
      <c r="M631" s="10">
        <v>0.60450000000000004</v>
      </c>
      <c r="N631" s="7">
        <v>8.1999999999999993</v>
      </c>
    </row>
    <row r="632" spans="1:14" x14ac:dyDescent="0.25">
      <c r="A632" s="7" t="s">
        <v>661</v>
      </c>
      <c r="B632" s="7" t="s">
        <v>13</v>
      </c>
      <c r="C632" s="7" t="s">
        <v>14</v>
      </c>
      <c r="D632" s="7" t="s">
        <v>22</v>
      </c>
      <c r="E632" s="7" t="s">
        <v>26</v>
      </c>
      <c r="F632" s="7" t="s">
        <v>31</v>
      </c>
      <c r="G632" s="7" t="str">
        <f t="shared" si="28"/>
        <v>Tuesday</v>
      </c>
      <c r="H632" s="7" t="str">
        <f t="shared" si="29"/>
        <v>Jan</v>
      </c>
      <c r="I632" s="8">
        <v>43484</v>
      </c>
      <c r="J632" s="8" t="str">
        <f t="shared" si="27"/>
        <v>Afternoon</v>
      </c>
      <c r="K632" s="9">
        <v>0.58888888888888891</v>
      </c>
      <c r="L632" s="7" t="s">
        <v>28</v>
      </c>
      <c r="M632" s="10">
        <v>32.094999999999999</v>
      </c>
      <c r="N632" s="7">
        <v>6.7</v>
      </c>
    </row>
    <row r="633" spans="1:14" x14ac:dyDescent="0.25">
      <c r="A633" s="7" t="s">
        <v>662</v>
      </c>
      <c r="B633" s="7" t="s">
        <v>13</v>
      </c>
      <c r="C633" s="7" t="s">
        <v>14</v>
      </c>
      <c r="D633" s="7" t="s">
        <v>22</v>
      </c>
      <c r="E633" s="7" t="s">
        <v>26</v>
      </c>
      <c r="F633" s="7" t="s">
        <v>23</v>
      </c>
      <c r="G633" s="7" t="str">
        <f t="shared" si="28"/>
        <v>Monday</v>
      </c>
      <c r="H633" s="7" t="str">
        <f t="shared" si="29"/>
        <v>Mar</v>
      </c>
      <c r="I633" s="8">
        <v>43529</v>
      </c>
      <c r="J633" s="8" t="str">
        <f t="shared" si="27"/>
        <v>Evening</v>
      </c>
      <c r="K633" s="9">
        <v>0.69305555555555554</v>
      </c>
      <c r="L633" s="7" t="s">
        <v>18</v>
      </c>
      <c r="M633" s="10">
        <v>11.746499999999999</v>
      </c>
      <c r="N633" s="7">
        <v>5.4</v>
      </c>
    </row>
    <row r="634" spans="1:14" x14ac:dyDescent="0.25">
      <c r="A634" s="7" t="s">
        <v>663</v>
      </c>
      <c r="B634" s="7" t="s">
        <v>13</v>
      </c>
      <c r="C634" s="7" t="s">
        <v>14</v>
      </c>
      <c r="D634" s="7" t="s">
        <v>15</v>
      </c>
      <c r="E634" s="7" t="s">
        <v>26</v>
      </c>
      <c r="F634" s="7" t="s">
        <v>39</v>
      </c>
      <c r="G634" s="7" t="str">
        <f t="shared" si="28"/>
        <v>Monday</v>
      </c>
      <c r="H634" s="7" t="str">
        <f t="shared" si="29"/>
        <v>Jan</v>
      </c>
      <c r="I634" s="8">
        <v>43480</v>
      </c>
      <c r="J634" s="8" t="str">
        <f t="shared" si="27"/>
        <v>Morning</v>
      </c>
      <c r="K634" s="9">
        <v>0.45416666666666666</v>
      </c>
      <c r="L634" s="7" t="s">
        <v>28</v>
      </c>
      <c r="M634" s="10">
        <v>8.3770000000000007</v>
      </c>
      <c r="N634" s="7">
        <v>7</v>
      </c>
    </row>
    <row r="635" spans="1:14" x14ac:dyDescent="0.25">
      <c r="A635" s="7" t="s">
        <v>664</v>
      </c>
      <c r="B635" s="7" t="s">
        <v>37</v>
      </c>
      <c r="C635" s="7" t="s">
        <v>38</v>
      </c>
      <c r="D635" s="7" t="s">
        <v>22</v>
      </c>
      <c r="E635" s="7" t="s">
        <v>26</v>
      </c>
      <c r="F635" s="7" t="s">
        <v>27</v>
      </c>
      <c r="G635" s="7" t="str">
        <f t="shared" si="28"/>
        <v>Wednesday</v>
      </c>
      <c r="H635" s="7" t="str">
        <f t="shared" si="29"/>
        <v>Mar</v>
      </c>
      <c r="I635" s="8">
        <v>43542</v>
      </c>
      <c r="J635" s="8" t="str">
        <f t="shared" si="27"/>
        <v>Morning</v>
      </c>
      <c r="K635" s="9">
        <v>0.47847222222222219</v>
      </c>
      <c r="L635" s="7" t="s">
        <v>18</v>
      </c>
      <c r="M635" s="10">
        <v>14.955</v>
      </c>
      <c r="N635" s="7">
        <v>4.7</v>
      </c>
    </row>
    <row r="636" spans="1:14" x14ac:dyDescent="0.25">
      <c r="A636" s="7" t="s">
        <v>665</v>
      </c>
      <c r="B636" s="7" t="s">
        <v>37</v>
      </c>
      <c r="C636" s="7" t="s">
        <v>38</v>
      </c>
      <c r="D636" s="7" t="s">
        <v>15</v>
      </c>
      <c r="E636" s="7" t="s">
        <v>26</v>
      </c>
      <c r="F636" s="7" t="s">
        <v>39</v>
      </c>
      <c r="G636" s="7" t="str">
        <f t="shared" si="28"/>
        <v>Wednesday</v>
      </c>
      <c r="H636" s="7" t="str">
        <f t="shared" si="29"/>
        <v>Mar</v>
      </c>
      <c r="I636" s="8">
        <v>43544</v>
      </c>
      <c r="J636" s="8" t="str">
        <f t="shared" si="27"/>
        <v>Evening</v>
      </c>
      <c r="K636" s="9">
        <v>0.81111111111111101</v>
      </c>
      <c r="L636" s="7" t="s">
        <v>28</v>
      </c>
      <c r="M636" s="10">
        <v>11.986499999999999</v>
      </c>
      <c r="N636" s="7">
        <v>5</v>
      </c>
    </row>
    <row r="637" spans="1:14" x14ac:dyDescent="0.25">
      <c r="A637" s="7" t="s">
        <v>666</v>
      </c>
      <c r="B637" s="7" t="s">
        <v>37</v>
      </c>
      <c r="C637" s="7" t="s">
        <v>38</v>
      </c>
      <c r="D637" s="7" t="s">
        <v>15</v>
      </c>
      <c r="E637" s="7" t="s">
        <v>26</v>
      </c>
      <c r="F637" s="7" t="s">
        <v>17</v>
      </c>
      <c r="G637" s="7" t="str">
        <f t="shared" si="28"/>
        <v>Monday</v>
      </c>
      <c r="H637" s="7" t="str">
        <f t="shared" si="29"/>
        <v>Jan</v>
      </c>
      <c r="I637" s="8">
        <v>43480</v>
      </c>
      <c r="J637" s="8" t="str">
        <f t="shared" si="27"/>
        <v>Afternoon</v>
      </c>
      <c r="K637" s="9">
        <v>0.62569444444444444</v>
      </c>
      <c r="L637" s="7" t="s">
        <v>28</v>
      </c>
      <c r="M637" s="10">
        <v>33.234999999999999</v>
      </c>
      <c r="N637" s="7">
        <v>5</v>
      </c>
    </row>
    <row r="638" spans="1:14" x14ac:dyDescent="0.25">
      <c r="A638" s="7" t="s">
        <v>667</v>
      </c>
      <c r="B638" s="7" t="s">
        <v>13</v>
      </c>
      <c r="C638" s="7" t="s">
        <v>14</v>
      </c>
      <c r="D638" s="7" t="s">
        <v>22</v>
      </c>
      <c r="E638" s="7" t="s">
        <v>26</v>
      </c>
      <c r="F638" s="7" t="s">
        <v>17</v>
      </c>
      <c r="G638" s="7" t="str">
        <f t="shared" si="28"/>
        <v>Monday</v>
      </c>
      <c r="H638" s="7" t="str">
        <f t="shared" si="29"/>
        <v>Mar</v>
      </c>
      <c r="I638" s="8">
        <v>43527</v>
      </c>
      <c r="J638" s="8" t="str">
        <f t="shared" si="27"/>
        <v>Evening</v>
      </c>
      <c r="K638" s="9">
        <v>0.85486111111111107</v>
      </c>
      <c r="L638" s="7" t="s">
        <v>28</v>
      </c>
      <c r="M638" s="10">
        <v>10.1325</v>
      </c>
      <c r="N638" s="7">
        <v>6</v>
      </c>
    </row>
    <row r="639" spans="1:14" x14ac:dyDescent="0.25">
      <c r="A639" s="7" t="s">
        <v>668</v>
      </c>
      <c r="B639" s="7" t="s">
        <v>20</v>
      </c>
      <c r="C639" s="7" t="s">
        <v>21</v>
      </c>
      <c r="D639" s="7" t="s">
        <v>22</v>
      </c>
      <c r="E639" s="7" t="s">
        <v>16</v>
      </c>
      <c r="F639" s="7" t="s">
        <v>23</v>
      </c>
      <c r="G639" s="7" t="str">
        <f t="shared" si="28"/>
        <v>Wednesday</v>
      </c>
      <c r="H639" s="7" t="str">
        <f t="shared" si="29"/>
        <v>Mar</v>
      </c>
      <c r="I639" s="8">
        <v>43543</v>
      </c>
      <c r="J639" s="8" t="str">
        <f t="shared" si="27"/>
        <v>Afternoon</v>
      </c>
      <c r="K639" s="9">
        <v>0.51111111111111118</v>
      </c>
      <c r="L639" s="7" t="s">
        <v>24</v>
      </c>
      <c r="M639" s="10">
        <v>2.31</v>
      </c>
      <c r="N639" s="7">
        <v>6.3</v>
      </c>
    </row>
    <row r="640" spans="1:14" x14ac:dyDescent="0.25">
      <c r="A640" s="7" t="s">
        <v>669</v>
      </c>
      <c r="B640" s="7" t="s">
        <v>37</v>
      </c>
      <c r="C640" s="7" t="s">
        <v>38</v>
      </c>
      <c r="D640" s="7" t="s">
        <v>15</v>
      </c>
      <c r="E640" s="7" t="s">
        <v>16</v>
      </c>
      <c r="F640" s="7" t="s">
        <v>39</v>
      </c>
      <c r="G640" s="7" t="str">
        <f t="shared" si="28"/>
        <v>Monday</v>
      </c>
      <c r="H640" s="7" t="str">
        <f t="shared" si="29"/>
        <v>Mar</v>
      </c>
      <c r="I640" s="8">
        <v>43532</v>
      </c>
      <c r="J640" s="8" t="str">
        <f t="shared" si="27"/>
        <v>Afternoon</v>
      </c>
      <c r="K640" s="9">
        <v>0.64374999999999993</v>
      </c>
      <c r="L640" s="7" t="s">
        <v>24</v>
      </c>
      <c r="M640" s="10">
        <v>4.4074999999999998</v>
      </c>
      <c r="N640" s="7">
        <v>8.5</v>
      </c>
    </row>
    <row r="641" spans="1:14" x14ac:dyDescent="0.25">
      <c r="A641" s="7" t="s">
        <v>670</v>
      </c>
      <c r="B641" s="7" t="s">
        <v>37</v>
      </c>
      <c r="C641" s="7" t="s">
        <v>38</v>
      </c>
      <c r="D641" s="7" t="s">
        <v>22</v>
      </c>
      <c r="E641" s="7" t="s">
        <v>26</v>
      </c>
      <c r="F641" s="7" t="s">
        <v>41</v>
      </c>
      <c r="G641" s="7" t="str">
        <f t="shared" si="28"/>
        <v>Sunday</v>
      </c>
      <c r="H641" s="7" t="str">
        <f t="shared" si="29"/>
        <v>Feb</v>
      </c>
      <c r="I641" s="8">
        <v>43523</v>
      </c>
      <c r="J641" s="8" t="str">
        <f t="shared" si="27"/>
        <v>Evening</v>
      </c>
      <c r="K641" s="9">
        <v>0.73333333333333339</v>
      </c>
      <c r="L641" s="7" t="s">
        <v>18</v>
      </c>
      <c r="M641" s="10">
        <v>7.8630000000000004</v>
      </c>
      <c r="N641" s="7">
        <v>7.5</v>
      </c>
    </row>
    <row r="642" spans="1:14" x14ac:dyDescent="0.25">
      <c r="A642" s="7" t="s">
        <v>671</v>
      </c>
      <c r="B642" s="7" t="s">
        <v>37</v>
      </c>
      <c r="C642" s="7" t="s">
        <v>38</v>
      </c>
      <c r="D642" s="7" t="s">
        <v>15</v>
      </c>
      <c r="E642" s="7" t="s">
        <v>16</v>
      </c>
      <c r="F642" s="7" t="s">
        <v>39</v>
      </c>
      <c r="G642" s="7" t="str">
        <f t="shared" si="28"/>
        <v>Sunday</v>
      </c>
      <c r="H642" s="7" t="str">
        <f t="shared" si="29"/>
        <v>Feb</v>
      </c>
      <c r="I642" s="8">
        <v>43519</v>
      </c>
      <c r="J642" s="8" t="str">
        <f t="shared" ref="J642:J705" si="30">IF(AND(K642&gt;=TIME(9,0,0),K642&lt;TIME(12,0,0)),"Morning",IF(AND(K642&gt;=TIME(12,0,0),K642&lt;TIME(16,0,0)),"Afternoon","Evening"))</f>
        <v>Evening</v>
      </c>
      <c r="K642" s="9">
        <v>0.83333333333333337</v>
      </c>
      <c r="L642" s="7" t="s">
        <v>18</v>
      </c>
      <c r="M642" s="10">
        <v>14.8185</v>
      </c>
      <c r="N642" s="7">
        <v>6.4</v>
      </c>
    </row>
    <row r="643" spans="1:14" x14ac:dyDescent="0.25">
      <c r="A643" s="7" t="s">
        <v>672</v>
      </c>
      <c r="B643" s="7" t="s">
        <v>20</v>
      </c>
      <c r="C643" s="7" t="s">
        <v>21</v>
      </c>
      <c r="D643" s="7" t="s">
        <v>15</v>
      </c>
      <c r="E643" s="7" t="s">
        <v>16</v>
      </c>
      <c r="F643" s="7" t="s">
        <v>23</v>
      </c>
      <c r="G643" s="7" t="str">
        <f t="shared" ref="G643:G706" si="31">TEXT(I643/7,"dddd")</f>
        <v>Wednesday</v>
      </c>
      <c r="H643" s="7" t="str">
        <f t="shared" ref="H643:H706" si="32">TEXT(I643,"mmm")</f>
        <v>Mar</v>
      </c>
      <c r="I643" s="8">
        <v>43543</v>
      </c>
      <c r="J643" s="8" t="str">
        <f t="shared" si="30"/>
        <v>Afternoon</v>
      </c>
      <c r="K643" s="9">
        <v>0.64513888888888882</v>
      </c>
      <c r="L643" s="7" t="s">
        <v>18</v>
      </c>
      <c r="M643" s="10">
        <v>35.42</v>
      </c>
      <c r="N643" s="7">
        <v>4.7</v>
      </c>
    </row>
    <row r="644" spans="1:14" x14ac:dyDescent="0.25">
      <c r="A644" s="7" t="s">
        <v>673</v>
      </c>
      <c r="B644" s="7" t="s">
        <v>37</v>
      </c>
      <c r="C644" s="7" t="s">
        <v>38</v>
      </c>
      <c r="D644" s="7" t="s">
        <v>15</v>
      </c>
      <c r="E644" s="7" t="s">
        <v>26</v>
      </c>
      <c r="F644" s="7" t="s">
        <v>23</v>
      </c>
      <c r="G644" s="7" t="str">
        <f t="shared" si="31"/>
        <v>Thursday</v>
      </c>
      <c r="H644" s="7" t="str">
        <f t="shared" si="32"/>
        <v>Mar</v>
      </c>
      <c r="I644" s="8">
        <v>43551</v>
      </c>
      <c r="J644" s="8" t="str">
        <f t="shared" si="30"/>
        <v>Afternoon</v>
      </c>
      <c r="K644" s="9">
        <v>0.63055555555555554</v>
      </c>
      <c r="L644" s="7" t="s">
        <v>18</v>
      </c>
      <c r="M644" s="10">
        <v>5.5670000000000002</v>
      </c>
      <c r="N644" s="7">
        <v>6</v>
      </c>
    </row>
    <row r="645" spans="1:14" x14ac:dyDescent="0.25">
      <c r="A645" s="7" t="s">
        <v>674</v>
      </c>
      <c r="B645" s="7" t="s">
        <v>20</v>
      </c>
      <c r="C645" s="7" t="s">
        <v>21</v>
      </c>
      <c r="D645" s="7" t="s">
        <v>15</v>
      </c>
      <c r="E645" s="7" t="s">
        <v>16</v>
      </c>
      <c r="F645" s="7" t="s">
        <v>39</v>
      </c>
      <c r="G645" s="7" t="str">
        <f t="shared" si="31"/>
        <v>Friday</v>
      </c>
      <c r="H645" s="7" t="str">
        <f t="shared" si="32"/>
        <v>Mar</v>
      </c>
      <c r="I645" s="8">
        <v>43554</v>
      </c>
      <c r="J645" s="8" t="str">
        <f t="shared" si="30"/>
        <v>Evening</v>
      </c>
      <c r="K645" s="9">
        <v>0.80972222222222223</v>
      </c>
      <c r="L645" s="7" t="s">
        <v>28</v>
      </c>
      <c r="M645" s="10">
        <v>29.007999999999999</v>
      </c>
      <c r="N645" s="7">
        <v>4</v>
      </c>
    </row>
    <row r="646" spans="1:14" x14ac:dyDescent="0.25">
      <c r="A646" s="7" t="s">
        <v>675</v>
      </c>
      <c r="B646" s="7" t="s">
        <v>20</v>
      </c>
      <c r="C646" s="7" t="s">
        <v>21</v>
      </c>
      <c r="D646" s="7" t="s">
        <v>15</v>
      </c>
      <c r="E646" s="7" t="s">
        <v>26</v>
      </c>
      <c r="F646" s="7" t="s">
        <v>23</v>
      </c>
      <c r="G646" s="7" t="str">
        <f t="shared" si="31"/>
        <v>Saturday</v>
      </c>
      <c r="H646" s="7" t="str">
        <f t="shared" si="32"/>
        <v>Feb</v>
      </c>
      <c r="I646" s="8">
        <v>43512</v>
      </c>
      <c r="J646" s="8" t="str">
        <f t="shared" si="30"/>
        <v>Afternoon</v>
      </c>
      <c r="K646" s="9">
        <v>0.66180555555555554</v>
      </c>
      <c r="L646" s="7" t="s">
        <v>18</v>
      </c>
      <c r="M646" s="10">
        <v>3.0125000000000002</v>
      </c>
      <c r="N646" s="7">
        <v>5.5</v>
      </c>
    </row>
    <row r="647" spans="1:14" x14ac:dyDescent="0.25">
      <c r="A647" s="7" t="s">
        <v>676</v>
      </c>
      <c r="B647" s="7" t="s">
        <v>13</v>
      </c>
      <c r="C647" s="7" t="s">
        <v>14</v>
      </c>
      <c r="D647" s="7" t="s">
        <v>15</v>
      </c>
      <c r="E647" s="7" t="s">
        <v>26</v>
      </c>
      <c r="F647" s="7" t="s">
        <v>27</v>
      </c>
      <c r="G647" s="7" t="str">
        <f t="shared" si="31"/>
        <v>Monday</v>
      </c>
      <c r="H647" s="7" t="str">
        <f t="shared" si="32"/>
        <v>Jan</v>
      </c>
      <c r="I647" s="8">
        <v>43483</v>
      </c>
      <c r="J647" s="8" t="str">
        <f t="shared" si="30"/>
        <v>Evening</v>
      </c>
      <c r="K647" s="9">
        <v>0.77986111111111101</v>
      </c>
      <c r="L647" s="7" t="s">
        <v>18</v>
      </c>
      <c r="M647" s="10">
        <v>8.7119999999999997</v>
      </c>
      <c r="N647" s="7">
        <v>8.6999999999999993</v>
      </c>
    </row>
    <row r="648" spans="1:14" x14ac:dyDescent="0.25">
      <c r="A648" s="7" t="s">
        <v>677</v>
      </c>
      <c r="B648" s="7" t="s">
        <v>20</v>
      </c>
      <c r="C648" s="7" t="s">
        <v>21</v>
      </c>
      <c r="D648" s="7" t="s">
        <v>22</v>
      </c>
      <c r="E648" s="7" t="s">
        <v>26</v>
      </c>
      <c r="F648" s="7" t="s">
        <v>17</v>
      </c>
      <c r="G648" s="7" t="str">
        <f t="shared" si="31"/>
        <v>Friday</v>
      </c>
      <c r="H648" s="7" t="str">
        <f t="shared" si="32"/>
        <v>Mar</v>
      </c>
      <c r="I648" s="8">
        <v>43554</v>
      </c>
      <c r="J648" s="8" t="str">
        <f t="shared" si="30"/>
        <v>Afternoon</v>
      </c>
      <c r="K648" s="9">
        <v>0.62361111111111112</v>
      </c>
      <c r="L648" s="7" t="s">
        <v>24</v>
      </c>
      <c r="M648" s="10">
        <v>21.062999999999999</v>
      </c>
      <c r="N648" s="7">
        <v>7.4</v>
      </c>
    </row>
    <row r="649" spans="1:14" x14ac:dyDescent="0.25">
      <c r="A649" s="7" t="s">
        <v>678</v>
      </c>
      <c r="B649" s="7" t="s">
        <v>37</v>
      </c>
      <c r="C649" s="7" t="s">
        <v>38</v>
      </c>
      <c r="D649" s="7" t="s">
        <v>15</v>
      </c>
      <c r="E649" s="7" t="s">
        <v>26</v>
      </c>
      <c r="F649" s="7" t="s">
        <v>41</v>
      </c>
      <c r="G649" s="7" t="str">
        <f t="shared" si="31"/>
        <v>Wednesday</v>
      </c>
      <c r="H649" s="7" t="str">
        <f t="shared" si="32"/>
        <v>Mar</v>
      </c>
      <c r="I649" s="8">
        <v>43544</v>
      </c>
      <c r="J649" s="8" t="str">
        <f t="shared" si="30"/>
        <v>Evening</v>
      </c>
      <c r="K649" s="9">
        <v>0.82986111111111116</v>
      </c>
      <c r="L649" s="7" t="s">
        <v>24</v>
      </c>
      <c r="M649" s="10">
        <v>1.6815</v>
      </c>
      <c r="N649" s="7">
        <v>5.6</v>
      </c>
    </row>
    <row r="650" spans="1:14" x14ac:dyDescent="0.25">
      <c r="A650" s="7" t="s">
        <v>679</v>
      </c>
      <c r="B650" s="7" t="s">
        <v>20</v>
      </c>
      <c r="C650" s="7" t="s">
        <v>21</v>
      </c>
      <c r="D650" s="7" t="s">
        <v>15</v>
      </c>
      <c r="E650" s="7" t="s">
        <v>16</v>
      </c>
      <c r="F650" s="7" t="s">
        <v>31</v>
      </c>
      <c r="G650" s="7" t="str">
        <f t="shared" si="31"/>
        <v>Monday</v>
      </c>
      <c r="H650" s="7" t="str">
        <f t="shared" si="32"/>
        <v>Jan</v>
      </c>
      <c r="I650" s="8">
        <v>43481</v>
      </c>
      <c r="J650" s="8" t="str">
        <f t="shared" si="30"/>
        <v>Afternoon</v>
      </c>
      <c r="K650" s="9">
        <v>0.63194444444444442</v>
      </c>
      <c r="L650" s="7" t="s">
        <v>24</v>
      </c>
      <c r="M650" s="10">
        <v>1.5489999999999999</v>
      </c>
      <c r="N650" s="7">
        <v>6.3</v>
      </c>
    </row>
    <row r="651" spans="1:14" x14ac:dyDescent="0.25">
      <c r="A651" s="7" t="s">
        <v>680</v>
      </c>
      <c r="B651" s="7" t="s">
        <v>20</v>
      </c>
      <c r="C651" s="7" t="s">
        <v>21</v>
      </c>
      <c r="D651" s="7" t="s">
        <v>22</v>
      </c>
      <c r="E651" s="7" t="s">
        <v>26</v>
      </c>
      <c r="F651" s="7" t="s">
        <v>23</v>
      </c>
      <c r="G651" s="7" t="str">
        <f t="shared" si="31"/>
        <v>Sunday</v>
      </c>
      <c r="H651" s="7" t="str">
        <f t="shared" si="32"/>
        <v>Feb</v>
      </c>
      <c r="I651" s="8">
        <v>43520</v>
      </c>
      <c r="J651" s="8" t="str">
        <f t="shared" si="30"/>
        <v>Evening</v>
      </c>
      <c r="K651" s="9">
        <v>0.6972222222222223</v>
      </c>
      <c r="L651" s="7" t="s">
        <v>24</v>
      </c>
      <c r="M651" s="10">
        <v>12.37</v>
      </c>
      <c r="N651" s="7">
        <v>7.1</v>
      </c>
    </row>
    <row r="652" spans="1:14" x14ac:dyDescent="0.25">
      <c r="A652" s="7" t="s">
        <v>681</v>
      </c>
      <c r="B652" s="7" t="s">
        <v>37</v>
      </c>
      <c r="C652" s="7" t="s">
        <v>38</v>
      </c>
      <c r="D652" s="7" t="s">
        <v>22</v>
      </c>
      <c r="E652" s="7" t="s">
        <v>26</v>
      </c>
      <c r="F652" s="7" t="s">
        <v>23</v>
      </c>
      <c r="G652" s="7" t="str">
        <f t="shared" si="31"/>
        <v>Monday</v>
      </c>
      <c r="H652" s="7" t="str">
        <f t="shared" si="32"/>
        <v>Jan</v>
      </c>
      <c r="I652" s="8">
        <v>43480</v>
      </c>
      <c r="J652" s="8" t="str">
        <f t="shared" si="30"/>
        <v>Evening</v>
      </c>
      <c r="K652" s="9">
        <v>0.76527777777777783</v>
      </c>
      <c r="L652" s="7" t="s">
        <v>18</v>
      </c>
      <c r="M652" s="10">
        <v>18.914999999999999</v>
      </c>
      <c r="N652" s="7">
        <v>7.8</v>
      </c>
    </row>
    <row r="653" spans="1:14" x14ac:dyDescent="0.25">
      <c r="A653" s="7" t="s">
        <v>682</v>
      </c>
      <c r="B653" s="7" t="s">
        <v>37</v>
      </c>
      <c r="C653" s="7" t="s">
        <v>38</v>
      </c>
      <c r="D653" s="7" t="s">
        <v>22</v>
      </c>
      <c r="E653" s="7" t="s">
        <v>16</v>
      </c>
      <c r="F653" s="7" t="s">
        <v>17</v>
      </c>
      <c r="G653" s="7" t="str">
        <f t="shared" si="31"/>
        <v>Tuesday</v>
      </c>
      <c r="H653" s="7" t="str">
        <f t="shared" si="32"/>
        <v>Jan</v>
      </c>
      <c r="I653" s="8">
        <v>43487</v>
      </c>
      <c r="J653" s="8" t="str">
        <f t="shared" si="30"/>
        <v>Morning</v>
      </c>
      <c r="K653" s="9">
        <v>0.49444444444444446</v>
      </c>
      <c r="L653" s="7" t="s">
        <v>24</v>
      </c>
      <c r="M653" s="10">
        <v>16.742999999999999</v>
      </c>
      <c r="N653" s="7">
        <v>9.9</v>
      </c>
    </row>
    <row r="654" spans="1:14" x14ac:dyDescent="0.25">
      <c r="A654" s="7" t="s">
        <v>683</v>
      </c>
      <c r="B654" s="7" t="s">
        <v>13</v>
      </c>
      <c r="C654" s="7" t="s">
        <v>14</v>
      </c>
      <c r="D654" s="7" t="s">
        <v>15</v>
      </c>
      <c r="E654" s="7" t="s">
        <v>26</v>
      </c>
      <c r="F654" s="7" t="s">
        <v>27</v>
      </c>
      <c r="G654" s="7" t="str">
        <f t="shared" si="31"/>
        <v>Thursday</v>
      </c>
      <c r="H654" s="7" t="str">
        <f t="shared" si="32"/>
        <v>Feb</v>
      </c>
      <c r="I654" s="8">
        <v>43499</v>
      </c>
      <c r="J654" s="8" t="str">
        <f t="shared" si="30"/>
        <v>Evening</v>
      </c>
      <c r="K654" s="9">
        <v>0.72499999999999998</v>
      </c>
      <c r="L654" s="7" t="s">
        <v>24</v>
      </c>
      <c r="M654" s="10">
        <v>36.39</v>
      </c>
      <c r="N654" s="7">
        <v>7.3</v>
      </c>
    </row>
    <row r="655" spans="1:14" x14ac:dyDescent="0.25">
      <c r="A655" s="7" t="s">
        <v>684</v>
      </c>
      <c r="B655" s="7" t="s">
        <v>37</v>
      </c>
      <c r="C655" s="7" t="s">
        <v>38</v>
      </c>
      <c r="D655" s="7" t="s">
        <v>15</v>
      </c>
      <c r="E655" s="7" t="s">
        <v>26</v>
      </c>
      <c r="F655" s="7" t="s">
        <v>31</v>
      </c>
      <c r="G655" s="7" t="str">
        <f t="shared" si="31"/>
        <v>Monday</v>
      </c>
      <c r="H655" s="7" t="str">
        <f t="shared" si="32"/>
        <v>Mar</v>
      </c>
      <c r="I655" s="8">
        <v>43530</v>
      </c>
      <c r="J655" s="8" t="str">
        <f t="shared" si="30"/>
        <v>Afternoon</v>
      </c>
      <c r="K655" s="9">
        <v>0.64652777777777781</v>
      </c>
      <c r="L655" s="7" t="s">
        <v>18</v>
      </c>
      <c r="M655" s="10">
        <v>16.794</v>
      </c>
      <c r="N655" s="7">
        <v>5.0999999999999996</v>
      </c>
    </row>
    <row r="656" spans="1:14" x14ac:dyDescent="0.25">
      <c r="A656" s="7" t="s">
        <v>685</v>
      </c>
      <c r="B656" s="7" t="s">
        <v>37</v>
      </c>
      <c r="C656" s="7" t="s">
        <v>38</v>
      </c>
      <c r="D656" s="7" t="s">
        <v>15</v>
      </c>
      <c r="E656" s="7" t="s">
        <v>26</v>
      </c>
      <c r="F656" s="7" t="s">
        <v>41</v>
      </c>
      <c r="G656" s="7" t="str">
        <f t="shared" si="31"/>
        <v>Saturday</v>
      </c>
      <c r="H656" s="7" t="str">
        <f t="shared" si="32"/>
        <v>Feb</v>
      </c>
      <c r="I656" s="8">
        <v>43512</v>
      </c>
      <c r="J656" s="8" t="str">
        <f t="shared" si="30"/>
        <v>Evening</v>
      </c>
      <c r="K656" s="9">
        <v>0.75277777777777777</v>
      </c>
      <c r="L656" s="7" t="s">
        <v>28</v>
      </c>
      <c r="M656" s="10">
        <v>12.036</v>
      </c>
      <c r="N656" s="7">
        <v>9.4</v>
      </c>
    </row>
    <row r="657" spans="1:14" x14ac:dyDescent="0.25">
      <c r="A657" s="7" t="s">
        <v>686</v>
      </c>
      <c r="B657" s="7" t="s">
        <v>13</v>
      </c>
      <c r="C657" s="7" t="s">
        <v>14</v>
      </c>
      <c r="D657" s="7" t="s">
        <v>22</v>
      </c>
      <c r="E657" s="7" t="s">
        <v>16</v>
      </c>
      <c r="F657" s="7" t="s">
        <v>23</v>
      </c>
      <c r="G657" s="7" t="str">
        <f t="shared" si="31"/>
        <v>Tuesday</v>
      </c>
      <c r="H657" s="7" t="str">
        <f t="shared" si="32"/>
        <v>Mar</v>
      </c>
      <c r="I657" s="8">
        <v>43538</v>
      </c>
      <c r="J657" s="8" t="str">
        <f t="shared" si="30"/>
        <v>Afternoon</v>
      </c>
      <c r="K657" s="9">
        <v>0.59236111111111112</v>
      </c>
      <c r="L657" s="7" t="s">
        <v>28</v>
      </c>
      <c r="M657" s="10">
        <v>2.3534999999999999</v>
      </c>
      <c r="N657" s="7">
        <v>5.8</v>
      </c>
    </row>
    <row r="658" spans="1:14" x14ac:dyDescent="0.25">
      <c r="A658" s="7" t="s">
        <v>687</v>
      </c>
      <c r="B658" s="7" t="s">
        <v>20</v>
      </c>
      <c r="C658" s="7" t="s">
        <v>21</v>
      </c>
      <c r="D658" s="7" t="s">
        <v>22</v>
      </c>
      <c r="E658" s="7" t="s">
        <v>16</v>
      </c>
      <c r="F658" s="7" t="s">
        <v>23</v>
      </c>
      <c r="G658" s="7" t="str">
        <f t="shared" si="31"/>
        <v>Sunday</v>
      </c>
      <c r="H658" s="7" t="str">
        <f t="shared" si="32"/>
        <v>Feb</v>
      </c>
      <c r="I658" s="8">
        <v>43523</v>
      </c>
      <c r="J658" s="8" t="str">
        <f t="shared" si="30"/>
        <v>Morning</v>
      </c>
      <c r="K658" s="9">
        <v>0.43263888888888885</v>
      </c>
      <c r="L658" s="7" t="s">
        <v>28</v>
      </c>
      <c r="M658" s="10">
        <v>4.9844999999999997</v>
      </c>
      <c r="N658" s="7">
        <v>8</v>
      </c>
    </row>
    <row r="659" spans="1:14" x14ac:dyDescent="0.25">
      <c r="A659" s="7" t="s">
        <v>688</v>
      </c>
      <c r="B659" s="7" t="s">
        <v>13</v>
      </c>
      <c r="C659" s="7" t="s">
        <v>14</v>
      </c>
      <c r="D659" s="7" t="s">
        <v>15</v>
      </c>
      <c r="E659" s="7" t="s">
        <v>16</v>
      </c>
      <c r="F659" s="7" t="s">
        <v>41</v>
      </c>
      <c r="G659" s="7" t="str">
        <f t="shared" si="31"/>
        <v>Monday</v>
      </c>
      <c r="H659" s="7" t="str">
        <f t="shared" si="32"/>
        <v>Jan</v>
      </c>
      <c r="I659" s="8">
        <v>43483</v>
      </c>
      <c r="J659" s="8" t="str">
        <f t="shared" si="30"/>
        <v>Morning</v>
      </c>
      <c r="K659" s="9">
        <v>0.42430555555555555</v>
      </c>
      <c r="L659" s="7" t="s">
        <v>18</v>
      </c>
      <c r="M659" s="10">
        <v>13.2225</v>
      </c>
      <c r="N659" s="7">
        <v>7.9</v>
      </c>
    </row>
    <row r="660" spans="1:14" x14ac:dyDescent="0.25">
      <c r="A660" s="7" t="s">
        <v>689</v>
      </c>
      <c r="B660" s="7" t="s">
        <v>13</v>
      </c>
      <c r="C660" s="7" t="s">
        <v>14</v>
      </c>
      <c r="D660" s="7" t="s">
        <v>15</v>
      </c>
      <c r="E660" s="7" t="s">
        <v>16</v>
      </c>
      <c r="F660" s="7" t="s">
        <v>31</v>
      </c>
      <c r="G660" s="7" t="str">
        <f t="shared" si="31"/>
        <v>Wednesday</v>
      </c>
      <c r="H660" s="7" t="str">
        <f t="shared" si="32"/>
        <v>Jan</v>
      </c>
      <c r="I660" s="8">
        <v>43494</v>
      </c>
      <c r="J660" s="8" t="str">
        <f t="shared" si="30"/>
        <v>Afternoon</v>
      </c>
      <c r="K660" s="9">
        <v>0.65833333333333333</v>
      </c>
      <c r="L660" s="7" t="s">
        <v>24</v>
      </c>
      <c r="M660" s="10">
        <v>6.9824999999999999</v>
      </c>
      <c r="N660" s="7">
        <v>5.9</v>
      </c>
    </row>
    <row r="661" spans="1:14" x14ac:dyDescent="0.25">
      <c r="A661" s="7" t="s">
        <v>690</v>
      </c>
      <c r="B661" s="7" t="s">
        <v>13</v>
      </c>
      <c r="C661" s="7" t="s">
        <v>14</v>
      </c>
      <c r="D661" s="7" t="s">
        <v>15</v>
      </c>
      <c r="E661" s="7" t="s">
        <v>26</v>
      </c>
      <c r="F661" s="7" t="s">
        <v>41</v>
      </c>
      <c r="G661" s="7" t="str">
        <f t="shared" si="31"/>
        <v>Sunday</v>
      </c>
      <c r="H661" s="7" t="str">
        <f t="shared" si="32"/>
        <v>Feb</v>
      </c>
      <c r="I661" s="8">
        <v>43522</v>
      </c>
      <c r="J661" s="8" t="str">
        <f t="shared" si="30"/>
        <v>Evening</v>
      </c>
      <c r="K661" s="9">
        <v>0.7402777777777777</v>
      </c>
      <c r="L661" s="7" t="s">
        <v>28</v>
      </c>
      <c r="M661" s="10">
        <v>2.7725</v>
      </c>
      <c r="N661" s="7">
        <v>4.9000000000000004</v>
      </c>
    </row>
    <row r="662" spans="1:14" x14ac:dyDescent="0.25">
      <c r="A662" s="7" t="s">
        <v>691</v>
      </c>
      <c r="B662" s="7" t="s">
        <v>37</v>
      </c>
      <c r="C662" s="7" t="s">
        <v>38</v>
      </c>
      <c r="D662" s="7" t="s">
        <v>22</v>
      </c>
      <c r="E662" s="7" t="s">
        <v>16</v>
      </c>
      <c r="F662" s="7" t="s">
        <v>31</v>
      </c>
      <c r="G662" s="7" t="str">
        <f t="shared" si="31"/>
        <v>Thursday</v>
      </c>
      <c r="H662" s="7" t="str">
        <f t="shared" si="32"/>
        <v>Feb</v>
      </c>
      <c r="I662" s="8">
        <v>43499</v>
      </c>
      <c r="J662" s="8" t="str">
        <f t="shared" si="30"/>
        <v>Morning</v>
      </c>
      <c r="K662" s="9">
        <v>0.49027777777777781</v>
      </c>
      <c r="L662" s="7" t="s">
        <v>24</v>
      </c>
      <c r="M662" s="10">
        <v>6.4455</v>
      </c>
      <c r="N662" s="7">
        <v>9.3000000000000007</v>
      </c>
    </row>
    <row r="663" spans="1:14" x14ac:dyDescent="0.25">
      <c r="A663" s="7" t="s">
        <v>692</v>
      </c>
      <c r="B663" s="7" t="s">
        <v>20</v>
      </c>
      <c r="C663" s="7" t="s">
        <v>21</v>
      </c>
      <c r="D663" s="7" t="s">
        <v>15</v>
      </c>
      <c r="E663" s="7" t="s">
        <v>26</v>
      </c>
      <c r="F663" s="7" t="s">
        <v>31</v>
      </c>
      <c r="G663" s="7" t="str">
        <f t="shared" si="31"/>
        <v>Monday</v>
      </c>
      <c r="H663" s="7" t="str">
        <f t="shared" si="32"/>
        <v>Jan</v>
      </c>
      <c r="I663" s="8">
        <v>43481</v>
      </c>
      <c r="J663" s="8" t="str">
        <f t="shared" si="30"/>
        <v>Afternoon</v>
      </c>
      <c r="K663" s="9">
        <v>0.50486111111111109</v>
      </c>
      <c r="L663" s="7" t="s">
        <v>28</v>
      </c>
      <c r="M663" s="10">
        <v>5.9989999999999997</v>
      </c>
      <c r="N663" s="7">
        <v>7.9</v>
      </c>
    </row>
    <row r="664" spans="1:14" x14ac:dyDescent="0.25">
      <c r="A664" s="7" t="s">
        <v>693</v>
      </c>
      <c r="B664" s="7" t="s">
        <v>37</v>
      </c>
      <c r="C664" s="7" t="s">
        <v>38</v>
      </c>
      <c r="D664" s="7" t="s">
        <v>15</v>
      </c>
      <c r="E664" s="7" t="s">
        <v>16</v>
      </c>
      <c r="F664" s="7" t="s">
        <v>41</v>
      </c>
      <c r="G664" s="7" t="str">
        <f t="shared" si="31"/>
        <v>Thursday</v>
      </c>
      <c r="H664" s="7" t="str">
        <f t="shared" si="32"/>
        <v>Mar</v>
      </c>
      <c r="I664" s="8">
        <v>43548</v>
      </c>
      <c r="J664" s="8" t="str">
        <f t="shared" si="30"/>
        <v>Evening</v>
      </c>
      <c r="K664" s="9">
        <v>0.7597222222222223</v>
      </c>
      <c r="L664" s="7" t="s">
        <v>28</v>
      </c>
      <c r="M664" s="10">
        <v>17.625</v>
      </c>
      <c r="N664" s="7">
        <v>5.9</v>
      </c>
    </row>
    <row r="665" spans="1:14" x14ac:dyDescent="0.25">
      <c r="A665" s="7" t="s">
        <v>694</v>
      </c>
      <c r="B665" s="7" t="s">
        <v>20</v>
      </c>
      <c r="C665" s="7" t="s">
        <v>21</v>
      </c>
      <c r="D665" s="7" t="s">
        <v>15</v>
      </c>
      <c r="E665" s="7" t="s">
        <v>16</v>
      </c>
      <c r="F665" s="7" t="s">
        <v>39</v>
      </c>
      <c r="G665" s="7" t="str">
        <f t="shared" si="31"/>
        <v>Friday</v>
      </c>
      <c r="H665" s="7" t="str">
        <f t="shared" si="32"/>
        <v>Feb</v>
      </c>
      <c r="I665" s="8">
        <v>43508</v>
      </c>
      <c r="J665" s="8" t="str">
        <f t="shared" si="30"/>
        <v>Afternoon</v>
      </c>
      <c r="K665" s="9">
        <v>0.61458333333333337</v>
      </c>
      <c r="L665" s="7" t="s">
        <v>28</v>
      </c>
      <c r="M665" s="10">
        <v>43.55</v>
      </c>
      <c r="N665" s="7">
        <v>9.9</v>
      </c>
    </row>
    <row r="666" spans="1:14" x14ac:dyDescent="0.25">
      <c r="A666" s="7" t="s">
        <v>695</v>
      </c>
      <c r="B666" s="7" t="s">
        <v>20</v>
      </c>
      <c r="C666" s="7" t="s">
        <v>21</v>
      </c>
      <c r="D666" s="7" t="s">
        <v>22</v>
      </c>
      <c r="E666" s="7" t="s">
        <v>16</v>
      </c>
      <c r="F666" s="7" t="s">
        <v>31</v>
      </c>
      <c r="G666" s="7" t="str">
        <f t="shared" si="31"/>
        <v>Saturday</v>
      </c>
      <c r="H666" s="7" t="str">
        <f t="shared" si="32"/>
        <v>Feb</v>
      </c>
      <c r="I666" s="8">
        <v>43517</v>
      </c>
      <c r="J666" s="8" t="str">
        <f t="shared" si="30"/>
        <v>Morning</v>
      </c>
      <c r="K666" s="9">
        <v>0.48541666666666666</v>
      </c>
      <c r="L666" s="7" t="s">
        <v>24</v>
      </c>
      <c r="M666" s="10">
        <v>9.8800000000000008</v>
      </c>
      <c r="N666" s="7">
        <v>7.7</v>
      </c>
    </row>
    <row r="667" spans="1:14" x14ac:dyDescent="0.25">
      <c r="A667" s="7" t="s">
        <v>696</v>
      </c>
      <c r="B667" s="7" t="s">
        <v>13</v>
      </c>
      <c r="C667" s="7" t="s">
        <v>14</v>
      </c>
      <c r="D667" s="7" t="s">
        <v>22</v>
      </c>
      <c r="E667" s="7" t="s">
        <v>16</v>
      </c>
      <c r="F667" s="7" t="s">
        <v>41</v>
      </c>
      <c r="G667" s="7" t="str">
        <f t="shared" si="31"/>
        <v>Thursday</v>
      </c>
      <c r="H667" s="7" t="str">
        <f t="shared" si="32"/>
        <v>Feb</v>
      </c>
      <c r="I667" s="8">
        <v>43500</v>
      </c>
      <c r="J667" s="8" t="str">
        <f t="shared" si="30"/>
        <v>Afternoon</v>
      </c>
      <c r="K667" s="9">
        <v>0.65555555555555556</v>
      </c>
      <c r="L667" s="7" t="s">
        <v>18</v>
      </c>
      <c r="M667" s="10">
        <v>9.7260000000000009</v>
      </c>
      <c r="N667" s="7">
        <v>7.6</v>
      </c>
    </row>
    <row r="668" spans="1:14" x14ac:dyDescent="0.25">
      <c r="A668" s="7" t="s">
        <v>697</v>
      </c>
      <c r="B668" s="7" t="s">
        <v>37</v>
      </c>
      <c r="C668" s="7" t="s">
        <v>38</v>
      </c>
      <c r="D668" s="7" t="s">
        <v>15</v>
      </c>
      <c r="E668" s="7" t="s">
        <v>26</v>
      </c>
      <c r="F668" s="7" t="s">
        <v>39</v>
      </c>
      <c r="G668" s="7" t="str">
        <f t="shared" si="31"/>
        <v>Saturday</v>
      </c>
      <c r="H668" s="7" t="str">
        <f t="shared" si="32"/>
        <v>Feb</v>
      </c>
      <c r="I668" s="8">
        <v>43516</v>
      </c>
      <c r="J668" s="8" t="str">
        <f t="shared" si="30"/>
        <v>Afternoon</v>
      </c>
      <c r="K668" s="9">
        <v>0.54583333333333328</v>
      </c>
      <c r="L668" s="7" t="s">
        <v>18</v>
      </c>
      <c r="M668" s="10">
        <v>8.6609999999999996</v>
      </c>
      <c r="N668" s="7">
        <v>7.7</v>
      </c>
    </row>
    <row r="669" spans="1:14" x14ac:dyDescent="0.25">
      <c r="A669" s="7" t="s">
        <v>698</v>
      </c>
      <c r="B669" s="7" t="s">
        <v>37</v>
      </c>
      <c r="C669" s="7" t="s">
        <v>38</v>
      </c>
      <c r="D669" s="7" t="s">
        <v>22</v>
      </c>
      <c r="E669" s="7" t="s">
        <v>16</v>
      </c>
      <c r="F669" s="7" t="s">
        <v>17</v>
      </c>
      <c r="G669" s="7" t="str">
        <f t="shared" si="31"/>
        <v>Sunday</v>
      </c>
      <c r="H669" s="7" t="str">
        <f t="shared" si="32"/>
        <v>Feb</v>
      </c>
      <c r="I669" s="8">
        <v>43519</v>
      </c>
      <c r="J669" s="8" t="str">
        <f t="shared" si="30"/>
        <v>Evening</v>
      </c>
      <c r="K669" s="9">
        <v>0.86319444444444438</v>
      </c>
      <c r="L669" s="7" t="s">
        <v>18</v>
      </c>
      <c r="M669" s="10">
        <v>3.5939999999999999</v>
      </c>
      <c r="N669" s="7">
        <v>6.4</v>
      </c>
    </row>
    <row r="670" spans="1:14" x14ac:dyDescent="0.25">
      <c r="A670" s="7" t="s">
        <v>699</v>
      </c>
      <c r="B670" s="7" t="s">
        <v>20</v>
      </c>
      <c r="C670" s="7" t="s">
        <v>21</v>
      </c>
      <c r="D670" s="7" t="s">
        <v>15</v>
      </c>
      <c r="E670" s="7" t="s">
        <v>16</v>
      </c>
      <c r="F670" s="7" t="s">
        <v>17</v>
      </c>
      <c r="G670" s="7" t="str">
        <f t="shared" si="31"/>
        <v>Saturday</v>
      </c>
      <c r="H670" s="7" t="str">
        <f t="shared" si="32"/>
        <v>Feb</v>
      </c>
      <c r="I670" s="8">
        <v>43512</v>
      </c>
      <c r="J670" s="8" t="str">
        <f t="shared" si="30"/>
        <v>Afternoon</v>
      </c>
      <c r="K670" s="9">
        <v>0.59652777777777777</v>
      </c>
      <c r="L670" s="7" t="s">
        <v>18</v>
      </c>
      <c r="M670" s="10">
        <v>14.313000000000001</v>
      </c>
      <c r="N670" s="7">
        <v>4.4000000000000004</v>
      </c>
    </row>
    <row r="671" spans="1:14" x14ac:dyDescent="0.25">
      <c r="A671" s="7" t="s">
        <v>700</v>
      </c>
      <c r="B671" s="7" t="s">
        <v>37</v>
      </c>
      <c r="C671" s="7" t="s">
        <v>38</v>
      </c>
      <c r="D671" s="7" t="s">
        <v>22</v>
      </c>
      <c r="E671" s="7" t="s">
        <v>16</v>
      </c>
      <c r="F671" s="7" t="s">
        <v>31</v>
      </c>
      <c r="G671" s="7" t="str">
        <f t="shared" si="31"/>
        <v>Monday</v>
      </c>
      <c r="H671" s="7" t="str">
        <f t="shared" si="32"/>
        <v>Jan</v>
      </c>
      <c r="I671" s="8">
        <v>43482</v>
      </c>
      <c r="J671" s="8" t="str">
        <f t="shared" si="30"/>
        <v>Morning</v>
      </c>
      <c r="K671" s="9">
        <v>0.41736111111111113</v>
      </c>
      <c r="L671" s="7" t="s">
        <v>28</v>
      </c>
      <c r="M671" s="10">
        <v>4.0620000000000003</v>
      </c>
      <c r="N671" s="7">
        <v>4.0999999999999996</v>
      </c>
    </row>
    <row r="672" spans="1:14" x14ac:dyDescent="0.25">
      <c r="A672" s="7" t="s">
        <v>701</v>
      </c>
      <c r="B672" s="7" t="s">
        <v>13</v>
      </c>
      <c r="C672" s="7" t="s">
        <v>14</v>
      </c>
      <c r="D672" s="7" t="s">
        <v>15</v>
      </c>
      <c r="E672" s="7" t="s">
        <v>26</v>
      </c>
      <c r="F672" s="7" t="s">
        <v>41</v>
      </c>
      <c r="G672" s="7" t="str">
        <f t="shared" si="31"/>
        <v>Monday</v>
      </c>
      <c r="H672" s="7" t="str">
        <f t="shared" si="32"/>
        <v>Jan</v>
      </c>
      <c r="I672" s="8">
        <v>43479</v>
      </c>
      <c r="J672" s="8" t="str">
        <f t="shared" si="30"/>
        <v>Evening</v>
      </c>
      <c r="K672" s="9">
        <v>0.8125</v>
      </c>
      <c r="L672" s="7" t="s">
        <v>18</v>
      </c>
      <c r="M672" s="10">
        <v>28.02</v>
      </c>
      <c r="N672" s="7">
        <v>4.4000000000000004</v>
      </c>
    </row>
    <row r="673" spans="1:14" x14ac:dyDescent="0.25">
      <c r="A673" s="7" t="s">
        <v>702</v>
      </c>
      <c r="B673" s="7" t="s">
        <v>37</v>
      </c>
      <c r="C673" s="7" t="s">
        <v>38</v>
      </c>
      <c r="D673" s="7" t="s">
        <v>15</v>
      </c>
      <c r="E673" s="7" t="s">
        <v>26</v>
      </c>
      <c r="F673" s="7" t="s">
        <v>39</v>
      </c>
      <c r="G673" s="7" t="str">
        <f t="shared" si="31"/>
        <v>Friday</v>
      </c>
      <c r="H673" s="7" t="str">
        <f t="shared" si="32"/>
        <v>Mar</v>
      </c>
      <c r="I673" s="8">
        <v>43554</v>
      </c>
      <c r="J673" s="8" t="str">
        <f t="shared" si="30"/>
        <v>Evening</v>
      </c>
      <c r="K673" s="9">
        <v>0.69027777777777777</v>
      </c>
      <c r="L673" s="7" t="s">
        <v>24</v>
      </c>
      <c r="M673" s="10">
        <v>9.34</v>
      </c>
      <c r="N673" s="7">
        <v>5.5</v>
      </c>
    </row>
    <row r="674" spans="1:14" x14ac:dyDescent="0.25">
      <c r="A674" s="7" t="s">
        <v>703</v>
      </c>
      <c r="B674" s="7" t="s">
        <v>37</v>
      </c>
      <c r="C674" s="7" t="s">
        <v>38</v>
      </c>
      <c r="D674" s="7" t="s">
        <v>22</v>
      </c>
      <c r="E674" s="7" t="s">
        <v>16</v>
      </c>
      <c r="F674" s="7" t="s">
        <v>17</v>
      </c>
      <c r="G674" s="7" t="str">
        <f t="shared" si="31"/>
        <v>Monday</v>
      </c>
      <c r="H674" s="7" t="str">
        <f t="shared" si="32"/>
        <v>Mar</v>
      </c>
      <c r="I674" s="8">
        <v>43526</v>
      </c>
      <c r="J674" s="8" t="str">
        <f t="shared" si="30"/>
        <v>Afternoon</v>
      </c>
      <c r="K674" s="9">
        <v>0.54861111111111105</v>
      </c>
      <c r="L674" s="7" t="s">
        <v>18</v>
      </c>
      <c r="M674" s="10">
        <v>11.0115</v>
      </c>
      <c r="N674" s="7">
        <v>4</v>
      </c>
    </row>
    <row r="675" spans="1:14" x14ac:dyDescent="0.25">
      <c r="A675" s="7" t="s">
        <v>704</v>
      </c>
      <c r="B675" s="7" t="s">
        <v>20</v>
      </c>
      <c r="C675" s="7" t="s">
        <v>21</v>
      </c>
      <c r="D675" s="7" t="s">
        <v>22</v>
      </c>
      <c r="E675" s="7" t="s">
        <v>26</v>
      </c>
      <c r="F675" s="7" t="s">
        <v>17</v>
      </c>
      <c r="G675" s="7" t="str">
        <f t="shared" si="31"/>
        <v>Friday</v>
      </c>
      <c r="H675" s="7" t="str">
        <f t="shared" si="32"/>
        <v>Feb</v>
      </c>
      <c r="I675" s="8">
        <v>43511</v>
      </c>
      <c r="J675" s="8" t="str">
        <f t="shared" si="30"/>
        <v>Evening</v>
      </c>
      <c r="K675" s="9">
        <v>0.71527777777777779</v>
      </c>
      <c r="L675" s="7" t="s">
        <v>28</v>
      </c>
      <c r="M675" s="10">
        <v>13.456</v>
      </c>
      <c r="N675" s="7">
        <v>9.3000000000000007</v>
      </c>
    </row>
    <row r="676" spans="1:14" x14ac:dyDescent="0.25">
      <c r="A676" s="7" t="s">
        <v>705</v>
      </c>
      <c r="B676" s="7" t="s">
        <v>13</v>
      </c>
      <c r="C676" s="7" t="s">
        <v>14</v>
      </c>
      <c r="D676" s="7" t="s">
        <v>22</v>
      </c>
      <c r="E676" s="7" t="s">
        <v>16</v>
      </c>
      <c r="F676" s="7" t="s">
        <v>23</v>
      </c>
      <c r="G676" s="7" t="str">
        <f t="shared" si="31"/>
        <v>Sunday</v>
      </c>
      <c r="H676" s="7" t="str">
        <f t="shared" si="32"/>
        <v>Mar</v>
      </c>
      <c r="I676" s="8">
        <v>43525</v>
      </c>
      <c r="J676" s="8" t="str">
        <f t="shared" si="30"/>
        <v>Morning</v>
      </c>
      <c r="K676" s="9">
        <v>0.43194444444444446</v>
      </c>
      <c r="L676" s="7" t="s">
        <v>28</v>
      </c>
      <c r="M676" s="10">
        <v>22.74</v>
      </c>
      <c r="N676" s="7">
        <v>4.8</v>
      </c>
    </row>
    <row r="677" spans="1:14" x14ac:dyDescent="0.25">
      <c r="A677" s="7" t="s">
        <v>706</v>
      </c>
      <c r="B677" s="7" t="s">
        <v>37</v>
      </c>
      <c r="C677" s="7" t="s">
        <v>38</v>
      </c>
      <c r="D677" s="7" t="s">
        <v>15</v>
      </c>
      <c r="E677" s="7" t="s">
        <v>26</v>
      </c>
      <c r="F677" s="7" t="s">
        <v>41</v>
      </c>
      <c r="G677" s="7" t="str">
        <f t="shared" si="31"/>
        <v>Sunday</v>
      </c>
      <c r="H677" s="7" t="str">
        <f t="shared" si="32"/>
        <v>Feb</v>
      </c>
      <c r="I677" s="8">
        <v>43520</v>
      </c>
      <c r="J677" s="8" t="str">
        <f t="shared" si="30"/>
        <v>Evening</v>
      </c>
      <c r="K677" s="9">
        <v>0.83124999999999993</v>
      </c>
      <c r="L677" s="7" t="s">
        <v>24</v>
      </c>
      <c r="M677" s="10">
        <v>8.3770000000000007</v>
      </c>
      <c r="N677" s="7">
        <v>4.5999999999999996</v>
      </c>
    </row>
    <row r="678" spans="1:14" x14ac:dyDescent="0.25">
      <c r="A678" s="7" t="s">
        <v>707</v>
      </c>
      <c r="B678" s="7" t="s">
        <v>37</v>
      </c>
      <c r="C678" s="7" t="s">
        <v>38</v>
      </c>
      <c r="D678" s="7" t="s">
        <v>15</v>
      </c>
      <c r="E678" s="7" t="s">
        <v>16</v>
      </c>
      <c r="F678" s="7" t="s">
        <v>31</v>
      </c>
      <c r="G678" s="7" t="str">
        <f t="shared" si="31"/>
        <v>Saturday</v>
      </c>
      <c r="H678" s="7" t="str">
        <f t="shared" si="32"/>
        <v>Feb</v>
      </c>
      <c r="I678" s="8">
        <v>43515</v>
      </c>
      <c r="J678" s="8" t="str">
        <f t="shared" si="30"/>
        <v>Evening</v>
      </c>
      <c r="K678" s="9">
        <v>0.81180555555555556</v>
      </c>
      <c r="L678" s="7" t="s">
        <v>28</v>
      </c>
      <c r="M678" s="10">
        <v>22.428000000000001</v>
      </c>
      <c r="N678" s="7">
        <v>7.3</v>
      </c>
    </row>
    <row r="679" spans="1:14" x14ac:dyDescent="0.25">
      <c r="A679" s="7" t="s">
        <v>708</v>
      </c>
      <c r="B679" s="7" t="s">
        <v>13</v>
      </c>
      <c r="C679" s="7" t="s">
        <v>14</v>
      </c>
      <c r="D679" s="7" t="s">
        <v>15</v>
      </c>
      <c r="E679" s="7" t="s">
        <v>16</v>
      </c>
      <c r="F679" s="7" t="s">
        <v>39</v>
      </c>
      <c r="G679" s="7" t="str">
        <f t="shared" si="31"/>
        <v>Sunday</v>
      </c>
      <c r="H679" s="7" t="str">
        <f t="shared" si="32"/>
        <v>Feb</v>
      </c>
      <c r="I679" s="8">
        <v>43519</v>
      </c>
      <c r="J679" s="8" t="str">
        <f t="shared" si="30"/>
        <v>Evening</v>
      </c>
      <c r="K679" s="9">
        <v>0.77083333333333337</v>
      </c>
      <c r="L679" s="7" t="s">
        <v>24</v>
      </c>
      <c r="M679" s="10">
        <v>14.694000000000001</v>
      </c>
      <c r="N679" s="7">
        <v>6</v>
      </c>
    </row>
    <row r="680" spans="1:14" x14ac:dyDescent="0.25">
      <c r="A680" s="7" t="s">
        <v>709</v>
      </c>
      <c r="B680" s="7" t="s">
        <v>20</v>
      </c>
      <c r="C680" s="7" t="s">
        <v>21</v>
      </c>
      <c r="D680" s="7" t="s">
        <v>22</v>
      </c>
      <c r="E680" s="7" t="s">
        <v>26</v>
      </c>
      <c r="F680" s="7" t="s">
        <v>17</v>
      </c>
      <c r="G680" s="7" t="str">
        <f t="shared" si="31"/>
        <v>Thursday</v>
      </c>
      <c r="H680" s="7" t="str">
        <f t="shared" si="32"/>
        <v>Feb</v>
      </c>
      <c r="I680" s="8">
        <v>43503</v>
      </c>
      <c r="J680" s="8" t="str">
        <f t="shared" si="30"/>
        <v>Afternoon</v>
      </c>
      <c r="K680" s="9">
        <v>0.6020833333333333</v>
      </c>
      <c r="L680" s="7" t="s">
        <v>18</v>
      </c>
      <c r="M680" s="10">
        <v>29.475000000000001</v>
      </c>
      <c r="N680" s="7">
        <v>8.1</v>
      </c>
    </row>
    <row r="681" spans="1:14" x14ac:dyDescent="0.25">
      <c r="A681" s="7" t="s">
        <v>710</v>
      </c>
      <c r="B681" s="7" t="s">
        <v>13</v>
      </c>
      <c r="C681" s="7" t="s">
        <v>14</v>
      </c>
      <c r="D681" s="7" t="s">
        <v>15</v>
      </c>
      <c r="E681" s="7" t="s">
        <v>26</v>
      </c>
      <c r="F681" s="7" t="s">
        <v>39</v>
      </c>
      <c r="G681" s="7" t="str">
        <f t="shared" si="31"/>
        <v>Sunday</v>
      </c>
      <c r="H681" s="7" t="str">
        <f t="shared" si="32"/>
        <v>Jan</v>
      </c>
      <c r="I681" s="8">
        <v>43476</v>
      </c>
      <c r="J681" s="8" t="str">
        <f t="shared" si="30"/>
        <v>Afternoon</v>
      </c>
      <c r="K681" s="9">
        <v>0.58124999999999993</v>
      </c>
      <c r="L681" s="7" t="s">
        <v>18</v>
      </c>
      <c r="M681" s="10">
        <v>14.55</v>
      </c>
      <c r="N681" s="7">
        <v>9.4</v>
      </c>
    </row>
    <row r="682" spans="1:14" x14ac:dyDescent="0.25">
      <c r="A682" s="7" t="s">
        <v>711</v>
      </c>
      <c r="B682" s="7" t="s">
        <v>37</v>
      </c>
      <c r="C682" s="7" t="s">
        <v>38</v>
      </c>
      <c r="D682" s="7" t="s">
        <v>15</v>
      </c>
      <c r="E682" s="7" t="s">
        <v>16</v>
      </c>
      <c r="F682" s="7" t="s">
        <v>23</v>
      </c>
      <c r="G682" s="7" t="str">
        <f t="shared" si="31"/>
        <v>Friday</v>
      </c>
      <c r="H682" s="7" t="str">
        <f t="shared" si="32"/>
        <v>Feb</v>
      </c>
      <c r="I682" s="8">
        <v>43508</v>
      </c>
      <c r="J682" s="8" t="str">
        <f t="shared" si="30"/>
        <v>Evening</v>
      </c>
      <c r="K682" s="9">
        <v>0.82152777777777775</v>
      </c>
      <c r="L682" s="7" t="s">
        <v>24</v>
      </c>
      <c r="M682" s="10">
        <v>1.974</v>
      </c>
      <c r="N682" s="7">
        <v>6.5</v>
      </c>
    </row>
    <row r="683" spans="1:14" x14ac:dyDescent="0.25">
      <c r="A683" s="7" t="s">
        <v>712</v>
      </c>
      <c r="B683" s="7" t="s">
        <v>37</v>
      </c>
      <c r="C683" s="7" t="s">
        <v>38</v>
      </c>
      <c r="D683" s="7" t="s">
        <v>22</v>
      </c>
      <c r="E683" s="7" t="s">
        <v>16</v>
      </c>
      <c r="F683" s="7" t="s">
        <v>31</v>
      </c>
      <c r="G683" s="7" t="str">
        <f t="shared" si="31"/>
        <v>Monday</v>
      </c>
      <c r="H683" s="7" t="str">
        <f t="shared" si="32"/>
        <v>Jan</v>
      </c>
      <c r="I683" s="8">
        <v>43479</v>
      </c>
      <c r="J683" s="8" t="str">
        <f t="shared" si="30"/>
        <v>Morning</v>
      </c>
      <c r="K683" s="9">
        <v>0.42430555555555555</v>
      </c>
      <c r="L683" s="7" t="s">
        <v>28</v>
      </c>
      <c r="M683" s="10">
        <v>1.7404999999999999</v>
      </c>
      <c r="N683" s="7">
        <v>7</v>
      </c>
    </row>
    <row r="684" spans="1:14" x14ac:dyDescent="0.25">
      <c r="A684" s="7" t="s">
        <v>713</v>
      </c>
      <c r="B684" s="7" t="s">
        <v>20</v>
      </c>
      <c r="C684" s="7" t="s">
        <v>21</v>
      </c>
      <c r="D684" s="7" t="s">
        <v>22</v>
      </c>
      <c r="E684" s="7" t="s">
        <v>16</v>
      </c>
      <c r="F684" s="7" t="s">
        <v>41</v>
      </c>
      <c r="G684" s="7" t="str">
        <f t="shared" si="31"/>
        <v>Sunday</v>
      </c>
      <c r="H684" s="7" t="str">
        <f t="shared" si="32"/>
        <v>Jan</v>
      </c>
      <c r="I684" s="8">
        <v>43474</v>
      </c>
      <c r="J684" s="8" t="str">
        <f t="shared" si="30"/>
        <v>Afternoon</v>
      </c>
      <c r="K684" s="9">
        <v>0.57361111111111118</v>
      </c>
      <c r="L684" s="7" t="s">
        <v>18</v>
      </c>
      <c r="M684" s="10">
        <v>14.795999999999999</v>
      </c>
      <c r="N684" s="7">
        <v>7.1</v>
      </c>
    </row>
    <row r="685" spans="1:14" x14ac:dyDescent="0.25">
      <c r="A685" s="7" t="s">
        <v>714</v>
      </c>
      <c r="B685" s="7" t="s">
        <v>13</v>
      </c>
      <c r="C685" s="7" t="s">
        <v>14</v>
      </c>
      <c r="D685" s="7" t="s">
        <v>15</v>
      </c>
      <c r="E685" s="7" t="s">
        <v>26</v>
      </c>
      <c r="F685" s="7" t="s">
        <v>41</v>
      </c>
      <c r="G685" s="7" t="str">
        <f t="shared" si="31"/>
        <v>Sunday</v>
      </c>
      <c r="H685" s="7" t="str">
        <f t="shared" si="32"/>
        <v>Feb</v>
      </c>
      <c r="I685" s="8">
        <v>43523</v>
      </c>
      <c r="J685" s="8" t="str">
        <f t="shared" si="30"/>
        <v>Afternoon</v>
      </c>
      <c r="K685" s="9">
        <v>0.51527777777777783</v>
      </c>
      <c r="L685" s="7" t="s">
        <v>18</v>
      </c>
      <c r="M685" s="10">
        <v>2.1480000000000001</v>
      </c>
      <c r="N685" s="7">
        <v>6.6</v>
      </c>
    </row>
    <row r="686" spans="1:14" x14ac:dyDescent="0.25">
      <c r="A686" s="7" t="s">
        <v>715</v>
      </c>
      <c r="B686" s="7" t="s">
        <v>37</v>
      </c>
      <c r="C686" s="7" t="s">
        <v>38</v>
      </c>
      <c r="D686" s="7" t="s">
        <v>15</v>
      </c>
      <c r="E686" s="7" t="s">
        <v>16</v>
      </c>
      <c r="F686" s="7" t="s">
        <v>31</v>
      </c>
      <c r="G686" s="7" t="str">
        <f t="shared" si="31"/>
        <v>Tuesday</v>
      </c>
      <c r="H686" s="7" t="str">
        <f t="shared" si="32"/>
        <v>Jan</v>
      </c>
      <c r="I686" s="8">
        <v>43489</v>
      </c>
      <c r="J686" s="8" t="str">
        <f t="shared" si="30"/>
        <v>Evening</v>
      </c>
      <c r="K686" s="9">
        <v>0.80555555555555547</v>
      </c>
      <c r="L686" s="7" t="s">
        <v>18</v>
      </c>
      <c r="M686" s="10">
        <v>6.9240000000000004</v>
      </c>
      <c r="N686" s="7">
        <v>4.9000000000000004</v>
      </c>
    </row>
    <row r="687" spans="1:14" x14ac:dyDescent="0.25">
      <c r="A687" s="7" t="s">
        <v>716</v>
      </c>
      <c r="B687" s="7" t="s">
        <v>37</v>
      </c>
      <c r="C687" s="7" t="s">
        <v>38</v>
      </c>
      <c r="D687" s="7" t="s">
        <v>15</v>
      </c>
      <c r="E687" s="7" t="s">
        <v>16</v>
      </c>
      <c r="F687" s="7" t="s">
        <v>27</v>
      </c>
      <c r="G687" s="7" t="str">
        <f t="shared" si="31"/>
        <v>Sunday</v>
      </c>
      <c r="H687" s="7" t="str">
        <f t="shared" si="32"/>
        <v>Jan</v>
      </c>
      <c r="I687" s="8">
        <v>43473</v>
      </c>
      <c r="J687" s="8" t="str">
        <f t="shared" si="30"/>
        <v>Afternoon</v>
      </c>
      <c r="K687" s="9">
        <v>0.54027777777777775</v>
      </c>
      <c r="L687" s="7" t="s">
        <v>28</v>
      </c>
      <c r="M687" s="10">
        <v>4.91</v>
      </c>
      <c r="N687" s="7">
        <v>6.4</v>
      </c>
    </row>
    <row r="688" spans="1:14" x14ac:dyDescent="0.25">
      <c r="A688" s="7" t="s">
        <v>717</v>
      </c>
      <c r="B688" s="7" t="s">
        <v>37</v>
      </c>
      <c r="C688" s="7" t="s">
        <v>38</v>
      </c>
      <c r="D688" s="7" t="s">
        <v>15</v>
      </c>
      <c r="E688" s="7" t="s">
        <v>16</v>
      </c>
      <c r="F688" s="7" t="s">
        <v>31</v>
      </c>
      <c r="G688" s="7" t="str">
        <f t="shared" si="31"/>
        <v>Sunday</v>
      </c>
      <c r="H688" s="7" t="str">
        <f t="shared" si="32"/>
        <v>Jan</v>
      </c>
      <c r="I688" s="8">
        <v>43473</v>
      </c>
      <c r="J688" s="8" t="str">
        <f t="shared" si="30"/>
        <v>Morning</v>
      </c>
      <c r="K688" s="9">
        <v>0.4993055555555555</v>
      </c>
      <c r="L688" s="7" t="s">
        <v>28</v>
      </c>
      <c r="M688" s="10">
        <v>6.4829999999999997</v>
      </c>
      <c r="N688" s="7">
        <v>8</v>
      </c>
    </row>
    <row r="689" spans="1:14" x14ac:dyDescent="0.25">
      <c r="A689" s="7" t="s">
        <v>718</v>
      </c>
      <c r="B689" s="7" t="s">
        <v>13</v>
      </c>
      <c r="C689" s="7" t="s">
        <v>14</v>
      </c>
      <c r="D689" s="7" t="s">
        <v>15</v>
      </c>
      <c r="E689" s="7" t="s">
        <v>26</v>
      </c>
      <c r="F689" s="7" t="s">
        <v>27</v>
      </c>
      <c r="G689" s="7" t="str">
        <f t="shared" si="31"/>
        <v>Monday</v>
      </c>
      <c r="H689" s="7" t="str">
        <f t="shared" si="32"/>
        <v>Jan</v>
      </c>
      <c r="I689" s="8">
        <v>43481</v>
      </c>
      <c r="J689" s="8" t="str">
        <f t="shared" si="30"/>
        <v>Evening</v>
      </c>
      <c r="K689" s="9">
        <v>0.74930555555555556</v>
      </c>
      <c r="L689" s="7" t="s">
        <v>24</v>
      </c>
      <c r="M689" s="10">
        <v>31.78</v>
      </c>
      <c r="N689" s="7">
        <v>4.3</v>
      </c>
    </row>
    <row r="690" spans="1:14" x14ac:dyDescent="0.25">
      <c r="A690" s="7" t="s">
        <v>719</v>
      </c>
      <c r="B690" s="7" t="s">
        <v>20</v>
      </c>
      <c r="C690" s="7" t="s">
        <v>21</v>
      </c>
      <c r="D690" s="7" t="s">
        <v>15</v>
      </c>
      <c r="E690" s="7" t="s">
        <v>26</v>
      </c>
      <c r="F690" s="7" t="s">
        <v>31</v>
      </c>
      <c r="G690" s="7" t="str">
        <f t="shared" si="31"/>
        <v>Tuesday</v>
      </c>
      <c r="H690" s="7" t="str">
        <f t="shared" si="32"/>
        <v>Mar</v>
      </c>
      <c r="I690" s="8">
        <v>43537</v>
      </c>
      <c r="J690" s="8" t="str">
        <f t="shared" si="30"/>
        <v>Afternoon</v>
      </c>
      <c r="K690" s="9">
        <v>0.53541666666666665</v>
      </c>
      <c r="L690" s="7" t="s">
        <v>24</v>
      </c>
      <c r="M690" s="10">
        <v>7.2880000000000003</v>
      </c>
      <c r="N690" s="7">
        <v>6.1</v>
      </c>
    </row>
    <row r="691" spans="1:14" x14ac:dyDescent="0.25">
      <c r="A691" s="7" t="s">
        <v>720</v>
      </c>
      <c r="B691" s="7" t="s">
        <v>13</v>
      </c>
      <c r="C691" s="7" t="s">
        <v>14</v>
      </c>
      <c r="D691" s="7" t="s">
        <v>22</v>
      </c>
      <c r="E691" s="7" t="s">
        <v>16</v>
      </c>
      <c r="F691" s="7" t="s">
        <v>39</v>
      </c>
      <c r="G691" s="7" t="str">
        <f t="shared" si="31"/>
        <v>Friday</v>
      </c>
      <c r="H691" s="7" t="str">
        <f t="shared" si="32"/>
        <v>Feb</v>
      </c>
      <c r="I691" s="8">
        <v>43511</v>
      </c>
      <c r="J691" s="8" t="str">
        <f t="shared" si="30"/>
        <v>Morning</v>
      </c>
      <c r="K691" s="9">
        <v>0.44166666666666665</v>
      </c>
      <c r="L691" s="7" t="s">
        <v>24</v>
      </c>
      <c r="M691" s="10">
        <v>10.065</v>
      </c>
      <c r="N691" s="7">
        <v>7.5</v>
      </c>
    </row>
    <row r="692" spans="1:14" x14ac:dyDescent="0.25">
      <c r="A692" s="7" t="s">
        <v>721</v>
      </c>
      <c r="B692" s="7" t="s">
        <v>20</v>
      </c>
      <c r="C692" s="7" t="s">
        <v>21</v>
      </c>
      <c r="D692" s="7" t="s">
        <v>15</v>
      </c>
      <c r="E692" s="7" t="s">
        <v>16</v>
      </c>
      <c r="F692" s="7" t="s">
        <v>31</v>
      </c>
      <c r="G692" s="7" t="str">
        <f t="shared" si="31"/>
        <v>Tuesday</v>
      </c>
      <c r="H692" s="7" t="str">
        <f t="shared" si="32"/>
        <v>Jan</v>
      </c>
      <c r="I692" s="8">
        <v>43490</v>
      </c>
      <c r="J692" s="8" t="str">
        <f t="shared" si="30"/>
        <v>Afternoon</v>
      </c>
      <c r="K692" s="9">
        <v>0.56805555555555554</v>
      </c>
      <c r="L692" s="7" t="s">
        <v>24</v>
      </c>
      <c r="M692" s="10">
        <v>31.5855</v>
      </c>
      <c r="N692" s="7">
        <v>6.7</v>
      </c>
    </row>
    <row r="693" spans="1:14" x14ac:dyDescent="0.25">
      <c r="A693" s="7" t="s">
        <v>722</v>
      </c>
      <c r="B693" s="7" t="s">
        <v>20</v>
      </c>
      <c r="C693" s="7" t="s">
        <v>21</v>
      </c>
      <c r="D693" s="7" t="s">
        <v>15</v>
      </c>
      <c r="E693" s="7" t="s">
        <v>26</v>
      </c>
      <c r="F693" s="7" t="s">
        <v>39</v>
      </c>
      <c r="G693" s="7" t="str">
        <f t="shared" si="31"/>
        <v>Tuesday</v>
      </c>
      <c r="H693" s="7" t="str">
        <f t="shared" si="32"/>
        <v>Mar</v>
      </c>
      <c r="I693" s="8">
        <v>43536</v>
      </c>
      <c r="J693" s="8" t="str">
        <f t="shared" si="30"/>
        <v>Evening</v>
      </c>
      <c r="K693" s="9">
        <v>0.81874999999999998</v>
      </c>
      <c r="L693" s="7" t="s">
        <v>18</v>
      </c>
      <c r="M693" s="10">
        <v>19.263999999999999</v>
      </c>
      <c r="N693" s="7">
        <v>5.2</v>
      </c>
    </row>
    <row r="694" spans="1:14" x14ac:dyDescent="0.25">
      <c r="A694" s="7" t="s">
        <v>723</v>
      </c>
      <c r="B694" s="7" t="s">
        <v>13</v>
      </c>
      <c r="C694" s="7" t="s">
        <v>14</v>
      </c>
      <c r="D694" s="7" t="s">
        <v>15</v>
      </c>
      <c r="E694" s="7" t="s">
        <v>26</v>
      </c>
      <c r="F694" s="7" t="s">
        <v>17</v>
      </c>
      <c r="G694" s="7" t="str">
        <f t="shared" si="31"/>
        <v>Monday</v>
      </c>
      <c r="H694" s="7" t="str">
        <f t="shared" si="32"/>
        <v>Mar</v>
      </c>
      <c r="I694" s="8">
        <v>43528</v>
      </c>
      <c r="J694" s="8" t="str">
        <f t="shared" si="30"/>
        <v>Afternoon</v>
      </c>
      <c r="K694" s="9">
        <v>0.53055555555555556</v>
      </c>
      <c r="L694" s="7" t="s">
        <v>24</v>
      </c>
      <c r="M694" s="10">
        <v>24.315000000000001</v>
      </c>
      <c r="N694" s="7">
        <v>8.8000000000000007</v>
      </c>
    </row>
    <row r="695" spans="1:14" x14ac:dyDescent="0.25">
      <c r="A695" s="7" t="s">
        <v>724</v>
      </c>
      <c r="B695" s="7" t="s">
        <v>20</v>
      </c>
      <c r="C695" s="7" t="s">
        <v>21</v>
      </c>
      <c r="D695" s="7" t="s">
        <v>15</v>
      </c>
      <c r="E695" s="7" t="s">
        <v>16</v>
      </c>
      <c r="F695" s="7" t="s">
        <v>41</v>
      </c>
      <c r="G695" s="7" t="str">
        <f t="shared" si="31"/>
        <v>Friday</v>
      </c>
      <c r="H695" s="7" t="str">
        <f t="shared" si="32"/>
        <v>Feb</v>
      </c>
      <c r="I695" s="8">
        <v>43506</v>
      </c>
      <c r="J695" s="8" t="str">
        <f t="shared" si="30"/>
        <v>Afternoon</v>
      </c>
      <c r="K695" s="9">
        <v>0.5805555555555556</v>
      </c>
      <c r="L695" s="7" t="s">
        <v>24</v>
      </c>
      <c r="M695" s="10">
        <v>25.683</v>
      </c>
      <c r="N695" s="7">
        <v>9.5</v>
      </c>
    </row>
    <row r="696" spans="1:14" x14ac:dyDescent="0.25">
      <c r="A696" s="7" t="s">
        <v>725</v>
      </c>
      <c r="B696" s="7" t="s">
        <v>20</v>
      </c>
      <c r="C696" s="7" t="s">
        <v>21</v>
      </c>
      <c r="D696" s="7" t="s">
        <v>22</v>
      </c>
      <c r="E696" s="7" t="s">
        <v>16</v>
      </c>
      <c r="F696" s="7" t="s">
        <v>39</v>
      </c>
      <c r="G696" s="7" t="str">
        <f t="shared" si="31"/>
        <v>Monday</v>
      </c>
      <c r="H696" s="7" t="str">
        <f t="shared" si="32"/>
        <v>Jan</v>
      </c>
      <c r="I696" s="8">
        <v>43481</v>
      </c>
      <c r="J696" s="8" t="str">
        <f t="shared" si="30"/>
        <v>Afternoon</v>
      </c>
      <c r="K696" s="9">
        <v>0.61249999999999993</v>
      </c>
      <c r="L696" s="7" t="s">
        <v>24</v>
      </c>
      <c r="M696" s="10">
        <v>23.67</v>
      </c>
      <c r="N696" s="7">
        <v>7.6</v>
      </c>
    </row>
    <row r="697" spans="1:14" x14ac:dyDescent="0.25">
      <c r="A697" s="7" t="s">
        <v>726</v>
      </c>
      <c r="B697" s="7" t="s">
        <v>13</v>
      </c>
      <c r="C697" s="7" t="s">
        <v>14</v>
      </c>
      <c r="D697" s="7" t="s">
        <v>15</v>
      </c>
      <c r="E697" s="7" t="s">
        <v>16</v>
      </c>
      <c r="F697" s="7" t="s">
        <v>27</v>
      </c>
      <c r="G697" s="7" t="str">
        <f t="shared" si="31"/>
        <v>Wednesday</v>
      </c>
      <c r="H697" s="7" t="str">
        <f t="shared" si="32"/>
        <v>Jan</v>
      </c>
      <c r="I697" s="8">
        <v>43494</v>
      </c>
      <c r="J697" s="8" t="str">
        <f t="shared" si="30"/>
        <v>Evening</v>
      </c>
      <c r="K697" s="9">
        <v>0.82291666666666663</v>
      </c>
      <c r="L697" s="7" t="s">
        <v>24</v>
      </c>
      <c r="M697" s="10">
        <v>21.842500000000001</v>
      </c>
      <c r="N697" s="7">
        <v>6.6</v>
      </c>
    </row>
    <row r="698" spans="1:14" x14ac:dyDescent="0.25">
      <c r="A698" s="7" t="s">
        <v>727</v>
      </c>
      <c r="B698" s="7" t="s">
        <v>13</v>
      </c>
      <c r="C698" s="7" t="s">
        <v>14</v>
      </c>
      <c r="D698" s="7" t="s">
        <v>15</v>
      </c>
      <c r="E698" s="7" t="s">
        <v>16</v>
      </c>
      <c r="F698" s="7" t="s">
        <v>31</v>
      </c>
      <c r="G698" s="7" t="str">
        <f t="shared" si="31"/>
        <v>Saturday</v>
      </c>
      <c r="H698" s="7" t="str">
        <f t="shared" si="32"/>
        <v>Jan</v>
      </c>
      <c r="I698" s="8">
        <v>43466</v>
      </c>
      <c r="J698" s="8" t="str">
        <f t="shared" si="30"/>
        <v>Evening</v>
      </c>
      <c r="K698" s="9">
        <v>0.85138888888888886</v>
      </c>
      <c r="L698" s="7" t="s">
        <v>18</v>
      </c>
      <c r="M698" s="10">
        <v>5.4080000000000004</v>
      </c>
      <c r="N698" s="7">
        <v>6.9</v>
      </c>
    </row>
    <row r="699" spans="1:14" x14ac:dyDescent="0.25">
      <c r="A699" s="7" t="s">
        <v>728</v>
      </c>
      <c r="B699" s="7" t="s">
        <v>37</v>
      </c>
      <c r="C699" s="7" t="s">
        <v>38</v>
      </c>
      <c r="D699" s="7" t="s">
        <v>22</v>
      </c>
      <c r="E699" s="7" t="s">
        <v>26</v>
      </c>
      <c r="F699" s="7" t="s">
        <v>27</v>
      </c>
      <c r="G699" s="7" t="str">
        <f t="shared" si="31"/>
        <v>Sunday</v>
      </c>
      <c r="H699" s="7" t="str">
        <f t="shared" si="32"/>
        <v>Jan</v>
      </c>
      <c r="I699" s="8">
        <v>43471</v>
      </c>
      <c r="J699" s="8" t="str">
        <f t="shared" si="30"/>
        <v>Evening</v>
      </c>
      <c r="K699" s="9">
        <v>0.82361111111111107</v>
      </c>
      <c r="L699" s="7" t="s">
        <v>18</v>
      </c>
      <c r="M699" s="10">
        <v>12.438000000000001</v>
      </c>
      <c r="N699" s="7">
        <v>4.3</v>
      </c>
    </row>
    <row r="700" spans="1:14" x14ac:dyDescent="0.25">
      <c r="A700" s="7" t="s">
        <v>729</v>
      </c>
      <c r="B700" s="7" t="s">
        <v>13</v>
      </c>
      <c r="C700" s="7" t="s">
        <v>14</v>
      </c>
      <c r="D700" s="7" t="s">
        <v>15</v>
      </c>
      <c r="E700" s="7" t="s">
        <v>26</v>
      </c>
      <c r="F700" s="7" t="s">
        <v>23</v>
      </c>
      <c r="G700" s="7" t="str">
        <f t="shared" si="31"/>
        <v>Saturday</v>
      </c>
      <c r="H700" s="7" t="str">
        <f t="shared" si="32"/>
        <v>Feb</v>
      </c>
      <c r="I700" s="8">
        <v>43515</v>
      </c>
      <c r="J700" s="8" t="str">
        <f t="shared" si="30"/>
        <v>Evening</v>
      </c>
      <c r="K700" s="9">
        <v>0.81805555555555554</v>
      </c>
      <c r="L700" s="7" t="s">
        <v>28</v>
      </c>
      <c r="M700" s="10">
        <v>31.311</v>
      </c>
      <c r="N700" s="7">
        <v>7.8</v>
      </c>
    </row>
    <row r="701" spans="1:14" x14ac:dyDescent="0.25">
      <c r="A701" s="7" t="s">
        <v>730</v>
      </c>
      <c r="B701" s="7" t="s">
        <v>20</v>
      </c>
      <c r="C701" s="7" t="s">
        <v>21</v>
      </c>
      <c r="D701" s="7" t="s">
        <v>22</v>
      </c>
      <c r="E701" s="7" t="s">
        <v>26</v>
      </c>
      <c r="F701" s="7" t="s">
        <v>27</v>
      </c>
      <c r="G701" s="7" t="str">
        <f t="shared" si="31"/>
        <v>Monday</v>
      </c>
      <c r="H701" s="7" t="str">
        <f t="shared" si="32"/>
        <v>Jan</v>
      </c>
      <c r="I701" s="8">
        <v>43477</v>
      </c>
      <c r="J701" s="8" t="str">
        <f t="shared" si="30"/>
        <v>Evening</v>
      </c>
      <c r="K701" s="9">
        <v>0.6791666666666667</v>
      </c>
      <c r="L701" s="7" t="s">
        <v>18</v>
      </c>
      <c r="M701" s="10">
        <v>48.75</v>
      </c>
      <c r="N701" s="7">
        <v>8</v>
      </c>
    </row>
    <row r="702" spans="1:14" x14ac:dyDescent="0.25">
      <c r="A702" s="7" t="s">
        <v>731</v>
      </c>
      <c r="B702" s="7" t="s">
        <v>20</v>
      </c>
      <c r="C702" s="7" t="s">
        <v>21</v>
      </c>
      <c r="D702" s="7" t="s">
        <v>22</v>
      </c>
      <c r="E702" s="7" t="s">
        <v>16</v>
      </c>
      <c r="F702" s="7" t="s">
        <v>41</v>
      </c>
      <c r="G702" s="7" t="str">
        <f t="shared" si="31"/>
        <v>Thursday</v>
      </c>
      <c r="H702" s="7" t="str">
        <f t="shared" si="32"/>
        <v>Feb</v>
      </c>
      <c r="I702" s="8">
        <v>43503</v>
      </c>
      <c r="J702" s="8" t="str">
        <f t="shared" si="30"/>
        <v>Afternoon</v>
      </c>
      <c r="K702" s="9">
        <v>0.51597222222222217</v>
      </c>
      <c r="L702" s="7" t="s">
        <v>18</v>
      </c>
      <c r="M702" s="10">
        <v>24.164000000000001</v>
      </c>
      <c r="N702" s="7">
        <v>9.6</v>
      </c>
    </row>
    <row r="703" spans="1:14" x14ac:dyDescent="0.25">
      <c r="A703" s="7" t="s">
        <v>732</v>
      </c>
      <c r="B703" s="7" t="s">
        <v>37</v>
      </c>
      <c r="C703" s="7" t="s">
        <v>38</v>
      </c>
      <c r="D703" s="7" t="s">
        <v>22</v>
      </c>
      <c r="E703" s="7" t="s">
        <v>26</v>
      </c>
      <c r="F703" s="7" t="s">
        <v>39</v>
      </c>
      <c r="G703" s="7" t="str">
        <f t="shared" si="31"/>
        <v>Thursday</v>
      </c>
      <c r="H703" s="7" t="str">
        <f t="shared" si="32"/>
        <v>Mar</v>
      </c>
      <c r="I703" s="8">
        <v>43551</v>
      </c>
      <c r="J703" s="8" t="str">
        <f t="shared" si="30"/>
        <v>Evening</v>
      </c>
      <c r="K703" s="9">
        <v>0.7993055555555556</v>
      </c>
      <c r="L703" s="7" t="s">
        <v>28</v>
      </c>
      <c r="M703" s="10">
        <v>4.8479999999999999</v>
      </c>
      <c r="N703" s="7">
        <v>4.3</v>
      </c>
    </row>
    <row r="704" spans="1:14" x14ac:dyDescent="0.25">
      <c r="A704" s="7" t="s">
        <v>733</v>
      </c>
      <c r="B704" s="7" t="s">
        <v>37</v>
      </c>
      <c r="C704" s="7" t="s">
        <v>38</v>
      </c>
      <c r="D704" s="7" t="s">
        <v>15</v>
      </c>
      <c r="E704" s="7" t="s">
        <v>16</v>
      </c>
      <c r="F704" s="7" t="s">
        <v>41</v>
      </c>
      <c r="G704" s="7" t="str">
        <f t="shared" si="31"/>
        <v>Sunday</v>
      </c>
      <c r="H704" s="7" t="str">
        <f t="shared" si="32"/>
        <v>Feb</v>
      </c>
      <c r="I704" s="8">
        <v>43523</v>
      </c>
      <c r="J704" s="8" t="str">
        <f t="shared" si="30"/>
        <v>Evening</v>
      </c>
      <c r="K704" s="9">
        <v>0.7895833333333333</v>
      </c>
      <c r="L704" s="7" t="s">
        <v>28</v>
      </c>
      <c r="M704" s="10">
        <v>9.8849999999999998</v>
      </c>
      <c r="N704" s="7">
        <v>5</v>
      </c>
    </row>
    <row r="705" spans="1:14" x14ac:dyDescent="0.25">
      <c r="A705" s="7" t="s">
        <v>734</v>
      </c>
      <c r="B705" s="7" t="s">
        <v>37</v>
      </c>
      <c r="C705" s="7" t="s">
        <v>38</v>
      </c>
      <c r="D705" s="7" t="s">
        <v>15</v>
      </c>
      <c r="E705" s="7" t="s">
        <v>26</v>
      </c>
      <c r="F705" s="7" t="s">
        <v>17</v>
      </c>
      <c r="G705" s="7" t="str">
        <f t="shared" si="31"/>
        <v>Sunday</v>
      </c>
      <c r="H705" s="7" t="str">
        <f t="shared" si="32"/>
        <v>Jan</v>
      </c>
      <c r="I705" s="8">
        <v>43471</v>
      </c>
      <c r="J705" s="8" t="str">
        <f t="shared" si="30"/>
        <v>Morning</v>
      </c>
      <c r="K705" s="9">
        <v>0.47083333333333338</v>
      </c>
      <c r="L705" s="7" t="s">
        <v>24</v>
      </c>
      <c r="M705" s="10">
        <v>36.211500000000001</v>
      </c>
      <c r="N705" s="7">
        <v>9.1999999999999993</v>
      </c>
    </row>
    <row r="706" spans="1:14" x14ac:dyDescent="0.25">
      <c r="A706" s="7" t="s">
        <v>735</v>
      </c>
      <c r="B706" s="7" t="s">
        <v>37</v>
      </c>
      <c r="C706" s="7" t="s">
        <v>38</v>
      </c>
      <c r="D706" s="7" t="s">
        <v>15</v>
      </c>
      <c r="E706" s="7" t="s">
        <v>16</v>
      </c>
      <c r="F706" s="7" t="s">
        <v>27</v>
      </c>
      <c r="G706" s="7" t="str">
        <f t="shared" si="31"/>
        <v>Monday</v>
      </c>
      <c r="H706" s="7" t="str">
        <f t="shared" si="32"/>
        <v>Mar</v>
      </c>
      <c r="I706" s="8">
        <v>43526</v>
      </c>
      <c r="J706" s="8" t="str">
        <f t="shared" ref="J706:J769" si="33">IF(AND(K706&gt;=TIME(9,0,0),K706&lt;TIME(12,0,0)),"Morning",IF(AND(K706&gt;=TIME(12,0,0),K706&lt;TIME(16,0,0)),"Afternoon","Evening"))</f>
        <v>Afternoon</v>
      </c>
      <c r="K706" s="9">
        <v>0.52777777777777779</v>
      </c>
      <c r="L706" s="7" t="s">
        <v>24</v>
      </c>
      <c r="M706" s="10">
        <v>39.775500000000001</v>
      </c>
      <c r="N706" s="7">
        <v>6.3</v>
      </c>
    </row>
    <row r="707" spans="1:14" x14ac:dyDescent="0.25">
      <c r="A707" s="7" t="s">
        <v>736</v>
      </c>
      <c r="B707" s="7" t="s">
        <v>37</v>
      </c>
      <c r="C707" s="7" t="s">
        <v>38</v>
      </c>
      <c r="D707" s="7" t="s">
        <v>22</v>
      </c>
      <c r="E707" s="7" t="s">
        <v>26</v>
      </c>
      <c r="F707" s="7" t="s">
        <v>17</v>
      </c>
      <c r="G707" s="7" t="str">
        <f t="shared" ref="G707:G770" si="34">TEXT(I707/7,"dddd")</f>
        <v>Thursday</v>
      </c>
      <c r="H707" s="7" t="str">
        <f t="shared" ref="H707:H770" si="35">TEXT(I707,"mmm")</f>
        <v>Mar</v>
      </c>
      <c r="I707" s="8">
        <v>43553</v>
      </c>
      <c r="J707" s="8" t="str">
        <f t="shared" si="33"/>
        <v>Afternoon</v>
      </c>
      <c r="K707" s="9">
        <v>0.58750000000000002</v>
      </c>
      <c r="L707" s="7" t="s">
        <v>24</v>
      </c>
      <c r="M707" s="10">
        <v>25.119499999999999</v>
      </c>
      <c r="N707" s="7">
        <v>8.9</v>
      </c>
    </row>
    <row r="708" spans="1:14" x14ac:dyDescent="0.25">
      <c r="A708" s="7" t="s">
        <v>737</v>
      </c>
      <c r="B708" s="7" t="s">
        <v>37</v>
      </c>
      <c r="C708" s="7" t="s">
        <v>38</v>
      </c>
      <c r="D708" s="7" t="s">
        <v>22</v>
      </c>
      <c r="E708" s="7" t="s">
        <v>16</v>
      </c>
      <c r="F708" s="7" t="s">
        <v>23</v>
      </c>
      <c r="G708" s="7" t="str">
        <f t="shared" si="34"/>
        <v>Wednesday</v>
      </c>
      <c r="H708" s="7" t="str">
        <f t="shared" si="35"/>
        <v>Jan</v>
      </c>
      <c r="I708" s="8">
        <v>43496</v>
      </c>
      <c r="J708" s="8" t="str">
        <f t="shared" si="33"/>
        <v>Evening</v>
      </c>
      <c r="K708" s="9">
        <v>0.8666666666666667</v>
      </c>
      <c r="L708" s="7" t="s">
        <v>18</v>
      </c>
      <c r="M708" s="10">
        <v>8.6</v>
      </c>
      <c r="N708" s="7">
        <v>7.6</v>
      </c>
    </row>
    <row r="709" spans="1:14" x14ac:dyDescent="0.25">
      <c r="A709" s="7" t="s">
        <v>738</v>
      </c>
      <c r="B709" s="7" t="s">
        <v>20</v>
      </c>
      <c r="C709" s="7" t="s">
        <v>21</v>
      </c>
      <c r="D709" s="7" t="s">
        <v>15</v>
      </c>
      <c r="E709" s="7" t="s">
        <v>26</v>
      </c>
      <c r="F709" s="7" t="s">
        <v>39</v>
      </c>
      <c r="G709" s="7" t="str">
        <f t="shared" si="34"/>
        <v>Tuesday</v>
      </c>
      <c r="H709" s="7" t="str">
        <f t="shared" si="35"/>
        <v>Jan</v>
      </c>
      <c r="I709" s="8">
        <v>43486</v>
      </c>
      <c r="J709" s="8" t="str">
        <f t="shared" si="33"/>
        <v>Evening</v>
      </c>
      <c r="K709" s="9">
        <v>0.84236111111111101</v>
      </c>
      <c r="L709" s="7" t="s">
        <v>24</v>
      </c>
      <c r="M709" s="10">
        <v>3.4489999999999998</v>
      </c>
      <c r="N709" s="7">
        <v>4.8</v>
      </c>
    </row>
    <row r="710" spans="1:14" x14ac:dyDescent="0.25">
      <c r="A710" s="7" t="s">
        <v>739</v>
      </c>
      <c r="B710" s="7" t="s">
        <v>20</v>
      </c>
      <c r="C710" s="7" t="s">
        <v>21</v>
      </c>
      <c r="D710" s="7" t="s">
        <v>22</v>
      </c>
      <c r="E710" s="7" t="s">
        <v>26</v>
      </c>
      <c r="F710" s="7" t="s">
        <v>41</v>
      </c>
      <c r="G710" s="7" t="str">
        <f t="shared" si="34"/>
        <v>Tuesday</v>
      </c>
      <c r="H710" s="7" t="str">
        <f t="shared" si="35"/>
        <v>Jan</v>
      </c>
      <c r="I710" s="8">
        <v>43485</v>
      </c>
      <c r="J710" s="8" t="str">
        <f t="shared" si="33"/>
        <v>Evening</v>
      </c>
      <c r="K710" s="9">
        <v>0.85902777777777783</v>
      </c>
      <c r="L710" s="7" t="s">
        <v>18</v>
      </c>
      <c r="M710" s="10">
        <v>6.2480000000000002</v>
      </c>
      <c r="N710" s="7">
        <v>9.1</v>
      </c>
    </row>
    <row r="711" spans="1:14" x14ac:dyDescent="0.25">
      <c r="A711" s="7" t="s">
        <v>740</v>
      </c>
      <c r="B711" s="7" t="s">
        <v>13</v>
      </c>
      <c r="C711" s="7" t="s">
        <v>14</v>
      </c>
      <c r="D711" s="7" t="s">
        <v>22</v>
      </c>
      <c r="E711" s="7" t="s">
        <v>26</v>
      </c>
      <c r="F711" s="7" t="s">
        <v>31</v>
      </c>
      <c r="G711" s="7" t="str">
        <f t="shared" si="34"/>
        <v>Monday</v>
      </c>
      <c r="H711" s="7" t="str">
        <f t="shared" si="35"/>
        <v>Jan</v>
      </c>
      <c r="I711" s="8">
        <v>43482</v>
      </c>
      <c r="J711" s="8" t="str">
        <f t="shared" si="33"/>
        <v>Evening</v>
      </c>
      <c r="K711" s="9">
        <v>0.74930555555555556</v>
      </c>
      <c r="L711" s="7" t="s">
        <v>18</v>
      </c>
      <c r="M711" s="10">
        <v>3.855</v>
      </c>
      <c r="N711" s="7">
        <v>6.1</v>
      </c>
    </row>
    <row r="712" spans="1:14" x14ac:dyDescent="0.25">
      <c r="A712" s="7" t="s">
        <v>741</v>
      </c>
      <c r="B712" s="7" t="s">
        <v>13</v>
      </c>
      <c r="C712" s="7" t="s">
        <v>14</v>
      </c>
      <c r="D712" s="7" t="s">
        <v>15</v>
      </c>
      <c r="E712" s="7" t="s">
        <v>26</v>
      </c>
      <c r="F712" s="7" t="s">
        <v>39</v>
      </c>
      <c r="G712" s="7" t="str">
        <f t="shared" si="34"/>
        <v>Sunday</v>
      </c>
      <c r="H712" s="7" t="str">
        <f t="shared" si="35"/>
        <v>Feb</v>
      </c>
      <c r="I712" s="8">
        <v>43524</v>
      </c>
      <c r="J712" s="8" t="str">
        <f t="shared" si="33"/>
        <v>Evening</v>
      </c>
      <c r="K712" s="9">
        <v>0.84583333333333333</v>
      </c>
      <c r="L712" s="7" t="s">
        <v>24</v>
      </c>
      <c r="M712" s="10">
        <v>24.186</v>
      </c>
      <c r="N712" s="7">
        <v>9.1</v>
      </c>
    </row>
    <row r="713" spans="1:14" x14ac:dyDescent="0.25">
      <c r="A713" s="7" t="s">
        <v>742</v>
      </c>
      <c r="B713" s="7" t="s">
        <v>20</v>
      </c>
      <c r="C713" s="7" t="s">
        <v>21</v>
      </c>
      <c r="D713" s="7" t="s">
        <v>15</v>
      </c>
      <c r="E713" s="7" t="s">
        <v>16</v>
      </c>
      <c r="F713" s="7" t="s">
        <v>27</v>
      </c>
      <c r="G713" s="7" t="str">
        <f t="shared" si="34"/>
        <v>Wednesday</v>
      </c>
      <c r="H713" s="7" t="str">
        <f t="shared" si="35"/>
        <v>Mar</v>
      </c>
      <c r="I713" s="8">
        <v>43543</v>
      </c>
      <c r="J713" s="8" t="str">
        <f t="shared" si="33"/>
        <v>Afternoon</v>
      </c>
      <c r="K713" s="9">
        <v>0.66111111111111109</v>
      </c>
      <c r="L713" s="7" t="s">
        <v>18</v>
      </c>
      <c r="M713" s="10">
        <v>15.106</v>
      </c>
      <c r="N713" s="7">
        <v>8.3000000000000007</v>
      </c>
    </row>
    <row r="714" spans="1:14" x14ac:dyDescent="0.25">
      <c r="A714" s="7" t="s">
        <v>743</v>
      </c>
      <c r="B714" s="7" t="s">
        <v>20</v>
      </c>
      <c r="C714" s="7" t="s">
        <v>21</v>
      </c>
      <c r="D714" s="7" t="s">
        <v>22</v>
      </c>
      <c r="E714" s="7" t="s">
        <v>16</v>
      </c>
      <c r="F714" s="7" t="s">
        <v>23</v>
      </c>
      <c r="G714" s="7" t="str">
        <f t="shared" si="34"/>
        <v>Saturday</v>
      </c>
      <c r="H714" s="7" t="str">
        <f t="shared" si="35"/>
        <v>Feb</v>
      </c>
      <c r="I714" s="8">
        <v>43515</v>
      </c>
      <c r="J714" s="8" t="str">
        <f t="shared" si="33"/>
        <v>Afternoon</v>
      </c>
      <c r="K714" s="9">
        <v>0.63472222222222219</v>
      </c>
      <c r="L714" s="7" t="s">
        <v>18</v>
      </c>
      <c r="M714" s="10">
        <v>34.933500000000002</v>
      </c>
      <c r="N714" s="7">
        <v>7.2</v>
      </c>
    </row>
    <row r="715" spans="1:14" x14ac:dyDescent="0.25">
      <c r="A715" s="7" t="s">
        <v>744</v>
      </c>
      <c r="B715" s="7" t="s">
        <v>20</v>
      </c>
      <c r="C715" s="7" t="s">
        <v>21</v>
      </c>
      <c r="D715" s="7" t="s">
        <v>22</v>
      </c>
      <c r="E715" s="7" t="s">
        <v>16</v>
      </c>
      <c r="F715" s="7" t="s">
        <v>17</v>
      </c>
      <c r="G715" s="7" t="str">
        <f t="shared" si="34"/>
        <v>Thursday</v>
      </c>
      <c r="H715" s="7" t="str">
        <f t="shared" si="35"/>
        <v>Feb</v>
      </c>
      <c r="I715" s="8">
        <v>43500</v>
      </c>
      <c r="J715" s="8" t="str">
        <f t="shared" si="33"/>
        <v>Afternoon</v>
      </c>
      <c r="K715" s="9">
        <v>0.53472222222222221</v>
      </c>
      <c r="L715" s="7" t="s">
        <v>18</v>
      </c>
      <c r="M715" s="10">
        <v>6.2324999999999999</v>
      </c>
      <c r="N715" s="7">
        <v>6</v>
      </c>
    </row>
    <row r="716" spans="1:14" x14ac:dyDescent="0.25">
      <c r="A716" s="7" t="s">
        <v>745</v>
      </c>
      <c r="B716" s="7" t="s">
        <v>20</v>
      </c>
      <c r="C716" s="7" t="s">
        <v>21</v>
      </c>
      <c r="D716" s="7" t="s">
        <v>15</v>
      </c>
      <c r="E716" s="7" t="s">
        <v>26</v>
      </c>
      <c r="F716" s="7" t="s">
        <v>41</v>
      </c>
      <c r="G716" s="7" t="str">
        <f t="shared" si="34"/>
        <v>Wednesday</v>
      </c>
      <c r="H716" s="7" t="str">
        <f t="shared" si="35"/>
        <v>Jan</v>
      </c>
      <c r="I716" s="8">
        <v>43496</v>
      </c>
      <c r="J716" s="8" t="str">
        <f t="shared" si="33"/>
        <v>Morning</v>
      </c>
      <c r="K716" s="9">
        <v>0.44166666666666665</v>
      </c>
      <c r="L716" s="7" t="s">
        <v>18</v>
      </c>
      <c r="M716" s="10">
        <v>39.479999999999997</v>
      </c>
      <c r="N716" s="7">
        <v>8.5</v>
      </c>
    </row>
    <row r="717" spans="1:14" x14ac:dyDescent="0.25">
      <c r="A717" s="7" t="s">
        <v>746</v>
      </c>
      <c r="B717" s="7" t="s">
        <v>13</v>
      </c>
      <c r="C717" s="7" t="s">
        <v>14</v>
      </c>
      <c r="D717" s="7" t="s">
        <v>22</v>
      </c>
      <c r="E717" s="7" t="s">
        <v>16</v>
      </c>
      <c r="F717" s="7" t="s">
        <v>17</v>
      </c>
      <c r="G717" s="7" t="str">
        <f t="shared" si="34"/>
        <v>Thursday</v>
      </c>
      <c r="H717" s="7" t="str">
        <f t="shared" si="35"/>
        <v>Feb</v>
      </c>
      <c r="I717" s="8">
        <v>43502</v>
      </c>
      <c r="J717" s="8" t="str">
        <f t="shared" si="33"/>
        <v>Evening</v>
      </c>
      <c r="K717" s="9">
        <v>0.7729166666666667</v>
      </c>
      <c r="L717" s="7" t="s">
        <v>28</v>
      </c>
      <c r="M717" s="10">
        <v>8.92</v>
      </c>
      <c r="N717" s="7">
        <v>6.6</v>
      </c>
    </row>
    <row r="718" spans="1:14" x14ac:dyDescent="0.25">
      <c r="A718" s="7" t="s">
        <v>747</v>
      </c>
      <c r="B718" s="7" t="s">
        <v>13</v>
      </c>
      <c r="C718" s="7" t="s">
        <v>14</v>
      </c>
      <c r="D718" s="7" t="s">
        <v>15</v>
      </c>
      <c r="E718" s="7" t="s">
        <v>16</v>
      </c>
      <c r="F718" s="7" t="s">
        <v>41</v>
      </c>
      <c r="G718" s="7" t="str">
        <f t="shared" si="34"/>
        <v>Thursday</v>
      </c>
      <c r="H718" s="7" t="str">
        <f t="shared" si="35"/>
        <v>Mar</v>
      </c>
      <c r="I718" s="8">
        <v>43552</v>
      </c>
      <c r="J718" s="8" t="str">
        <f t="shared" si="33"/>
        <v>Evening</v>
      </c>
      <c r="K718" s="9">
        <v>0.67083333333333339</v>
      </c>
      <c r="L718" s="7" t="s">
        <v>18</v>
      </c>
      <c r="M718" s="10">
        <v>25.010999999999999</v>
      </c>
      <c r="N718" s="7">
        <v>4.5</v>
      </c>
    </row>
    <row r="719" spans="1:14" x14ac:dyDescent="0.25">
      <c r="A719" s="7" t="s">
        <v>748</v>
      </c>
      <c r="B719" s="7" t="s">
        <v>13</v>
      </c>
      <c r="C719" s="7" t="s">
        <v>14</v>
      </c>
      <c r="D719" s="7" t="s">
        <v>15</v>
      </c>
      <c r="E719" s="7" t="s">
        <v>26</v>
      </c>
      <c r="F719" s="7" t="s">
        <v>23</v>
      </c>
      <c r="G719" s="7" t="str">
        <f t="shared" si="34"/>
        <v>Tuesday</v>
      </c>
      <c r="H719" s="7" t="str">
        <f t="shared" si="35"/>
        <v>Jan</v>
      </c>
      <c r="I719" s="8">
        <v>43484</v>
      </c>
      <c r="J719" s="8" t="str">
        <f t="shared" si="33"/>
        <v>Afternoon</v>
      </c>
      <c r="K719" s="9">
        <v>0.53263888888888888</v>
      </c>
      <c r="L719" s="7" t="s">
        <v>28</v>
      </c>
      <c r="M719" s="10">
        <v>1.7909999999999999</v>
      </c>
      <c r="N719" s="7">
        <v>8.1</v>
      </c>
    </row>
    <row r="720" spans="1:14" x14ac:dyDescent="0.25">
      <c r="A720" s="7" t="s">
        <v>749</v>
      </c>
      <c r="B720" s="7" t="s">
        <v>13</v>
      </c>
      <c r="C720" s="7" t="s">
        <v>14</v>
      </c>
      <c r="D720" s="7" t="s">
        <v>22</v>
      </c>
      <c r="E720" s="7" t="s">
        <v>26</v>
      </c>
      <c r="F720" s="7" t="s">
        <v>41</v>
      </c>
      <c r="G720" s="7" t="str">
        <f t="shared" si="34"/>
        <v>Saturday</v>
      </c>
      <c r="H720" s="7" t="str">
        <f t="shared" si="35"/>
        <v>Feb</v>
      </c>
      <c r="I720" s="8">
        <v>43513</v>
      </c>
      <c r="J720" s="8" t="str">
        <f t="shared" si="33"/>
        <v>Afternoon</v>
      </c>
      <c r="K720" s="9">
        <v>0.56527777777777777</v>
      </c>
      <c r="L720" s="7" t="s">
        <v>28</v>
      </c>
      <c r="M720" s="10">
        <v>6.8070000000000004</v>
      </c>
      <c r="N720" s="7">
        <v>7.2</v>
      </c>
    </row>
    <row r="721" spans="1:14" x14ac:dyDescent="0.25">
      <c r="A721" s="7" t="s">
        <v>750</v>
      </c>
      <c r="B721" s="7" t="s">
        <v>37</v>
      </c>
      <c r="C721" s="7" t="s">
        <v>38</v>
      </c>
      <c r="D721" s="7" t="s">
        <v>15</v>
      </c>
      <c r="E721" s="7" t="s">
        <v>16</v>
      </c>
      <c r="F721" s="7" t="s">
        <v>41</v>
      </c>
      <c r="G721" s="7" t="str">
        <f t="shared" si="34"/>
        <v>Monday</v>
      </c>
      <c r="H721" s="7" t="str">
        <f t="shared" si="35"/>
        <v>Jan</v>
      </c>
      <c r="I721" s="8">
        <v>43483</v>
      </c>
      <c r="J721" s="8" t="str">
        <f t="shared" si="33"/>
        <v>Afternoon</v>
      </c>
      <c r="K721" s="9">
        <v>0.62777777777777777</v>
      </c>
      <c r="L721" s="7" t="s">
        <v>28</v>
      </c>
      <c r="M721" s="10">
        <v>5.2439999999999998</v>
      </c>
      <c r="N721" s="7">
        <v>6.1</v>
      </c>
    </row>
    <row r="722" spans="1:14" x14ac:dyDescent="0.25">
      <c r="A722" s="7" t="s">
        <v>751</v>
      </c>
      <c r="B722" s="7" t="s">
        <v>37</v>
      </c>
      <c r="C722" s="7" t="s">
        <v>38</v>
      </c>
      <c r="D722" s="7" t="s">
        <v>22</v>
      </c>
      <c r="E722" s="7" t="s">
        <v>16</v>
      </c>
      <c r="F722" s="7" t="s">
        <v>41</v>
      </c>
      <c r="G722" s="7" t="str">
        <f t="shared" si="34"/>
        <v>Thursday</v>
      </c>
      <c r="H722" s="7" t="str">
        <f t="shared" si="35"/>
        <v>Feb</v>
      </c>
      <c r="I722" s="8">
        <v>43498</v>
      </c>
      <c r="J722" s="8" t="str">
        <f t="shared" si="33"/>
        <v>Evening</v>
      </c>
      <c r="K722" s="9">
        <v>0.86249999999999993</v>
      </c>
      <c r="L722" s="7" t="s">
        <v>24</v>
      </c>
      <c r="M722" s="10">
        <v>8.9459999999999997</v>
      </c>
      <c r="N722" s="7">
        <v>7.1</v>
      </c>
    </row>
    <row r="723" spans="1:14" x14ac:dyDescent="0.25">
      <c r="A723" s="7" t="s">
        <v>752</v>
      </c>
      <c r="B723" s="7" t="s">
        <v>20</v>
      </c>
      <c r="C723" s="7" t="s">
        <v>21</v>
      </c>
      <c r="D723" s="7" t="s">
        <v>15</v>
      </c>
      <c r="E723" s="7" t="s">
        <v>16</v>
      </c>
      <c r="F723" s="7" t="s">
        <v>31</v>
      </c>
      <c r="G723" s="7" t="str">
        <f t="shared" si="34"/>
        <v>Monday</v>
      </c>
      <c r="H723" s="7" t="str">
        <f t="shared" si="35"/>
        <v>Jan</v>
      </c>
      <c r="I723" s="8">
        <v>43483</v>
      </c>
      <c r="J723" s="8" t="str">
        <f t="shared" si="33"/>
        <v>Afternoon</v>
      </c>
      <c r="K723" s="9">
        <v>0.64444444444444449</v>
      </c>
      <c r="L723" s="7" t="s">
        <v>24</v>
      </c>
      <c r="M723" s="10">
        <v>40.783499999999997</v>
      </c>
      <c r="N723" s="7">
        <v>5.0999999999999996</v>
      </c>
    </row>
    <row r="724" spans="1:14" x14ac:dyDescent="0.25">
      <c r="A724" s="7" t="s">
        <v>753</v>
      </c>
      <c r="B724" s="7" t="s">
        <v>37</v>
      </c>
      <c r="C724" s="7" t="s">
        <v>38</v>
      </c>
      <c r="D724" s="7" t="s">
        <v>22</v>
      </c>
      <c r="E724" s="7" t="s">
        <v>26</v>
      </c>
      <c r="F724" s="7" t="s">
        <v>27</v>
      </c>
      <c r="G724" s="7" t="str">
        <f t="shared" si="34"/>
        <v>Wednesday</v>
      </c>
      <c r="H724" s="7" t="str">
        <f t="shared" si="35"/>
        <v>Mar</v>
      </c>
      <c r="I724" s="8">
        <v>43542</v>
      </c>
      <c r="J724" s="8" t="str">
        <f t="shared" si="33"/>
        <v>Afternoon</v>
      </c>
      <c r="K724" s="9">
        <v>0.57291666666666663</v>
      </c>
      <c r="L724" s="7" t="s">
        <v>28</v>
      </c>
      <c r="M724" s="10">
        <v>6.6180000000000003</v>
      </c>
      <c r="N724" s="7">
        <v>7.9</v>
      </c>
    </row>
    <row r="725" spans="1:14" x14ac:dyDescent="0.25">
      <c r="A725" s="7" t="s">
        <v>754</v>
      </c>
      <c r="B725" s="7" t="s">
        <v>20</v>
      </c>
      <c r="C725" s="7" t="s">
        <v>21</v>
      </c>
      <c r="D725" s="7" t="s">
        <v>15</v>
      </c>
      <c r="E725" s="7" t="s">
        <v>16</v>
      </c>
      <c r="F725" s="7" t="s">
        <v>39</v>
      </c>
      <c r="G725" s="7" t="str">
        <f t="shared" si="34"/>
        <v>Sunday</v>
      </c>
      <c r="H725" s="7" t="str">
        <f t="shared" si="35"/>
        <v>Jan</v>
      </c>
      <c r="I725" s="8">
        <v>43476</v>
      </c>
      <c r="J725" s="8" t="str">
        <f t="shared" si="33"/>
        <v>Evening</v>
      </c>
      <c r="K725" s="9">
        <v>0.84027777777777779</v>
      </c>
      <c r="L725" s="7" t="s">
        <v>24</v>
      </c>
      <c r="M725" s="10">
        <v>12.8695</v>
      </c>
      <c r="N725" s="7">
        <v>7.4</v>
      </c>
    </row>
    <row r="726" spans="1:14" x14ac:dyDescent="0.25">
      <c r="A726" s="7" t="s">
        <v>755</v>
      </c>
      <c r="B726" s="7" t="s">
        <v>37</v>
      </c>
      <c r="C726" s="7" t="s">
        <v>38</v>
      </c>
      <c r="D726" s="7" t="s">
        <v>15</v>
      </c>
      <c r="E726" s="7" t="s">
        <v>26</v>
      </c>
      <c r="F726" s="7" t="s">
        <v>39</v>
      </c>
      <c r="G726" s="7" t="str">
        <f t="shared" si="34"/>
        <v>Thursday</v>
      </c>
      <c r="H726" s="7" t="str">
        <f t="shared" si="35"/>
        <v>Feb</v>
      </c>
      <c r="I726" s="8">
        <v>43500</v>
      </c>
      <c r="J726" s="8" t="str">
        <f t="shared" si="33"/>
        <v>Evening</v>
      </c>
      <c r="K726" s="9">
        <v>0.78680555555555554</v>
      </c>
      <c r="L726" s="7" t="s">
        <v>18</v>
      </c>
      <c r="M726" s="10">
        <v>4.6680000000000001</v>
      </c>
      <c r="N726" s="7">
        <v>7.4</v>
      </c>
    </row>
    <row r="727" spans="1:14" x14ac:dyDescent="0.25">
      <c r="A727" s="7" t="s">
        <v>756</v>
      </c>
      <c r="B727" s="7" t="s">
        <v>20</v>
      </c>
      <c r="C727" s="7" t="s">
        <v>21</v>
      </c>
      <c r="D727" s="7" t="s">
        <v>15</v>
      </c>
      <c r="E727" s="7" t="s">
        <v>16</v>
      </c>
      <c r="F727" s="7" t="s">
        <v>17</v>
      </c>
      <c r="G727" s="7" t="str">
        <f t="shared" si="34"/>
        <v>Thursday</v>
      </c>
      <c r="H727" s="7" t="str">
        <f t="shared" si="35"/>
        <v>Feb</v>
      </c>
      <c r="I727" s="8">
        <v>43502</v>
      </c>
      <c r="J727" s="8" t="str">
        <f t="shared" si="33"/>
        <v>Afternoon</v>
      </c>
      <c r="K727" s="9">
        <v>0.6</v>
      </c>
      <c r="L727" s="7" t="s">
        <v>24</v>
      </c>
      <c r="M727" s="10">
        <v>11.4</v>
      </c>
      <c r="N727" s="7">
        <v>6.6</v>
      </c>
    </row>
    <row r="728" spans="1:14" x14ac:dyDescent="0.25">
      <c r="A728" s="7" t="s">
        <v>757</v>
      </c>
      <c r="B728" s="7" t="s">
        <v>20</v>
      </c>
      <c r="C728" s="7" t="s">
        <v>21</v>
      </c>
      <c r="D728" s="7" t="s">
        <v>15</v>
      </c>
      <c r="E728" s="7" t="s">
        <v>26</v>
      </c>
      <c r="F728" s="7" t="s">
        <v>27</v>
      </c>
      <c r="G728" s="7" t="str">
        <f t="shared" si="34"/>
        <v>Sunday</v>
      </c>
      <c r="H728" s="7" t="str">
        <f t="shared" si="35"/>
        <v>Jan</v>
      </c>
      <c r="I728" s="8">
        <v>43473</v>
      </c>
      <c r="J728" s="8" t="str">
        <f t="shared" si="33"/>
        <v>Morning</v>
      </c>
      <c r="K728" s="9">
        <v>0.48749999999999999</v>
      </c>
      <c r="L728" s="7" t="s">
        <v>28</v>
      </c>
      <c r="M728" s="10">
        <v>8.3354999999999997</v>
      </c>
      <c r="N728" s="7">
        <v>5.9</v>
      </c>
    </row>
    <row r="729" spans="1:14" x14ac:dyDescent="0.25">
      <c r="A729" s="7" t="s">
        <v>758</v>
      </c>
      <c r="B729" s="7" t="s">
        <v>37</v>
      </c>
      <c r="C729" s="7" t="s">
        <v>38</v>
      </c>
      <c r="D729" s="7" t="s">
        <v>22</v>
      </c>
      <c r="E729" s="7" t="s">
        <v>26</v>
      </c>
      <c r="F729" s="7" t="s">
        <v>31</v>
      </c>
      <c r="G729" s="7" t="str">
        <f t="shared" si="34"/>
        <v>Monday</v>
      </c>
      <c r="H729" s="7" t="str">
        <f t="shared" si="35"/>
        <v>Mar</v>
      </c>
      <c r="I729" s="8">
        <v>43529</v>
      </c>
      <c r="J729" s="8" t="str">
        <f t="shared" si="33"/>
        <v>Evening</v>
      </c>
      <c r="K729" s="9">
        <v>0.74236111111111114</v>
      </c>
      <c r="L729" s="7" t="s">
        <v>28</v>
      </c>
      <c r="M729" s="10">
        <v>34.869999999999997</v>
      </c>
      <c r="N729" s="7">
        <v>8.9</v>
      </c>
    </row>
    <row r="730" spans="1:14" x14ac:dyDescent="0.25">
      <c r="A730" s="7" t="s">
        <v>759</v>
      </c>
      <c r="B730" s="7" t="s">
        <v>20</v>
      </c>
      <c r="C730" s="7" t="s">
        <v>21</v>
      </c>
      <c r="D730" s="7" t="s">
        <v>22</v>
      </c>
      <c r="E730" s="7" t="s">
        <v>26</v>
      </c>
      <c r="F730" s="7" t="s">
        <v>41</v>
      </c>
      <c r="G730" s="7" t="str">
        <f t="shared" si="34"/>
        <v>Wednesday</v>
      </c>
      <c r="H730" s="7" t="str">
        <f t="shared" si="35"/>
        <v>Mar</v>
      </c>
      <c r="I730" s="8">
        <v>43540</v>
      </c>
      <c r="J730" s="8" t="str">
        <f t="shared" si="33"/>
        <v>Afternoon</v>
      </c>
      <c r="K730" s="9">
        <v>0.6479166666666667</v>
      </c>
      <c r="L730" s="7" t="s">
        <v>18</v>
      </c>
      <c r="M730" s="10">
        <v>19.452000000000002</v>
      </c>
      <c r="N730" s="7">
        <v>6.8</v>
      </c>
    </row>
    <row r="731" spans="1:14" x14ac:dyDescent="0.25">
      <c r="A731" s="7" t="s">
        <v>760</v>
      </c>
      <c r="B731" s="7" t="s">
        <v>37</v>
      </c>
      <c r="C731" s="7" t="s">
        <v>38</v>
      </c>
      <c r="D731" s="7" t="s">
        <v>15</v>
      </c>
      <c r="E731" s="7" t="s">
        <v>16</v>
      </c>
      <c r="F731" s="7" t="s">
        <v>27</v>
      </c>
      <c r="G731" s="7" t="str">
        <f t="shared" si="34"/>
        <v>Tuesday</v>
      </c>
      <c r="H731" s="7" t="str">
        <f t="shared" si="35"/>
        <v>Mar</v>
      </c>
      <c r="I731" s="8">
        <v>43533</v>
      </c>
      <c r="J731" s="8" t="str">
        <f t="shared" si="33"/>
        <v>Morning</v>
      </c>
      <c r="K731" s="9">
        <v>0.45416666666666666</v>
      </c>
      <c r="L731" s="7" t="s">
        <v>24</v>
      </c>
      <c r="M731" s="10">
        <v>18.263000000000002</v>
      </c>
      <c r="N731" s="7">
        <v>9.3000000000000007</v>
      </c>
    </row>
    <row r="732" spans="1:14" x14ac:dyDescent="0.25">
      <c r="A732" s="7" t="s">
        <v>761</v>
      </c>
      <c r="B732" s="7" t="s">
        <v>13</v>
      </c>
      <c r="C732" s="7" t="s">
        <v>14</v>
      </c>
      <c r="D732" s="7" t="s">
        <v>15</v>
      </c>
      <c r="E732" s="7" t="s">
        <v>16</v>
      </c>
      <c r="F732" s="7" t="s">
        <v>41</v>
      </c>
      <c r="G732" s="7" t="str">
        <f t="shared" si="34"/>
        <v>Sunday</v>
      </c>
      <c r="H732" s="7" t="str">
        <f t="shared" si="35"/>
        <v>Mar</v>
      </c>
      <c r="I732" s="8">
        <v>43525</v>
      </c>
      <c r="J732" s="8" t="str">
        <f t="shared" si="33"/>
        <v>Evening</v>
      </c>
      <c r="K732" s="9">
        <v>0.68263888888888891</v>
      </c>
      <c r="L732" s="7" t="s">
        <v>28</v>
      </c>
      <c r="M732" s="10">
        <v>4.4640000000000004</v>
      </c>
      <c r="N732" s="7">
        <v>4.4000000000000004</v>
      </c>
    </row>
    <row r="733" spans="1:14" x14ac:dyDescent="0.25">
      <c r="A733" s="7" t="s">
        <v>762</v>
      </c>
      <c r="B733" s="7" t="s">
        <v>13</v>
      </c>
      <c r="C733" s="7" t="s">
        <v>14</v>
      </c>
      <c r="D733" s="7" t="s">
        <v>22</v>
      </c>
      <c r="E733" s="7" t="s">
        <v>26</v>
      </c>
      <c r="F733" s="7" t="s">
        <v>17</v>
      </c>
      <c r="G733" s="7" t="str">
        <f t="shared" si="34"/>
        <v>Sunday</v>
      </c>
      <c r="H733" s="7" t="str">
        <f t="shared" si="35"/>
        <v>Feb</v>
      </c>
      <c r="I733" s="8">
        <v>43524</v>
      </c>
      <c r="J733" s="8" t="str">
        <f t="shared" si="33"/>
        <v>Evening</v>
      </c>
      <c r="K733" s="9">
        <v>0.81458333333333333</v>
      </c>
      <c r="L733" s="7" t="s">
        <v>18</v>
      </c>
      <c r="M733" s="10">
        <v>8.4</v>
      </c>
      <c r="N733" s="7">
        <v>4.8</v>
      </c>
    </row>
    <row r="734" spans="1:14" x14ac:dyDescent="0.25">
      <c r="A734" s="7" t="s">
        <v>763</v>
      </c>
      <c r="B734" s="7" t="s">
        <v>13</v>
      </c>
      <c r="C734" s="7" t="s">
        <v>14</v>
      </c>
      <c r="D734" s="7" t="s">
        <v>15</v>
      </c>
      <c r="E734" s="7" t="s">
        <v>26</v>
      </c>
      <c r="F734" s="7" t="s">
        <v>41</v>
      </c>
      <c r="G734" s="7" t="str">
        <f t="shared" si="34"/>
        <v>Thursday</v>
      </c>
      <c r="H734" s="7" t="str">
        <f t="shared" si="35"/>
        <v>Feb</v>
      </c>
      <c r="I734" s="8">
        <v>43504</v>
      </c>
      <c r="J734" s="8" t="str">
        <f t="shared" si="33"/>
        <v>Morning</v>
      </c>
      <c r="K734" s="9">
        <v>0.48541666666666666</v>
      </c>
      <c r="L734" s="7" t="s">
        <v>18</v>
      </c>
      <c r="M734" s="10">
        <v>0.98499999999999999</v>
      </c>
      <c r="N734" s="7">
        <v>9.5</v>
      </c>
    </row>
    <row r="735" spans="1:14" x14ac:dyDescent="0.25">
      <c r="A735" s="7" t="s">
        <v>764</v>
      </c>
      <c r="B735" s="7" t="s">
        <v>37</v>
      </c>
      <c r="C735" s="7" t="s">
        <v>38</v>
      </c>
      <c r="D735" s="7" t="s">
        <v>22</v>
      </c>
      <c r="E735" s="7" t="s">
        <v>26</v>
      </c>
      <c r="F735" s="7" t="s">
        <v>23</v>
      </c>
      <c r="G735" s="7" t="str">
        <f t="shared" si="34"/>
        <v>Tuesday</v>
      </c>
      <c r="H735" s="7" t="str">
        <f t="shared" si="35"/>
        <v>Jan</v>
      </c>
      <c r="I735" s="8">
        <v>43489</v>
      </c>
      <c r="J735" s="8" t="str">
        <f t="shared" si="33"/>
        <v>Morning</v>
      </c>
      <c r="K735" s="9">
        <v>0.44305555555555554</v>
      </c>
      <c r="L735" s="7" t="s">
        <v>18</v>
      </c>
      <c r="M735" s="10">
        <v>26.558</v>
      </c>
      <c r="N735" s="7">
        <v>8.9</v>
      </c>
    </row>
    <row r="736" spans="1:14" x14ac:dyDescent="0.25">
      <c r="A736" s="7" t="s">
        <v>765</v>
      </c>
      <c r="B736" s="7" t="s">
        <v>37</v>
      </c>
      <c r="C736" s="7" t="s">
        <v>38</v>
      </c>
      <c r="D736" s="7" t="s">
        <v>15</v>
      </c>
      <c r="E736" s="7" t="s">
        <v>26</v>
      </c>
      <c r="F736" s="7" t="s">
        <v>39</v>
      </c>
      <c r="G736" s="7" t="str">
        <f t="shared" si="34"/>
        <v>Sunday</v>
      </c>
      <c r="H736" s="7" t="str">
        <f t="shared" si="35"/>
        <v>Mar</v>
      </c>
      <c r="I736" s="8">
        <v>43525</v>
      </c>
      <c r="J736" s="8" t="str">
        <f t="shared" si="33"/>
        <v>Evening</v>
      </c>
      <c r="K736" s="9">
        <v>0.8354166666666667</v>
      </c>
      <c r="L736" s="7" t="s">
        <v>18</v>
      </c>
      <c r="M736" s="10">
        <v>2.6859999999999999</v>
      </c>
      <c r="N736" s="7">
        <v>6.4</v>
      </c>
    </row>
    <row r="737" spans="1:14" x14ac:dyDescent="0.25">
      <c r="A737" s="7" t="s">
        <v>766</v>
      </c>
      <c r="B737" s="7" t="s">
        <v>20</v>
      </c>
      <c r="C737" s="7" t="s">
        <v>21</v>
      </c>
      <c r="D737" s="7" t="s">
        <v>15</v>
      </c>
      <c r="E737" s="7" t="s">
        <v>26</v>
      </c>
      <c r="F737" s="7" t="s">
        <v>17</v>
      </c>
      <c r="G737" s="7" t="str">
        <f t="shared" si="34"/>
        <v>Tuesday</v>
      </c>
      <c r="H737" s="7" t="str">
        <f t="shared" si="35"/>
        <v>Mar</v>
      </c>
      <c r="I737" s="8">
        <v>43534</v>
      </c>
      <c r="J737" s="8" t="str">
        <f t="shared" si="33"/>
        <v>Afternoon</v>
      </c>
      <c r="K737" s="9">
        <v>0.52708333333333335</v>
      </c>
      <c r="L737" s="7" t="s">
        <v>28</v>
      </c>
      <c r="M737" s="10">
        <v>40.975000000000001</v>
      </c>
      <c r="N737" s="7">
        <v>6</v>
      </c>
    </row>
    <row r="738" spans="1:14" x14ac:dyDescent="0.25">
      <c r="A738" s="7" t="s">
        <v>767</v>
      </c>
      <c r="B738" s="7" t="s">
        <v>20</v>
      </c>
      <c r="C738" s="7" t="s">
        <v>21</v>
      </c>
      <c r="D738" s="7" t="s">
        <v>15</v>
      </c>
      <c r="E738" s="7" t="s">
        <v>16</v>
      </c>
      <c r="F738" s="7" t="s">
        <v>27</v>
      </c>
      <c r="G738" s="7" t="str">
        <f t="shared" si="34"/>
        <v>Thursday</v>
      </c>
      <c r="H738" s="7" t="str">
        <f t="shared" si="35"/>
        <v>Mar</v>
      </c>
      <c r="I738" s="8">
        <v>43547</v>
      </c>
      <c r="J738" s="8" t="str">
        <f t="shared" si="33"/>
        <v>Afternoon</v>
      </c>
      <c r="K738" s="9">
        <v>0.66597222222222219</v>
      </c>
      <c r="L738" s="7" t="s">
        <v>28</v>
      </c>
      <c r="M738" s="10">
        <v>28.42</v>
      </c>
      <c r="N738" s="7">
        <v>8.1</v>
      </c>
    </row>
    <row r="739" spans="1:14" x14ac:dyDescent="0.25">
      <c r="A739" s="7" t="s">
        <v>768</v>
      </c>
      <c r="B739" s="7" t="s">
        <v>20</v>
      </c>
      <c r="C739" s="7" t="s">
        <v>21</v>
      </c>
      <c r="D739" s="7" t="s">
        <v>22</v>
      </c>
      <c r="E739" s="7" t="s">
        <v>26</v>
      </c>
      <c r="F739" s="7" t="s">
        <v>23</v>
      </c>
      <c r="G739" s="7" t="str">
        <f t="shared" si="34"/>
        <v>Wednesday</v>
      </c>
      <c r="H739" s="7" t="str">
        <f t="shared" si="35"/>
        <v>Jan</v>
      </c>
      <c r="I739" s="8">
        <v>43494</v>
      </c>
      <c r="J739" s="8" t="str">
        <f t="shared" si="33"/>
        <v>Afternoon</v>
      </c>
      <c r="K739" s="9">
        <v>0.60138888888888886</v>
      </c>
      <c r="L739" s="7" t="s">
        <v>18</v>
      </c>
      <c r="M739" s="10">
        <v>29.38</v>
      </c>
      <c r="N739" s="7">
        <v>9</v>
      </c>
    </row>
    <row r="740" spans="1:14" x14ac:dyDescent="0.25">
      <c r="A740" s="7" t="s">
        <v>769</v>
      </c>
      <c r="B740" s="7" t="s">
        <v>37</v>
      </c>
      <c r="C740" s="7" t="s">
        <v>38</v>
      </c>
      <c r="D740" s="7" t="s">
        <v>15</v>
      </c>
      <c r="E740" s="7" t="s">
        <v>26</v>
      </c>
      <c r="F740" s="7" t="s">
        <v>23</v>
      </c>
      <c r="G740" s="7" t="str">
        <f t="shared" si="34"/>
        <v>Monday</v>
      </c>
      <c r="H740" s="7" t="str">
        <f t="shared" si="35"/>
        <v>Jan</v>
      </c>
      <c r="I740" s="8">
        <v>43477</v>
      </c>
      <c r="J740" s="8" t="str">
        <f t="shared" si="33"/>
        <v>Evening</v>
      </c>
      <c r="K740" s="9">
        <v>0.76527777777777783</v>
      </c>
      <c r="L740" s="7" t="s">
        <v>18</v>
      </c>
      <c r="M740" s="10">
        <v>36.624000000000002</v>
      </c>
      <c r="N740" s="7">
        <v>6</v>
      </c>
    </row>
    <row r="741" spans="1:14" x14ac:dyDescent="0.25">
      <c r="A741" s="7" t="s">
        <v>770</v>
      </c>
      <c r="B741" s="7" t="s">
        <v>13</v>
      </c>
      <c r="C741" s="7" t="s">
        <v>14</v>
      </c>
      <c r="D741" s="7" t="s">
        <v>22</v>
      </c>
      <c r="E741" s="7" t="s">
        <v>26</v>
      </c>
      <c r="F741" s="7" t="s">
        <v>27</v>
      </c>
      <c r="G741" s="7" t="str">
        <f t="shared" si="34"/>
        <v>Wednesday</v>
      </c>
      <c r="H741" s="7" t="str">
        <f t="shared" si="35"/>
        <v>Mar</v>
      </c>
      <c r="I741" s="8">
        <v>43544</v>
      </c>
      <c r="J741" s="8" t="str">
        <f t="shared" si="33"/>
        <v>Morning</v>
      </c>
      <c r="K741" s="9">
        <v>0.48055555555555557</v>
      </c>
      <c r="L741" s="7" t="s">
        <v>24</v>
      </c>
      <c r="M741" s="10">
        <v>42.281999999999996</v>
      </c>
      <c r="N741" s="7">
        <v>9.8000000000000007</v>
      </c>
    </row>
    <row r="742" spans="1:14" x14ac:dyDescent="0.25">
      <c r="A742" s="7" t="s">
        <v>771</v>
      </c>
      <c r="B742" s="7" t="s">
        <v>20</v>
      </c>
      <c r="C742" s="7" t="s">
        <v>21</v>
      </c>
      <c r="D742" s="7" t="s">
        <v>22</v>
      </c>
      <c r="E742" s="7" t="s">
        <v>26</v>
      </c>
      <c r="F742" s="7" t="s">
        <v>27</v>
      </c>
      <c r="G742" s="7" t="str">
        <f t="shared" si="34"/>
        <v>Thursday</v>
      </c>
      <c r="H742" s="7" t="str">
        <f t="shared" si="35"/>
        <v>Mar</v>
      </c>
      <c r="I742" s="8">
        <v>43547</v>
      </c>
      <c r="J742" s="8" t="str">
        <f t="shared" si="33"/>
        <v>Afternoon</v>
      </c>
      <c r="K742" s="9">
        <v>0.52847222222222223</v>
      </c>
      <c r="L742" s="7" t="s">
        <v>24</v>
      </c>
      <c r="M742" s="10">
        <v>19.4635</v>
      </c>
      <c r="N742" s="7">
        <v>8.5</v>
      </c>
    </row>
    <row r="743" spans="1:14" x14ac:dyDescent="0.25">
      <c r="A743" s="7" t="s">
        <v>772</v>
      </c>
      <c r="B743" s="7" t="s">
        <v>20</v>
      </c>
      <c r="C743" s="7" t="s">
        <v>21</v>
      </c>
      <c r="D743" s="7" t="s">
        <v>22</v>
      </c>
      <c r="E743" s="7" t="s">
        <v>26</v>
      </c>
      <c r="F743" s="7" t="s">
        <v>39</v>
      </c>
      <c r="G743" s="7" t="str">
        <f t="shared" si="34"/>
        <v>Monday</v>
      </c>
      <c r="H743" s="7" t="str">
        <f t="shared" si="35"/>
        <v>Jan</v>
      </c>
      <c r="I743" s="8">
        <v>43479</v>
      </c>
      <c r="J743" s="8" t="str">
        <f t="shared" si="33"/>
        <v>Afternoon</v>
      </c>
      <c r="K743" s="9">
        <v>0.63888888888888895</v>
      </c>
      <c r="L743" s="7" t="s">
        <v>18</v>
      </c>
      <c r="M743" s="10">
        <v>4.2415000000000003</v>
      </c>
      <c r="N743" s="7">
        <v>8.8000000000000007</v>
      </c>
    </row>
    <row r="744" spans="1:14" x14ac:dyDescent="0.25">
      <c r="A744" s="7" t="s">
        <v>773</v>
      </c>
      <c r="B744" s="7" t="s">
        <v>13</v>
      </c>
      <c r="C744" s="7" t="s">
        <v>14</v>
      </c>
      <c r="D744" s="7" t="s">
        <v>15</v>
      </c>
      <c r="E744" s="7" t="s">
        <v>16</v>
      </c>
      <c r="F744" s="7" t="s">
        <v>31</v>
      </c>
      <c r="G744" s="7" t="str">
        <f t="shared" si="34"/>
        <v>Friday</v>
      </c>
      <c r="H744" s="7" t="str">
        <f t="shared" si="35"/>
        <v>Feb</v>
      </c>
      <c r="I744" s="8">
        <v>43508</v>
      </c>
      <c r="J744" s="8" t="str">
        <f t="shared" si="33"/>
        <v>Afternoon</v>
      </c>
      <c r="K744" s="9">
        <v>0.60625000000000007</v>
      </c>
      <c r="L744" s="7" t="s">
        <v>18</v>
      </c>
      <c r="M744" s="10">
        <v>7.1630000000000003</v>
      </c>
      <c r="N744" s="7">
        <v>8.8000000000000007</v>
      </c>
    </row>
    <row r="745" spans="1:14" x14ac:dyDescent="0.25">
      <c r="A745" s="7" t="s">
        <v>774</v>
      </c>
      <c r="B745" s="7" t="s">
        <v>13</v>
      </c>
      <c r="C745" s="7" t="s">
        <v>14</v>
      </c>
      <c r="D745" s="7" t="s">
        <v>15</v>
      </c>
      <c r="E745" s="7" t="s">
        <v>26</v>
      </c>
      <c r="F745" s="7" t="s">
        <v>27</v>
      </c>
      <c r="G745" s="7" t="str">
        <f t="shared" si="34"/>
        <v>Saturday</v>
      </c>
      <c r="H745" s="7" t="str">
        <f t="shared" si="35"/>
        <v>Feb</v>
      </c>
      <c r="I745" s="8">
        <v>43516</v>
      </c>
      <c r="J745" s="8" t="str">
        <f t="shared" si="33"/>
        <v>Afternoon</v>
      </c>
      <c r="K745" s="9">
        <v>0.64513888888888882</v>
      </c>
      <c r="L745" s="7" t="s">
        <v>18</v>
      </c>
      <c r="M745" s="10">
        <v>3.7690000000000001</v>
      </c>
      <c r="N745" s="7">
        <v>9.5</v>
      </c>
    </row>
    <row r="746" spans="1:14" x14ac:dyDescent="0.25">
      <c r="A746" s="7" t="s">
        <v>775</v>
      </c>
      <c r="B746" s="7" t="s">
        <v>20</v>
      </c>
      <c r="C746" s="7" t="s">
        <v>21</v>
      </c>
      <c r="D746" s="7" t="s">
        <v>15</v>
      </c>
      <c r="E746" s="7" t="s">
        <v>16</v>
      </c>
      <c r="F746" s="7" t="s">
        <v>31</v>
      </c>
      <c r="G746" s="7" t="str">
        <f t="shared" si="34"/>
        <v>Saturday</v>
      </c>
      <c r="H746" s="7" t="str">
        <f t="shared" si="35"/>
        <v>Jan</v>
      </c>
      <c r="I746" s="8">
        <v>43467</v>
      </c>
      <c r="J746" s="8" t="str">
        <f t="shared" si="33"/>
        <v>Evening</v>
      </c>
      <c r="K746" s="9">
        <v>0.67986111111111114</v>
      </c>
      <c r="L746" s="7" t="s">
        <v>28</v>
      </c>
      <c r="M746" s="10">
        <v>12.667999999999999</v>
      </c>
      <c r="N746" s="7">
        <v>5.6</v>
      </c>
    </row>
    <row r="747" spans="1:14" x14ac:dyDescent="0.25">
      <c r="A747" s="7" t="s">
        <v>776</v>
      </c>
      <c r="B747" s="7" t="s">
        <v>20</v>
      </c>
      <c r="C747" s="7" t="s">
        <v>21</v>
      </c>
      <c r="D747" s="7" t="s">
        <v>15</v>
      </c>
      <c r="E747" s="7" t="s">
        <v>16</v>
      </c>
      <c r="F747" s="7" t="s">
        <v>39</v>
      </c>
      <c r="G747" s="7" t="str">
        <f t="shared" si="34"/>
        <v>Thursday</v>
      </c>
      <c r="H747" s="7" t="str">
        <f t="shared" si="35"/>
        <v>Feb</v>
      </c>
      <c r="I747" s="8">
        <v>43498</v>
      </c>
      <c r="J747" s="8" t="str">
        <f t="shared" si="33"/>
        <v>Evening</v>
      </c>
      <c r="K747" s="9">
        <v>0.68958333333333333</v>
      </c>
      <c r="L747" s="7" t="s">
        <v>24</v>
      </c>
      <c r="M747" s="10">
        <v>1.921</v>
      </c>
      <c r="N747" s="7">
        <v>8.6</v>
      </c>
    </row>
    <row r="748" spans="1:14" x14ac:dyDescent="0.25">
      <c r="A748" s="7" t="s">
        <v>777</v>
      </c>
      <c r="B748" s="7" t="s">
        <v>37</v>
      </c>
      <c r="C748" s="7" t="s">
        <v>38</v>
      </c>
      <c r="D748" s="7" t="s">
        <v>15</v>
      </c>
      <c r="E748" s="7" t="s">
        <v>26</v>
      </c>
      <c r="F748" s="7" t="s">
        <v>41</v>
      </c>
      <c r="G748" s="7" t="str">
        <f t="shared" si="34"/>
        <v>Sunday</v>
      </c>
      <c r="H748" s="7" t="str">
        <f t="shared" si="35"/>
        <v>Jan</v>
      </c>
      <c r="I748" s="8">
        <v>43473</v>
      </c>
      <c r="J748" s="8" t="str">
        <f t="shared" si="33"/>
        <v>Evening</v>
      </c>
      <c r="K748" s="9">
        <v>0.79652777777777783</v>
      </c>
      <c r="L748" s="7" t="s">
        <v>28</v>
      </c>
      <c r="M748" s="10">
        <v>32.615000000000002</v>
      </c>
      <c r="N748" s="7">
        <v>5.2</v>
      </c>
    </row>
    <row r="749" spans="1:14" x14ac:dyDescent="0.25">
      <c r="A749" s="7" t="s">
        <v>778</v>
      </c>
      <c r="B749" s="7" t="s">
        <v>20</v>
      </c>
      <c r="C749" s="7" t="s">
        <v>21</v>
      </c>
      <c r="D749" s="7" t="s">
        <v>15</v>
      </c>
      <c r="E749" s="7" t="s">
        <v>16</v>
      </c>
      <c r="F749" s="7" t="s">
        <v>27</v>
      </c>
      <c r="G749" s="7" t="str">
        <f t="shared" si="34"/>
        <v>Wednesday</v>
      </c>
      <c r="H749" s="7" t="str">
        <f t="shared" si="35"/>
        <v>Jan</v>
      </c>
      <c r="I749" s="8">
        <v>43495</v>
      </c>
      <c r="J749" s="8" t="str">
        <f t="shared" si="33"/>
        <v>Afternoon</v>
      </c>
      <c r="K749" s="9">
        <v>0.61319444444444449</v>
      </c>
      <c r="L749" s="7" t="s">
        <v>28</v>
      </c>
      <c r="M749" s="10">
        <v>2.6324999999999998</v>
      </c>
      <c r="N749" s="7">
        <v>5.8</v>
      </c>
    </row>
    <row r="750" spans="1:14" x14ac:dyDescent="0.25">
      <c r="A750" s="7" t="s">
        <v>779</v>
      </c>
      <c r="B750" s="7" t="s">
        <v>37</v>
      </c>
      <c r="C750" s="7" t="s">
        <v>38</v>
      </c>
      <c r="D750" s="7" t="s">
        <v>15</v>
      </c>
      <c r="E750" s="7" t="s">
        <v>16</v>
      </c>
      <c r="F750" s="7" t="s">
        <v>27</v>
      </c>
      <c r="G750" s="7" t="str">
        <f t="shared" si="34"/>
        <v>Thursday</v>
      </c>
      <c r="H750" s="7" t="str">
        <f t="shared" si="35"/>
        <v>Mar</v>
      </c>
      <c r="I750" s="8">
        <v>43550</v>
      </c>
      <c r="J750" s="8" t="str">
        <f t="shared" si="33"/>
        <v>Evening</v>
      </c>
      <c r="K750" s="9">
        <v>0.81111111111111101</v>
      </c>
      <c r="L750" s="7" t="s">
        <v>28</v>
      </c>
      <c r="M750" s="10">
        <v>5.5305</v>
      </c>
      <c r="N750" s="7">
        <v>8</v>
      </c>
    </row>
    <row r="751" spans="1:14" x14ac:dyDescent="0.25">
      <c r="A751" s="7" t="s">
        <v>780</v>
      </c>
      <c r="B751" s="7" t="s">
        <v>20</v>
      </c>
      <c r="C751" s="7" t="s">
        <v>21</v>
      </c>
      <c r="D751" s="7" t="s">
        <v>15</v>
      </c>
      <c r="E751" s="7" t="s">
        <v>26</v>
      </c>
      <c r="F751" s="7" t="s">
        <v>17</v>
      </c>
      <c r="G751" s="7" t="str">
        <f t="shared" si="34"/>
        <v>Monday</v>
      </c>
      <c r="H751" s="7" t="str">
        <f t="shared" si="35"/>
        <v>Jan</v>
      </c>
      <c r="I751" s="8">
        <v>43480</v>
      </c>
      <c r="J751" s="8" t="str">
        <f t="shared" si="33"/>
        <v>Evening</v>
      </c>
      <c r="K751" s="9">
        <v>0.86388888888888893</v>
      </c>
      <c r="L751" s="7" t="s">
        <v>24</v>
      </c>
      <c r="M751" s="10">
        <v>28.430499999999999</v>
      </c>
      <c r="N751" s="7">
        <v>9</v>
      </c>
    </row>
    <row r="752" spans="1:14" x14ac:dyDescent="0.25">
      <c r="A752" s="7" t="s">
        <v>781</v>
      </c>
      <c r="B752" s="7" t="s">
        <v>37</v>
      </c>
      <c r="C752" s="7" t="s">
        <v>38</v>
      </c>
      <c r="D752" s="7" t="s">
        <v>15</v>
      </c>
      <c r="E752" s="7" t="s">
        <v>16</v>
      </c>
      <c r="F752" s="7" t="s">
        <v>41</v>
      </c>
      <c r="G752" s="7" t="str">
        <f t="shared" si="34"/>
        <v>Tuesday</v>
      </c>
      <c r="H752" s="7" t="str">
        <f t="shared" si="35"/>
        <v>Mar</v>
      </c>
      <c r="I752" s="8">
        <v>43538</v>
      </c>
      <c r="J752" s="8" t="str">
        <f t="shared" si="33"/>
        <v>Morning</v>
      </c>
      <c r="K752" s="9">
        <v>0.4694444444444445</v>
      </c>
      <c r="L752" s="7" t="s">
        <v>18</v>
      </c>
      <c r="M752" s="10">
        <v>4.4640000000000004</v>
      </c>
      <c r="N752" s="7">
        <v>4.0999999999999996</v>
      </c>
    </row>
    <row r="753" spans="1:14" x14ac:dyDescent="0.25">
      <c r="A753" s="7" t="s">
        <v>782</v>
      </c>
      <c r="B753" s="7" t="s">
        <v>13</v>
      </c>
      <c r="C753" s="7" t="s">
        <v>14</v>
      </c>
      <c r="D753" s="7" t="s">
        <v>22</v>
      </c>
      <c r="E753" s="7" t="s">
        <v>16</v>
      </c>
      <c r="F753" s="7" t="s">
        <v>39</v>
      </c>
      <c r="G753" s="7" t="str">
        <f t="shared" si="34"/>
        <v>Thursday</v>
      </c>
      <c r="H753" s="7" t="str">
        <f t="shared" si="35"/>
        <v>Feb</v>
      </c>
      <c r="I753" s="8">
        <v>43499</v>
      </c>
      <c r="J753" s="8" t="str">
        <f t="shared" si="33"/>
        <v>Morning</v>
      </c>
      <c r="K753" s="9">
        <v>0.4381944444444445</v>
      </c>
      <c r="L753" s="7" t="s">
        <v>28</v>
      </c>
      <c r="M753" s="10">
        <v>6.82</v>
      </c>
      <c r="N753" s="7">
        <v>8.6</v>
      </c>
    </row>
    <row r="754" spans="1:14" x14ac:dyDescent="0.25">
      <c r="A754" s="7" t="s">
        <v>783</v>
      </c>
      <c r="B754" s="7" t="s">
        <v>13</v>
      </c>
      <c r="C754" s="7" t="s">
        <v>14</v>
      </c>
      <c r="D754" s="7" t="s">
        <v>15</v>
      </c>
      <c r="E754" s="7" t="s">
        <v>16</v>
      </c>
      <c r="F754" s="7" t="s">
        <v>23</v>
      </c>
      <c r="G754" s="7" t="str">
        <f t="shared" si="34"/>
        <v>Saturday</v>
      </c>
      <c r="H754" s="7" t="str">
        <f t="shared" si="35"/>
        <v>Feb</v>
      </c>
      <c r="I754" s="8">
        <v>43518</v>
      </c>
      <c r="J754" s="8" t="str">
        <f t="shared" si="33"/>
        <v>Afternoon</v>
      </c>
      <c r="K754" s="9">
        <v>0.52083333333333337</v>
      </c>
      <c r="L754" s="7" t="s">
        <v>18</v>
      </c>
      <c r="M754" s="10">
        <v>8.7100000000000009</v>
      </c>
      <c r="N754" s="7">
        <v>7</v>
      </c>
    </row>
    <row r="755" spans="1:14" x14ac:dyDescent="0.25">
      <c r="A755" s="7" t="s">
        <v>784</v>
      </c>
      <c r="B755" s="7" t="s">
        <v>37</v>
      </c>
      <c r="C755" s="7" t="s">
        <v>38</v>
      </c>
      <c r="D755" s="7" t="s">
        <v>22</v>
      </c>
      <c r="E755" s="7" t="s">
        <v>26</v>
      </c>
      <c r="F755" s="7" t="s">
        <v>27</v>
      </c>
      <c r="G755" s="7" t="str">
        <f t="shared" si="34"/>
        <v>Tuesday</v>
      </c>
      <c r="H755" s="7" t="str">
        <f t="shared" si="35"/>
        <v>Jan</v>
      </c>
      <c r="I755" s="8">
        <v>43489</v>
      </c>
      <c r="J755" s="8" t="str">
        <f t="shared" si="33"/>
        <v>Afternoon</v>
      </c>
      <c r="K755" s="9">
        <v>0.62847222222222221</v>
      </c>
      <c r="L755" s="7" t="s">
        <v>18</v>
      </c>
      <c r="M755" s="10">
        <v>18.32</v>
      </c>
      <c r="N755" s="7">
        <v>8.4</v>
      </c>
    </row>
    <row r="756" spans="1:14" x14ac:dyDescent="0.25">
      <c r="A756" s="7" t="s">
        <v>785</v>
      </c>
      <c r="B756" s="7" t="s">
        <v>20</v>
      </c>
      <c r="C756" s="7" t="s">
        <v>21</v>
      </c>
      <c r="D756" s="7" t="s">
        <v>15</v>
      </c>
      <c r="E756" s="7" t="s">
        <v>16</v>
      </c>
      <c r="F756" s="7" t="s">
        <v>41</v>
      </c>
      <c r="G756" s="7" t="str">
        <f t="shared" si="34"/>
        <v>Tuesday</v>
      </c>
      <c r="H756" s="7" t="str">
        <f t="shared" si="35"/>
        <v>Jan</v>
      </c>
      <c r="I756" s="8">
        <v>43490</v>
      </c>
      <c r="J756" s="8" t="str">
        <f t="shared" si="33"/>
        <v>Evening</v>
      </c>
      <c r="K756" s="9">
        <v>0.77083333333333337</v>
      </c>
      <c r="L756" s="7" t="s">
        <v>18</v>
      </c>
      <c r="M756" s="10">
        <v>12.730499999999999</v>
      </c>
      <c r="N756" s="7">
        <v>7.4</v>
      </c>
    </row>
    <row r="757" spans="1:14" x14ac:dyDescent="0.25">
      <c r="A757" s="7" t="s">
        <v>786</v>
      </c>
      <c r="B757" s="7" t="s">
        <v>13</v>
      </c>
      <c r="C757" s="7" t="s">
        <v>14</v>
      </c>
      <c r="D757" s="7" t="s">
        <v>22</v>
      </c>
      <c r="E757" s="7" t="s">
        <v>16</v>
      </c>
      <c r="F757" s="7" t="s">
        <v>41</v>
      </c>
      <c r="G757" s="7" t="str">
        <f t="shared" si="34"/>
        <v>Tuesday</v>
      </c>
      <c r="H757" s="7" t="str">
        <f t="shared" si="35"/>
        <v>Mar</v>
      </c>
      <c r="I757" s="8">
        <v>43533</v>
      </c>
      <c r="J757" s="8" t="str">
        <f t="shared" si="33"/>
        <v>Afternoon</v>
      </c>
      <c r="K757" s="9">
        <v>0.5541666666666667</v>
      </c>
      <c r="L757" s="7" t="s">
        <v>28</v>
      </c>
      <c r="M757" s="10">
        <v>38.915999999999997</v>
      </c>
      <c r="N757" s="7">
        <v>6.2</v>
      </c>
    </row>
    <row r="758" spans="1:14" x14ac:dyDescent="0.25">
      <c r="A758" s="7" t="s">
        <v>787</v>
      </c>
      <c r="B758" s="7" t="s">
        <v>37</v>
      </c>
      <c r="C758" s="7" t="s">
        <v>38</v>
      </c>
      <c r="D758" s="7" t="s">
        <v>15</v>
      </c>
      <c r="E758" s="7" t="s">
        <v>16</v>
      </c>
      <c r="F758" s="7" t="s">
        <v>23</v>
      </c>
      <c r="G758" s="7" t="str">
        <f t="shared" si="34"/>
        <v>Saturday</v>
      </c>
      <c r="H758" s="7" t="str">
        <f t="shared" si="35"/>
        <v>Feb</v>
      </c>
      <c r="I758" s="8">
        <v>43513</v>
      </c>
      <c r="J758" s="8" t="str">
        <f t="shared" si="33"/>
        <v>Afternoon</v>
      </c>
      <c r="K758" s="9">
        <v>0.64444444444444449</v>
      </c>
      <c r="L758" s="7" t="s">
        <v>18</v>
      </c>
      <c r="M758" s="10">
        <v>14.295999999999999</v>
      </c>
      <c r="N758" s="7">
        <v>4.9000000000000004</v>
      </c>
    </row>
    <row r="759" spans="1:14" x14ac:dyDescent="0.25">
      <c r="A759" s="7" t="s">
        <v>788</v>
      </c>
      <c r="B759" s="7" t="s">
        <v>13</v>
      </c>
      <c r="C759" s="7" t="s">
        <v>14</v>
      </c>
      <c r="D759" s="7" t="s">
        <v>22</v>
      </c>
      <c r="E759" s="7" t="s">
        <v>16</v>
      </c>
      <c r="F759" s="7" t="s">
        <v>27</v>
      </c>
      <c r="G759" s="7" t="str">
        <f t="shared" si="34"/>
        <v>Sunday</v>
      </c>
      <c r="H759" s="7" t="str">
        <f t="shared" si="35"/>
        <v>Jan</v>
      </c>
      <c r="I759" s="8">
        <v>43476</v>
      </c>
      <c r="J759" s="8" t="str">
        <f t="shared" si="33"/>
        <v>Morning</v>
      </c>
      <c r="K759" s="9">
        <v>0.49444444444444446</v>
      </c>
      <c r="L759" s="7" t="s">
        <v>24</v>
      </c>
      <c r="M759" s="10">
        <v>28.956</v>
      </c>
      <c r="N759" s="7">
        <v>4.5</v>
      </c>
    </row>
    <row r="760" spans="1:14" x14ac:dyDescent="0.25">
      <c r="A760" s="7" t="s">
        <v>789</v>
      </c>
      <c r="B760" s="7" t="s">
        <v>13</v>
      </c>
      <c r="C760" s="7" t="s">
        <v>14</v>
      </c>
      <c r="D760" s="7" t="s">
        <v>15</v>
      </c>
      <c r="E760" s="7" t="s">
        <v>26</v>
      </c>
      <c r="F760" s="7" t="s">
        <v>39</v>
      </c>
      <c r="G760" s="7" t="str">
        <f t="shared" si="34"/>
        <v>Sunday</v>
      </c>
      <c r="H760" s="7" t="str">
        <f t="shared" si="35"/>
        <v>Feb</v>
      </c>
      <c r="I760" s="8">
        <v>43523</v>
      </c>
      <c r="J760" s="8" t="str">
        <f t="shared" si="33"/>
        <v>Evening</v>
      </c>
      <c r="K760" s="9">
        <v>0.76666666666666661</v>
      </c>
      <c r="L760" s="7" t="s">
        <v>18</v>
      </c>
      <c r="M760" s="10">
        <v>9.4250000000000007</v>
      </c>
      <c r="N760" s="7">
        <v>5.6</v>
      </c>
    </row>
    <row r="761" spans="1:14" x14ac:dyDescent="0.25">
      <c r="A761" s="7" t="s">
        <v>790</v>
      </c>
      <c r="B761" s="7" t="s">
        <v>13</v>
      </c>
      <c r="C761" s="7" t="s">
        <v>14</v>
      </c>
      <c r="D761" s="7" t="s">
        <v>22</v>
      </c>
      <c r="E761" s="7" t="s">
        <v>16</v>
      </c>
      <c r="F761" s="7" t="s">
        <v>39</v>
      </c>
      <c r="G761" s="7" t="str">
        <f t="shared" si="34"/>
        <v>Thursday</v>
      </c>
      <c r="H761" s="7" t="str">
        <f t="shared" si="35"/>
        <v>Mar</v>
      </c>
      <c r="I761" s="8">
        <v>43549</v>
      </c>
      <c r="J761" s="8" t="str">
        <f t="shared" si="33"/>
        <v>Afternoon</v>
      </c>
      <c r="K761" s="9">
        <v>0.6381944444444444</v>
      </c>
      <c r="L761" s="7" t="s">
        <v>18</v>
      </c>
      <c r="M761" s="10">
        <v>11.077999999999999</v>
      </c>
      <c r="N761" s="7">
        <v>8</v>
      </c>
    </row>
    <row r="762" spans="1:14" x14ac:dyDescent="0.25">
      <c r="A762" s="7" t="s">
        <v>791</v>
      </c>
      <c r="B762" s="7" t="s">
        <v>37</v>
      </c>
      <c r="C762" s="7" t="s">
        <v>38</v>
      </c>
      <c r="D762" s="7" t="s">
        <v>15</v>
      </c>
      <c r="E762" s="7" t="s">
        <v>16</v>
      </c>
      <c r="F762" s="7" t="s">
        <v>39</v>
      </c>
      <c r="G762" s="7" t="str">
        <f t="shared" si="34"/>
        <v>Friday</v>
      </c>
      <c r="H762" s="7" t="str">
        <f t="shared" si="35"/>
        <v>Feb</v>
      </c>
      <c r="I762" s="8">
        <v>43507</v>
      </c>
      <c r="J762" s="8" t="str">
        <f t="shared" si="33"/>
        <v>Morning</v>
      </c>
      <c r="K762" s="9">
        <v>0.44305555555555554</v>
      </c>
      <c r="L762" s="7" t="s">
        <v>28</v>
      </c>
      <c r="M762" s="10">
        <v>38.6</v>
      </c>
      <c r="N762" s="7">
        <v>5.6</v>
      </c>
    </row>
    <row r="763" spans="1:14" x14ac:dyDescent="0.25">
      <c r="A763" s="7" t="s">
        <v>792</v>
      </c>
      <c r="B763" s="7" t="s">
        <v>37</v>
      </c>
      <c r="C763" s="7" t="s">
        <v>38</v>
      </c>
      <c r="D763" s="7" t="s">
        <v>22</v>
      </c>
      <c r="E763" s="7" t="s">
        <v>26</v>
      </c>
      <c r="F763" s="7" t="s">
        <v>23</v>
      </c>
      <c r="G763" s="7" t="str">
        <f t="shared" si="34"/>
        <v>Wednesday</v>
      </c>
      <c r="H763" s="7" t="str">
        <f t="shared" si="35"/>
        <v>Jan</v>
      </c>
      <c r="I763" s="8">
        <v>43496</v>
      </c>
      <c r="J763" s="8" t="str">
        <f t="shared" si="33"/>
        <v>Afternoon</v>
      </c>
      <c r="K763" s="9">
        <v>0.6333333333333333</v>
      </c>
      <c r="L763" s="7" t="s">
        <v>28</v>
      </c>
      <c r="M763" s="10">
        <v>36.064999999999998</v>
      </c>
      <c r="N763" s="7">
        <v>4.2</v>
      </c>
    </row>
    <row r="764" spans="1:14" x14ac:dyDescent="0.25">
      <c r="A764" s="7" t="s">
        <v>793</v>
      </c>
      <c r="B764" s="7" t="s">
        <v>13</v>
      </c>
      <c r="C764" s="7" t="s">
        <v>14</v>
      </c>
      <c r="D764" s="7" t="s">
        <v>15</v>
      </c>
      <c r="E764" s="7" t="s">
        <v>16</v>
      </c>
      <c r="F764" s="7" t="s">
        <v>41</v>
      </c>
      <c r="G764" s="7" t="str">
        <f t="shared" si="34"/>
        <v>Tuesday</v>
      </c>
      <c r="H764" s="7" t="str">
        <f t="shared" si="35"/>
        <v>Jan</v>
      </c>
      <c r="I764" s="8">
        <v>43485</v>
      </c>
      <c r="J764" s="8" t="str">
        <f t="shared" si="33"/>
        <v>Evening</v>
      </c>
      <c r="K764" s="9">
        <v>0.7416666666666667</v>
      </c>
      <c r="L764" s="7" t="s">
        <v>18</v>
      </c>
      <c r="M764" s="10">
        <v>25.552</v>
      </c>
      <c r="N764" s="7">
        <v>9.9</v>
      </c>
    </row>
    <row r="765" spans="1:14" x14ac:dyDescent="0.25">
      <c r="A765" s="7" t="s">
        <v>794</v>
      </c>
      <c r="B765" s="7" t="s">
        <v>13</v>
      </c>
      <c r="C765" s="7" t="s">
        <v>14</v>
      </c>
      <c r="D765" s="7" t="s">
        <v>15</v>
      </c>
      <c r="E765" s="7" t="s">
        <v>16</v>
      </c>
      <c r="F765" s="7" t="s">
        <v>17</v>
      </c>
      <c r="G765" s="7" t="str">
        <f t="shared" si="34"/>
        <v>Thursday</v>
      </c>
      <c r="H765" s="7" t="str">
        <f t="shared" si="35"/>
        <v>Mar</v>
      </c>
      <c r="I765" s="8">
        <v>43550</v>
      </c>
      <c r="J765" s="8" t="str">
        <f t="shared" si="33"/>
        <v>Morning</v>
      </c>
      <c r="K765" s="9">
        <v>0.46319444444444446</v>
      </c>
      <c r="L765" s="7" t="s">
        <v>18</v>
      </c>
      <c r="M765" s="10">
        <v>2.6724999999999999</v>
      </c>
      <c r="N765" s="7">
        <v>7.6</v>
      </c>
    </row>
    <row r="766" spans="1:14" x14ac:dyDescent="0.25">
      <c r="A766" s="7" t="s">
        <v>795</v>
      </c>
      <c r="B766" s="7" t="s">
        <v>13</v>
      </c>
      <c r="C766" s="7" t="s">
        <v>14</v>
      </c>
      <c r="D766" s="7" t="s">
        <v>15</v>
      </c>
      <c r="E766" s="7" t="s">
        <v>26</v>
      </c>
      <c r="F766" s="7" t="s">
        <v>17</v>
      </c>
      <c r="G766" s="7" t="str">
        <f t="shared" si="34"/>
        <v>Tuesday</v>
      </c>
      <c r="H766" s="7" t="str">
        <f t="shared" si="35"/>
        <v>Jan</v>
      </c>
      <c r="I766" s="8">
        <v>43485</v>
      </c>
      <c r="J766" s="8" t="str">
        <f t="shared" si="33"/>
        <v>Afternoon</v>
      </c>
      <c r="K766" s="9">
        <v>0.65833333333333333</v>
      </c>
      <c r="L766" s="7" t="s">
        <v>28</v>
      </c>
      <c r="M766" s="10">
        <v>11.1</v>
      </c>
      <c r="N766" s="7">
        <v>6.6</v>
      </c>
    </row>
    <row r="767" spans="1:14" x14ac:dyDescent="0.25">
      <c r="A767" s="7" t="s">
        <v>796</v>
      </c>
      <c r="B767" s="7" t="s">
        <v>37</v>
      </c>
      <c r="C767" s="7" t="s">
        <v>38</v>
      </c>
      <c r="D767" s="7" t="s">
        <v>22</v>
      </c>
      <c r="E767" s="7" t="s">
        <v>16</v>
      </c>
      <c r="F767" s="7" t="s">
        <v>27</v>
      </c>
      <c r="G767" s="7" t="str">
        <f t="shared" si="34"/>
        <v>Monday</v>
      </c>
      <c r="H767" s="7" t="str">
        <f t="shared" si="35"/>
        <v>Mar</v>
      </c>
      <c r="I767" s="8">
        <v>43529</v>
      </c>
      <c r="J767" s="8" t="str">
        <f t="shared" si="33"/>
        <v>Evening</v>
      </c>
      <c r="K767" s="9">
        <v>0.81944444444444453</v>
      </c>
      <c r="L767" s="7" t="s">
        <v>18</v>
      </c>
      <c r="M767" s="10">
        <v>38.183999999999997</v>
      </c>
      <c r="N767" s="7">
        <v>4.7</v>
      </c>
    </row>
    <row r="768" spans="1:14" x14ac:dyDescent="0.25">
      <c r="A768" s="7" t="s">
        <v>797</v>
      </c>
      <c r="B768" s="7" t="s">
        <v>20</v>
      </c>
      <c r="C768" s="7" t="s">
        <v>21</v>
      </c>
      <c r="D768" s="7" t="s">
        <v>22</v>
      </c>
      <c r="E768" s="7" t="s">
        <v>16</v>
      </c>
      <c r="F768" s="7" t="s">
        <v>41</v>
      </c>
      <c r="G768" s="7" t="str">
        <f t="shared" si="34"/>
        <v>Sunday</v>
      </c>
      <c r="H768" s="7" t="str">
        <f t="shared" si="35"/>
        <v>Jan</v>
      </c>
      <c r="I768" s="8">
        <v>43470</v>
      </c>
      <c r="J768" s="8" t="str">
        <f t="shared" si="33"/>
        <v>Evening</v>
      </c>
      <c r="K768" s="9">
        <v>0.85416666666666663</v>
      </c>
      <c r="L768" s="7" t="s">
        <v>28</v>
      </c>
      <c r="M768" s="10">
        <v>11.409000000000001</v>
      </c>
      <c r="N768" s="7">
        <v>9.8000000000000007</v>
      </c>
    </row>
    <row r="769" spans="1:14" x14ac:dyDescent="0.25">
      <c r="A769" s="7" t="s">
        <v>798</v>
      </c>
      <c r="B769" s="7" t="s">
        <v>37</v>
      </c>
      <c r="C769" s="7" t="s">
        <v>38</v>
      </c>
      <c r="D769" s="7" t="s">
        <v>22</v>
      </c>
      <c r="E769" s="7" t="s">
        <v>26</v>
      </c>
      <c r="F769" s="7" t="s">
        <v>31</v>
      </c>
      <c r="G769" s="7" t="str">
        <f t="shared" si="34"/>
        <v>Friday</v>
      </c>
      <c r="H769" s="7" t="str">
        <f t="shared" si="35"/>
        <v>Feb</v>
      </c>
      <c r="I769" s="8">
        <v>43509</v>
      </c>
      <c r="J769" s="8" t="str">
        <f t="shared" si="33"/>
        <v>Afternoon</v>
      </c>
      <c r="K769" s="9">
        <v>0.58263888888888882</v>
      </c>
      <c r="L769" s="7" t="s">
        <v>24</v>
      </c>
      <c r="M769" s="10">
        <v>4.1070000000000002</v>
      </c>
      <c r="N769" s="7">
        <v>6.3</v>
      </c>
    </row>
    <row r="770" spans="1:14" x14ac:dyDescent="0.25">
      <c r="A770" s="7" t="s">
        <v>799</v>
      </c>
      <c r="B770" s="7" t="s">
        <v>37</v>
      </c>
      <c r="C770" s="7" t="s">
        <v>38</v>
      </c>
      <c r="D770" s="7" t="s">
        <v>22</v>
      </c>
      <c r="E770" s="7" t="s">
        <v>16</v>
      </c>
      <c r="F770" s="7" t="s">
        <v>23</v>
      </c>
      <c r="G770" s="7" t="str">
        <f t="shared" si="34"/>
        <v>Wednesday</v>
      </c>
      <c r="H770" s="7" t="str">
        <f t="shared" si="35"/>
        <v>Mar</v>
      </c>
      <c r="I770" s="8">
        <v>43540</v>
      </c>
      <c r="J770" s="8" t="str">
        <f t="shared" ref="J770:J833" si="36">IF(AND(K770&gt;=TIME(9,0,0),K770&lt;TIME(12,0,0)),"Morning",IF(AND(K770&gt;=TIME(12,0,0),K770&lt;TIME(16,0,0)),"Afternoon","Evening"))</f>
        <v>Evening</v>
      </c>
      <c r="K770" s="9">
        <v>0.78541666666666676</v>
      </c>
      <c r="L770" s="7" t="s">
        <v>24</v>
      </c>
      <c r="M770" s="10">
        <v>19.128</v>
      </c>
      <c r="N770" s="7">
        <v>7.9</v>
      </c>
    </row>
    <row r="771" spans="1:14" x14ac:dyDescent="0.25">
      <c r="A771" s="7" t="s">
        <v>800</v>
      </c>
      <c r="B771" s="7" t="s">
        <v>13</v>
      </c>
      <c r="C771" s="7" t="s">
        <v>14</v>
      </c>
      <c r="D771" s="7" t="s">
        <v>22</v>
      </c>
      <c r="E771" s="7" t="s">
        <v>16</v>
      </c>
      <c r="F771" s="7" t="s">
        <v>27</v>
      </c>
      <c r="G771" s="7" t="str">
        <f t="shared" ref="G771:G834" si="37">TEXT(I771/7,"dddd")</f>
        <v>Monday</v>
      </c>
      <c r="H771" s="7" t="str">
        <f t="shared" ref="H771:H834" si="38">TEXT(I771,"mmm")</f>
        <v>Jan</v>
      </c>
      <c r="I771" s="8">
        <v>43480</v>
      </c>
      <c r="J771" s="8" t="str">
        <f t="shared" si="36"/>
        <v>Evening</v>
      </c>
      <c r="K771" s="9">
        <v>0.72499999999999998</v>
      </c>
      <c r="L771" s="7" t="s">
        <v>24</v>
      </c>
      <c r="M771" s="10">
        <v>3.4289999999999998</v>
      </c>
      <c r="N771" s="7">
        <v>7.7</v>
      </c>
    </row>
    <row r="772" spans="1:14" x14ac:dyDescent="0.25">
      <c r="A772" s="7" t="s">
        <v>801</v>
      </c>
      <c r="B772" s="7" t="s">
        <v>37</v>
      </c>
      <c r="C772" s="7" t="s">
        <v>38</v>
      </c>
      <c r="D772" s="7" t="s">
        <v>15</v>
      </c>
      <c r="E772" s="7" t="s">
        <v>16</v>
      </c>
      <c r="F772" s="7" t="s">
        <v>31</v>
      </c>
      <c r="G772" s="7" t="str">
        <f t="shared" si="37"/>
        <v>Sunday</v>
      </c>
      <c r="H772" s="7" t="str">
        <f t="shared" si="38"/>
        <v>Feb</v>
      </c>
      <c r="I772" s="8">
        <v>43522</v>
      </c>
      <c r="J772" s="8" t="str">
        <f t="shared" si="36"/>
        <v>Morning</v>
      </c>
      <c r="K772" s="9">
        <v>0.49861111111111112</v>
      </c>
      <c r="L772" s="7" t="s">
        <v>18</v>
      </c>
      <c r="M772" s="10">
        <v>19.108000000000001</v>
      </c>
      <c r="N772" s="7">
        <v>4.5</v>
      </c>
    </row>
    <row r="773" spans="1:14" x14ac:dyDescent="0.25">
      <c r="A773" s="7" t="s">
        <v>802</v>
      </c>
      <c r="B773" s="7" t="s">
        <v>20</v>
      </c>
      <c r="C773" s="7" t="s">
        <v>21</v>
      </c>
      <c r="D773" s="7" t="s">
        <v>15</v>
      </c>
      <c r="E773" s="7" t="s">
        <v>16</v>
      </c>
      <c r="F773" s="7" t="s">
        <v>17</v>
      </c>
      <c r="G773" s="7" t="str">
        <f t="shared" si="37"/>
        <v>Sunday</v>
      </c>
      <c r="H773" s="7" t="str">
        <f t="shared" si="38"/>
        <v>Feb</v>
      </c>
      <c r="I773" s="8">
        <v>43523</v>
      </c>
      <c r="J773" s="8" t="str">
        <f t="shared" si="36"/>
        <v>Evening</v>
      </c>
      <c r="K773" s="9">
        <v>0.79236111111111107</v>
      </c>
      <c r="L773" s="7" t="s">
        <v>28</v>
      </c>
      <c r="M773" s="10">
        <v>30.054500000000001</v>
      </c>
      <c r="N773" s="7">
        <v>8</v>
      </c>
    </row>
    <row r="774" spans="1:14" x14ac:dyDescent="0.25">
      <c r="A774" s="7" t="s">
        <v>803</v>
      </c>
      <c r="B774" s="7" t="s">
        <v>20</v>
      </c>
      <c r="C774" s="7" t="s">
        <v>21</v>
      </c>
      <c r="D774" s="7" t="s">
        <v>15</v>
      </c>
      <c r="E774" s="7" t="s">
        <v>16</v>
      </c>
      <c r="F774" s="7" t="s">
        <v>31</v>
      </c>
      <c r="G774" s="7" t="str">
        <f t="shared" si="37"/>
        <v>Saturday</v>
      </c>
      <c r="H774" s="7" t="str">
        <f t="shared" si="38"/>
        <v>Feb</v>
      </c>
      <c r="I774" s="8">
        <v>43513</v>
      </c>
      <c r="J774" s="8" t="str">
        <f t="shared" si="36"/>
        <v>Evening</v>
      </c>
      <c r="K774" s="9">
        <v>0.70138888888888884</v>
      </c>
      <c r="L774" s="7" t="s">
        <v>18</v>
      </c>
      <c r="M774" s="10">
        <v>23.796500000000002</v>
      </c>
      <c r="N774" s="7">
        <v>5.7</v>
      </c>
    </row>
    <row r="775" spans="1:14" x14ac:dyDescent="0.25">
      <c r="A775" s="7" t="s">
        <v>804</v>
      </c>
      <c r="B775" s="7" t="s">
        <v>20</v>
      </c>
      <c r="C775" s="7" t="s">
        <v>21</v>
      </c>
      <c r="D775" s="7" t="s">
        <v>22</v>
      </c>
      <c r="E775" s="7" t="s">
        <v>16</v>
      </c>
      <c r="F775" s="7" t="s">
        <v>39</v>
      </c>
      <c r="G775" s="7" t="str">
        <f t="shared" si="37"/>
        <v>Thursday</v>
      </c>
      <c r="H775" s="7" t="str">
        <f t="shared" si="38"/>
        <v>Feb</v>
      </c>
      <c r="I775" s="8">
        <v>43502</v>
      </c>
      <c r="J775" s="8" t="str">
        <f t="shared" si="36"/>
        <v>Morning</v>
      </c>
      <c r="K775" s="9">
        <v>0.43194444444444446</v>
      </c>
      <c r="L775" s="7" t="s">
        <v>28</v>
      </c>
      <c r="M775" s="10">
        <v>2.621</v>
      </c>
      <c r="N775" s="7">
        <v>6.3</v>
      </c>
    </row>
    <row r="776" spans="1:14" x14ac:dyDescent="0.25">
      <c r="A776" s="7" t="s">
        <v>805</v>
      </c>
      <c r="B776" s="7" t="s">
        <v>20</v>
      </c>
      <c r="C776" s="7" t="s">
        <v>21</v>
      </c>
      <c r="D776" s="7" t="s">
        <v>15</v>
      </c>
      <c r="E776" s="7" t="s">
        <v>26</v>
      </c>
      <c r="F776" s="7" t="s">
        <v>39</v>
      </c>
      <c r="G776" s="7" t="str">
        <f t="shared" si="37"/>
        <v>Monday</v>
      </c>
      <c r="H776" s="7" t="str">
        <f t="shared" si="38"/>
        <v>Jan</v>
      </c>
      <c r="I776" s="8">
        <v>43482</v>
      </c>
      <c r="J776" s="8" t="str">
        <f t="shared" si="36"/>
        <v>Evening</v>
      </c>
      <c r="K776" s="9">
        <v>0.69861111111111107</v>
      </c>
      <c r="L776" s="7" t="s">
        <v>24</v>
      </c>
      <c r="M776" s="10">
        <v>6.5650000000000004</v>
      </c>
      <c r="N776" s="7">
        <v>6</v>
      </c>
    </row>
    <row r="777" spans="1:14" x14ac:dyDescent="0.25">
      <c r="A777" s="7" t="s">
        <v>806</v>
      </c>
      <c r="B777" s="7" t="s">
        <v>37</v>
      </c>
      <c r="C777" s="7" t="s">
        <v>38</v>
      </c>
      <c r="D777" s="7" t="s">
        <v>22</v>
      </c>
      <c r="E777" s="7" t="s">
        <v>16</v>
      </c>
      <c r="F777" s="7" t="s">
        <v>39</v>
      </c>
      <c r="G777" s="7" t="str">
        <f t="shared" si="37"/>
        <v>Tuesday</v>
      </c>
      <c r="H777" s="7" t="str">
        <f t="shared" si="38"/>
        <v>Jan</v>
      </c>
      <c r="I777" s="8">
        <v>43487</v>
      </c>
      <c r="J777" s="8" t="str">
        <f t="shared" si="36"/>
        <v>Evening</v>
      </c>
      <c r="K777" s="9">
        <v>0.75555555555555554</v>
      </c>
      <c r="L777" s="7" t="s">
        <v>28</v>
      </c>
      <c r="M777" s="10">
        <v>7.2149999999999999</v>
      </c>
      <c r="N777" s="7">
        <v>8</v>
      </c>
    </row>
    <row r="778" spans="1:14" x14ac:dyDescent="0.25">
      <c r="A778" s="7" t="s">
        <v>807</v>
      </c>
      <c r="B778" s="7" t="s">
        <v>20</v>
      </c>
      <c r="C778" s="7" t="s">
        <v>21</v>
      </c>
      <c r="D778" s="7" t="s">
        <v>15</v>
      </c>
      <c r="E778" s="7" t="s">
        <v>26</v>
      </c>
      <c r="F778" s="7" t="s">
        <v>17</v>
      </c>
      <c r="G778" s="7" t="str">
        <f t="shared" si="37"/>
        <v>Monday</v>
      </c>
      <c r="H778" s="7" t="str">
        <f t="shared" si="38"/>
        <v>Mar</v>
      </c>
      <c r="I778" s="8">
        <v>43529</v>
      </c>
      <c r="J778" s="8" t="str">
        <f t="shared" si="36"/>
        <v>Evening</v>
      </c>
      <c r="K778" s="9">
        <v>0.75138888888888899</v>
      </c>
      <c r="L778" s="7" t="s">
        <v>28</v>
      </c>
      <c r="M778" s="10">
        <v>22.858499999999999</v>
      </c>
      <c r="N778" s="7">
        <v>4.2</v>
      </c>
    </row>
    <row r="779" spans="1:14" x14ac:dyDescent="0.25">
      <c r="A779" s="7" t="s">
        <v>808</v>
      </c>
      <c r="B779" s="7" t="s">
        <v>37</v>
      </c>
      <c r="C779" s="7" t="s">
        <v>38</v>
      </c>
      <c r="D779" s="7" t="s">
        <v>22</v>
      </c>
      <c r="E779" s="7" t="s">
        <v>26</v>
      </c>
      <c r="F779" s="7" t="s">
        <v>31</v>
      </c>
      <c r="G779" s="7" t="str">
        <f t="shared" si="37"/>
        <v>Saturday</v>
      </c>
      <c r="H779" s="7" t="str">
        <f t="shared" si="38"/>
        <v>Jan</v>
      </c>
      <c r="I779" s="8">
        <v>43468</v>
      </c>
      <c r="J779" s="8" t="str">
        <f t="shared" si="36"/>
        <v>Afternoon</v>
      </c>
      <c r="K779" s="9">
        <v>0.54652777777777783</v>
      </c>
      <c r="L779" s="7" t="s">
        <v>24</v>
      </c>
      <c r="M779" s="10">
        <v>4.6689999999999996</v>
      </c>
      <c r="N779" s="7">
        <v>9.6</v>
      </c>
    </row>
    <row r="780" spans="1:14" x14ac:dyDescent="0.25">
      <c r="A780" s="7" t="s">
        <v>809</v>
      </c>
      <c r="B780" s="7" t="s">
        <v>20</v>
      </c>
      <c r="C780" s="7" t="s">
        <v>21</v>
      </c>
      <c r="D780" s="7" t="s">
        <v>15</v>
      </c>
      <c r="E780" s="7" t="s">
        <v>26</v>
      </c>
      <c r="F780" s="7" t="s">
        <v>31</v>
      </c>
      <c r="G780" s="7" t="str">
        <f t="shared" si="37"/>
        <v>Wednesday</v>
      </c>
      <c r="H780" s="7" t="str">
        <f t="shared" si="38"/>
        <v>Mar</v>
      </c>
      <c r="I780" s="8">
        <v>43544</v>
      </c>
      <c r="J780" s="8" t="str">
        <f t="shared" si="36"/>
        <v>Evening</v>
      </c>
      <c r="K780" s="9">
        <v>0.74444444444444446</v>
      </c>
      <c r="L780" s="7" t="s">
        <v>24</v>
      </c>
      <c r="M780" s="10">
        <v>6.3125</v>
      </c>
      <c r="N780" s="7">
        <v>6.1</v>
      </c>
    </row>
    <row r="781" spans="1:14" x14ac:dyDescent="0.25">
      <c r="A781" s="7" t="s">
        <v>810</v>
      </c>
      <c r="B781" s="7" t="s">
        <v>37</v>
      </c>
      <c r="C781" s="7" t="s">
        <v>38</v>
      </c>
      <c r="D781" s="7" t="s">
        <v>15</v>
      </c>
      <c r="E781" s="7" t="s">
        <v>26</v>
      </c>
      <c r="F781" s="7" t="s">
        <v>23</v>
      </c>
      <c r="G781" s="7" t="str">
        <f t="shared" si="37"/>
        <v>Wednesday</v>
      </c>
      <c r="H781" s="7" t="str">
        <f t="shared" si="38"/>
        <v>Jan</v>
      </c>
      <c r="I781" s="8">
        <v>43496</v>
      </c>
      <c r="J781" s="8" t="str">
        <f t="shared" si="36"/>
        <v>Evening</v>
      </c>
      <c r="K781" s="9">
        <v>0.85555555555555562</v>
      </c>
      <c r="L781" s="7" t="s">
        <v>18</v>
      </c>
      <c r="M781" s="10">
        <v>39.541499999999999</v>
      </c>
      <c r="N781" s="7">
        <v>5.6</v>
      </c>
    </row>
    <row r="782" spans="1:14" x14ac:dyDescent="0.25">
      <c r="A782" s="7" t="s">
        <v>811</v>
      </c>
      <c r="B782" s="7" t="s">
        <v>20</v>
      </c>
      <c r="C782" s="7" t="s">
        <v>21</v>
      </c>
      <c r="D782" s="7" t="s">
        <v>22</v>
      </c>
      <c r="E782" s="7" t="s">
        <v>26</v>
      </c>
      <c r="F782" s="7" t="s">
        <v>17</v>
      </c>
      <c r="G782" s="7" t="str">
        <f t="shared" si="37"/>
        <v>Saturday</v>
      </c>
      <c r="H782" s="7" t="str">
        <f t="shared" si="38"/>
        <v>Feb</v>
      </c>
      <c r="I782" s="8">
        <v>43515</v>
      </c>
      <c r="J782" s="8" t="str">
        <f t="shared" si="36"/>
        <v>Evening</v>
      </c>
      <c r="K782" s="9">
        <v>0.80833333333333324</v>
      </c>
      <c r="L782" s="7" t="s">
        <v>24</v>
      </c>
      <c r="M782" s="10">
        <v>8.7200000000000006</v>
      </c>
      <c r="N782" s="7">
        <v>8.3000000000000007</v>
      </c>
    </row>
    <row r="783" spans="1:14" x14ac:dyDescent="0.25">
      <c r="A783" s="7" t="s">
        <v>812</v>
      </c>
      <c r="B783" s="7" t="s">
        <v>13</v>
      </c>
      <c r="C783" s="7" t="s">
        <v>14</v>
      </c>
      <c r="D783" s="7" t="s">
        <v>22</v>
      </c>
      <c r="E783" s="7" t="s">
        <v>16</v>
      </c>
      <c r="F783" s="7" t="s">
        <v>31</v>
      </c>
      <c r="G783" s="7" t="str">
        <f t="shared" si="37"/>
        <v>Friday</v>
      </c>
      <c r="H783" s="7" t="str">
        <f t="shared" si="38"/>
        <v>Feb</v>
      </c>
      <c r="I783" s="8">
        <v>43507</v>
      </c>
      <c r="J783" s="8" t="str">
        <f t="shared" si="36"/>
        <v>Evening</v>
      </c>
      <c r="K783" s="9">
        <v>0.67083333333333339</v>
      </c>
      <c r="L783" s="7" t="s">
        <v>18</v>
      </c>
      <c r="M783" s="10">
        <v>18.952000000000002</v>
      </c>
      <c r="N783" s="7">
        <v>7.8</v>
      </c>
    </row>
    <row r="784" spans="1:14" x14ac:dyDescent="0.25">
      <c r="A784" s="7" t="s">
        <v>813</v>
      </c>
      <c r="B784" s="7" t="s">
        <v>13</v>
      </c>
      <c r="C784" s="7" t="s">
        <v>14</v>
      </c>
      <c r="D784" s="7" t="s">
        <v>15</v>
      </c>
      <c r="E784" s="7" t="s">
        <v>16</v>
      </c>
      <c r="F784" s="7" t="s">
        <v>41</v>
      </c>
      <c r="G784" s="7" t="str">
        <f t="shared" si="37"/>
        <v>Thursday</v>
      </c>
      <c r="H784" s="7" t="str">
        <f t="shared" si="38"/>
        <v>Feb</v>
      </c>
      <c r="I784" s="8">
        <v>43501</v>
      </c>
      <c r="J784" s="8" t="str">
        <f t="shared" si="36"/>
        <v>Afternoon</v>
      </c>
      <c r="K784" s="9">
        <v>0.59305555555555556</v>
      </c>
      <c r="L784" s="7" t="s">
        <v>28</v>
      </c>
      <c r="M784" s="10">
        <v>1.5309999999999999</v>
      </c>
      <c r="N784" s="7">
        <v>4.0999999999999996</v>
      </c>
    </row>
    <row r="785" spans="1:14" x14ac:dyDescent="0.25">
      <c r="A785" s="7" t="s">
        <v>814</v>
      </c>
      <c r="B785" s="7" t="s">
        <v>20</v>
      </c>
      <c r="C785" s="7" t="s">
        <v>21</v>
      </c>
      <c r="D785" s="7" t="s">
        <v>22</v>
      </c>
      <c r="E785" s="7" t="s">
        <v>16</v>
      </c>
      <c r="F785" s="7" t="s">
        <v>27</v>
      </c>
      <c r="G785" s="7" t="str">
        <f t="shared" si="37"/>
        <v>Monday</v>
      </c>
      <c r="H785" s="7" t="str">
        <f t="shared" si="38"/>
        <v>Mar</v>
      </c>
      <c r="I785" s="8">
        <v>43527</v>
      </c>
      <c r="J785" s="8" t="str">
        <f t="shared" si="36"/>
        <v>Evening</v>
      </c>
      <c r="K785" s="9">
        <v>0.73333333333333339</v>
      </c>
      <c r="L785" s="7" t="s">
        <v>24</v>
      </c>
      <c r="M785" s="10">
        <v>17.603999999999999</v>
      </c>
      <c r="N785" s="7">
        <v>8.8000000000000007</v>
      </c>
    </row>
    <row r="786" spans="1:14" x14ac:dyDescent="0.25">
      <c r="A786" s="7" t="s">
        <v>815</v>
      </c>
      <c r="B786" s="7" t="s">
        <v>20</v>
      </c>
      <c r="C786" s="7" t="s">
        <v>21</v>
      </c>
      <c r="D786" s="7" t="s">
        <v>15</v>
      </c>
      <c r="E786" s="7" t="s">
        <v>16</v>
      </c>
      <c r="F786" s="7" t="s">
        <v>17</v>
      </c>
      <c r="G786" s="7" t="str">
        <f t="shared" si="37"/>
        <v>Sunday</v>
      </c>
      <c r="H786" s="7" t="str">
        <f t="shared" si="38"/>
        <v>Feb</v>
      </c>
      <c r="I786" s="8">
        <v>43520</v>
      </c>
      <c r="J786" s="8" t="str">
        <f t="shared" si="36"/>
        <v>Afternoon</v>
      </c>
      <c r="K786" s="9">
        <v>0.54722222222222217</v>
      </c>
      <c r="L786" s="7" t="s">
        <v>18</v>
      </c>
      <c r="M786" s="10">
        <v>2.54</v>
      </c>
      <c r="N786" s="7">
        <v>4.0999999999999996</v>
      </c>
    </row>
    <row r="787" spans="1:14" x14ac:dyDescent="0.25">
      <c r="A787" s="7" t="s">
        <v>816</v>
      </c>
      <c r="B787" s="7" t="s">
        <v>13</v>
      </c>
      <c r="C787" s="7" t="s">
        <v>14</v>
      </c>
      <c r="D787" s="7" t="s">
        <v>22</v>
      </c>
      <c r="E787" s="7" t="s">
        <v>26</v>
      </c>
      <c r="F787" s="7" t="s">
        <v>23</v>
      </c>
      <c r="G787" s="7" t="str">
        <f t="shared" si="37"/>
        <v>Thursday</v>
      </c>
      <c r="H787" s="7" t="str">
        <f t="shared" si="38"/>
        <v>Feb</v>
      </c>
      <c r="I787" s="8">
        <v>43500</v>
      </c>
      <c r="J787" s="8" t="str">
        <f t="shared" si="36"/>
        <v>Evening</v>
      </c>
      <c r="K787" s="9">
        <v>0.67291666666666661</v>
      </c>
      <c r="L787" s="7" t="s">
        <v>28</v>
      </c>
      <c r="M787" s="10">
        <v>26.103000000000002</v>
      </c>
      <c r="N787" s="7">
        <v>9</v>
      </c>
    </row>
    <row r="788" spans="1:14" x14ac:dyDescent="0.25">
      <c r="A788" s="7" t="s">
        <v>817</v>
      </c>
      <c r="B788" s="7" t="s">
        <v>20</v>
      </c>
      <c r="C788" s="7" t="s">
        <v>21</v>
      </c>
      <c r="D788" s="7" t="s">
        <v>22</v>
      </c>
      <c r="E788" s="7" t="s">
        <v>26</v>
      </c>
      <c r="F788" s="7" t="s">
        <v>23</v>
      </c>
      <c r="G788" s="7" t="str">
        <f t="shared" si="37"/>
        <v>Saturday</v>
      </c>
      <c r="H788" s="7" t="str">
        <f t="shared" si="38"/>
        <v>Feb</v>
      </c>
      <c r="I788" s="8">
        <v>43515</v>
      </c>
      <c r="J788" s="8" t="str">
        <f t="shared" si="36"/>
        <v>Morning</v>
      </c>
      <c r="K788" s="9">
        <v>0.48125000000000001</v>
      </c>
      <c r="L788" s="7" t="s">
        <v>18</v>
      </c>
      <c r="M788" s="10">
        <v>28.756</v>
      </c>
      <c r="N788" s="7">
        <v>5.5</v>
      </c>
    </row>
    <row r="789" spans="1:14" x14ac:dyDescent="0.25">
      <c r="A789" s="7" t="s">
        <v>818</v>
      </c>
      <c r="B789" s="7" t="s">
        <v>20</v>
      </c>
      <c r="C789" s="7" t="s">
        <v>21</v>
      </c>
      <c r="D789" s="7" t="s">
        <v>22</v>
      </c>
      <c r="E789" s="7" t="s">
        <v>16</v>
      </c>
      <c r="F789" s="7" t="s">
        <v>17</v>
      </c>
      <c r="G789" s="7" t="str">
        <f t="shared" si="37"/>
        <v>Tuesday</v>
      </c>
      <c r="H789" s="7" t="str">
        <f t="shared" si="38"/>
        <v>Jan</v>
      </c>
      <c r="I789" s="8">
        <v>43488</v>
      </c>
      <c r="J789" s="8" t="str">
        <f t="shared" si="36"/>
        <v>Morning</v>
      </c>
      <c r="K789" s="9">
        <v>0.4291666666666667</v>
      </c>
      <c r="L789" s="7" t="s">
        <v>28</v>
      </c>
      <c r="M789" s="10">
        <v>2.7475000000000001</v>
      </c>
      <c r="N789" s="7">
        <v>9.3000000000000007</v>
      </c>
    </row>
    <row r="790" spans="1:14" x14ac:dyDescent="0.25">
      <c r="A790" s="7" t="s">
        <v>819</v>
      </c>
      <c r="B790" s="7" t="s">
        <v>20</v>
      </c>
      <c r="C790" s="7" t="s">
        <v>21</v>
      </c>
      <c r="D790" s="7" t="s">
        <v>15</v>
      </c>
      <c r="E790" s="7" t="s">
        <v>26</v>
      </c>
      <c r="F790" s="7" t="s">
        <v>17</v>
      </c>
      <c r="G790" s="7" t="str">
        <f t="shared" si="37"/>
        <v>Monday</v>
      </c>
      <c r="H790" s="7" t="str">
        <f t="shared" si="38"/>
        <v>Jan</v>
      </c>
      <c r="I790" s="8">
        <v>43479</v>
      </c>
      <c r="J790" s="8" t="str">
        <f t="shared" si="36"/>
        <v>Morning</v>
      </c>
      <c r="K790" s="9">
        <v>0.4548611111111111</v>
      </c>
      <c r="L790" s="7" t="s">
        <v>28</v>
      </c>
      <c r="M790" s="10">
        <v>9.0704999999999991</v>
      </c>
      <c r="N790" s="7">
        <v>5.6</v>
      </c>
    </row>
    <row r="791" spans="1:14" x14ac:dyDescent="0.25">
      <c r="A791" s="7" t="s">
        <v>820</v>
      </c>
      <c r="B791" s="7" t="s">
        <v>13</v>
      </c>
      <c r="C791" s="7" t="s">
        <v>14</v>
      </c>
      <c r="D791" s="7" t="s">
        <v>22</v>
      </c>
      <c r="E791" s="7" t="s">
        <v>26</v>
      </c>
      <c r="F791" s="7" t="s">
        <v>31</v>
      </c>
      <c r="G791" s="7" t="str">
        <f t="shared" si="37"/>
        <v>Monday</v>
      </c>
      <c r="H791" s="7" t="str">
        <f t="shared" si="38"/>
        <v>Jan</v>
      </c>
      <c r="I791" s="8">
        <v>43482</v>
      </c>
      <c r="J791" s="8" t="str">
        <f t="shared" si="36"/>
        <v>Afternoon</v>
      </c>
      <c r="K791" s="9">
        <v>0.63541666666666663</v>
      </c>
      <c r="L791" s="7" t="s">
        <v>18</v>
      </c>
      <c r="M791" s="10">
        <v>20.618500000000001</v>
      </c>
      <c r="N791" s="7">
        <v>9.6999999999999993</v>
      </c>
    </row>
    <row r="792" spans="1:14" x14ac:dyDescent="0.25">
      <c r="A792" s="7" t="s">
        <v>821</v>
      </c>
      <c r="B792" s="7" t="s">
        <v>13</v>
      </c>
      <c r="C792" s="7" t="s">
        <v>14</v>
      </c>
      <c r="D792" s="7" t="s">
        <v>22</v>
      </c>
      <c r="E792" s="7" t="s">
        <v>26</v>
      </c>
      <c r="F792" s="7" t="s">
        <v>41</v>
      </c>
      <c r="G792" s="7" t="str">
        <f t="shared" si="37"/>
        <v>Monday</v>
      </c>
      <c r="H792" s="7" t="str">
        <f t="shared" si="38"/>
        <v>Mar</v>
      </c>
      <c r="I792" s="8">
        <v>43527</v>
      </c>
      <c r="J792" s="8" t="str">
        <f t="shared" si="36"/>
        <v>Evening</v>
      </c>
      <c r="K792" s="9">
        <v>0.83750000000000002</v>
      </c>
      <c r="L792" s="7" t="s">
        <v>28</v>
      </c>
      <c r="M792" s="10">
        <v>2.3205</v>
      </c>
      <c r="N792" s="7">
        <v>4</v>
      </c>
    </row>
    <row r="793" spans="1:14" x14ac:dyDescent="0.25">
      <c r="A793" s="7" t="s">
        <v>822</v>
      </c>
      <c r="B793" s="7" t="s">
        <v>20</v>
      </c>
      <c r="C793" s="7" t="s">
        <v>21</v>
      </c>
      <c r="D793" s="7" t="s">
        <v>15</v>
      </c>
      <c r="E793" s="7" t="s">
        <v>26</v>
      </c>
      <c r="F793" s="7" t="s">
        <v>17</v>
      </c>
      <c r="G793" s="7" t="str">
        <f t="shared" si="37"/>
        <v>Friday</v>
      </c>
      <c r="H793" s="7" t="str">
        <f t="shared" si="38"/>
        <v>Feb</v>
      </c>
      <c r="I793" s="8">
        <v>43511</v>
      </c>
      <c r="J793" s="8" t="str">
        <f t="shared" si="36"/>
        <v>Evening</v>
      </c>
      <c r="K793" s="9">
        <v>0.84791666666666676</v>
      </c>
      <c r="L793" s="7" t="s">
        <v>28</v>
      </c>
      <c r="M793" s="10">
        <v>13.71</v>
      </c>
      <c r="N793" s="7">
        <v>9.1999999999999993</v>
      </c>
    </row>
    <row r="794" spans="1:14" x14ac:dyDescent="0.25">
      <c r="A794" s="7" t="s">
        <v>823</v>
      </c>
      <c r="B794" s="7" t="s">
        <v>37</v>
      </c>
      <c r="C794" s="7" t="s">
        <v>38</v>
      </c>
      <c r="D794" s="7" t="s">
        <v>22</v>
      </c>
      <c r="E794" s="7" t="s">
        <v>16</v>
      </c>
      <c r="F794" s="7" t="s">
        <v>27</v>
      </c>
      <c r="G794" s="7" t="str">
        <f t="shared" si="37"/>
        <v>Monday</v>
      </c>
      <c r="H794" s="7" t="str">
        <f t="shared" si="38"/>
        <v>Jan</v>
      </c>
      <c r="I794" s="8">
        <v>43480</v>
      </c>
      <c r="J794" s="8" t="str">
        <f t="shared" si="36"/>
        <v>Afternoon</v>
      </c>
      <c r="K794" s="9">
        <v>0.57500000000000007</v>
      </c>
      <c r="L794" s="7" t="s">
        <v>28</v>
      </c>
      <c r="M794" s="10">
        <v>48.685000000000002</v>
      </c>
      <c r="N794" s="7">
        <v>4.9000000000000004</v>
      </c>
    </row>
    <row r="795" spans="1:14" x14ac:dyDescent="0.25">
      <c r="A795" s="7" t="s">
        <v>824</v>
      </c>
      <c r="B795" s="7" t="s">
        <v>13</v>
      </c>
      <c r="C795" s="7" t="s">
        <v>14</v>
      </c>
      <c r="D795" s="7" t="s">
        <v>15</v>
      </c>
      <c r="E795" s="7" t="s">
        <v>26</v>
      </c>
      <c r="F795" s="7" t="s">
        <v>23</v>
      </c>
      <c r="G795" s="7" t="str">
        <f t="shared" si="37"/>
        <v>Sunday</v>
      </c>
      <c r="H795" s="7" t="str">
        <f t="shared" si="38"/>
        <v>Feb</v>
      </c>
      <c r="I795" s="8">
        <v>43523</v>
      </c>
      <c r="J795" s="8" t="str">
        <f t="shared" si="36"/>
        <v>Afternoon</v>
      </c>
      <c r="K795" s="9">
        <v>0.53611111111111109</v>
      </c>
      <c r="L795" s="7" t="s">
        <v>28</v>
      </c>
      <c r="M795" s="10">
        <v>32.409999999999997</v>
      </c>
      <c r="N795" s="7">
        <v>9.3000000000000007</v>
      </c>
    </row>
    <row r="796" spans="1:14" x14ac:dyDescent="0.25">
      <c r="A796" s="7" t="s">
        <v>825</v>
      </c>
      <c r="B796" s="7" t="s">
        <v>13</v>
      </c>
      <c r="C796" s="7" t="s">
        <v>14</v>
      </c>
      <c r="D796" s="7" t="s">
        <v>22</v>
      </c>
      <c r="E796" s="7" t="s">
        <v>16</v>
      </c>
      <c r="F796" s="7" t="s">
        <v>23</v>
      </c>
      <c r="G796" s="7" t="str">
        <f t="shared" si="37"/>
        <v>Sunday</v>
      </c>
      <c r="H796" s="7" t="str">
        <f t="shared" si="38"/>
        <v>Feb</v>
      </c>
      <c r="I796" s="8">
        <v>43522</v>
      </c>
      <c r="J796" s="8" t="str">
        <f t="shared" si="36"/>
        <v>Afternoon</v>
      </c>
      <c r="K796" s="9">
        <v>0.51944444444444449</v>
      </c>
      <c r="L796" s="7" t="s">
        <v>28</v>
      </c>
      <c r="M796" s="10">
        <v>4.6609999999999996</v>
      </c>
      <c r="N796" s="7">
        <v>6.6</v>
      </c>
    </row>
    <row r="797" spans="1:14" x14ac:dyDescent="0.25">
      <c r="A797" s="7" t="s">
        <v>826</v>
      </c>
      <c r="B797" s="7" t="s">
        <v>37</v>
      </c>
      <c r="C797" s="7" t="s">
        <v>38</v>
      </c>
      <c r="D797" s="7" t="s">
        <v>22</v>
      </c>
      <c r="E797" s="7" t="s">
        <v>26</v>
      </c>
      <c r="F797" s="7" t="s">
        <v>41</v>
      </c>
      <c r="G797" s="7" t="str">
        <f t="shared" si="37"/>
        <v>Tuesday</v>
      </c>
      <c r="H797" s="7" t="str">
        <f t="shared" si="38"/>
        <v>Mar</v>
      </c>
      <c r="I797" s="8">
        <v>43539</v>
      </c>
      <c r="J797" s="8" t="str">
        <f t="shared" si="36"/>
        <v>Evening</v>
      </c>
      <c r="K797" s="9">
        <v>0.68472222222222223</v>
      </c>
      <c r="L797" s="7" t="s">
        <v>18</v>
      </c>
      <c r="M797" s="10">
        <v>2.718</v>
      </c>
      <c r="N797" s="7">
        <v>4.3</v>
      </c>
    </row>
    <row r="798" spans="1:14" x14ac:dyDescent="0.25">
      <c r="A798" s="7" t="s">
        <v>827</v>
      </c>
      <c r="B798" s="7" t="s">
        <v>20</v>
      </c>
      <c r="C798" s="7" t="s">
        <v>21</v>
      </c>
      <c r="D798" s="7" t="s">
        <v>15</v>
      </c>
      <c r="E798" s="7" t="s">
        <v>16</v>
      </c>
      <c r="F798" s="7" t="s">
        <v>27</v>
      </c>
      <c r="G798" s="7" t="str">
        <f t="shared" si="37"/>
        <v>Tuesday</v>
      </c>
      <c r="H798" s="7" t="str">
        <f t="shared" si="38"/>
        <v>Jan</v>
      </c>
      <c r="I798" s="8">
        <v>43489</v>
      </c>
      <c r="J798" s="8" t="str">
        <f t="shared" si="36"/>
        <v>Afternoon</v>
      </c>
      <c r="K798" s="9">
        <v>0.55833333333333335</v>
      </c>
      <c r="L798" s="7" t="s">
        <v>24</v>
      </c>
      <c r="M798" s="10">
        <v>3.0434999999999999</v>
      </c>
      <c r="N798" s="7">
        <v>5.5</v>
      </c>
    </row>
    <row r="799" spans="1:14" x14ac:dyDescent="0.25">
      <c r="A799" s="7" t="s">
        <v>828</v>
      </c>
      <c r="B799" s="7" t="s">
        <v>13</v>
      </c>
      <c r="C799" s="7" t="s">
        <v>14</v>
      </c>
      <c r="D799" s="7" t="s">
        <v>15</v>
      </c>
      <c r="E799" s="7" t="s">
        <v>16</v>
      </c>
      <c r="F799" s="7" t="s">
        <v>31</v>
      </c>
      <c r="G799" s="7" t="str">
        <f t="shared" si="37"/>
        <v>Saturday</v>
      </c>
      <c r="H799" s="7" t="str">
        <f t="shared" si="38"/>
        <v>Feb</v>
      </c>
      <c r="I799" s="8">
        <v>43518</v>
      </c>
      <c r="J799" s="8" t="str">
        <f t="shared" si="36"/>
        <v>Afternoon</v>
      </c>
      <c r="K799" s="9">
        <v>0.63541666666666663</v>
      </c>
      <c r="L799" s="7" t="s">
        <v>24</v>
      </c>
      <c r="M799" s="10">
        <v>12.244999999999999</v>
      </c>
      <c r="N799" s="7">
        <v>8.1</v>
      </c>
    </row>
    <row r="800" spans="1:14" x14ac:dyDescent="0.25">
      <c r="A800" s="7" t="s">
        <v>829</v>
      </c>
      <c r="B800" s="7" t="s">
        <v>37</v>
      </c>
      <c r="C800" s="7" t="s">
        <v>38</v>
      </c>
      <c r="D800" s="7" t="s">
        <v>22</v>
      </c>
      <c r="E800" s="7" t="s">
        <v>26</v>
      </c>
      <c r="F800" s="7" t="s">
        <v>17</v>
      </c>
      <c r="G800" s="7" t="str">
        <f t="shared" si="37"/>
        <v>Tuesday</v>
      </c>
      <c r="H800" s="7" t="str">
        <f t="shared" si="38"/>
        <v>Mar</v>
      </c>
      <c r="I800" s="8">
        <v>43539</v>
      </c>
      <c r="J800" s="8" t="str">
        <f t="shared" si="36"/>
        <v>Morning</v>
      </c>
      <c r="K800" s="9">
        <v>0.4513888888888889</v>
      </c>
      <c r="L800" s="7" t="s">
        <v>28</v>
      </c>
      <c r="M800" s="10">
        <v>4.6390000000000002</v>
      </c>
      <c r="N800" s="7">
        <v>9.8000000000000007</v>
      </c>
    </row>
    <row r="801" spans="1:14" x14ac:dyDescent="0.25">
      <c r="A801" s="7" t="s">
        <v>830</v>
      </c>
      <c r="B801" s="7" t="s">
        <v>20</v>
      </c>
      <c r="C801" s="7" t="s">
        <v>21</v>
      </c>
      <c r="D801" s="7" t="s">
        <v>15</v>
      </c>
      <c r="E801" s="7" t="s">
        <v>26</v>
      </c>
      <c r="F801" s="7" t="s">
        <v>27</v>
      </c>
      <c r="G801" s="7" t="str">
        <f t="shared" si="37"/>
        <v>Friday</v>
      </c>
      <c r="H801" s="7" t="str">
        <f t="shared" si="38"/>
        <v>Feb</v>
      </c>
      <c r="I801" s="8">
        <v>43507</v>
      </c>
      <c r="J801" s="8" t="str">
        <f t="shared" si="36"/>
        <v>Evening</v>
      </c>
      <c r="K801" s="9">
        <v>0.77638888888888891</v>
      </c>
      <c r="L801" s="7" t="s">
        <v>18</v>
      </c>
      <c r="M801" s="10">
        <v>21.672499999999999</v>
      </c>
      <c r="N801" s="7">
        <v>9.4</v>
      </c>
    </row>
    <row r="802" spans="1:14" x14ac:dyDescent="0.25">
      <c r="A802" s="7" t="s">
        <v>831</v>
      </c>
      <c r="B802" s="7" t="s">
        <v>37</v>
      </c>
      <c r="C802" s="7" t="s">
        <v>38</v>
      </c>
      <c r="D802" s="7" t="s">
        <v>22</v>
      </c>
      <c r="E802" s="7" t="s">
        <v>26</v>
      </c>
      <c r="F802" s="7" t="s">
        <v>31</v>
      </c>
      <c r="G802" s="7" t="str">
        <f t="shared" si="37"/>
        <v>Monday</v>
      </c>
      <c r="H802" s="7" t="str">
        <f t="shared" si="38"/>
        <v>Jan</v>
      </c>
      <c r="I802" s="8">
        <v>43477</v>
      </c>
      <c r="J802" s="8" t="str">
        <f t="shared" si="36"/>
        <v>Evening</v>
      </c>
      <c r="K802" s="9">
        <v>0.69791666666666663</v>
      </c>
      <c r="L802" s="7" t="s">
        <v>18</v>
      </c>
      <c r="M802" s="10">
        <v>6.9029999999999996</v>
      </c>
      <c r="N802" s="7">
        <v>7.9</v>
      </c>
    </row>
    <row r="803" spans="1:14" x14ac:dyDescent="0.25">
      <c r="A803" s="7" t="s">
        <v>832</v>
      </c>
      <c r="B803" s="7" t="s">
        <v>20</v>
      </c>
      <c r="C803" s="7" t="s">
        <v>21</v>
      </c>
      <c r="D803" s="7" t="s">
        <v>15</v>
      </c>
      <c r="E803" s="7" t="s">
        <v>16</v>
      </c>
      <c r="F803" s="7" t="s">
        <v>23</v>
      </c>
      <c r="G803" s="7" t="str">
        <f t="shared" si="37"/>
        <v>Monday</v>
      </c>
      <c r="H803" s="7" t="str">
        <f t="shared" si="38"/>
        <v>Mar</v>
      </c>
      <c r="I803" s="8">
        <v>43527</v>
      </c>
      <c r="J803" s="8" t="str">
        <f t="shared" si="36"/>
        <v>Evening</v>
      </c>
      <c r="K803" s="9">
        <v>0.8125</v>
      </c>
      <c r="L803" s="7" t="s">
        <v>18</v>
      </c>
      <c r="M803" s="10">
        <v>12.08</v>
      </c>
      <c r="N803" s="7">
        <v>5.0999999999999996</v>
      </c>
    </row>
    <row r="804" spans="1:14" x14ac:dyDescent="0.25">
      <c r="A804" s="7" t="s">
        <v>833</v>
      </c>
      <c r="B804" s="7" t="s">
        <v>20</v>
      </c>
      <c r="C804" s="7" t="s">
        <v>21</v>
      </c>
      <c r="D804" s="7" t="s">
        <v>15</v>
      </c>
      <c r="E804" s="7" t="s">
        <v>26</v>
      </c>
      <c r="F804" s="7" t="s">
        <v>41</v>
      </c>
      <c r="G804" s="7" t="str">
        <f t="shared" si="37"/>
        <v>Thursday</v>
      </c>
      <c r="H804" s="7" t="str">
        <f t="shared" si="38"/>
        <v>Mar</v>
      </c>
      <c r="I804" s="8">
        <v>43547</v>
      </c>
      <c r="J804" s="8" t="str">
        <f t="shared" si="36"/>
        <v>Afternoon</v>
      </c>
      <c r="K804" s="9">
        <v>0.55763888888888891</v>
      </c>
      <c r="L804" s="7" t="s">
        <v>18</v>
      </c>
      <c r="M804" s="10">
        <v>23.586500000000001</v>
      </c>
      <c r="N804" s="7">
        <v>6.9</v>
      </c>
    </row>
    <row r="805" spans="1:14" x14ac:dyDescent="0.25">
      <c r="A805" s="7" t="s">
        <v>834</v>
      </c>
      <c r="B805" s="7" t="s">
        <v>13</v>
      </c>
      <c r="C805" s="7" t="s">
        <v>14</v>
      </c>
      <c r="D805" s="7" t="s">
        <v>15</v>
      </c>
      <c r="E805" s="7" t="s">
        <v>16</v>
      </c>
      <c r="F805" s="7" t="s">
        <v>41</v>
      </c>
      <c r="G805" s="7" t="str">
        <f t="shared" si="37"/>
        <v>Monday</v>
      </c>
      <c r="H805" s="7" t="str">
        <f t="shared" si="38"/>
        <v>Mar</v>
      </c>
      <c r="I805" s="8">
        <v>43528</v>
      </c>
      <c r="J805" s="8" t="str">
        <f t="shared" si="36"/>
        <v>Morning</v>
      </c>
      <c r="K805" s="9">
        <v>0.4770833333333333</v>
      </c>
      <c r="L805" s="7" t="s">
        <v>24</v>
      </c>
      <c r="M805" s="10">
        <v>22.032</v>
      </c>
      <c r="N805" s="7">
        <v>8</v>
      </c>
    </row>
    <row r="806" spans="1:14" x14ac:dyDescent="0.25">
      <c r="A806" s="7" t="s">
        <v>835</v>
      </c>
      <c r="B806" s="7" t="s">
        <v>37</v>
      </c>
      <c r="C806" s="7" t="s">
        <v>38</v>
      </c>
      <c r="D806" s="7" t="s">
        <v>15</v>
      </c>
      <c r="E806" s="7" t="s">
        <v>16</v>
      </c>
      <c r="F806" s="7" t="s">
        <v>23</v>
      </c>
      <c r="G806" s="7" t="str">
        <f t="shared" si="37"/>
        <v>Sunday</v>
      </c>
      <c r="H806" s="7" t="str">
        <f t="shared" si="38"/>
        <v>Feb</v>
      </c>
      <c r="I806" s="8">
        <v>43519</v>
      </c>
      <c r="J806" s="8" t="str">
        <f t="shared" si="36"/>
        <v>Morning</v>
      </c>
      <c r="K806" s="9">
        <v>0.46666666666666662</v>
      </c>
      <c r="L806" s="7" t="s">
        <v>24</v>
      </c>
      <c r="M806" s="10">
        <v>34.015500000000003</v>
      </c>
      <c r="N806" s="7">
        <v>8</v>
      </c>
    </row>
    <row r="807" spans="1:14" x14ac:dyDescent="0.25">
      <c r="A807" s="7" t="s">
        <v>836</v>
      </c>
      <c r="B807" s="7" t="s">
        <v>13</v>
      </c>
      <c r="C807" s="7" t="s">
        <v>14</v>
      </c>
      <c r="D807" s="7" t="s">
        <v>22</v>
      </c>
      <c r="E807" s="7" t="s">
        <v>16</v>
      </c>
      <c r="F807" s="7" t="s">
        <v>27</v>
      </c>
      <c r="G807" s="7" t="str">
        <f t="shared" si="37"/>
        <v>Wednesday</v>
      </c>
      <c r="H807" s="7" t="str">
        <f t="shared" si="38"/>
        <v>Mar</v>
      </c>
      <c r="I807" s="8">
        <v>43541</v>
      </c>
      <c r="J807" s="8" t="str">
        <f t="shared" si="36"/>
        <v>Evening</v>
      </c>
      <c r="K807" s="9">
        <v>0.69166666666666676</v>
      </c>
      <c r="L807" s="7" t="s">
        <v>24</v>
      </c>
      <c r="M807" s="10">
        <v>15.494</v>
      </c>
      <c r="N807" s="7">
        <v>4.2</v>
      </c>
    </row>
    <row r="808" spans="1:14" x14ac:dyDescent="0.25">
      <c r="A808" s="7" t="s">
        <v>837</v>
      </c>
      <c r="B808" s="7" t="s">
        <v>13</v>
      </c>
      <c r="C808" s="7" t="s">
        <v>14</v>
      </c>
      <c r="D808" s="7" t="s">
        <v>22</v>
      </c>
      <c r="E808" s="7" t="s">
        <v>16</v>
      </c>
      <c r="F808" s="7" t="s">
        <v>31</v>
      </c>
      <c r="G808" s="7" t="str">
        <f t="shared" si="37"/>
        <v>Monday</v>
      </c>
      <c r="H808" s="7" t="str">
        <f t="shared" si="38"/>
        <v>Jan</v>
      </c>
      <c r="I808" s="8">
        <v>43481</v>
      </c>
      <c r="J808" s="8" t="str">
        <f t="shared" si="36"/>
        <v>Evening</v>
      </c>
      <c r="K808" s="9">
        <v>0.77847222222222223</v>
      </c>
      <c r="L808" s="7" t="s">
        <v>28</v>
      </c>
      <c r="M808" s="10">
        <v>9.3179999999999996</v>
      </c>
      <c r="N808" s="7">
        <v>8.5</v>
      </c>
    </row>
    <row r="809" spans="1:14" x14ac:dyDescent="0.25">
      <c r="A809" s="7" t="s">
        <v>838</v>
      </c>
      <c r="B809" s="7" t="s">
        <v>13</v>
      </c>
      <c r="C809" s="7" t="s">
        <v>14</v>
      </c>
      <c r="D809" s="7" t="s">
        <v>22</v>
      </c>
      <c r="E809" s="7" t="s">
        <v>16</v>
      </c>
      <c r="F809" s="7" t="s">
        <v>23</v>
      </c>
      <c r="G809" s="7" t="str">
        <f t="shared" si="37"/>
        <v>Sunday</v>
      </c>
      <c r="H809" s="7" t="str">
        <f t="shared" si="38"/>
        <v>Jan</v>
      </c>
      <c r="I809" s="8">
        <v>43473</v>
      </c>
      <c r="J809" s="8" t="str">
        <f t="shared" si="36"/>
        <v>Evening</v>
      </c>
      <c r="K809" s="9">
        <v>0.71666666666666667</v>
      </c>
      <c r="L809" s="7" t="s">
        <v>24</v>
      </c>
      <c r="M809" s="10">
        <v>10.045999999999999</v>
      </c>
      <c r="N809" s="7">
        <v>9</v>
      </c>
    </row>
    <row r="810" spans="1:14" x14ac:dyDescent="0.25">
      <c r="A810" s="7" t="s">
        <v>839</v>
      </c>
      <c r="B810" s="7" t="s">
        <v>37</v>
      </c>
      <c r="C810" s="7" t="s">
        <v>38</v>
      </c>
      <c r="D810" s="7" t="s">
        <v>22</v>
      </c>
      <c r="E810" s="7" t="s">
        <v>16</v>
      </c>
      <c r="F810" s="7" t="s">
        <v>17</v>
      </c>
      <c r="G810" s="7" t="str">
        <f t="shared" si="37"/>
        <v>Monday</v>
      </c>
      <c r="H810" s="7" t="str">
        <f t="shared" si="38"/>
        <v>Jan</v>
      </c>
      <c r="I810" s="8">
        <v>43479</v>
      </c>
      <c r="J810" s="8" t="str">
        <f t="shared" si="36"/>
        <v>Morning</v>
      </c>
      <c r="K810" s="9">
        <v>0.44305555555555554</v>
      </c>
      <c r="L810" s="7" t="s">
        <v>24</v>
      </c>
      <c r="M810" s="10">
        <v>0.88749999999999996</v>
      </c>
      <c r="N810" s="7">
        <v>8.6</v>
      </c>
    </row>
    <row r="811" spans="1:14" x14ac:dyDescent="0.25">
      <c r="A811" s="7" t="s">
        <v>840</v>
      </c>
      <c r="B811" s="7" t="s">
        <v>20</v>
      </c>
      <c r="C811" s="7" t="s">
        <v>21</v>
      </c>
      <c r="D811" s="7" t="s">
        <v>22</v>
      </c>
      <c r="E811" s="7" t="s">
        <v>16</v>
      </c>
      <c r="F811" s="7" t="s">
        <v>41</v>
      </c>
      <c r="G811" s="7" t="str">
        <f t="shared" si="37"/>
        <v>Wednesday</v>
      </c>
      <c r="H811" s="7" t="str">
        <f t="shared" si="38"/>
        <v>Jan</v>
      </c>
      <c r="I811" s="8">
        <v>43496</v>
      </c>
      <c r="J811" s="8" t="str">
        <f t="shared" si="36"/>
        <v>Morning</v>
      </c>
      <c r="K811" s="9">
        <v>0.43958333333333338</v>
      </c>
      <c r="L811" s="7" t="s">
        <v>18</v>
      </c>
      <c r="M811" s="10">
        <v>31.09</v>
      </c>
      <c r="N811" s="7">
        <v>6</v>
      </c>
    </row>
    <row r="812" spans="1:14" x14ac:dyDescent="0.25">
      <c r="A812" s="7" t="s">
        <v>841</v>
      </c>
      <c r="B812" s="7" t="s">
        <v>37</v>
      </c>
      <c r="C812" s="7" t="s">
        <v>38</v>
      </c>
      <c r="D812" s="7" t="s">
        <v>22</v>
      </c>
      <c r="E812" s="7" t="s">
        <v>26</v>
      </c>
      <c r="F812" s="7" t="s">
        <v>17</v>
      </c>
      <c r="G812" s="7" t="str">
        <f t="shared" si="37"/>
        <v>Tuesday</v>
      </c>
      <c r="H812" s="7" t="str">
        <f t="shared" si="38"/>
        <v>Mar</v>
      </c>
      <c r="I812" s="8">
        <v>43539</v>
      </c>
      <c r="J812" s="8" t="str">
        <f t="shared" si="36"/>
        <v>Afternoon</v>
      </c>
      <c r="K812" s="9">
        <v>0.60972222222222217</v>
      </c>
      <c r="L812" s="7" t="s">
        <v>18</v>
      </c>
      <c r="M812" s="10">
        <v>4.3</v>
      </c>
      <c r="N812" s="7">
        <v>6.2</v>
      </c>
    </row>
    <row r="813" spans="1:14" x14ac:dyDescent="0.25">
      <c r="A813" s="7" t="s">
        <v>842</v>
      </c>
      <c r="B813" s="7" t="s">
        <v>13</v>
      </c>
      <c r="C813" s="7" t="s">
        <v>14</v>
      </c>
      <c r="D813" s="7" t="s">
        <v>22</v>
      </c>
      <c r="E813" s="7" t="s">
        <v>16</v>
      </c>
      <c r="F813" s="7" t="s">
        <v>23</v>
      </c>
      <c r="G813" s="7" t="str">
        <f t="shared" si="37"/>
        <v>Sunday</v>
      </c>
      <c r="H813" s="7" t="str">
        <f t="shared" si="38"/>
        <v>Feb</v>
      </c>
      <c r="I813" s="8">
        <v>43520</v>
      </c>
      <c r="J813" s="8" t="str">
        <f t="shared" si="36"/>
        <v>Evening</v>
      </c>
      <c r="K813" s="9">
        <v>0.75416666666666676</v>
      </c>
      <c r="L813" s="7" t="s">
        <v>28</v>
      </c>
      <c r="M813" s="10">
        <v>20.13</v>
      </c>
      <c r="N813" s="7">
        <v>5</v>
      </c>
    </row>
    <row r="814" spans="1:14" x14ac:dyDescent="0.25">
      <c r="A814" s="7" t="s">
        <v>843</v>
      </c>
      <c r="B814" s="7" t="s">
        <v>20</v>
      </c>
      <c r="C814" s="7" t="s">
        <v>21</v>
      </c>
      <c r="D814" s="7" t="s">
        <v>15</v>
      </c>
      <c r="E814" s="7" t="s">
        <v>16</v>
      </c>
      <c r="F814" s="7" t="s">
        <v>31</v>
      </c>
      <c r="G814" s="7" t="str">
        <f t="shared" si="37"/>
        <v>Thursday</v>
      </c>
      <c r="H814" s="7" t="str">
        <f t="shared" si="38"/>
        <v>Feb</v>
      </c>
      <c r="I814" s="8">
        <v>43504</v>
      </c>
      <c r="J814" s="8" t="str">
        <f t="shared" si="36"/>
        <v>Afternoon</v>
      </c>
      <c r="K814" s="9">
        <v>0.53611111111111109</v>
      </c>
      <c r="L814" s="7" t="s">
        <v>28</v>
      </c>
      <c r="M814" s="10">
        <v>16.2425</v>
      </c>
      <c r="N814" s="7">
        <v>6.5</v>
      </c>
    </row>
    <row r="815" spans="1:14" x14ac:dyDescent="0.25">
      <c r="A815" s="7" t="s">
        <v>844</v>
      </c>
      <c r="B815" s="7" t="s">
        <v>13</v>
      </c>
      <c r="C815" s="7" t="s">
        <v>14</v>
      </c>
      <c r="D815" s="7" t="s">
        <v>22</v>
      </c>
      <c r="E815" s="7" t="s">
        <v>26</v>
      </c>
      <c r="F815" s="7" t="s">
        <v>23</v>
      </c>
      <c r="G815" s="7" t="str">
        <f t="shared" si="37"/>
        <v>Wednesday</v>
      </c>
      <c r="H815" s="7" t="str">
        <f t="shared" si="38"/>
        <v>Mar</v>
      </c>
      <c r="I815" s="8">
        <v>43546</v>
      </c>
      <c r="J815" s="8" t="str">
        <f t="shared" si="36"/>
        <v>Afternoon</v>
      </c>
      <c r="K815" s="9">
        <v>0.58333333333333337</v>
      </c>
      <c r="L815" s="7" t="s">
        <v>24</v>
      </c>
      <c r="M815" s="10">
        <v>4.7575000000000003</v>
      </c>
      <c r="N815" s="7">
        <v>6</v>
      </c>
    </row>
    <row r="816" spans="1:14" x14ac:dyDescent="0.25">
      <c r="A816" s="7" t="s">
        <v>845</v>
      </c>
      <c r="B816" s="7" t="s">
        <v>13</v>
      </c>
      <c r="C816" s="7" t="s">
        <v>14</v>
      </c>
      <c r="D816" s="7" t="s">
        <v>15</v>
      </c>
      <c r="E816" s="7" t="s">
        <v>16</v>
      </c>
      <c r="F816" s="7" t="s">
        <v>23</v>
      </c>
      <c r="G816" s="7" t="str">
        <f t="shared" si="37"/>
        <v>Tuesday</v>
      </c>
      <c r="H816" s="7" t="str">
        <f t="shared" si="38"/>
        <v>Jan</v>
      </c>
      <c r="I816" s="8">
        <v>43489</v>
      </c>
      <c r="J816" s="8" t="str">
        <f t="shared" si="36"/>
        <v>Morning</v>
      </c>
      <c r="K816" s="9">
        <v>0.45624999999999999</v>
      </c>
      <c r="L816" s="7" t="s">
        <v>24</v>
      </c>
      <c r="M816" s="10">
        <v>19.448</v>
      </c>
      <c r="N816" s="7">
        <v>5</v>
      </c>
    </row>
    <row r="817" spans="1:14" x14ac:dyDescent="0.25">
      <c r="A817" s="7" t="s">
        <v>846</v>
      </c>
      <c r="B817" s="7" t="s">
        <v>37</v>
      </c>
      <c r="C817" s="7" t="s">
        <v>38</v>
      </c>
      <c r="D817" s="7" t="s">
        <v>22</v>
      </c>
      <c r="E817" s="7" t="s">
        <v>16</v>
      </c>
      <c r="F817" s="7" t="s">
        <v>39</v>
      </c>
      <c r="G817" s="7" t="str">
        <f t="shared" si="37"/>
        <v>Tuesday</v>
      </c>
      <c r="H817" s="7" t="str">
        <f t="shared" si="38"/>
        <v>Mar</v>
      </c>
      <c r="I817" s="8">
        <v>43538</v>
      </c>
      <c r="J817" s="8" t="str">
        <f t="shared" si="36"/>
        <v>Evening</v>
      </c>
      <c r="K817" s="9">
        <v>0.69791666666666663</v>
      </c>
      <c r="L817" s="7" t="s">
        <v>18</v>
      </c>
      <c r="M817" s="10">
        <v>21.283999999999999</v>
      </c>
      <c r="N817" s="7">
        <v>5</v>
      </c>
    </row>
    <row r="818" spans="1:14" x14ac:dyDescent="0.25">
      <c r="A818" s="7" t="s">
        <v>847</v>
      </c>
      <c r="B818" s="7" t="s">
        <v>20</v>
      </c>
      <c r="C818" s="7" t="s">
        <v>21</v>
      </c>
      <c r="D818" s="7" t="s">
        <v>22</v>
      </c>
      <c r="E818" s="7" t="s">
        <v>16</v>
      </c>
      <c r="F818" s="7" t="s">
        <v>41</v>
      </c>
      <c r="G818" s="7" t="str">
        <f t="shared" si="37"/>
        <v>Tuesday</v>
      </c>
      <c r="H818" s="7" t="str">
        <f t="shared" si="38"/>
        <v>Jan</v>
      </c>
      <c r="I818" s="8">
        <v>43488</v>
      </c>
      <c r="J818" s="8" t="str">
        <f t="shared" si="36"/>
        <v>Morning</v>
      </c>
      <c r="K818" s="9">
        <v>0.46875</v>
      </c>
      <c r="L818" s="7" t="s">
        <v>24</v>
      </c>
      <c r="M818" s="10">
        <v>15.904</v>
      </c>
      <c r="N818" s="7">
        <v>9.1999999999999993</v>
      </c>
    </row>
    <row r="819" spans="1:14" x14ac:dyDescent="0.25">
      <c r="A819" s="7" t="s">
        <v>848</v>
      </c>
      <c r="B819" s="7" t="s">
        <v>13</v>
      </c>
      <c r="C819" s="7" t="s">
        <v>14</v>
      </c>
      <c r="D819" s="7" t="s">
        <v>22</v>
      </c>
      <c r="E819" s="7" t="s">
        <v>26</v>
      </c>
      <c r="F819" s="7" t="s">
        <v>39</v>
      </c>
      <c r="G819" s="7" t="str">
        <f t="shared" si="37"/>
        <v>Tuesday</v>
      </c>
      <c r="H819" s="7" t="str">
        <f t="shared" si="38"/>
        <v>Jan</v>
      </c>
      <c r="I819" s="8">
        <v>43484</v>
      </c>
      <c r="J819" s="8" t="str">
        <f t="shared" si="36"/>
        <v>Evening</v>
      </c>
      <c r="K819" s="9">
        <v>0.8534722222222223</v>
      </c>
      <c r="L819" s="7" t="s">
        <v>18</v>
      </c>
      <c r="M819" s="10">
        <v>13.552</v>
      </c>
      <c r="N819" s="7">
        <v>9.6</v>
      </c>
    </row>
    <row r="820" spans="1:14" x14ac:dyDescent="0.25">
      <c r="A820" s="7" t="s">
        <v>849</v>
      </c>
      <c r="B820" s="7" t="s">
        <v>37</v>
      </c>
      <c r="C820" s="7" t="s">
        <v>38</v>
      </c>
      <c r="D820" s="7" t="s">
        <v>15</v>
      </c>
      <c r="E820" s="7" t="s">
        <v>26</v>
      </c>
      <c r="F820" s="7" t="s">
        <v>17</v>
      </c>
      <c r="G820" s="7" t="str">
        <f t="shared" si="37"/>
        <v>Wednesday</v>
      </c>
      <c r="H820" s="7" t="str">
        <f t="shared" si="38"/>
        <v>Jan</v>
      </c>
      <c r="I820" s="8">
        <v>43492</v>
      </c>
      <c r="J820" s="8" t="str">
        <f t="shared" si="36"/>
        <v>Evening</v>
      </c>
      <c r="K820" s="9">
        <v>0.8354166666666667</v>
      </c>
      <c r="L820" s="7" t="s">
        <v>28</v>
      </c>
      <c r="M820" s="10">
        <v>19.231999999999999</v>
      </c>
      <c r="N820" s="7">
        <v>8.4</v>
      </c>
    </row>
    <row r="821" spans="1:14" x14ac:dyDescent="0.25">
      <c r="A821" s="7" t="s">
        <v>850</v>
      </c>
      <c r="B821" s="7" t="s">
        <v>37</v>
      </c>
      <c r="C821" s="7" t="s">
        <v>38</v>
      </c>
      <c r="D821" s="7" t="s">
        <v>15</v>
      </c>
      <c r="E821" s="7" t="s">
        <v>26</v>
      </c>
      <c r="F821" s="7" t="s">
        <v>39</v>
      </c>
      <c r="G821" s="7" t="str">
        <f t="shared" si="37"/>
        <v>Thursday</v>
      </c>
      <c r="H821" s="7" t="str">
        <f t="shared" si="38"/>
        <v>Feb</v>
      </c>
      <c r="I821" s="8">
        <v>43499</v>
      </c>
      <c r="J821" s="8" t="str">
        <f t="shared" si="36"/>
        <v>Afternoon</v>
      </c>
      <c r="K821" s="9">
        <v>0.60763888888888895</v>
      </c>
      <c r="L821" s="7" t="s">
        <v>28</v>
      </c>
      <c r="M821" s="10">
        <v>11.79</v>
      </c>
      <c r="N821" s="7">
        <v>6</v>
      </c>
    </row>
    <row r="822" spans="1:14" x14ac:dyDescent="0.25">
      <c r="A822" s="7" t="s">
        <v>851</v>
      </c>
      <c r="B822" s="7" t="s">
        <v>37</v>
      </c>
      <c r="C822" s="7" t="s">
        <v>38</v>
      </c>
      <c r="D822" s="7" t="s">
        <v>22</v>
      </c>
      <c r="E822" s="7" t="s">
        <v>26</v>
      </c>
      <c r="F822" s="7" t="s">
        <v>23</v>
      </c>
      <c r="G822" s="7" t="str">
        <f t="shared" si="37"/>
        <v>Thursday</v>
      </c>
      <c r="H822" s="7" t="str">
        <f t="shared" si="38"/>
        <v>Mar</v>
      </c>
      <c r="I822" s="8">
        <v>43549</v>
      </c>
      <c r="J822" s="8" t="str">
        <f t="shared" si="36"/>
        <v>Evening</v>
      </c>
      <c r="K822" s="9">
        <v>0.68888888888888899</v>
      </c>
      <c r="L822" s="7" t="s">
        <v>18</v>
      </c>
      <c r="M822" s="10">
        <v>10.577999999999999</v>
      </c>
      <c r="N822" s="7">
        <v>6.7</v>
      </c>
    </row>
    <row r="823" spans="1:14" x14ac:dyDescent="0.25">
      <c r="A823" s="7" t="s">
        <v>852</v>
      </c>
      <c r="B823" s="7" t="s">
        <v>13</v>
      </c>
      <c r="C823" s="7" t="s">
        <v>14</v>
      </c>
      <c r="D823" s="7" t="s">
        <v>15</v>
      </c>
      <c r="E823" s="7" t="s">
        <v>16</v>
      </c>
      <c r="F823" s="7" t="s">
        <v>27</v>
      </c>
      <c r="G823" s="7" t="str">
        <f t="shared" si="37"/>
        <v>Sunday</v>
      </c>
      <c r="H823" s="7" t="str">
        <f t="shared" si="38"/>
        <v>Feb</v>
      </c>
      <c r="I823" s="8">
        <v>43520</v>
      </c>
      <c r="J823" s="8" t="str">
        <f t="shared" si="36"/>
        <v>Morning</v>
      </c>
      <c r="K823" s="9">
        <v>0.4236111111111111</v>
      </c>
      <c r="L823" s="7" t="s">
        <v>28</v>
      </c>
      <c r="M823" s="10">
        <v>4.7679999999999998</v>
      </c>
      <c r="N823" s="7">
        <v>4.0999999999999996</v>
      </c>
    </row>
    <row r="824" spans="1:14" x14ac:dyDescent="0.25">
      <c r="A824" s="7" t="s">
        <v>853</v>
      </c>
      <c r="B824" s="7" t="s">
        <v>20</v>
      </c>
      <c r="C824" s="7" t="s">
        <v>21</v>
      </c>
      <c r="D824" s="7" t="s">
        <v>15</v>
      </c>
      <c r="E824" s="7" t="s">
        <v>26</v>
      </c>
      <c r="F824" s="7" t="s">
        <v>31</v>
      </c>
      <c r="G824" s="7" t="str">
        <f t="shared" si="37"/>
        <v>Thursday</v>
      </c>
      <c r="H824" s="7" t="str">
        <f t="shared" si="38"/>
        <v>Feb</v>
      </c>
      <c r="I824" s="8">
        <v>43503</v>
      </c>
      <c r="J824" s="8" t="str">
        <f t="shared" si="36"/>
        <v>Afternoon</v>
      </c>
      <c r="K824" s="9">
        <v>0.59375</v>
      </c>
      <c r="L824" s="7" t="s">
        <v>24</v>
      </c>
      <c r="M824" s="10">
        <v>0.50849999999999995</v>
      </c>
      <c r="N824" s="7">
        <v>5.9</v>
      </c>
    </row>
    <row r="825" spans="1:14" x14ac:dyDescent="0.25">
      <c r="A825" s="7" t="s">
        <v>854</v>
      </c>
      <c r="B825" s="7" t="s">
        <v>13</v>
      </c>
      <c r="C825" s="7" t="s">
        <v>14</v>
      </c>
      <c r="D825" s="7" t="s">
        <v>22</v>
      </c>
      <c r="E825" s="7" t="s">
        <v>16</v>
      </c>
      <c r="F825" s="7" t="s">
        <v>17</v>
      </c>
      <c r="G825" s="7" t="str">
        <f t="shared" si="37"/>
        <v>Monday</v>
      </c>
      <c r="H825" s="7" t="str">
        <f t="shared" si="38"/>
        <v>Mar</v>
      </c>
      <c r="I825" s="8">
        <v>43528</v>
      </c>
      <c r="J825" s="8" t="str">
        <f t="shared" si="36"/>
        <v>Morning</v>
      </c>
      <c r="K825" s="9">
        <v>0.4201388888888889</v>
      </c>
      <c r="L825" s="7" t="s">
        <v>24</v>
      </c>
      <c r="M825" s="10">
        <v>10.3065</v>
      </c>
      <c r="N825" s="7">
        <v>8.6999999999999993</v>
      </c>
    </row>
    <row r="826" spans="1:14" x14ac:dyDescent="0.25">
      <c r="A826" s="7" t="s">
        <v>855</v>
      </c>
      <c r="B826" s="7" t="s">
        <v>37</v>
      </c>
      <c r="C826" s="7" t="s">
        <v>38</v>
      </c>
      <c r="D826" s="7" t="s">
        <v>15</v>
      </c>
      <c r="E826" s="7" t="s">
        <v>16</v>
      </c>
      <c r="F826" s="7" t="s">
        <v>31</v>
      </c>
      <c r="G826" s="7" t="str">
        <f t="shared" si="37"/>
        <v>Friday</v>
      </c>
      <c r="H826" s="7" t="str">
        <f t="shared" si="38"/>
        <v>Feb</v>
      </c>
      <c r="I826" s="8">
        <v>43510</v>
      </c>
      <c r="J826" s="8" t="str">
        <f t="shared" si="36"/>
        <v>Morning</v>
      </c>
      <c r="K826" s="9">
        <v>0.48333333333333334</v>
      </c>
      <c r="L826" s="7" t="s">
        <v>28</v>
      </c>
      <c r="M826" s="10">
        <v>21.027999999999999</v>
      </c>
      <c r="N826" s="7">
        <v>4.5</v>
      </c>
    </row>
    <row r="827" spans="1:14" x14ac:dyDescent="0.25">
      <c r="A827" s="7" t="s">
        <v>856</v>
      </c>
      <c r="B827" s="7" t="s">
        <v>13</v>
      </c>
      <c r="C827" s="7" t="s">
        <v>14</v>
      </c>
      <c r="D827" s="7" t="s">
        <v>15</v>
      </c>
      <c r="E827" s="7" t="s">
        <v>16</v>
      </c>
      <c r="F827" s="7" t="s">
        <v>31</v>
      </c>
      <c r="G827" s="7" t="str">
        <f t="shared" si="37"/>
        <v>Wednesday</v>
      </c>
      <c r="H827" s="7" t="str">
        <f t="shared" si="38"/>
        <v>Jan</v>
      </c>
      <c r="I827" s="8">
        <v>43494</v>
      </c>
      <c r="J827" s="8" t="str">
        <f t="shared" si="36"/>
        <v>Evening</v>
      </c>
      <c r="K827" s="9">
        <v>0.76041666666666663</v>
      </c>
      <c r="L827" s="7" t="s">
        <v>28</v>
      </c>
      <c r="M827" s="10">
        <v>4.4020000000000001</v>
      </c>
      <c r="N827" s="7">
        <v>6.6</v>
      </c>
    </row>
    <row r="828" spans="1:14" x14ac:dyDescent="0.25">
      <c r="A828" s="7" t="s">
        <v>857</v>
      </c>
      <c r="B828" s="7" t="s">
        <v>37</v>
      </c>
      <c r="C828" s="7" t="s">
        <v>38</v>
      </c>
      <c r="D828" s="7" t="s">
        <v>15</v>
      </c>
      <c r="E828" s="7" t="s">
        <v>16</v>
      </c>
      <c r="F828" s="7" t="s">
        <v>17</v>
      </c>
      <c r="G828" s="7" t="str">
        <f t="shared" si="37"/>
        <v>Wednesday</v>
      </c>
      <c r="H828" s="7" t="str">
        <f t="shared" si="38"/>
        <v>Jan</v>
      </c>
      <c r="I828" s="8">
        <v>43493</v>
      </c>
      <c r="J828" s="8" t="str">
        <f t="shared" si="36"/>
        <v>Afternoon</v>
      </c>
      <c r="K828" s="9">
        <v>0.57847222222222217</v>
      </c>
      <c r="L828" s="7" t="s">
        <v>28</v>
      </c>
      <c r="M828" s="10">
        <v>32.4495</v>
      </c>
      <c r="N828" s="7">
        <v>7.7</v>
      </c>
    </row>
    <row r="829" spans="1:14" x14ac:dyDescent="0.25">
      <c r="A829" s="7" t="s">
        <v>858</v>
      </c>
      <c r="B829" s="7" t="s">
        <v>13</v>
      </c>
      <c r="C829" s="7" t="s">
        <v>14</v>
      </c>
      <c r="D829" s="7" t="s">
        <v>15</v>
      </c>
      <c r="E829" s="7" t="s">
        <v>26</v>
      </c>
      <c r="F829" s="7" t="s">
        <v>41</v>
      </c>
      <c r="G829" s="7" t="str">
        <f t="shared" si="37"/>
        <v>Thursday</v>
      </c>
      <c r="H829" s="7" t="str">
        <f t="shared" si="38"/>
        <v>Mar</v>
      </c>
      <c r="I829" s="8">
        <v>43550</v>
      </c>
      <c r="J829" s="8" t="str">
        <f t="shared" si="36"/>
        <v>Evening</v>
      </c>
      <c r="K829" s="9">
        <v>0.77569444444444446</v>
      </c>
      <c r="L829" s="7" t="s">
        <v>28</v>
      </c>
      <c r="M829" s="10">
        <v>6.1920000000000002</v>
      </c>
      <c r="N829" s="7">
        <v>8.5</v>
      </c>
    </row>
    <row r="830" spans="1:14" x14ac:dyDescent="0.25">
      <c r="A830" s="7" t="s">
        <v>859</v>
      </c>
      <c r="B830" s="7" t="s">
        <v>20</v>
      </c>
      <c r="C830" s="7" t="s">
        <v>21</v>
      </c>
      <c r="D830" s="7" t="s">
        <v>22</v>
      </c>
      <c r="E830" s="7" t="s">
        <v>26</v>
      </c>
      <c r="F830" s="7" t="s">
        <v>23</v>
      </c>
      <c r="G830" s="7" t="str">
        <f t="shared" si="37"/>
        <v>Thursday</v>
      </c>
      <c r="H830" s="7" t="str">
        <f t="shared" si="38"/>
        <v>Mar</v>
      </c>
      <c r="I830" s="8">
        <v>43548</v>
      </c>
      <c r="J830" s="8" t="str">
        <f t="shared" si="36"/>
        <v>Evening</v>
      </c>
      <c r="K830" s="9">
        <v>0.76874999999999993</v>
      </c>
      <c r="L830" s="7" t="s">
        <v>24</v>
      </c>
      <c r="M830" s="10">
        <v>32.475000000000001</v>
      </c>
      <c r="N830" s="7">
        <v>5.2</v>
      </c>
    </row>
    <row r="831" spans="1:14" x14ac:dyDescent="0.25">
      <c r="A831" s="7" t="s">
        <v>860</v>
      </c>
      <c r="B831" s="7" t="s">
        <v>13</v>
      </c>
      <c r="C831" s="7" t="s">
        <v>14</v>
      </c>
      <c r="D831" s="7" t="s">
        <v>15</v>
      </c>
      <c r="E831" s="7" t="s">
        <v>16</v>
      </c>
      <c r="F831" s="7" t="s">
        <v>23</v>
      </c>
      <c r="G831" s="7" t="str">
        <f t="shared" si="37"/>
        <v>Saturday</v>
      </c>
      <c r="H831" s="7" t="str">
        <f t="shared" si="38"/>
        <v>Jan</v>
      </c>
      <c r="I831" s="8">
        <v>43466</v>
      </c>
      <c r="J831" s="8" t="str">
        <f t="shared" si="36"/>
        <v>Afternoon</v>
      </c>
      <c r="K831" s="9">
        <v>0.61249999999999993</v>
      </c>
      <c r="L831" s="7" t="s">
        <v>28</v>
      </c>
      <c r="M831" s="10">
        <v>37.11</v>
      </c>
      <c r="N831" s="7">
        <v>4.3</v>
      </c>
    </row>
    <row r="832" spans="1:14" x14ac:dyDescent="0.25">
      <c r="A832" s="7" t="s">
        <v>861</v>
      </c>
      <c r="B832" s="7" t="s">
        <v>13</v>
      </c>
      <c r="C832" s="7" t="s">
        <v>14</v>
      </c>
      <c r="D832" s="7" t="s">
        <v>22</v>
      </c>
      <c r="E832" s="7" t="s">
        <v>26</v>
      </c>
      <c r="F832" s="7" t="s">
        <v>23</v>
      </c>
      <c r="G832" s="7" t="str">
        <f t="shared" si="37"/>
        <v>Tuesday</v>
      </c>
      <c r="H832" s="7" t="str">
        <f t="shared" si="38"/>
        <v>Jan</v>
      </c>
      <c r="I832" s="8">
        <v>43489</v>
      </c>
      <c r="J832" s="8" t="str">
        <f t="shared" si="36"/>
        <v>Evening</v>
      </c>
      <c r="K832" s="9">
        <v>0.73819444444444438</v>
      </c>
      <c r="L832" s="7" t="s">
        <v>24</v>
      </c>
      <c r="M832" s="10">
        <v>4.2240000000000002</v>
      </c>
      <c r="N832" s="7">
        <v>7.6</v>
      </c>
    </row>
    <row r="833" spans="1:14" x14ac:dyDescent="0.25">
      <c r="A833" s="7" t="s">
        <v>862</v>
      </c>
      <c r="B833" s="7" t="s">
        <v>37</v>
      </c>
      <c r="C833" s="7" t="s">
        <v>38</v>
      </c>
      <c r="D833" s="7" t="s">
        <v>22</v>
      </c>
      <c r="E833" s="7" t="s">
        <v>26</v>
      </c>
      <c r="F833" s="7" t="s">
        <v>17</v>
      </c>
      <c r="G833" s="7" t="str">
        <f t="shared" si="37"/>
        <v>Sunday</v>
      </c>
      <c r="H833" s="7" t="str">
        <f t="shared" si="38"/>
        <v>Feb</v>
      </c>
      <c r="I833" s="8">
        <v>43521</v>
      </c>
      <c r="J833" s="8" t="str">
        <f t="shared" si="36"/>
        <v>Evening</v>
      </c>
      <c r="K833" s="9">
        <v>0.77569444444444446</v>
      </c>
      <c r="L833" s="7" t="s">
        <v>24</v>
      </c>
      <c r="M833" s="10">
        <v>12.513999999999999</v>
      </c>
      <c r="N833" s="7">
        <v>9.5</v>
      </c>
    </row>
    <row r="834" spans="1:14" x14ac:dyDescent="0.25">
      <c r="A834" s="7" t="s">
        <v>863</v>
      </c>
      <c r="B834" s="7" t="s">
        <v>37</v>
      </c>
      <c r="C834" s="7" t="s">
        <v>38</v>
      </c>
      <c r="D834" s="7" t="s">
        <v>15</v>
      </c>
      <c r="E834" s="7" t="s">
        <v>16</v>
      </c>
      <c r="F834" s="7" t="s">
        <v>31</v>
      </c>
      <c r="G834" s="7" t="str">
        <f t="shared" si="37"/>
        <v>Sunday</v>
      </c>
      <c r="H834" s="7" t="str">
        <f t="shared" si="38"/>
        <v>Jan</v>
      </c>
      <c r="I834" s="8">
        <v>43474</v>
      </c>
      <c r="J834" s="8" t="str">
        <f t="shared" ref="J834:J897" si="39">IF(AND(K834&gt;=TIME(9,0,0),K834&lt;TIME(12,0,0)),"Morning",IF(AND(K834&gt;=TIME(12,0,0),K834&lt;TIME(16,0,0)),"Afternoon","Evening"))</f>
        <v>Evening</v>
      </c>
      <c r="K834" s="9">
        <v>0.69027777777777777</v>
      </c>
      <c r="L834" s="7" t="s">
        <v>24</v>
      </c>
      <c r="M834" s="10">
        <v>4.74</v>
      </c>
      <c r="N834" s="7">
        <v>4.0999999999999996</v>
      </c>
    </row>
    <row r="835" spans="1:14" x14ac:dyDescent="0.25">
      <c r="A835" s="7" t="s">
        <v>864</v>
      </c>
      <c r="B835" s="7" t="s">
        <v>13</v>
      </c>
      <c r="C835" s="7" t="s">
        <v>14</v>
      </c>
      <c r="D835" s="7" t="s">
        <v>15</v>
      </c>
      <c r="E835" s="7" t="s">
        <v>26</v>
      </c>
      <c r="F835" s="7" t="s">
        <v>17</v>
      </c>
      <c r="G835" s="7" t="str">
        <f t="shared" ref="G835:G898" si="40">TEXT(I835/7,"dddd")</f>
        <v>Friday</v>
      </c>
      <c r="H835" s="7" t="str">
        <f t="shared" ref="H835:H898" si="41">TEXT(I835,"mmm")</f>
        <v>Feb</v>
      </c>
      <c r="I835" s="8">
        <v>43510</v>
      </c>
      <c r="J835" s="8" t="str">
        <f t="shared" si="39"/>
        <v>Afternoon</v>
      </c>
      <c r="K835" s="9">
        <v>0.61249999999999993</v>
      </c>
      <c r="L835" s="7" t="s">
        <v>18</v>
      </c>
      <c r="M835" s="10">
        <v>4.5650000000000004</v>
      </c>
      <c r="N835" s="7">
        <v>9.1999999999999993</v>
      </c>
    </row>
    <row r="836" spans="1:14" x14ac:dyDescent="0.25">
      <c r="A836" s="7" t="s">
        <v>865</v>
      </c>
      <c r="B836" s="7" t="s">
        <v>37</v>
      </c>
      <c r="C836" s="7" t="s">
        <v>38</v>
      </c>
      <c r="D836" s="7" t="s">
        <v>15</v>
      </c>
      <c r="E836" s="7" t="s">
        <v>16</v>
      </c>
      <c r="F836" s="7" t="s">
        <v>27</v>
      </c>
      <c r="G836" s="7" t="str">
        <f t="shared" si="40"/>
        <v>Tuesday</v>
      </c>
      <c r="H836" s="7" t="str">
        <f t="shared" si="41"/>
        <v>Mar</v>
      </c>
      <c r="I836" s="8">
        <v>43536</v>
      </c>
      <c r="J836" s="8" t="str">
        <f t="shared" si="39"/>
        <v>Morning</v>
      </c>
      <c r="K836" s="9">
        <v>0.45902777777777781</v>
      </c>
      <c r="L836" s="7" t="s">
        <v>18</v>
      </c>
      <c r="M836" s="10">
        <v>14.2555</v>
      </c>
      <c r="N836" s="7">
        <v>5.4</v>
      </c>
    </row>
    <row r="837" spans="1:14" x14ac:dyDescent="0.25">
      <c r="A837" s="7" t="s">
        <v>866</v>
      </c>
      <c r="B837" s="7" t="s">
        <v>13</v>
      </c>
      <c r="C837" s="7" t="s">
        <v>14</v>
      </c>
      <c r="D837" s="7" t="s">
        <v>22</v>
      </c>
      <c r="E837" s="7" t="s">
        <v>26</v>
      </c>
      <c r="F837" s="7" t="s">
        <v>41</v>
      </c>
      <c r="G837" s="7" t="str">
        <f t="shared" si="40"/>
        <v>Thursday</v>
      </c>
      <c r="H837" s="7" t="str">
        <f t="shared" si="41"/>
        <v>Mar</v>
      </c>
      <c r="I837" s="8">
        <v>43550</v>
      </c>
      <c r="J837" s="8" t="str">
        <f t="shared" si="39"/>
        <v>Evening</v>
      </c>
      <c r="K837" s="9">
        <v>0.8222222222222223</v>
      </c>
      <c r="L837" s="7" t="s">
        <v>24</v>
      </c>
      <c r="M837" s="10">
        <v>2.6190000000000002</v>
      </c>
      <c r="N837" s="7">
        <v>5.8</v>
      </c>
    </row>
    <row r="838" spans="1:14" x14ac:dyDescent="0.25">
      <c r="A838" s="7" t="s">
        <v>867</v>
      </c>
      <c r="B838" s="7" t="s">
        <v>13</v>
      </c>
      <c r="C838" s="7" t="s">
        <v>14</v>
      </c>
      <c r="D838" s="7" t="s">
        <v>15</v>
      </c>
      <c r="E838" s="7" t="s">
        <v>26</v>
      </c>
      <c r="F838" s="7" t="s">
        <v>41</v>
      </c>
      <c r="G838" s="7" t="str">
        <f t="shared" si="40"/>
        <v>Sunday</v>
      </c>
      <c r="H838" s="7" t="str">
        <f t="shared" si="41"/>
        <v>Jan</v>
      </c>
      <c r="I838" s="8">
        <v>43474</v>
      </c>
      <c r="J838" s="8" t="str">
        <f t="shared" si="39"/>
        <v>Afternoon</v>
      </c>
      <c r="K838" s="9">
        <v>0.56527777777777777</v>
      </c>
      <c r="L838" s="7" t="s">
        <v>18</v>
      </c>
      <c r="M838" s="10">
        <v>9.6349999999999998</v>
      </c>
      <c r="N838" s="7">
        <v>5.6</v>
      </c>
    </row>
    <row r="839" spans="1:14" x14ac:dyDescent="0.25">
      <c r="A839" s="7" t="s">
        <v>868</v>
      </c>
      <c r="B839" s="7" t="s">
        <v>37</v>
      </c>
      <c r="C839" s="7" t="s">
        <v>38</v>
      </c>
      <c r="D839" s="7" t="s">
        <v>22</v>
      </c>
      <c r="E839" s="7" t="s">
        <v>26</v>
      </c>
      <c r="F839" s="7" t="s">
        <v>31</v>
      </c>
      <c r="G839" s="7" t="str">
        <f t="shared" si="40"/>
        <v>Saturday</v>
      </c>
      <c r="H839" s="7" t="str">
        <f t="shared" si="41"/>
        <v>Jan</v>
      </c>
      <c r="I839" s="8">
        <v>43467</v>
      </c>
      <c r="J839" s="8" t="str">
        <f t="shared" si="39"/>
        <v>Evening</v>
      </c>
      <c r="K839" s="9">
        <v>0.83888888888888891</v>
      </c>
      <c r="L839" s="7" t="s">
        <v>28</v>
      </c>
      <c r="M839" s="10">
        <v>13.388999999999999</v>
      </c>
      <c r="N839" s="7">
        <v>5.0999999999999996</v>
      </c>
    </row>
    <row r="840" spans="1:14" x14ac:dyDescent="0.25">
      <c r="A840" s="7" t="s">
        <v>869</v>
      </c>
      <c r="B840" s="7" t="s">
        <v>20</v>
      </c>
      <c r="C840" s="7" t="s">
        <v>21</v>
      </c>
      <c r="D840" s="7" t="s">
        <v>22</v>
      </c>
      <c r="E840" s="7" t="s">
        <v>26</v>
      </c>
      <c r="F840" s="7" t="s">
        <v>23</v>
      </c>
      <c r="G840" s="7" t="str">
        <f t="shared" si="40"/>
        <v>Monday</v>
      </c>
      <c r="H840" s="7" t="str">
        <f t="shared" si="41"/>
        <v>Jan</v>
      </c>
      <c r="I840" s="8">
        <v>43480</v>
      </c>
      <c r="J840" s="8" t="str">
        <f t="shared" si="39"/>
        <v>Afternoon</v>
      </c>
      <c r="K840" s="9">
        <v>0.62569444444444444</v>
      </c>
      <c r="L840" s="7" t="s">
        <v>24</v>
      </c>
      <c r="M840" s="10">
        <v>27.934999999999999</v>
      </c>
      <c r="N840" s="7">
        <v>5.8</v>
      </c>
    </row>
    <row r="841" spans="1:14" x14ac:dyDescent="0.25">
      <c r="A841" s="7" t="s">
        <v>870</v>
      </c>
      <c r="B841" s="7" t="s">
        <v>20</v>
      </c>
      <c r="C841" s="7" t="s">
        <v>21</v>
      </c>
      <c r="D841" s="7" t="s">
        <v>15</v>
      </c>
      <c r="E841" s="7" t="s">
        <v>16</v>
      </c>
      <c r="F841" s="7" t="s">
        <v>31</v>
      </c>
      <c r="G841" s="7" t="str">
        <f t="shared" si="40"/>
        <v>Saturday</v>
      </c>
      <c r="H841" s="7" t="str">
        <f t="shared" si="41"/>
        <v>Jan</v>
      </c>
      <c r="I841" s="8">
        <v>43466</v>
      </c>
      <c r="J841" s="8" t="str">
        <f t="shared" si="39"/>
        <v>Morning</v>
      </c>
      <c r="K841" s="9">
        <v>0.4861111111111111</v>
      </c>
      <c r="L841" s="7" t="s">
        <v>18</v>
      </c>
      <c r="M841" s="10">
        <v>8.766</v>
      </c>
      <c r="N841" s="7">
        <v>5</v>
      </c>
    </row>
    <row r="842" spans="1:14" x14ac:dyDescent="0.25">
      <c r="A842" s="7" t="s">
        <v>871</v>
      </c>
      <c r="B842" s="7" t="s">
        <v>13</v>
      </c>
      <c r="C842" s="7" t="s">
        <v>14</v>
      </c>
      <c r="D842" s="7" t="s">
        <v>22</v>
      </c>
      <c r="E842" s="7" t="s">
        <v>26</v>
      </c>
      <c r="F842" s="7" t="s">
        <v>41</v>
      </c>
      <c r="G842" s="7" t="str">
        <f t="shared" si="40"/>
        <v>Friday</v>
      </c>
      <c r="H842" s="7" t="str">
        <f t="shared" si="41"/>
        <v>Feb</v>
      </c>
      <c r="I842" s="8">
        <v>43511</v>
      </c>
      <c r="J842" s="8" t="str">
        <f t="shared" si="39"/>
        <v>Afternoon</v>
      </c>
      <c r="K842" s="9">
        <v>0.63958333333333328</v>
      </c>
      <c r="L842" s="7" t="s">
        <v>24</v>
      </c>
      <c r="M842" s="10">
        <v>7.7910000000000004</v>
      </c>
      <c r="N842" s="7">
        <v>7.9</v>
      </c>
    </row>
    <row r="843" spans="1:14" x14ac:dyDescent="0.25">
      <c r="A843" s="7" t="s">
        <v>872</v>
      </c>
      <c r="B843" s="7" t="s">
        <v>37</v>
      </c>
      <c r="C843" s="7" t="s">
        <v>38</v>
      </c>
      <c r="D843" s="7" t="s">
        <v>22</v>
      </c>
      <c r="E843" s="7" t="s">
        <v>26</v>
      </c>
      <c r="F843" s="7" t="s">
        <v>23</v>
      </c>
      <c r="G843" s="7" t="str">
        <f t="shared" si="40"/>
        <v>Sunday</v>
      </c>
      <c r="H843" s="7" t="str">
        <f t="shared" si="41"/>
        <v>Feb</v>
      </c>
      <c r="I843" s="8">
        <v>43524</v>
      </c>
      <c r="J843" s="8" t="str">
        <f t="shared" si="39"/>
        <v>Evening</v>
      </c>
      <c r="K843" s="9">
        <v>0.73472222222222217</v>
      </c>
      <c r="L843" s="7" t="s">
        <v>24</v>
      </c>
      <c r="M843" s="10">
        <v>3.0150000000000001</v>
      </c>
      <c r="N843" s="7">
        <v>6</v>
      </c>
    </row>
    <row r="844" spans="1:14" x14ac:dyDescent="0.25">
      <c r="A844" s="7" t="s">
        <v>873</v>
      </c>
      <c r="B844" s="7" t="s">
        <v>13</v>
      </c>
      <c r="C844" s="7" t="s">
        <v>14</v>
      </c>
      <c r="D844" s="7" t="s">
        <v>15</v>
      </c>
      <c r="E844" s="7" t="s">
        <v>16</v>
      </c>
      <c r="F844" s="7" t="s">
        <v>31</v>
      </c>
      <c r="G844" s="7" t="str">
        <f t="shared" si="40"/>
        <v>Monday</v>
      </c>
      <c r="H844" s="7" t="str">
        <f t="shared" si="41"/>
        <v>Mar</v>
      </c>
      <c r="I844" s="8">
        <v>43526</v>
      </c>
      <c r="J844" s="8" t="str">
        <f t="shared" si="39"/>
        <v>Evening</v>
      </c>
      <c r="K844" s="9">
        <v>0.6777777777777777</v>
      </c>
      <c r="L844" s="7" t="s">
        <v>28</v>
      </c>
      <c r="M844" s="10">
        <v>3.9470000000000001</v>
      </c>
      <c r="N844" s="7">
        <v>5</v>
      </c>
    </row>
    <row r="845" spans="1:14" x14ac:dyDescent="0.25">
      <c r="A845" s="7" t="s">
        <v>874</v>
      </c>
      <c r="B845" s="7" t="s">
        <v>20</v>
      </c>
      <c r="C845" s="7" t="s">
        <v>21</v>
      </c>
      <c r="D845" s="7" t="s">
        <v>15</v>
      </c>
      <c r="E845" s="7" t="s">
        <v>16</v>
      </c>
      <c r="F845" s="7" t="s">
        <v>39</v>
      </c>
      <c r="G845" s="7" t="str">
        <f t="shared" si="40"/>
        <v>Friday</v>
      </c>
      <c r="H845" s="7" t="str">
        <f t="shared" si="41"/>
        <v>Feb</v>
      </c>
      <c r="I845" s="8">
        <v>43509</v>
      </c>
      <c r="J845" s="8" t="str">
        <f t="shared" si="39"/>
        <v>Evening</v>
      </c>
      <c r="K845" s="9">
        <v>0.76041666666666663</v>
      </c>
      <c r="L845" s="7" t="s">
        <v>28</v>
      </c>
      <c r="M845" s="10">
        <v>1.4870000000000001</v>
      </c>
      <c r="N845" s="7">
        <v>8.9</v>
      </c>
    </row>
    <row r="846" spans="1:14" x14ac:dyDescent="0.25">
      <c r="A846" s="7" t="s">
        <v>875</v>
      </c>
      <c r="B846" s="7" t="s">
        <v>13</v>
      </c>
      <c r="C846" s="7" t="s">
        <v>14</v>
      </c>
      <c r="D846" s="7" t="s">
        <v>22</v>
      </c>
      <c r="E846" s="7" t="s">
        <v>26</v>
      </c>
      <c r="F846" s="7" t="s">
        <v>41</v>
      </c>
      <c r="G846" s="7" t="str">
        <f t="shared" si="40"/>
        <v>Wednesday</v>
      </c>
      <c r="H846" s="7" t="str">
        <f t="shared" si="41"/>
        <v>Jan</v>
      </c>
      <c r="I846" s="8">
        <v>43491</v>
      </c>
      <c r="J846" s="8" t="str">
        <f t="shared" si="39"/>
        <v>Afternoon</v>
      </c>
      <c r="K846" s="9">
        <v>0.52986111111111112</v>
      </c>
      <c r="L846" s="7" t="s">
        <v>24</v>
      </c>
      <c r="M846" s="10">
        <v>1.0660000000000001</v>
      </c>
      <c r="N846" s="7">
        <v>5.9</v>
      </c>
    </row>
    <row r="847" spans="1:14" x14ac:dyDescent="0.25">
      <c r="A847" s="7" t="s">
        <v>876</v>
      </c>
      <c r="B847" s="7" t="s">
        <v>13</v>
      </c>
      <c r="C847" s="7" t="s">
        <v>14</v>
      </c>
      <c r="D847" s="7" t="s">
        <v>15</v>
      </c>
      <c r="E847" s="7" t="s">
        <v>26</v>
      </c>
      <c r="F847" s="7" t="s">
        <v>23</v>
      </c>
      <c r="G847" s="7" t="str">
        <f t="shared" si="40"/>
        <v>Wednesday</v>
      </c>
      <c r="H847" s="7" t="str">
        <f t="shared" si="41"/>
        <v>Jan</v>
      </c>
      <c r="I847" s="8">
        <v>43495</v>
      </c>
      <c r="J847" s="8" t="str">
        <f t="shared" si="39"/>
        <v>Morning</v>
      </c>
      <c r="K847" s="9">
        <v>0.48055555555555557</v>
      </c>
      <c r="L847" s="7" t="s">
        <v>28</v>
      </c>
      <c r="M847" s="10">
        <v>14.067</v>
      </c>
      <c r="N847" s="7">
        <v>5.9</v>
      </c>
    </row>
    <row r="848" spans="1:14" x14ac:dyDescent="0.25">
      <c r="A848" s="7" t="s">
        <v>877</v>
      </c>
      <c r="B848" s="7" t="s">
        <v>13</v>
      </c>
      <c r="C848" s="7" t="s">
        <v>14</v>
      </c>
      <c r="D848" s="7" t="s">
        <v>15</v>
      </c>
      <c r="E848" s="7" t="s">
        <v>26</v>
      </c>
      <c r="F848" s="7" t="s">
        <v>23</v>
      </c>
      <c r="G848" s="7" t="str">
        <f t="shared" si="40"/>
        <v>Wednesday</v>
      </c>
      <c r="H848" s="7" t="str">
        <f t="shared" si="41"/>
        <v>Jan</v>
      </c>
      <c r="I848" s="8">
        <v>43492</v>
      </c>
      <c r="J848" s="8" t="str">
        <f t="shared" si="39"/>
        <v>Evening</v>
      </c>
      <c r="K848" s="9">
        <v>0.75555555555555554</v>
      </c>
      <c r="L848" s="7" t="s">
        <v>18</v>
      </c>
      <c r="M848" s="10">
        <v>3.6629999999999998</v>
      </c>
      <c r="N848" s="7">
        <v>9.6999999999999993</v>
      </c>
    </row>
    <row r="849" spans="1:14" x14ac:dyDescent="0.25">
      <c r="A849" s="7" t="s">
        <v>878</v>
      </c>
      <c r="B849" s="7" t="s">
        <v>20</v>
      </c>
      <c r="C849" s="7" t="s">
        <v>21</v>
      </c>
      <c r="D849" s="7" t="s">
        <v>22</v>
      </c>
      <c r="E849" s="7" t="s">
        <v>16</v>
      </c>
      <c r="F849" s="7" t="s">
        <v>31</v>
      </c>
      <c r="G849" s="7" t="str">
        <f t="shared" si="40"/>
        <v>Wednesday</v>
      </c>
      <c r="H849" s="7" t="str">
        <f t="shared" si="41"/>
        <v>Jan</v>
      </c>
      <c r="I849" s="8">
        <v>43495</v>
      </c>
      <c r="J849" s="8" t="str">
        <f t="shared" si="39"/>
        <v>Evening</v>
      </c>
      <c r="K849" s="9">
        <v>0.71388888888888891</v>
      </c>
      <c r="L849" s="7" t="s">
        <v>28</v>
      </c>
      <c r="M849" s="10">
        <v>1.119</v>
      </c>
      <c r="N849" s="7">
        <v>8.6</v>
      </c>
    </row>
    <row r="850" spans="1:14" x14ac:dyDescent="0.25">
      <c r="A850" s="7" t="s">
        <v>879</v>
      </c>
      <c r="B850" s="7" t="s">
        <v>20</v>
      </c>
      <c r="C850" s="7" t="s">
        <v>21</v>
      </c>
      <c r="D850" s="7" t="s">
        <v>15</v>
      </c>
      <c r="E850" s="7" t="s">
        <v>16</v>
      </c>
      <c r="F850" s="7" t="s">
        <v>39</v>
      </c>
      <c r="G850" s="7" t="str">
        <f t="shared" si="40"/>
        <v>Sunday</v>
      </c>
      <c r="H850" s="7" t="str">
        <f t="shared" si="41"/>
        <v>Jan</v>
      </c>
      <c r="I850" s="8">
        <v>43473</v>
      </c>
      <c r="J850" s="8" t="str">
        <f t="shared" si="39"/>
        <v>Evening</v>
      </c>
      <c r="K850" s="9">
        <v>0.81805555555555554</v>
      </c>
      <c r="L850" s="7" t="s">
        <v>24</v>
      </c>
      <c r="M850" s="10">
        <v>32.795999999999999</v>
      </c>
      <c r="N850" s="7">
        <v>4</v>
      </c>
    </row>
    <row r="851" spans="1:14" x14ac:dyDescent="0.25">
      <c r="A851" s="7" t="s">
        <v>880</v>
      </c>
      <c r="B851" s="7" t="s">
        <v>13</v>
      </c>
      <c r="C851" s="7" t="s">
        <v>14</v>
      </c>
      <c r="D851" s="7" t="s">
        <v>22</v>
      </c>
      <c r="E851" s="7" t="s">
        <v>16</v>
      </c>
      <c r="F851" s="7" t="s">
        <v>41</v>
      </c>
      <c r="G851" s="7" t="str">
        <f t="shared" si="40"/>
        <v>Tuesday</v>
      </c>
      <c r="H851" s="7" t="str">
        <f t="shared" si="41"/>
        <v>Jan</v>
      </c>
      <c r="I851" s="8">
        <v>43484</v>
      </c>
      <c r="J851" s="8" t="str">
        <f t="shared" si="39"/>
        <v>Afternoon</v>
      </c>
      <c r="K851" s="9">
        <v>0.5493055555555556</v>
      </c>
      <c r="L851" s="7" t="s">
        <v>24</v>
      </c>
      <c r="M851" s="10">
        <v>29.73</v>
      </c>
      <c r="N851" s="7">
        <v>4.2</v>
      </c>
    </row>
    <row r="852" spans="1:14" x14ac:dyDescent="0.25">
      <c r="A852" s="7" t="s">
        <v>881</v>
      </c>
      <c r="B852" s="7" t="s">
        <v>13</v>
      </c>
      <c r="C852" s="7" t="s">
        <v>14</v>
      </c>
      <c r="D852" s="7" t="s">
        <v>22</v>
      </c>
      <c r="E852" s="7" t="s">
        <v>26</v>
      </c>
      <c r="F852" s="7" t="s">
        <v>41</v>
      </c>
      <c r="G852" s="7" t="str">
        <f t="shared" si="40"/>
        <v>Tuesday</v>
      </c>
      <c r="H852" s="7" t="str">
        <f t="shared" si="41"/>
        <v>Jan</v>
      </c>
      <c r="I852" s="8">
        <v>43490</v>
      </c>
      <c r="J852" s="8" t="str">
        <f t="shared" si="39"/>
        <v>Morning</v>
      </c>
      <c r="K852" s="9">
        <v>0.46180555555555558</v>
      </c>
      <c r="L852" s="7" t="s">
        <v>24</v>
      </c>
      <c r="M852" s="10">
        <v>3.7050000000000001</v>
      </c>
      <c r="N852" s="7">
        <v>9.1999999999999993</v>
      </c>
    </row>
    <row r="853" spans="1:14" x14ac:dyDescent="0.25">
      <c r="A853" s="7" t="s">
        <v>882</v>
      </c>
      <c r="B853" s="7" t="s">
        <v>13</v>
      </c>
      <c r="C853" s="7" t="s">
        <v>14</v>
      </c>
      <c r="D853" s="7" t="s">
        <v>22</v>
      </c>
      <c r="E853" s="7" t="s">
        <v>16</v>
      </c>
      <c r="F853" s="7" t="s">
        <v>41</v>
      </c>
      <c r="G853" s="7" t="str">
        <f t="shared" si="40"/>
        <v>Saturday</v>
      </c>
      <c r="H853" s="7" t="str">
        <f t="shared" si="41"/>
        <v>Feb</v>
      </c>
      <c r="I853" s="8">
        <v>43515</v>
      </c>
      <c r="J853" s="8" t="str">
        <f t="shared" si="39"/>
        <v>Morning</v>
      </c>
      <c r="K853" s="9">
        <v>0.42499999999999999</v>
      </c>
      <c r="L853" s="7" t="s">
        <v>18</v>
      </c>
      <c r="M853" s="10">
        <v>9.8480000000000008</v>
      </c>
      <c r="N853" s="7">
        <v>9.1999999999999993</v>
      </c>
    </row>
    <row r="854" spans="1:14" x14ac:dyDescent="0.25">
      <c r="A854" s="7" t="s">
        <v>883</v>
      </c>
      <c r="B854" s="7" t="s">
        <v>20</v>
      </c>
      <c r="C854" s="7" t="s">
        <v>21</v>
      </c>
      <c r="D854" s="7" t="s">
        <v>22</v>
      </c>
      <c r="E854" s="7" t="s">
        <v>26</v>
      </c>
      <c r="F854" s="7" t="s">
        <v>17</v>
      </c>
      <c r="G854" s="7" t="str">
        <f t="shared" si="40"/>
        <v>Monday</v>
      </c>
      <c r="H854" s="7" t="str">
        <f t="shared" si="41"/>
        <v>Jan</v>
      </c>
      <c r="I854" s="8">
        <v>43479</v>
      </c>
      <c r="J854" s="8" t="str">
        <f t="shared" si="39"/>
        <v>Afternoon</v>
      </c>
      <c r="K854" s="9">
        <v>0.65416666666666667</v>
      </c>
      <c r="L854" s="7" t="s">
        <v>18</v>
      </c>
      <c r="M854" s="10">
        <v>18.616499999999998</v>
      </c>
      <c r="N854" s="7">
        <v>5</v>
      </c>
    </row>
    <row r="855" spans="1:14" x14ac:dyDescent="0.25">
      <c r="A855" s="7" t="s">
        <v>884</v>
      </c>
      <c r="B855" s="7" t="s">
        <v>37</v>
      </c>
      <c r="C855" s="7" t="s">
        <v>38</v>
      </c>
      <c r="D855" s="7" t="s">
        <v>22</v>
      </c>
      <c r="E855" s="7" t="s">
        <v>16</v>
      </c>
      <c r="F855" s="7" t="s">
        <v>23</v>
      </c>
      <c r="G855" s="7" t="str">
        <f t="shared" si="40"/>
        <v>Sunday</v>
      </c>
      <c r="H855" s="7" t="str">
        <f t="shared" si="41"/>
        <v>Feb</v>
      </c>
      <c r="I855" s="8">
        <v>43521</v>
      </c>
      <c r="J855" s="8" t="str">
        <f t="shared" si="39"/>
        <v>Morning</v>
      </c>
      <c r="K855" s="9">
        <v>0.49861111111111112</v>
      </c>
      <c r="L855" s="7" t="s">
        <v>18</v>
      </c>
      <c r="M855" s="10">
        <v>26.395</v>
      </c>
      <c r="N855" s="7">
        <v>10</v>
      </c>
    </row>
    <row r="856" spans="1:14" x14ac:dyDescent="0.25">
      <c r="A856" s="7" t="s">
        <v>885</v>
      </c>
      <c r="B856" s="7" t="s">
        <v>13</v>
      </c>
      <c r="C856" s="7" t="s">
        <v>14</v>
      </c>
      <c r="D856" s="7" t="s">
        <v>15</v>
      </c>
      <c r="E856" s="7" t="s">
        <v>16</v>
      </c>
      <c r="F856" s="7" t="s">
        <v>17</v>
      </c>
      <c r="G856" s="7" t="str">
        <f t="shared" si="40"/>
        <v>Tuesday</v>
      </c>
      <c r="H856" s="7" t="str">
        <f t="shared" si="41"/>
        <v>Jan</v>
      </c>
      <c r="I856" s="8">
        <v>43488</v>
      </c>
      <c r="J856" s="8" t="str">
        <f t="shared" si="39"/>
        <v>Afternoon</v>
      </c>
      <c r="K856" s="9">
        <v>0.59791666666666665</v>
      </c>
      <c r="L856" s="7" t="s">
        <v>18</v>
      </c>
      <c r="M856" s="10">
        <v>23.987500000000001</v>
      </c>
      <c r="N856" s="7">
        <v>8.8000000000000007</v>
      </c>
    </row>
    <row r="857" spans="1:14" x14ac:dyDescent="0.25">
      <c r="A857" s="7" t="s">
        <v>886</v>
      </c>
      <c r="B857" s="7" t="s">
        <v>37</v>
      </c>
      <c r="C857" s="7" t="s">
        <v>38</v>
      </c>
      <c r="D857" s="7" t="s">
        <v>22</v>
      </c>
      <c r="E857" s="7" t="s">
        <v>16</v>
      </c>
      <c r="F857" s="7" t="s">
        <v>41</v>
      </c>
      <c r="G857" s="7" t="str">
        <f t="shared" si="40"/>
        <v>Saturday</v>
      </c>
      <c r="H857" s="7" t="str">
        <f t="shared" si="41"/>
        <v>Feb</v>
      </c>
      <c r="I857" s="8">
        <v>43512</v>
      </c>
      <c r="J857" s="8" t="str">
        <f t="shared" si="39"/>
        <v>Morning</v>
      </c>
      <c r="K857" s="9">
        <v>0.45277777777777778</v>
      </c>
      <c r="L857" s="7" t="s">
        <v>24</v>
      </c>
      <c r="M857" s="10">
        <v>16.429500000000001</v>
      </c>
      <c r="N857" s="7">
        <v>4.2</v>
      </c>
    </row>
    <row r="858" spans="1:14" x14ac:dyDescent="0.25">
      <c r="A858" s="7" t="s">
        <v>887</v>
      </c>
      <c r="B858" s="7" t="s">
        <v>37</v>
      </c>
      <c r="C858" s="7" t="s">
        <v>38</v>
      </c>
      <c r="D858" s="7" t="s">
        <v>22</v>
      </c>
      <c r="E858" s="7" t="s">
        <v>26</v>
      </c>
      <c r="F858" s="7" t="s">
        <v>39</v>
      </c>
      <c r="G858" s="7" t="str">
        <f t="shared" si="40"/>
        <v>Saturday</v>
      </c>
      <c r="H858" s="7" t="str">
        <f t="shared" si="41"/>
        <v>Jan</v>
      </c>
      <c r="I858" s="8">
        <v>43466</v>
      </c>
      <c r="J858" s="8" t="str">
        <f t="shared" si="39"/>
        <v>Evening</v>
      </c>
      <c r="K858" s="9">
        <v>0.81319444444444444</v>
      </c>
      <c r="L858" s="7" t="s">
        <v>24</v>
      </c>
      <c r="M858" s="10">
        <v>8.4480000000000004</v>
      </c>
      <c r="N858" s="7">
        <v>6.3</v>
      </c>
    </row>
    <row r="859" spans="1:14" x14ac:dyDescent="0.25">
      <c r="A859" s="7" t="s">
        <v>888</v>
      </c>
      <c r="B859" s="7" t="s">
        <v>13</v>
      </c>
      <c r="C859" s="7" t="s">
        <v>14</v>
      </c>
      <c r="D859" s="7" t="s">
        <v>15</v>
      </c>
      <c r="E859" s="7" t="s">
        <v>16</v>
      </c>
      <c r="F859" s="7" t="s">
        <v>27</v>
      </c>
      <c r="G859" s="7" t="str">
        <f t="shared" si="40"/>
        <v>Monday</v>
      </c>
      <c r="H859" s="7" t="str">
        <f t="shared" si="41"/>
        <v>Mar</v>
      </c>
      <c r="I859" s="8">
        <v>43531</v>
      </c>
      <c r="J859" s="8" t="str">
        <f t="shared" si="39"/>
        <v>Evening</v>
      </c>
      <c r="K859" s="9">
        <v>0.77430555555555547</v>
      </c>
      <c r="L859" s="7" t="s">
        <v>24</v>
      </c>
      <c r="M859" s="10">
        <v>5.6619999999999999</v>
      </c>
      <c r="N859" s="7">
        <v>8.1999999999999993</v>
      </c>
    </row>
    <row r="860" spans="1:14" x14ac:dyDescent="0.25">
      <c r="A860" s="7" t="s">
        <v>889</v>
      </c>
      <c r="B860" s="7" t="s">
        <v>37</v>
      </c>
      <c r="C860" s="7" t="s">
        <v>38</v>
      </c>
      <c r="D860" s="7" t="s">
        <v>22</v>
      </c>
      <c r="E860" s="7" t="s">
        <v>26</v>
      </c>
      <c r="F860" s="7" t="s">
        <v>17</v>
      </c>
      <c r="G860" s="7" t="str">
        <f t="shared" si="40"/>
        <v>Friday</v>
      </c>
      <c r="H860" s="7" t="str">
        <f t="shared" si="41"/>
        <v>Feb</v>
      </c>
      <c r="I860" s="8">
        <v>43511</v>
      </c>
      <c r="J860" s="8" t="str">
        <f t="shared" si="39"/>
        <v>Afternoon</v>
      </c>
      <c r="K860" s="9">
        <v>0.57708333333333328</v>
      </c>
      <c r="L860" s="7" t="s">
        <v>24</v>
      </c>
      <c r="M860" s="10">
        <v>17.277000000000001</v>
      </c>
      <c r="N860" s="7">
        <v>5.0999999999999996</v>
      </c>
    </row>
    <row r="861" spans="1:14" x14ac:dyDescent="0.25">
      <c r="A861" s="7" t="s">
        <v>890</v>
      </c>
      <c r="B861" s="7" t="s">
        <v>13</v>
      </c>
      <c r="C861" s="7" t="s">
        <v>14</v>
      </c>
      <c r="D861" s="7" t="s">
        <v>15</v>
      </c>
      <c r="E861" s="7" t="s">
        <v>16</v>
      </c>
      <c r="F861" s="7" t="s">
        <v>39</v>
      </c>
      <c r="G861" s="7" t="str">
        <f t="shared" si="40"/>
        <v>Tuesday</v>
      </c>
      <c r="H861" s="7" t="str">
        <f t="shared" si="41"/>
        <v>Jan</v>
      </c>
      <c r="I861" s="8">
        <v>43488</v>
      </c>
      <c r="J861" s="8" t="str">
        <f t="shared" si="39"/>
        <v>Afternoon</v>
      </c>
      <c r="K861" s="9">
        <v>0.52430555555555558</v>
      </c>
      <c r="L861" s="7" t="s">
        <v>24</v>
      </c>
      <c r="M861" s="10">
        <v>21.433499999999999</v>
      </c>
      <c r="N861" s="7">
        <v>5</v>
      </c>
    </row>
    <row r="862" spans="1:14" x14ac:dyDescent="0.25">
      <c r="A862" s="7" t="s">
        <v>891</v>
      </c>
      <c r="B862" s="7" t="s">
        <v>20</v>
      </c>
      <c r="C862" s="7" t="s">
        <v>21</v>
      </c>
      <c r="D862" s="7" t="s">
        <v>15</v>
      </c>
      <c r="E862" s="7" t="s">
        <v>16</v>
      </c>
      <c r="F862" s="7" t="s">
        <v>27</v>
      </c>
      <c r="G862" s="7" t="str">
        <f t="shared" si="40"/>
        <v>Saturday</v>
      </c>
      <c r="H862" s="7" t="str">
        <f t="shared" si="41"/>
        <v>Feb</v>
      </c>
      <c r="I862" s="8">
        <v>43516</v>
      </c>
      <c r="J862" s="8" t="str">
        <f t="shared" si="39"/>
        <v>Afternoon</v>
      </c>
      <c r="K862" s="9">
        <v>0.55833333333333335</v>
      </c>
      <c r="L862" s="7" t="s">
        <v>18</v>
      </c>
      <c r="M862" s="10">
        <v>4.3135000000000003</v>
      </c>
      <c r="N862" s="7">
        <v>7</v>
      </c>
    </row>
    <row r="863" spans="1:14" x14ac:dyDescent="0.25">
      <c r="A863" s="7" t="s">
        <v>892</v>
      </c>
      <c r="B863" s="7" t="s">
        <v>13</v>
      </c>
      <c r="C863" s="7" t="s">
        <v>14</v>
      </c>
      <c r="D863" s="7" t="s">
        <v>15</v>
      </c>
      <c r="E863" s="7" t="s">
        <v>26</v>
      </c>
      <c r="F863" s="7" t="s">
        <v>31</v>
      </c>
      <c r="G863" s="7" t="str">
        <f t="shared" si="40"/>
        <v>Sunday</v>
      </c>
      <c r="H863" s="7" t="str">
        <f t="shared" si="41"/>
        <v>Jan</v>
      </c>
      <c r="I863" s="8">
        <v>43473</v>
      </c>
      <c r="J863" s="8" t="str">
        <f t="shared" si="39"/>
        <v>Evening</v>
      </c>
      <c r="K863" s="9">
        <v>0.75416666666666676</v>
      </c>
      <c r="L863" s="7" t="s">
        <v>18</v>
      </c>
      <c r="M863" s="10">
        <v>1.276</v>
      </c>
      <c r="N863" s="7">
        <v>7.8</v>
      </c>
    </row>
    <row r="864" spans="1:14" x14ac:dyDescent="0.25">
      <c r="A864" s="7" t="s">
        <v>893</v>
      </c>
      <c r="B864" s="7" t="s">
        <v>37</v>
      </c>
      <c r="C864" s="7" t="s">
        <v>38</v>
      </c>
      <c r="D864" s="7" t="s">
        <v>22</v>
      </c>
      <c r="E864" s="7" t="s">
        <v>16</v>
      </c>
      <c r="F864" s="7" t="s">
        <v>27</v>
      </c>
      <c r="G864" s="7" t="str">
        <f t="shared" si="40"/>
        <v>Wednesday</v>
      </c>
      <c r="H864" s="7" t="str">
        <f t="shared" si="41"/>
        <v>Mar</v>
      </c>
      <c r="I864" s="8">
        <v>43541</v>
      </c>
      <c r="J864" s="8" t="str">
        <f t="shared" si="39"/>
        <v>Morning</v>
      </c>
      <c r="K864" s="9">
        <v>0.49652777777777773</v>
      </c>
      <c r="L864" s="7" t="s">
        <v>28</v>
      </c>
      <c r="M864" s="10">
        <v>5.0759999999999996</v>
      </c>
      <c r="N864" s="7">
        <v>4.3</v>
      </c>
    </row>
    <row r="865" spans="1:14" x14ac:dyDescent="0.25">
      <c r="A865" s="7" t="s">
        <v>894</v>
      </c>
      <c r="B865" s="7" t="s">
        <v>37</v>
      </c>
      <c r="C865" s="7" t="s">
        <v>38</v>
      </c>
      <c r="D865" s="7" t="s">
        <v>22</v>
      </c>
      <c r="E865" s="7" t="s">
        <v>16</v>
      </c>
      <c r="F865" s="7" t="s">
        <v>27</v>
      </c>
      <c r="G865" s="7" t="str">
        <f t="shared" si="40"/>
        <v>Monday</v>
      </c>
      <c r="H865" s="7" t="str">
        <f t="shared" si="41"/>
        <v>Jan</v>
      </c>
      <c r="I865" s="8">
        <v>43477</v>
      </c>
      <c r="J865" s="8" t="str">
        <f t="shared" si="39"/>
        <v>Morning</v>
      </c>
      <c r="K865" s="9">
        <v>0.48749999999999999</v>
      </c>
      <c r="L865" s="7" t="s">
        <v>24</v>
      </c>
      <c r="M865" s="10">
        <v>17.874500000000001</v>
      </c>
      <c r="N865" s="7">
        <v>7</v>
      </c>
    </row>
    <row r="866" spans="1:14" x14ac:dyDescent="0.25">
      <c r="A866" s="7" t="s">
        <v>895</v>
      </c>
      <c r="B866" s="7" t="s">
        <v>13</v>
      </c>
      <c r="C866" s="7" t="s">
        <v>14</v>
      </c>
      <c r="D866" s="7" t="s">
        <v>15</v>
      </c>
      <c r="E866" s="7" t="s">
        <v>16</v>
      </c>
      <c r="F866" s="7" t="s">
        <v>23</v>
      </c>
      <c r="G866" s="7" t="str">
        <f t="shared" si="40"/>
        <v>Sunday</v>
      </c>
      <c r="H866" s="7" t="str">
        <f t="shared" si="41"/>
        <v>Jan</v>
      </c>
      <c r="I866" s="8">
        <v>43473</v>
      </c>
      <c r="J866" s="8" t="str">
        <f t="shared" si="39"/>
        <v>Afternoon</v>
      </c>
      <c r="K866" s="9">
        <v>0.60416666666666663</v>
      </c>
      <c r="L866" s="7" t="s">
        <v>24</v>
      </c>
      <c r="M866" s="10">
        <v>11.938499999999999</v>
      </c>
      <c r="N866" s="7">
        <v>6.6</v>
      </c>
    </row>
    <row r="867" spans="1:14" x14ac:dyDescent="0.25">
      <c r="A867" s="7" t="s">
        <v>896</v>
      </c>
      <c r="B867" s="7" t="s">
        <v>20</v>
      </c>
      <c r="C867" s="7" t="s">
        <v>21</v>
      </c>
      <c r="D867" s="7" t="s">
        <v>15</v>
      </c>
      <c r="E867" s="7" t="s">
        <v>26</v>
      </c>
      <c r="F867" s="7" t="s">
        <v>17</v>
      </c>
      <c r="G867" s="7" t="str">
        <f t="shared" si="40"/>
        <v>Wednesday</v>
      </c>
      <c r="H867" s="7" t="str">
        <f t="shared" si="41"/>
        <v>Jan</v>
      </c>
      <c r="I867" s="8">
        <v>43491</v>
      </c>
      <c r="J867" s="8" t="str">
        <f t="shared" si="39"/>
        <v>Afternoon</v>
      </c>
      <c r="K867" s="9">
        <v>0.63263888888888886</v>
      </c>
      <c r="L867" s="7" t="s">
        <v>18</v>
      </c>
      <c r="M867" s="10">
        <v>5.0715000000000003</v>
      </c>
      <c r="N867" s="7">
        <v>7.3</v>
      </c>
    </row>
    <row r="868" spans="1:14" x14ac:dyDescent="0.25">
      <c r="A868" s="7" t="s">
        <v>897</v>
      </c>
      <c r="B868" s="7" t="s">
        <v>37</v>
      </c>
      <c r="C868" s="7" t="s">
        <v>38</v>
      </c>
      <c r="D868" s="7" t="s">
        <v>15</v>
      </c>
      <c r="E868" s="7" t="s">
        <v>26</v>
      </c>
      <c r="F868" s="7" t="s">
        <v>31</v>
      </c>
      <c r="G868" s="7" t="str">
        <f t="shared" si="40"/>
        <v>Tuesday</v>
      </c>
      <c r="H868" s="7" t="str">
        <f t="shared" si="41"/>
        <v>Mar</v>
      </c>
      <c r="I868" s="8">
        <v>43539</v>
      </c>
      <c r="J868" s="8" t="str">
        <f t="shared" si="39"/>
        <v>Afternoon</v>
      </c>
      <c r="K868" s="9">
        <v>0.6166666666666667</v>
      </c>
      <c r="L868" s="7" t="s">
        <v>28</v>
      </c>
      <c r="M868" s="10">
        <v>36.212000000000003</v>
      </c>
      <c r="N868" s="7">
        <v>6.5</v>
      </c>
    </row>
    <row r="869" spans="1:14" x14ac:dyDescent="0.25">
      <c r="A869" s="7" t="s">
        <v>898</v>
      </c>
      <c r="B869" s="7" t="s">
        <v>20</v>
      </c>
      <c r="C869" s="7" t="s">
        <v>21</v>
      </c>
      <c r="D869" s="7" t="s">
        <v>15</v>
      </c>
      <c r="E869" s="7" t="s">
        <v>16</v>
      </c>
      <c r="F869" s="7" t="s">
        <v>17</v>
      </c>
      <c r="G869" s="7" t="str">
        <f t="shared" si="40"/>
        <v>Monday</v>
      </c>
      <c r="H869" s="7" t="str">
        <f t="shared" si="41"/>
        <v>Jan</v>
      </c>
      <c r="I869" s="8">
        <v>43482</v>
      </c>
      <c r="J869" s="8" t="str">
        <f t="shared" si="39"/>
        <v>Afternoon</v>
      </c>
      <c r="K869" s="9">
        <v>0.52500000000000002</v>
      </c>
      <c r="L869" s="7" t="s">
        <v>18</v>
      </c>
      <c r="M869" s="10">
        <v>6.282</v>
      </c>
      <c r="N869" s="7">
        <v>4.9000000000000004</v>
      </c>
    </row>
    <row r="870" spans="1:14" x14ac:dyDescent="0.25">
      <c r="A870" s="7" t="s">
        <v>899</v>
      </c>
      <c r="B870" s="7" t="s">
        <v>20</v>
      </c>
      <c r="C870" s="7" t="s">
        <v>21</v>
      </c>
      <c r="D870" s="7" t="s">
        <v>15</v>
      </c>
      <c r="E870" s="7" t="s">
        <v>26</v>
      </c>
      <c r="F870" s="7" t="s">
        <v>39</v>
      </c>
      <c r="G870" s="7" t="str">
        <f t="shared" si="40"/>
        <v>Sunday</v>
      </c>
      <c r="H870" s="7" t="str">
        <f t="shared" si="41"/>
        <v>Jan</v>
      </c>
      <c r="I870" s="8">
        <v>43473</v>
      </c>
      <c r="J870" s="8" t="str">
        <f t="shared" si="39"/>
        <v>Evening</v>
      </c>
      <c r="K870" s="9">
        <v>0.79791666666666661</v>
      </c>
      <c r="L870" s="7" t="s">
        <v>28</v>
      </c>
      <c r="M870" s="10">
        <v>3.6465000000000001</v>
      </c>
      <c r="N870" s="7">
        <v>4.3</v>
      </c>
    </row>
    <row r="871" spans="1:14" x14ac:dyDescent="0.25">
      <c r="A871" s="7" t="s">
        <v>900</v>
      </c>
      <c r="B871" s="7" t="s">
        <v>13</v>
      </c>
      <c r="C871" s="7" t="s">
        <v>14</v>
      </c>
      <c r="D871" s="7" t="s">
        <v>22</v>
      </c>
      <c r="E871" s="7" t="s">
        <v>26</v>
      </c>
      <c r="F871" s="7" t="s">
        <v>31</v>
      </c>
      <c r="G871" s="7" t="str">
        <f t="shared" si="40"/>
        <v>Sunday</v>
      </c>
      <c r="H871" s="7" t="str">
        <f t="shared" si="41"/>
        <v>Jan</v>
      </c>
      <c r="I871" s="8">
        <v>43471</v>
      </c>
      <c r="J871" s="8" t="str">
        <f t="shared" si="39"/>
        <v>Afternoon</v>
      </c>
      <c r="K871" s="9">
        <v>0.56597222222222221</v>
      </c>
      <c r="L871" s="7" t="s">
        <v>18</v>
      </c>
      <c r="M871" s="10">
        <v>12.917999999999999</v>
      </c>
      <c r="N871" s="7">
        <v>9.3000000000000007</v>
      </c>
    </row>
    <row r="872" spans="1:14" x14ac:dyDescent="0.25">
      <c r="A872" s="7" t="s">
        <v>901</v>
      </c>
      <c r="B872" s="7" t="s">
        <v>13</v>
      </c>
      <c r="C872" s="7" t="s">
        <v>14</v>
      </c>
      <c r="D872" s="7" t="s">
        <v>15</v>
      </c>
      <c r="E872" s="7" t="s">
        <v>26</v>
      </c>
      <c r="F872" s="7" t="s">
        <v>39</v>
      </c>
      <c r="G872" s="7" t="str">
        <f t="shared" si="40"/>
        <v>Saturday</v>
      </c>
      <c r="H872" s="7" t="str">
        <f t="shared" si="41"/>
        <v>Feb</v>
      </c>
      <c r="I872" s="8">
        <v>43512</v>
      </c>
      <c r="J872" s="8" t="str">
        <f t="shared" si="39"/>
        <v>Morning</v>
      </c>
      <c r="K872" s="9">
        <v>0.43958333333333338</v>
      </c>
      <c r="L872" s="7" t="s">
        <v>28</v>
      </c>
      <c r="M872" s="10">
        <v>8.6869999999999994</v>
      </c>
      <c r="N872" s="7">
        <v>7.1</v>
      </c>
    </row>
    <row r="873" spans="1:14" x14ac:dyDescent="0.25">
      <c r="A873" s="7" t="s">
        <v>902</v>
      </c>
      <c r="B873" s="7" t="s">
        <v>20</v>
      </c>
      <c r="C873" s="7" t="s">
        <v>21</v>
      </c>
      <c r="D873" s="7" t="s">
        <v>22</v>
      </c>
      <c r="E873" s="7" t="s">
        <v>26</v>
      </c>
      <c r="F873" s="7" t="s">
        <v>41</v>
      </c>
      <c r="G873" s="7" t="str">
        <f t="shared" si="40"/>
        <v>Tuesday</v>
      </c>
      <c r="H873" s="7" t="str">
        <f t="shared" si="41"/>
        <v>Mar</v>
      </c>
      <c r="I873" s="8">
        <v>43537</v>
      </c>
      <c r="J873" s="8" t="str">
        <f t="shared" si="39"/>
        <v>Afternoon</v>
      </c>
      <c r="K873" s="9">
        <v>0.65625</v>
      </c>
      <c r="L873" s="7" t="s">
        <v>18</v>
      </c>
      <c r="M873" s="10">
        <v>2.8250000000000002</v>
      </c>
      <c r="N873" s="7">
        <v>9.6</v>
      </c>
    </row>
    <row r="874" spans="1:14" x14ac:dyDescent="0.25">
      <c r="A874" s="7" t="s">
        <v>903</v>
      </c>
      <c r="B874" s="7" t="s">
        <v>37</v>
      </c>
      <c r="C874" s="7" t="s">
        <v>38</v>
      </c>
      <c r="D874" s="7" t="s">
        <v>15</v>
      </c>
      <c r="E874" s="7" t="s">
        <v>16</v>
      </c>
      <c r="F874" s="7" t="s">
        <v>23</v>
      </c>
      <c r="G874" s="7" t="str">
        <f t="shared" si="40"/>
        <v>Wednesday</v>
      </c>
      <c r="H874" s="7" t="str">
        <f t="shared" si="41"/>
        <v>Jan</v>
      </c>
      <c r="I874" s="8">
        <v>43493</v>
      </c>
      <c r="J874" s="8" t="str">
        <f t="shared" si="39"/>
        <v>Morning</v>
      </c>
      <c r="K874" s="9">
        <v>0.49374999999999997</v>
      </c>
      <c r="L874" s="7" t="s">
        <v>24</v>
      </c>
      <c r="M874" s="10">
        <v>10.715</v>
      </c>
      <c r="N874" s="7">
        <v>6.2</v>
      </c>
    </row>
    <row r="875" spans="1:14" x14ac:dyDescent="0.25">
      <c r="A875" s="7" t="s">
        <v>904</v>
      </c>
      <c r="B875" s="7" t="s">
        <v>13</v>
      </c>
      <c r="C875" s="7" t="s">
        <v>14</v>
      </c>
      <c r="D875" s="7" t="s">
        <v>15</v>
      </c>
      <c r="E875" s="7" t="s">
        <v>26</v>
      </c>
      <c r="F875" s="7" t="s">
        <v>31</v>
      </c>
      <c r="G875" s="7" t="str">
        <f t="shared" si="40"/>
        <v>Monday</v>
      </c>
      <c r="H875" s="7" t="str">
        <f t="shared" si="41"/>
        <v>Jan</v>
      </c>
      <c r="I875" s="8">
        <v>43483</v>
      </c>
      <c r="J875" s="8" t="str">
        <f t="shared" si="39"/>
        <v>Evening</v>
      </c>
      <c r="K875" s="9">
        <v>0.72638888888888886</v>
      </c>
      <c r="L875" s="7" t="s">
        <v>24</v>
      </c>
      <c r="M875" s="10">
        <v>26.718</v>
      </c>
      <c r="N875" s="7">
        <v>9.9</v>
      </c>
    </row>
    <row r="876" spans="1:14" x14ac:dyDescent="0.25">
      <c r="A876" s="7" t="s">
        <v>905</v>
      </c>
      <c r="B876" s="7" t="s">
        <v>13</v>
      </c>
      <c r="C876" s="7" t="s">
        <v>14</v>
      </c>
      <c r="D876" s="7" t="s">
        <v>15</v>
      </c>
      <c r="E876" s="7" t="s">
        <v>26</v>
      </c>
      <c r="F876" s="7" t="s">
        <v>27</v>
      </c>
      <c r="G876" s="7" t="str">
        <f t="shared" si="40"/>
        <v>Wednesday</v>
      </c>
      <c r="H876" s="7" t="str">
        <f t="shared" si="41"/>
        <v>Mar</v>
      </c>
      <c r="I876" s="8">
        <v>43543</v>
      </c>
      <c r="J876" s="8" t="str">
        <f t="shared" si="39"/>
        <v>Morning</v>
      </c>
      <c r="K876" s="9">
        <v>0.49444444444444446</v>
      </c>
      <c r="L876" s="7" t="s">
        <v>28</v>
      </c>
      <c r="M876" s="10">
        <v>4.6580000000000004</v>
      </c>
      <c r="N876" s="7">
        <v>5.9</v>
      </c>
    </row>
    <row r="877" spans="1:14" x14ac:dyDescent="0.25">
      <c r="A877" s="7" t="s">
        <v>906</v>
      </c>
      <c r="B877" s="7" t="s">
        <v>20</v>
      </c>
      <c r="C877" s="7" t="s">
        <v>21</v>
      </c>
      <c r="D877" s="7" t="s">
        <v>22</v>
      </c>
      <c r="E877" s="7" t="s">
        <v>26</v>
      </c>
      <c r="F877" s="7" t="s">
        <v>27</v>
      </c>
      <c r="G877" s="7" t="str">
        <f t="shared" si="40"/>
        <v>Tuesday</v>
      </c>
      <c r="H877" s="7" t="str">
        <f t="shared" si="41"/>
        <v>Mar</v>
      </c>
      <c r="I877" s="8">
        <v>43539</v>
      </c>
      <c r="J877" s="8" t="str">
        <f t="shared" si="39"/>
        <v>Afternoon</v>
      </c>
      <c r="K877" s="9">
        <v>0.58611111111111114</v>
      </c>
      <c r="L877" s="7" t="s">
        <v>18</v>
      </c>
      <c r="M877" s="10">
        <v>26.103999999999999</v>
      </c>
      <c r="N877" s="7">
        <v>6.3</v>
      </c>
    </row>
    <row r="878" spans="1:14" x14ac:dyDescent="0.25">
      <c r="A878" s="7" t="s">
        <v>907</v>
      </c>
      <c r="B878" s="7" t="s">
        <v>20</v>
      </c>
      <c r="C878" s="7" t="s">
        <v>21</v>
      </c>
      <c r="D878" s="7" t="s">
        <v>15</v>
      </c>
      <c r="E878" s="7" t="s">
        <v>26</v>
      </c>
      <c r="F878" s="7" t="s">
        <v>41</v>
      </c>
      <c r="G878" s="7" t="str">
        <f t="shared" si="40"/>
        <v>Friday</v>
      </c>
      <c r="H878" s="7" t="str">
        <f t="shared" si="41"/>
        <v>Feb</v>
      </c>
      <c r="I878" s="8">
        <v>43508</v>
      </c>
      <c r="J878" s="8" t="str">
        <f t="shared" si="39"/>
        <v>Evening</v>
      </c>
      <c r="K878" s="9">
        <v>0.74236111111111114</v>
      </c>
      <c r="L878" s="7" t="s">
        <v>24</v>
      </c>
      <c r="M878" s="10">
        <v>2.6175000000000002</v>
      </c>
      <c r="N878" s="7">
        <v>4</v>
      </c>
    </row>
    <row r="879" spans="1:14" x14ac:dyDescent="0.25">
      <c r="A879" s="7" t="s">
        <v>908</v>
      </c>
      <c r="B879" s="7" t="s">
        <v>37</v>
      </c>
      <c r="C879" s="7" t="s">
        <v>38</v>
      </c>
      <c r="D879" s="7" t="s">
        <v>15</v>
      </c>
      <c r="E879" s="7" t="s">
        <v>26</v>
      </c>
      <c r="F879" s="7" t="s">
        <v>23</v>
      </c>
      <c r="G879" s="7" t="str">
        <f t="shared" si="40"/>
        <v>Sunday</v>
      </c>
      <c r="H879" s="7" t="str">
        <f t="shared" si="41"/>
        <v>Feb</v>
      </c>
      <c r="I879" s="8">
        <v>43521</v>
      </c>
      <c r="J879" s="8" t="str">
        <f t="shared" si="39"/>
        <v>Evening</v>
      </c>
      <c r="K879" s="9">
        <v>0.84652777777777777</v>
      </c>
      <c r="L879" s="7" t="s">
        <v>24</v>
      </c>
      <c r="M879" s="10">
        <v>1.9875</v>
      </c>
      <c r="N879" s="7">
        <v>6.1</v>
      </c>
    </row>
    <row r="880" spans="1:14" x14ac:dyDescent="0.25">
      <c r="A880" s="7" t="s">
        <v>909</v>
      </c>
      <c r="B880" s="7" t="s">
        <v>13</v>
      </c>
      <c r="C880" s="7" t="s">
        <v>14</v>
      </c>
      <c r="D880" s="7" t="s">
        <v>22</v>
      </c>
      <c r="E880" s="7" t="s">
        <v>16</v>
      </c>
      <c r="F880" s="7" t="s">
        <v>23</v>
      </c>
      <c r="G880" s="7" t="str">
        <f t="shared" si="40"/>
        <v>Wednesday</v>
      </c>
      <c r="H880" s="7" t="str">
        <f t="shared" si="41"/>
        <v>Mar</v>
      </c>
      <c r="I880" s="8">
        <v>43545</v>
      </c>
      <c r="J880" s="8" t="str">
        <f t="shared" si="39"/>
        <v>Evening</v>
      </c>
      <c r="K880" s="9">
        <v>0.67222222222222217</v>
      </c>
      <c r="L880" s="7" t="s">
        <v>28</v>
      </c>
      <c r="M880" s="10">
        <v>36.008000000000003</v>
      </c>
      <c r="N880" s="7">
        <v>4.5</v>
      </c>
    </row>
    <row r="881" spans="1:14" x14ac:dyDescent="0.25">
      <c r="A881" s="7" t="s">
        <v>910</v>
      </c>
      <c r="B881" s="7" t="s">
        <v>37</v>
      </c>
      <c r="C881" s="7" t="s">
        <v>38</v>
      </c>
      <c r="D881" s="7" t="s">
        <v>15</v>
      </c>
      <c r="E881" s="7" t="s">
        <v>16</v>
      </c>
      <c r="F881" s="7" t="s">
        <v>23</v>
      </c>
      <c r="G881" s="7" t="str">
        <f t="shared" si="40"/>
        <v>Tuesday</v>
      </c>
      <c r="H881" s="7" t="str">
        <f t="shared" si="41"/>
        <v>Jan</v>
      </c>
      <c r="I881" s="8">
        <v>43484</v>
      </c>
      <c r="J881" s="8" t="str">
        <f t="shared" si="39"/>
        <v>Morning</v>
      </c>
      <c r="K881" s="9">
        <v>0.4284722222222222</v>
      </c>
      <c r="L881" s="7" t="s">
        <v>18</v>
      </c>
      <c r="M881" s="10">
        <v>4.84</v>
      </c>
      <c r="N881" s="7">
        <v>8.6</v>
      </c>
    </row>
    <row r="882" spans="1:14" x14ac:dyDescent="0.25">
      <c r="A882" s="7" t="s">
        <v>911</v>
      </c>
      <c r="B882" s="7" t="s">
        <v>37</v>
      </c>
      <c r="C882" s="7" t="s">
        <v>38</v>
      </c>
      <c r="D882" s="7" t="s">
        <v>15</v>
      </c>
      <c r="E882" s="7" t="s">
        <v>16</v>
      </c>
      <c r="F882" s="7" t="s">
        <v>39</v>
      </c>
      <c r="G882" s="7" t="str">
        <f t="shared" si="40"/>
        <v>Sunday</v>
      </c>
      <c r="H882" s="7" t="str">
        <f t="shared" si="41"/>
        <v>Jan</v>
      </c>
      <c r="I882" s="8">
        <v>43473</v>
      </c>
      <c r="J882" s="8" t="str">
        <f t="shared" si="39"/>
        <v>Afternoon</v>
      </c>
      <c r="K882" s="9">
        <v>0.60069444444444442</v>
      </c>
      <c r="L882" s="7" t="s">
        <v>18</v>
      </c>
      <c r="M882" s="10">
        <v>16.605</v>
      </c>
      <c r="N882" s="7">
        <v>6</v>
      </c>
    </row>
    <row r="883" spans="1:14" x14ac:dyDescent="0.25">
      <c r="A883" s="7" t="s">
        <v>912</v>
      </c>
      <c r="B883" s="7" t="s">
        <v>20</v>
      </c>
      <c r="C883" s="7" t="s">
        <v>21</v>
      </c>
      <c r="D883" s="7" t="s">
        <v>15</v>
      </c>
      <c r="E883" s="7" t="s">
        <v>16</v>
      </c>
      <c r="F883" s="7" t="s">
        <v>41</v>
      </c>
      <c r="G883" s="7" t="str">
        <f t="shared" si="40"/>
        <v>Friday</v>
      </c>
      <c r="H883" s="7" t="str">
        <f t="shared" si="41"/>
        <v>Mar</v>
      </c>
      <c r="I883" s="8">
        <v>43554</v>
      </c>
      <c r="J883" s="8" t="str">
        <f t="shared" si="39"/>
        <v>Afternoon</v>
      </c>
      <c r="K883" s="9">
        <v>0.53541666666666665</v>
      </c>
      <c r="L883" s="7" t="s">
        <v>28</v>
      </c>
      <c r="M883" s="10">
        <v>4.0720000000000001</v>
      </c>
      <c r="N883" s="7">
        <v>9.5</v>
      </c>
    </row>
    <row r="884" spans="1:14" x14ac:dyDescent="0.25">
      <c r="A884" s="7" t="s">
        <v>913</v>
      </c>
      <c r="B884" s="7" t="s">
        <v>37</v>
      </c>
      <c r="C884" s="7" t="s">
        <v>38</v>
      </c>
      <c r="D884" s="7" t="s">
        <v>15</v>
      </c>
      <c r="E884" s="7" t="s">
        <v>26</v>
      </c>
      <c r="F884" s="7" t="s">
        <v>31</v>
      </c>
      <c r="G884" s="7" t="str">
        <f t="shared" si="40"/>
        <v>Saturday</v>
      </c>
      <c r="H884" s="7" t="str">
        <f t="shared" si="41"/>
        <v>Feb</v>
      </c>
      <c r="I884" s="8">
        <v>43516</v>
      </c>
      <c r="J884" s="8" t="str">
        <f t="shared" si="39"/>
        <v>Afternoon</v>
      </c>
      <c r="K884" s="9">
        <v>0.63750000000000007</v>
      </c>
      <c r="L884" s="7" t="s">
        <v>28</v>
      </c>
      <c r="M884" s="10">
        <v>15.994999999999999</v>
      </c>
      <c r="N884" s="7">
        <v>9.9</v>
      </c>
    </row>
    <row r="885" spans="1:14" x14ac:dyDescent="0.25">
      <c r="A885" s="7" t="s">
        <v>914</v>
      </c>
      <c r="B885" s="7" t="s">
        <v>13</v>
      </c>
      <c r="C885" s="7" t="s">
        <v>14</v>
      </c>
      <c r="D885" s="7" t="s">
        <v>15</v>
      </c>
      <c r="E885" s="7" t="s">
        <v>16</v>
      </c>
      <c r="F885" s="7" t="s">
        <v>27</v>
      </c>
      <c r="G885" s="7" t="str">
        <f t="shared" si="40"/>
        <v>Friday</v>
      </c>
      <c r="H885" s="7" t="str">
        <f t="shared" si="41"/>
        <v>Mar</v>
      </c>
      <c r="I885" s="8">
        <v>43554</v>
      </c>
      <c r="J885" s="8" t="str">
        <f t="shared" si="39"/>
        <v>Afternoon</v>
      </c>
      <c r="K885" s="9">
        <v>0.53125</v>
      </c>
      <c r="L885" s="7" t="s">
        <v>18</v>
      </c>
      <c r="M885" s="10">
        <v>10.326000000000001</v>
      </c>
      <c r="N885" s="7">
        <v>7.5</v>
      </c>
    </row>
    <row r="886" spans="1:14" x14ac:dyDescent="0.25">
      <c r="A886" s="7" t="s">
        <v>915</v>
      </c>
      <c r="B886" s="7" t="s">
        <v>13</v>
      </c>
      <c r="C886" s="7" t="s">
        <v>14</v>
      </c>
      <c r="D886" s="7" t="s">
        <v>15</v>
      </c>
      <c r="E886" s="7" t="s">
        <v>16</v>
      </c>
      <c r="F886" s="7" t="s">
        <v>39</v>
      </c>
      <c r="G886" s="7" t="str">
        <f t="shared" si="40"/>
        <v>Wednesday</v>
      </c>
      <c r="H886" s="7" t="str">
        <f t="shared" si="41"/>
        <v>Mar</v>
      </c>
      <c r="I886" s="8">
        <v>43543</v>
      </c>
      <c r="J886" s="8" t="str">
        <f t="shared" si="39"/>
        <v>Afternoon</v>
      </c>
      <c r="K886" s="9">
        <v>0.56736111111111109</v>
      </c>
      <c r="L886" s="7" t="s">
        <v>24</v>
      </c>
      <c r="M886" s="10">
        <v>8.3339999999999996</v>
      </c>
      <c r="N886" s="7">
        <v>7.6</v>
      </c>
    </row>
    <row r="887" spans="1:14" x14ac:dyDescent="0.25">
      <c r="A887" s="7" t="s">
        <v>916</v>
      </c>
      <c r="B887" s="7" t="s">
        <v>13</v>
      </c>
      <c r="C887" s="7" t="s">
        <v>14</v>
      </c>
      <c r="D887" s="7" t="s">
        <v>22</v>
      </c>
      <c r="E887" s="7" t="s">
        <v>26</v>
      </c>
      <c r="F887" s="7" t="s">
        <v>31</v>
      </c>
      <c r="G887" s="7" t="str">
        <f t="shared" si="40"/>
        <v>Monday</v>
      </c>
      <c r="H887" s="7" t="str">
        <f t="shared" si="41"/>
        <v>Jan</v>
      </c>
      <c r="I887" s="8">
        <v>43478</v>
      </c>
      <c r="J887" s="8" t="str">
        <f t="shared" si="39"/>
        <v>Morning</v>
      </c>
      <c r="K887" s="9">
        <v>0.41875000000000001</v>
      </c>
      <c r="L887" s="7" t="s">
        <v>24</v>
      </c>
      <c r="M887" s="10">
        <v>15.952999999999999</v>
      </c>
      <c r="N887" s="7">
        <v>5</v>
      </c>
    </row>
    <row r="888" spans="1:14" x14ac:dyDescent="0.25">
      <c r="A888" s="7" t="s">
        <v>917</v>
      </c>
      <c r="B888" s="7" t="s">
        <v>13</v>
      </c>
      <c r="C888" s="7" t="s">
        <v>14</v>
      </c>
      <c r="D888" s="7" t="s">
        <v>15</v>
      </c>
      <c r="E888" s="7" t="s">
        <v>26</v>
      </c>
      <c r="F888" s="7" t="s">
        <v>39</v>
      </c>
      <c r="G888" s="7" t="str">
        <f t="shared" si="40"/>
        <v>Thursday</v>
      </c>
      <c r="H888" s="7" t="str">
        <f t="shared" si="41"/>
        <v>Feb</v>
      </c>
      <c r="I888" s="8">
        <v>43501</v>
      </c>
      <c r="J888" s="8" t="str">
        <f t="shared" si="39"/>
        <v>Evening</v>
      </c>
      <c r="K888" s="9">
        <v>0.8208333333333333</v>
      </c>
      <c r="L888" s="7" t="s">
        <v>18</v>
      </c>
      <c r="M888" s="10">
        <v>4.3949999999999996</v>
      </c>
      <c r="N888" s="7">
        <v>6.7</v>
      </c>
    </row>
    <row r="889" spans="1:14" x14ac:dyDescent="0.25">
      <c r="A889" s="7" t="s">
        <v>918</v>
      </c>
      <c r="B889" s="7" t="s">
        <v>13</v>
      </c>
      <c r="C889" s="7" t="s">
        <v>14</v>
      </c>
      <c r="D889" s="7" t="s">
        <v>15</v>
      </c>
      <c r="E889" s="7" t="s">
        <v>16</v>
      </c>
      <c r="F889" s="7" t="s">
        <v>23</v>
      </c>
      <c r="G889" s="7" t="str">
        <f t="shared" si="40"/>
        <v>Thursday</v>
      </c>
      <c r="H889" s="7" t="str">
        <f t="shared" si="41"/>
        <v>Mar</v>
      </c>
      <c r="I889" s="8">
        <v>43547</v>
      </c>
      <c r="J889" s="8" t="str">
        <f t="shared" si="39"/>
        <v>Afternoon</v>
      </c>
      <c r="K889" s="9">
        <v>0.55138888888888882</v>
      </c>
      <c r="L889" s="7" t="s">
        <v>18</v>
      </c>
      <c r="M889" s="10">
        <v>36.734999999999999</v>
      </c>
      <c r="N889" s="7">
        <v>9.5</v>
      </c>
    </row>
    <row r="890" spans="1:14" x14ac:dyDescent="0.25">
      <c r="A890" s="7" t="s">
        <v>919</v>
      </c>
      <c r="B890" s="7" t="s">
        <v>20</v>
      </c>
      <c r="C890" s="7" t="s">
        <v>21</v>
      </c>
      <c r="D890" s="7" t="s">
        <v>22</v>
      </c>
      <c r="E890" s="7" t="s">
        <v>16</v>
      </c>
      <c r="F890" s="7" t="s">
        <v>41</v>
      </c>
      <c r="G890" s="7" t="str">
        <f t="shared" si="40"/>
        <v>Tuesday</v>
      </c>
      <c r="H890" s="7" t="str">
        <f t="shared" si="41"/>
        <v>Mar</v>
      </c>
      <c r="I890" s="8">
        <v>43537</v>
      </c>
      <c r="J890" s="8" t="str">
        <f t="shared" si="39"/>
        <v>Afternoon</v>
      </c>
      <c r="K890" s="9">
        <v>0.53263888888888888</v>
      </c>
      <c r="L890" s="7" t="s">
        <v>18</v>
      </c>
      <c r="M890" s="10">
        <v>4.8760000000000003</v>
      </c>
      <c r="N890" s="7">
        <v>6.8</v>
      </c>
    </row>
    <row r="891" spans="1:14" x14ac:dyDescent="0.25">
      <c r="A891" s="7" t="s">
        <v>920</v>
      </c>
      <c r="B891" s="7" t="s">
        <v>13</v>
      </c>
      <c r="C891" s="7" t="s">
        <v>14</v>
      </c>
      <c r="D891" s="7" t="s">
        <v>15</v>
      </c>
      <c r="E891" s="7" t="s">
        <v>26</v>
      </c>
      <c r="F891" s="7" t="s">
        <v>31</v>
      </c>
      <c r="G891" s="7" t="str">
        <f t="shared" si="40"/>
        <v>Wednesday</v>
      </c>
      <c r="H891" s="7" t="str">
        <f t="shared" si="41"/>
        <v>Mar</v>
      </c>
      <c r="I891" s="8">
        <v>43541</v>
      </c>
      <c r="J891" s="8" t="str">
        <f t="shared" si="39"/>
        <v>Evening</v>
      </c>
      <c r="K891" s="9">
        <v>0.82847222222222217</v>
      </c>
      <c r="L891" s="7" t="s">
        <v>18</v>
      </c>
      <c r="M891" s="10">
        <v>38.46</v>
      </c>
      <c r="N891" s="7">
        <v>5.6</v>
      </c>
    </row>
    <row r="892" spans="1:14" x14ac:dyDescent="0.25">
      <c r="A892" s="7" t="s">
        <v>921</v>
      </c>
      <c r="B892" s="7" t="s">
        <v>20</v>
      </c>
      <c r="C892" s="7" t="s">
        <v>21</v>
      </c>
      <c r="D892" s="7" t="s">
        <v>22</v>
      </c>
      <c r="E892" s="7" t="s">
        <v>16</v>
      </c>
      <c r="F892" s="7" t="s">
        <v>17</v>
      </c>
      <c r="G892" s="7" t="str">
        <f t="shared" si="40"/>
        <v>Saturday</v>
      </c>
      <c r="H892" s="7" t="str">
        <f t="shared" si="41"/>
        <v>Feb</v>
      </c>
      <c r="I892" s="8">
        <v>43517</v>
      </c>
      <c r="J892" s="8" t="str">
        <f t="shared" si="39"/>
        <v>Morning</v>
      </c>
      <c r="K892" s="9">
        <v>0.43472222222222223</v>
      </c>
      <c r="L892" s="7" t="s">
        <v>24</v>
      </c>
      <c r="M892" s="10">
        <v>20.914999999999999</v>
      </c>
      <c r="N892" s="7">
        <v>7.2</v>
      </c>
    </row>
    <row r="893" spans="1:14" x14ac:dyDescent="0.25">
      <c r="A893" s="7" t="s">
        <v>922</v>
      </c>
      <c r="B893" s="7" t="s">
        <v>37</v>
      </c>
      <c r="C893" s="7" t="s">
        <v>38</v>
      </c>
      <c r="D893" s="7" t="s">
        <v>22</v>
      </c>
      <c r="E893" s="7" t="s">
        <v>16</v>
      </c>
      <c r="F893" s="7" t="s">
        <v>23</v>
      </c>
      <c r="G893" s="7" t="str">
        <f t="shared" si="40"/>
        <v>Thursday</v>
      </c>
      <c r="H893" s="7" t="str">
        <f t="shared" si="41"/>
        <v>Feb</v>
      </c>
      <c r="I893" s="8">
        <v>43503</v>
      </c>
      <c r="J893" s="8" t="str">
        <f t="shared" si="39"/>
        <v>Afternoon</v>
      </c>
      <c r="K893" s="9">
        <v>0.62916666666666665</v>
      </c>
      <c r="L893" s="7" t="s">
        <v>24</v>
      </c>
      <c r="M893" s="10">
        <v>23.164000000000001</v>
      </c>
      <c r="N893" s="7">
        <v>8.1</v>
      </c>
    </row>
    <row r="894" spans="1:14" x14ac:dyDescent="0.25">
      <c r="A894" s="7" t="s">
        <v>923</v>
      </c>
      <c r="B894" s="7" t="s">
        <v>20</v>
      </c>
      <c r="C894" s="7" t="s">
        <v>21</v>
      </c>
      <c r="D894" s="7" t="s">
        <v>15</v>
      </c>
      <c r="E894" s="7" t="s">
        <v>16</v>
      </c>
      <c r="F894" s="7" t="s">
        <v>41</v>
      </c>
      <c r="G894" s="7" t="str">
        <f t="shared" si="40"/>
        <v>Monday</v>
      </c>
      <c r="H894" s="7" t="str">
        <f t="shared" si="41"/>
        <v>Mar</v>
      </c>
      <c r="I894" s="8">
        <v>43526</v>
      </c>
      <c r="J894" s="8" t="str">
        <f t="shared" si="39"/>
        <v>Evening</v>
      </c>
      <c r="K894" s="9">
        <v>0.69097222222222221</v>
      </c>
      <c r="L894" s="7" t="s">
        <v>28</v>
      </c>
      <c r="M894" s="10">
        <v>23.122499999999999</v>
      </c>
      <c r="N894" s="7">
        <v>8.6</v>
      </c>
    </row>
    <row r="895" spans="1:14" x14ac:dyDescent="0.25">
      <c r="A895" s="7" t="s">
        <v>924</v>
      </c>
      <c r="B895" s="7" t="s">
        <v>37</v>
      </c>
      <c r="C895" s="7" t="s">
        <v>38</v>
      </c>
      <c r="D895" s="7" t="s">
        <v>22</v>
      </c>
      <c r="E895" s="7" t="s">
        <v>26</v>
      </c>
      <c r="F895" s="7" t="s">
        <v>23</v>
      </c>
      <c r="G895" s="7" t="str">
        <f t="shared" si="40"/>
        <v>Monday</v>
      </c>
      <c r="H895" s="7" t="str">
        <f t="shared" si="41"/>
        <v>Mar</v>
      </c>
      <c r="I895" s="8">
        <v>43530</v>
      </c>
      <c r="J895" s="8" t="str">
        <f t="shared" si="39"/>
        <v>Evening</v>
      </c>
      <c r="K895" s="9">
        <v>0.87291666666666667</v>
      </c>
      <c r="L895" s="7" t="s">
        <v>24</v>
      </c>
      <c r="M895" s="10">
        <v>7.0949999999999998</v>
      </c>
      <c r="N895" s="7">
        <v>9.4</v>
      </c>
    </row>
    <row r="896" spans="1:14" x14ac:dyDescent="0.25">
      <c r="A896" s="7" t="s">
        <v>925</v>
      </c>
      <c r="B896" s="7" t="s">
        <v>37</v>
      </c>
      <c r="C896" s="7" t="s">
        <v>38</v>
      </c>
      <c r="D896" s="7" t="s">
        <v>15</v>
      </c>
      <c r="E896" s="7" t="s">
        <v>26</v>
      </c>
      <c r="F896" s="7" t="s">
        <v>23</v>
      </c>
      <c r="G896" s="7" t="str">
        <f t="shared" si="40"/>
        <v>Thursday</v>
      </c>
      <c r="H896" s="7" t="str">
        <f t="shared" si="41"/>
        <v>Feb</v>
      </c>
      <c r="I896" s="8">
        <v>43502</v>
      </c>
      <c r="J896" s="8" t="str">
        <f t="shared" si="39"/>
        <v>Afternoon</v>
      </c>
      <c r="K896" s="9">
        <v>0.63611111111111118</v>
      </c>
      <c r="L896" s="7" t="s">
        <v>28</v>
      </c>
      <c r="M896" s="10">
        <v>15.135</v>
      </c>
      <c r="N896" s="7">
        <v>8.9</v>
      </c>
    </row>
    <row r="897" spans="1:14" x14ac:dyDescent="0.25">
      <c r="A897" s="7" t="s">
        <v>926</v>
      </c>
      <c r="B897" s="7" t="s">
        <v>37</v>
      </c>
      <c r="C897" s="7" t="s">
        <v>38</v>
      </c>
      <c r="D897" s="7" t="s">
        <v>22</v>
      </c>
      <c r="E897" s="7" t="s">
        <v>26</v>
      </c>
      <c r="F897" s="7" t="s">
        <v>17</v>
      </c>
      <c r="G897" s="7" t="str">
        <f t="shared" si="40"/>
        <v>Wednesday</v>
      </c>
      <c r="H897" s="7" t="str">
        <f t="shared" si="41"/>
        <v>Jan</v>
      </c>
      <c r="I897" s="8">
        <v>43493</v>
      </c>
      <c r="J897" s="8" t="str">
        <f t="shared" si="39"/>
        <v>Evening</v>
      </c>
      <c r="K897" s="9">
        <v>0.74097222222222225</v>
      </c>
      <c r="L897" s="7" t="s">
        <v>28</v>
      </c>
      <c r="M897" s="10">
        <v>39.664000000000001</v>
      </c>
      <c r="N897" s="7">
        <v>4.2</v>
      </c>
    </row>
    <row r="898" spans="1:14" x14ac:dyDescent="0.25">
      <c r="A898" s="7" t="s">
        <v>927</v>
      </c>
      <c r="B898" s="7" t="s">
        <v>20</v>
      </c>
      <c r="C898" s="7" t="s">
        <v>21</v>
      </c>
      <c r="D898" s="7" t="s">
        <v>22</v>
      </c>
      <c r="E898" s="7" t="s">
        <v>26</v>
      </c>
      <c r="F898" s="7" t="s">
        <v>41</v>
      </c>
      <c r="G898" s="7" t="str">
        <f t="shared" si="40"/>
        <v>Monday</v>
      </c>
      <c r="H898" s="7" t="str">
        <f t="shared" si="41"/>
        <v>Jan</v>
      </c>
      <c r="I898" s="8">
        <v>43483</v>
      </c>
      <c r="J898" s="8" t="str">
        <f t="shared" ref="J898:J961" si="42">IF(AND(K898&gt;=TIME(9,0,0),K898&lt;TIME(12,0,0)),"Morning",IF(AND(K898&gt;=TIME(12,0,0),K898&lt;TIME(16,0,0)),"Afternoon","Evening"))</f>
        <v>Evening</v>
      </c>
      <c r="K898" s="9">
        <v>0.68263888888888891</v>
      </c>
      <c r="L898" s="7" t="s">
        <v>18</v>
      </c>
      <c r="M898" s="10">
        <v>21.259</v>
      </c>
      <c r="N898" s="7">
        <v>5</v>
      </c>
    </row>
    <row r="899" spans="1:14" x14ac:dyDescent="0.25">
      <c r="A899" s="7" t="s">
        <v>928</v>
      </c>
      <c r="B899" s="7" t="s">
        <v>20</v>
      </c>
      <c r="C899" s="7" t="s">
        <v>21</v>
      </c>
      <c r="D899" s="7" t="s">
        <v>15</v>
      </c>
      <c r="E899" s="7" t="s">
        <v>16</v>
      </c>
      <c r="F899" s="7" t="s">
        <v>39</v>
      </c>
      <c r="G899" s="7" t="str">
        <f t="shared" ref="G899:G962" si="43">TEXT(I899/7,"dddd")</f>
        <v>Thursday</v>
      </c>
      <c r="H899" s="7" t="str">
        <f t="shared" ref="H899:H962" si="44">TEXT(I899,"mmm")</f>
        <v>Feb</v>
      </c>
      <c r="I899" s="8">
        <v>43501</v>
      </c>
      <c r="J899" s="8" t="str">
        <f t="shared" si="42"/>
        <v>Morning</v>
      </c>
      <c r="K899" s="9">
        <v>0.4284722222222222</v>
      </c>
      <c r="L899" s="7" t="s">
        <v>24</v>
      </c>
      <c r="M899" s="10">
        <v>14.180999999999999</v>
      </c>
      <c r="N899" s="7">
        <v>8.8000000000000007</v>
      </c>
    </row>
    <row r="900" spans="1:14" x14ac:dyDescent="0.25">
      <c r="A900" s="7" t="s">
        <v>929</v>
      </c>
      <c r="B900" s="7" t="s">
        <v>20</v>
      </c>
      <c r="C900" s="7" t="s">
        <v>21</v>
      </c>
      <c r="D900" s="7" t="s">
        <v>15</v>
      </c>
      <c r="E900" s="7" t="s">
        <v>26</v>
      </c>
      <c r="F900" s="7" t="s">
        <v>17</v>
      </c>
      <c r="G900" s="7" t="str">
        <f t="shared" si="43"/>
        <v>Monday</v>
      </c>
      <c r="H900" s="7" t="str">
        <f t="shared" si="44"/>
        <v>Mar</v>
      </c>
      <c r="I900" s="8">
        <v>43526</v>
      </c>
      <c r="J900" s="8" t="str">
        <f t="shared" si="42"/>
        <v>Afternoon</v>
      </c>
      <c r="K900" s="9">
        <v>0.57638888888888895</v>
      </c>
      <c r="L900" s="7" t="s">
        <v>24</v>
      </c>
      <c r="M900" s="10">
        <v>29.96</v>
      </c>
      <c r="N900" s="7">
        <v>5.3</v>
      </c>
    </row>
    <row r="901" spans="1:14" x14ac:dyDescent="0.25">
      <c r="A901" s="7" t="s">
        <v>930</v>
      </c>
      <c r="B901" s="7" t="s">
        <v>13</v>
      </c>
      <c r="C901" s="7" t="s">
        <v>14</v>
      </c>
      <c r="D901" s="7" t="s">
        <v>15</v>
      </c>
      <c r="E901" s="7" t="s">
        <v>26</v>
      </c>
      <c r="F901" s="7" t="s">
        <v>39</v>
      </c>
      <c r="G901" s="7" t="str">
        <f t="shared" si="43"/>
        <v>Friday</v>
      </c>
      <c r="H901" s="7" t="str">
        <f t="shared" si="44"/>
        <v>Feb</v>
      </c>
      <c r="I901" s="8">
        <v>43505</v>
      </c>
      <c r="J901" s="8" t="str">
        <f t="shared" si="42"/>
        <v>Evening</v>
      </c>
      <c r="K901" s="9">
        <v>0.80347222222222225</v>
      </c>
      <c r="L901" s="7" t="s">
        <v>18</v>
      </c>
      <c r="M901" s="10">
        <v>15.768000000000001</v>
      </c>
      <c r="N901" s="7">
        <v>4.5999999999999996</v>
      </c>
    </row>
    <row r="902" spans="1:14" x14ac:dyDescent="0.25">
      <c r="A902" s="7" t="s">
        <v>931</v>
      </c>
      <c r="B902" s="7" t="s">
        <v>20</v>
      </c>
      <c r="C902" s="7" t="s">
        <v>21</v>
      </c>
      <c r="D902" s="7" t="s">
        <v>15</v>
      </c>
      <c r="E902" s="7" t="s">
        <v>16</v>
      </c>
      <c r="F902" s="7" t="s">
        <v>23</v>
      </c>
      <c r="G902" s="7" t="str">
        <f t="shared" si="43"/>
        <v>Monday</v>
      </c>
      <c r="H902" s="7" t="str">
        <f t="shared" si="44"/>
        <v>Jan</v>
      </c>
      <c r="I902" s="8">
        <v>43479</v>
      </c>
      <c r="J902" s="8" t="str">
        <f t="shared" si="42"/>
        <v>Afternoon</v>
      </c>
      <c r="K902" s="9">
        <v>0.58333333333333337</v>
      </c>
      <c r="L902" s="7" t="s">
        <v>28</v>
      </c>
      <c r="M902" s="10">
        <v>20.178000000000001</v>
      </c>
      <c r="N902" s="7">
        <v>7.5</v>
      </c>
    </row>
    <row r="903" spans="1:14" x14ac:dyDescent="0.25">
      <c r="A903" s="7" t="s">
        <v>932</v>
      </c>
      <c r="B903" s="7" t="s">
        <v>37</v>
      </c>
      <c r="C903" s="7" t="s">
        <v>38</v>
      </c>
      <c r="D903" s="7" t="s">
        <v>22</v>
      </c>
      <c r="E903" s="7" t="s">
        <v>26</v>
      </c>
      <c r="F903" s="7" t="s">
        <v>27</v>
      </c>
      <c r="G903" s="7" t="str">
        <f t="shared" si="43"/>
        <v>Friday</v>
      </c>
      <c r="H903" s="7" t="str">
        <f t="shared" si="44"/>
        <v>Feb</v>
      </c>
      <c r="I903" s="8">
        <v>43505</v>
      </c>
      <c r="J903" s="8" t="str">
        <f t="shared" si="42"/>
        <v>Afternoon</v>
      </c>
      <c r="K903" s="9">
        <v>0.50138888888888888</v>
      </c>
      <c r="L903" s="7" t="s">
        <v>18</v>
      </c>
      <c r="M903" s="10">
        <v>9.1940000000000008</v>
      </c>
      <c r="N903" s="7">
        <v>5.0999999999999996</v>
      </c>
    </row>
    <row r="904" spans="1:14" x14ac:dyDescent="0.25">
      <c r="A904" s="7" t="s">
        <v>933</v>
      </c>
      <c r="B904" s="7" t="s">
        <v>13</v>
      </c>
      <c r="C904" s="7" t="s">
        <v>14</v>
      </c>
      <c r="D904" s="7" t="s">
        <v>15</v>
      </c>
      <c r="E904" s="7" t="s">
        <v>16</v>
      </c>
      <c r="F904" s="7" t="s">
        <v>17</v>
      </c>
      <c r="G904" s="7" t="str">
        <f t="shared" si="43"/>
        <v>Thursday</v>
      </c>
      <c r="H904" s="7" t="str">
        <f t="shared" si="44"/>
        <v>Mar</v>
      </c>
      <c r="I904" s="8">
        <v>43550</v>
      </c>
      <c r="J904" s="8" t="str">
        <f t="shared" si="42"/>
        <v>Evening</v>
      </c>
      <c r="K904" s="9">
        <v>0.84791666666666676</v>
      </c>
      <c r="L904" s="7" t="s">
        <v>28</v>
      </c>
      <c r="M904" s="10">
        <v>6.9325000000000001</v>
      </c>
      <c r="N904" s="7">
        <v>4.2</v>
      </c>
    </row>
    <row r="905" spans="1:14" x14ac:dyDescent="0.25">
      <c r="A905" s="7" t="s">
        <v>934</v>
      </c>
      <c r="B905" s="7" t="s">
        <v>13</v>
      </c>
      <c r="C905" s="7" t="s">
        <v>14</v>
      </c>
      <c r="D905" s="7" t="s">
        <v>22</v>
      </c>
      <c r="E905" s="7" t="s">
        <v>26</v>
      </c>
      <c r="F905" s="7" t="s">
        <v>39</v>
      </c>
      <c r="G905" s="7" t="str">
        <f t="shared" si="43"/>
        <v>Wednesday</v>
      </c>
      <c r="H905" s="7" t="str">
        <f t="shared" si="44"/>
        <v>Jan</v>
      </c>
      <c r="I905" s="8">
        <v>43493</v>
      </c>
      <c r="J905" s="8" t="str">
        <f t="shared" si="42"/>
        <v>Evening</v>
      </c>
      <c r="K905" s="9">
        <v>0.73263888888888884</v>
      </c>
      <c r="L905" s="7" t="s">
        <v>24</v>
      </c>
      <c r="M905" s="10">
        <v>4.0354999999999999</v>
      </c>
      <c r="N905" s="7">
        <v>8.1</v>
      </c>
    </row>
    <row r="906" spans="1:14" x14ac:dyDescent="0.25">
      <c r="A906" s="7" t="s">
        <v>935</v>
      </c>
      <c r="B906" s="7" t="s">
        <v>20</v>
      </c>
      <c r="C906" s="7" t="s">
        <v>21</v>
      </c>
      <c r="D906" s="7" t="s">
        <v>22</v>
      </c>
      <c r="E906" s="7" t="s">
        <v>16</v>
      </c>
      <c r="F906" s="7" t="s">
        <v>17</v>
      </c>
      <c r="G906" s="7" t="str">
        <f t="shared" si="43"/>
        <v>Friday</v>
      </c>
      <c r="H906" s="7" t="str">
        <f t="shared" si="44"/>
        <v>Feb</v>
      </c>
      <c r="I906" s="8">
        <v>43510</v>
      </c>
      <c r="J906" s="8" t="str">
        <f t="shared" si="42"/>
        <v>Afternoon</v>
      </c>
      <c r="K906" s="9">
        <v>0.52916666666666667</v>
      </c>
      <c r="L906" s="7" t="s">
        <v>18</v>
      </c>
      <c r="M906" s="10">
        <v>5.8319999999999999</v>
      </c>
      <c r="N906" s="7">
        <v>6</v>
      </c>
    </row>
    <row r="907" spans="1:14" x14ac:dyDescent="0.25">
      <c r="A907" s="7" t="s">
        <v>936</v>
      </c>
      <c r="B907" s="7" t="s">
        <v>20</v>
      </c>
      <c r="C907" s="7" t="s">
        <v>21</v>
      </c>
      <c r="D907" s="7" t="s">
        <v>15</v>
      </c>
      <c r="E907" s="7" t="s">
        <v>16</v>
      </c>
      <c r="F907" s="7" t="s">
        <v>27</v>
      </c>
      <c r="G907" s="7" t="str">
        <f t="shared" si="43"/>
        <v>Thursday</v>
      </c>
      <c r="H907" s="7" t="str">
        <f t="shared" si="44"/>
        <v>Mar</v>
      </c>
      <c r="I907" s="8">
        <v>43548</v>
      </c>
      <c r="J907" s="8" t="str">
        <f t="shared" si="42"/>
        <v>Evening</v>
      </c>
      <c r="K907" s="9">
        <v>0.74722222222222223</v>
      </c>
      <c r="L907" s="7" t="s">
        <v>24</v>
      </c>
      <c r="M907" s="10">
        <v>15.676</v>
      </c>
      <c r="N907" s="7">
        <v>7.9</v>
      </c>
    </row>
    <row r="908" spans="1:14" x14ac:dyDescent="0.25">
      <c r="A908" s="7" t="s">
        <v>937</v>
      </c>
      <c r="B908" s="7" t="s">
        <v>20</v>
      </c>
      <c r="C908" s="7" t="s">
        <v>21</v>
      </c>
      <c r="D908" s="7" t="s">
        <v>22</v>
      </c>
      <c r="E908" s="7" t="s">
        <v>26</v>
      </c>
      <c r="F908" s="7" t="s">
        <v>17</v>
      </c>
      <c r="G908" s="7" t="str">
        <f t="shared" si="43"/>
        <v>Friday</v>
      </c>
      <c r="H908" s="7" t="str">
        <f t="shared" si="44"/>
        <v>Feb</v>
      </c>
      <c r="I908" s="8">
        <v>43505</v>
      </c>
      <c r="J908" s="8" t="str">
        <f t="shared" si="42"/>
        <v>Evening</v>
      </c>
      <c r="K908" s="9">
        <v>0.79027777777777775</v>
      </c>
      <c r="L908" s="7" t="s">
        <v>28</v>
      </c>
      <c r="M908" s="10">
        <v>42.305</v>
      </c>
      <c r="N908" s="7">
        <v>8.8000000000000007</v>
      </c>
    </row>
    <row r="909" spans="1:14" x14ac:dyDescent="0.25">
      <c r="A909" s="7" t="s">
        <v>938</v>
      </c>
      <c r="B909" s="7" t="s">
        <v>37</v>
      </c>
      <c r="C909" s="7" t="s">
        <v>38</v>
      </c>
      <c r="D909" s="7" t="s">
        <v>22</v>
      </c>
      <c r="E909" s="7" t="s">
        <v>16</v>
      </c>
      <c r="F909" s="7" t="s">
        <v>17</v>
      </c>
      <c r="G909" s="7" t="str">
        <f t="shared" si="43"/>
        <v>Thursday</v>
      </c>
      <c r="H909" s="7" t="str">
        <f t="shared" si="44"/>
        <v>Mar</v>
      </c>
      <c r="I909" s="8">
        <v>43548</v>
      </c>
      <c r="J909" s="8" t="str">
        <f t="shared" si="42"/>
        <v>Afternoon</v>
      </c>
      <c r="K909" s="9">
        <v>0.58888888888888891</v>
      </c>
      <c r="L909" s="7" t="s">
        <v>28</v>
      </c>
      <c r="M909" s="10">
        <v>20.72</v>
      </c>
      <c r="N909" s="7">
        <v>6.6</v>
      </c>
    </row>
    <row r="910" spans="1:14" x14ac:dyDescent="0.25">
      <c r="A910" s="7" t="s">
        <v>939</v>
      </c>
      <c r="B910" s="7" t="s">
        <v>13</v>
      </c>
      <c r="C910" s="7" t="s">
        <v>14</v>
      </c>
      <c r="D910" s="7" t="s">
        <v>15</v>
      </c>
      <c r="E910" s="7" t="s">
        <v>16</v>
      </c>
      <c r="F910" s="7" t="s">
        <v>39</v>
      </c>
      <c r="G910" s="7" t="str">
        <f t="shared" si="43"/>
        <v>Thursday</v>
      </c>
      <c r="H910" s="7" t="str">
        <f t="shared" si="44"/>
        <v>Mar</v>
      </c>
      <c r="I910" s="8">
        <v>43551</v>
      </c>
      <c r="J910" s="8" t="str">
        <f t="shared" si="42"/>
        <v>Evening</v>
      </c>
      <c r="K910" s="9">
        <v>0.6875</v>
      </c>
      <c r="L910" s="7" t="s">
        <v>18</v>
      </c>
      <c r="M910" s="10">
        <v>7.9539999999999997</v>
      </c>
      <c r="N910" s="7">
        <v>6.2</v>
      </c>
    </row>
    <row r="911" spans="1:14" x14ac:dyDescent="0.25">
      <c r="A911" s="7" t="s">
        <v>940</v>
      </c>
      <c r="B911" s="7" t="s">
        <v>37</v>
      </c>
      <c r="C911" s="7" t="s">
        <v>38</v>
      </c>
      <c r="D911" s="7" t="s">
        <v>22</v>
      </c>
      <c r="E911" s="7" t="s">
        <v>16</v>
      </c>
      <c r="F911" s="7" t="s">
        <v>27</v>
      </c>
      <c r="G911" s="7" t="str">
        <f t="shared" si="43"/>
        <v>Wednesday</v>
      </c>
      <c r="H911" s="7" t="str">
        <f t="shared" si="44"/>
        <v>Jan</v>
      </c>
      <c r="I911" s="8">
        <v>43492</v>
      </c>
      <c r="J911" s="8" t="str">
        <f t="shared" si="42"/>
        <v>Morning</v>
      </c>
      <c r="K911" s="9">
        <v>0.44722222222222219</v>
      </c>
      <c r="L911" s="7" t="s">
        <v>28</v>
      </c>
      <c r="M911" s="10">
        <v>24.504999999999999</v>
      </c>
      <c r="N911" s="7">
        <v>4.2</v>
      </c>
    </row>
    <row r="912" spans="1:14" x14ac:dyDescent="0.25">
      <c r="A912" s="7" t="s">
        <v>941</v>
      </c>
      <c r="B912" s="7" t="s">
        <v>37</v>
      </c>
      <c r="C912" s="7" t="s">
        <v>38</v>
      </c>
      <c r="D912" s="7" t="s">
        <v>15</v>
      </c>
      <c r="E912" s="7" t="s">
        <v>16</v>
      </c>
      <c r="F912" s="7" t="s">
        <v>39</v>
      </c>
      <c r="G912" s="7" t="str">
        <f t="shared" si="43"/>
        <v>Thursday</v>
      </c>
      <c r="H912" s="7" t="str">
        <f t="shared" si="44"/>
        <v>Mar</v>
      </c>
      <c r="I912" s="8">
        <v>43551</v>
      </c>
      <c r="J912" s="8" t="str">
        <f t="shared" si="42"/>
        <v>Evening</v>
      </c>
      <c r="K912" s="9">
        <v>0.8534722222222223</v>
      </c>
      <c r="L912" s="7" t="s">
        <v>28</v>
      </c>
      <c r="M912" s="10">
        <v>4.3724999999999996</v>
      </c>
      <c r="N912" s="7">
        <v>7.3</v>
      </c>
    </row>
    <row r="913" spans="1:14" x14ac:dyDescent="0.25">
      <c r="A913" s="7" t="s">
        <v>942</v>
      </c>
      <c r="B913" s="7" t="s">
        <v>20</v>
      </c>
      <c r="C913" s="7" t="s">
        <v>21</v>
      </c>
      <c r="D913" s="7" t="s">
        <v>22</v>
      </c>
      <c r="E913" s="7" t="s">
        <v>16</v>
      </c>
      <c r="F913" s="7" t="s">
        <v>23</v>
      </c>
      <c r="G913" s="7" t="str">
        <f t="shared" si="43"/>
        <v>Tuesday</v>
      </c>
      <c r="H913" s="7" t="str">
        <f t="shared" si="44"/>
        <v>Jan</v>
      </c>
      <c r="I913" s="8">
        <v>43484</v>
      </c>
      <c r="J913" s="8" t="str">
        <f t="shared" si="42"/>
        <v>Morning</v>
      </c>
      <c r="K913" s="9">
        <v>0.48819444444444443</v>
      </c>
      <c r="L913" s="7" t="s">
        <v>18</v>
      </c>
      <c r="M913" s="10">
        <v>11.226000000000001</v>
      </c>
      <c r="N913" s="7">
        <v>8.6</v>
      </c>
    </row>
    <row r="914" spans="1:14" x14ac:dyDescent="0.25">
      <c r="A914" s="7" t="s">
        <v>943</v>
      </c>
      <c r="B914" s="7" t="s">
        <v>13</v>
      </c>
      <c r="C914" s="7" t="s">
        <v>14</v>
      </c>
      <c r="D914" s="7" t="s">
        <v>22</v>
      </c>
      <c r="E914" s="7" t="s">
        <v>16</v>
      </c>
      <c r="F914" s="7" t="s">
        <v>27</v>
      </c>
      <c r="G914" s="7" t="str">
        <f t="shared" si="43"/>
        <v>Thursday</v>
      </c>
      <c r="H914" s="7" t="str">
        <f t="shared" si="44"/>
        <v>Feb</v>
      </c>
      <c r="I914" s="8">
        <v>43503</v>
      </c>
      <c r="J914" s="8" t="str">
        <f t="shared" si="42"/>
        <v>Morning</v>
      </c>
      <c r="K914" s="9">
        <v>0.42291666666666666</v>
      </c>
      <c r="L914" s="7" t="s">
        <v>24</v>
      </c>
      <c r="M914" s="10">
        <v>37.247999999999998</v>
      </c>
      <c r="N914" s="7">
        <v>6.8</v>
      </c>
    </row>
    <row r="915" spans="1:14" x14ac:dyDescent="0.25">
      <c r="A915" s="7" t="s">
        <v>944</v>
      </c>
      <c r="B915" s="7" t="s">
        <v>13</v>
      </c>
      <c r="C915" s="7" t="s">
        <v>14</v>
      </c>
      <c r="D915" s="7" t="s">
        <v>15</v>
      </c>
      <c r="E915" s="7" t="s">
        <v>26</v>
      </c>
      <c r="F915" s="7" t="s">
        <v>41</v>
      </c>
      <c r="G915" s="7" t="str">
        <f t="shared" si="43"/>
        <v>Wednesday</v>
      </c>
      <c r="H915" s="7" t="str">
        <f t="shared" si="44"/>
        <v>Jan</v>
      </c>
      <c r="I915" s="8">
        <v>43496</v>
      </c>
      <c r="J915" s="8" t="str">
        <f t="shared" si="42"/>
        <v>Morning</v>
      </c>
      <c r="K915" s="9">
        <v>0.41666666666666669</v>
      </c>
      <c r="L915" s="7" t="s">
        <v>18</v>
      </c>
      <c r="M915" s="10">
        <v>20.536000000000001</v>
      </c>
      <c r="N915" s="7">
        <v>7.6</v>
      </c>
    </row>
    <row r="916" spans="1:14" x14ac:dyDescent="0.25">
      <c r="A916" s="7" t="s">
        <v>945</v>
      </c>
      <c r="B916" s="7" t="s">
        <v>13</v>
      </c>
      <c r="C916" s="7" t="s">
        <v>14</v>
      </c>
      <c r="D916" s="7" t="s">
        <v>15</v>
      </c>
      <c r="E916" s="7" t="s">
        <v>16</v>
      </c>
      <c r="F916" s="7" t="s">
        <v>39</v>
      </c>
      <c r="G916" s="7" t="str">
        <f t="shared" si="43"/>
        <v>Sunday</v>
      </c>
      <c r="H916" s="7" t="str">
        <f t="shared" si="44"/>
        <v>Feb</v>
      </c>
      <c r="I916" s="8">
        <v>43521</v>
      </c>
      <c r="J916" s="8" t="str">
        <f t="shared" si="42"/>
        <v>Evening</v>
      </c>
      <c r="K916" s="9">
        <v>0.78125</v>
      </c>
      <c r="L916" s="7" t="s">
        <v>24</v>
      </c>
      <c r="M916" s="10">
        <v>14.94</v>
      </c>
      <c r="N916" s="7">
        <v>5.8</v>
      </c>
    </row>
    <row r="917" spans="1:14" x14ac:dyDescent="0.25">
      <c r="A917" s="7" t="s">
        <v>946</v>
      </c>
      <c r="B917" s="7" t="s">
        <v>20</v>
      </c>
      <c r="C917" s="7" t="s">
        <v>21</v>
      </c>
      <c r="D917" s="7" t="s">
        <v>22</v>
      </c>
      <c r="E917" s="7" t="s">
        <v>16</v>
      </c>
      <c r="F917" s="7" t="s">
        <v>23</v>
      </c>
      <c r="G917" s="7" t="str">
        <f t="shared" si="43"/>
        <v>Thursday</v>
      </c>
      <c r="H917" s="7" t="str">
        <f t="shared" si="44"/>
        <v>Feb</v>
      </c>
      <c r="I917" s="8">
        <v>43498</v>
      </c>
      <c r="J917" s="8" t="str">
        <f t="shared" si="42"/>
        <v>Afternoon</v>
      </c>
      <c r="K917" s="9">
        <v>0.52777777777777779</v>
      </c>
      <c r="L917" s="7" t="s">
        <v>24</v>
      </c>
      <c r="M917" s="10">
        <v>10.647</v>
      </c>
      <c r="N917" s="7">
        <v>4.0999999999999996</v>
      </c>
    </row>
    <row r="918" spans="1:14" x14ac:dyDescent="0.25">
      <c r="A918" s="7" t="s">
        <v>947</v>
      </c>
      <c r="B918" s="7" t="s">
        <v>20</v>
      </c>
      <c r="C918" s="7" t="s">
        <v>21</v>
      </c>
      <c r="D918" s="7" t="s">
        <v>15</v>
      </c>
      <c r="E918" s="7" t="s">
        <v>26</v>
      </c>
      <c r="F918" s="7" t="s">
        <v>31</v>
      </c>
      <c r="G918" s="7" t="str">
        <f t="shared" si="43"/>
        <v>Tuesday</v>
      </c>
      <c r="H918" s="7" t="str">
        <f t="shared" si="44"/>
        <v>Mar</v>
      </c>
      <c r="I918" s="8">
        <v>43538</v>
      </c>
      <c r="J918" s="8" t="str">
        <f t="shared" si="42"/>
        <v>Afternoon</v>
      </c>
      <c r="K918" s="9">
        <v>0.65</v>
      </c>
      <c r="L918" s="7" t="s">
        <v>28</v>
      </c>
      <c r="M918" s="10">
        <v>2.1425000000000001</v>
      </c>
      <c r="N918" s="7">
        <v>9.3000000000000007</v>
      </c>
    </row>
    <row r="919" spans="1:14" x14ac:dyDescent="0.25">
      <c r="A919" s="7" t="s">
        <v>948</v>
      </c>
      <c r="B919" s="7" t="s">
        <v>13</v>
      </c>
      <c r="C919" s="7" t="s">
        <v>14</v>
      </c>
      <c r="D919" s="7" t="s">
        <v>22</v>
      </c>
      <c r="E919" s="7" t="s">
        <v>16</v>
      </c>
      <c r="F919" s="7" t="s">
        <v>41</v>
      </c>
      <c r="G919" s="7" t="str">
        <f t="shared" si="43"/>
        <v>Tuesday</v>
      </c>
      <c r="H919" s="7" t="str">
        <f t="shared" si="44"/>
        <v>Mar</v>
      </c>
      <c r="I919" s="8">
        <v>43535</v>
      </c>
      <c r="J919" s="8" t="str">
        <f t="shared" si="42"/>
        <v>Afternoon</v>
      </c>
      <c r="K919" s="9">
        <v>0.50277777777777777</v>
      </c>
      <c r="L919" s="7" t="s">
        <v>24</v>
      </c>
      <c r="M919" s="10">
        <v>18.934000000000001</v>
      </c>
      <c r="N919" s="7">
        <v>6.8</v>
      </c>
    </row>
    <row r="920" spans="1:14" x14ac:dyDescent="0.25">
      <c r="A920" s="7" t="s">
        <v>949</v>
      </c>
      <c r="B920" s="7" t="s">
        <v>37</v>
      </c>
      <c r="C920" s="7" t="s">
        <v>38</v>
      </c>
      <c r="D920" s="7" t="s">
        <v>22</v>
      </c>
      <c r="E920" s="7" t="s">
        <v>26</v>
      </c>
      <c r="F920" s="7" t="s">
        <v>27</v>
      </c>
      <c r="G920" s="7" t="str">
        <f t="shared" si="43"/>
        <v>Saturday</v>
      </c>
      <c r="H920" s="7" t="str">
        <f t="shared" si="44"/>
        <v>Feb</v>
      </c>
      <c r="I920" s="8">
        <v>43518</v>
      </c>
      <c r="J920" s="8" t="str">
        <f t="shared" si="42"/>
        <v>Morning</v>
      </c>
      <c r="K920" s="9">
        <v>0.47638888888888892</v>
      </c>
      <c r="L920" s="7" t="s">
        <v>18</v>
      </c>
      <c r="M920" s="10">
        <v>10.345499999999999</v>
      </c>
      <c r="N920" s="7">
        <v>8.6999999999999993</v>
      </c>
    </row>
    <row r="921" spans="1:14" x14ac:dyDescent="0.25">
      <c r="A921" s="7" t="s">
        <v>950</v>
      </c>
      <c r="B921" s="7" t="s">
        <v>37</v>
      </c>
      <c r="C921" s="7" t="s">
        <v>38</v>
      </c>
      <c r="D921" s="7" t="s">
        <v>15</v>
      </c>
      <c r="E921" s="7" t="s">
        <v>16</v>
      </c>
      <c r="F921" s="7" t="s">
        <v>23</v>
      </c>
      <c r="G921" s="7" t="str">
        <f t="shared" si="43"/>
        <v>Monday</v>
      </c>
      <c r="H921" s="7" t="str">
        <f t="shared" si="44"/>
        <v>Mar</v>
      </c>
      <c r="I921" s="8">
        <v>43526</v>
      </c>
      <c r="J921" s="8" t="str">
        <f t="shared" si="42"/>
        <v>Afternoon</v>
      </c>
      <c r="K921" s="9">
        <v>0.52500000000000002</v>
      </c>
      <c r="L921" s="7" t="s">
        <v>18</v>
      </c>
      <c r="M921" s="10">
        <v>3.9390000000000001</v>
      </c>
      <c r="N921" s="7">
        <v>6.3</v>
      </c>
    </row>
    <row r="922" spans="1:14" x14ac:dyDescent="0.25">
      <c r="A922" s="7" t="s">
        <v>951</v>
      </c>
      <c r="B922" s="7" t="s">
        <v>20</v>
      </c>
      <c r="C922" s="7" t="s">
        <v>21</v>
      </c>
      <c r="D922" s="7" t="s">
        <v>15</v>
      </c>
      <c r="E922" s="7" t="s">
        <v>16</v>
      </c>
      <c r="F922" s="7" t="s">
        <v>27</v>
      </c>
      <c r="G922" s="7" t="str">
        <f t="shared" si="43"/>
        <v>Tuesday</v>
      </c>
      <c r="H922" s="7" t="str">
        <f t="shared" si="44"/>
        <v>Mar</v>
      </c>
      <c r="I922" s="8">
        <v>43534</v>
      </c>
      <c r="J922" s="8" t="str">
        <f t="shared" si="42"/>
        <v>Afternoon</v>
      </c>
      <c r="K922" s="9">
        <v>0.62916666666666665</v>
      </c>
      <c r="L922" s="7" t="s">
        <v>28</v>
      </c>
      <c r="M922" s="10">
        <v>16.105499999999999</v>
      </c>
      <c r="N922" s="7">
        <v>5.0999999999999996</v>
      </c>
    </row>
    <row r="923" spans="1:14" x14ac:dyDescent="0.25">
      <c r="A923" s="7" t="s">
        <v>952</v>
      </c>
      <c r="B923" s="7" t="s">
        <v>37</v>
      </c>
      <c r="C923" s="7" t="s">
        <v>38</v>
      </c>
      <c r="D923" s="7" t="s">
        <v>22</v>
      </c>
      <c r="E923" s="7" t="s">
        <v>16</v>
      </c>
      <c r="F923" s="7" t="s">
        <v>27</v>
      </c>
      <c r="G923" s="7" t="str">
        <f t="shared" si="43"/>
        <v>Thursday</v>
      </c>
      <c r="H923" s="7" t="str">
        <f t="shared" si="44"/>
        <v>Feb</v>
      </c>
      <c r="I923" s="8">
        <v>43504</v>
      </c>
      <c r="J923" s="8" t="str">
        <f t="shared" si="42"/>
        <v>Morning</v>
      </c>
      <c r="K923" s="9">
        <v>0.45694444444444443</v>
      </c>
      <c r="L923" s="7" t="s">
        <v>24</v>
      </c>
      <c r="M923" s="10">
        <v>4.9109999999999996</v>
      </c>
      <c r="N923" s="7">
        <v>7</v>
      </c>
    </row>
    <row r="924" spans="1:14" x14ac:dyDescent="0.25">
      <c r="A924" s="7" t="s">
        <v>953</v>
      </c>
      <c r="B924" s="7" t="s">
        <v>20</v>
      </c>
      <c r="C924" s="7" t="s">
        <v>21</v>
      </c>
      <c r="D924" s="7" t="s">
        <v>15</v>
      </c>
      <c r="E924" s="7" t="s">
        <v>16</v>
      </c>
      <c r="F924" s="7" t="s">
        <v>27</v>
      </c>
      <c r="G924" s="7" t="str">
        <f t="shared" si="43"/>
        <v>Saturday</v>
      </c>
      <c r="H924" s="7" t="str">
        <f t="shared" si="44"/>
        <v>Feb</v>
      </c>
      <c r="I924" s="8">
        <v>43518</v>
      </c>
      <c r="J924" s="8" t="str">
        <f t="shared" si="42"/>
        <v>Afternoon</v>
      </c>
      <c r="K924" s="9">
        <v>0.50694444444444442</v>
      </c>
      <c r="L924" s="7" t="s">
        <v>28</v>
      </c>
      <c r="M924" s="10">
        <v>1.2729999999999999</v>
      </c>
      <c r="N924" s="7">
        <v>5.2</v>
      </c>
    </row>
    <row r="925" spans="1:14" x14ac:dyDescent="0.25">
      <c r="A925" s="7" t="s">
        <v>954</v>
      </c>
      <c r="B925" s="7" t="s">
        <v>20</v>
      </c>
      <c r="C925" s="7" t="s">
        <v>21</v>
      </c>
      <c r="D925" s="7" t="s">
        <v>22</v>
      </c>
      <c r="E925" s="7" t="s">
        <v>16</v>
      </c>
      <c r="F925" s="7" t="s">
        <v>31</v>
      </c>
      <c r="G925" s="7" t="str">
        <f t="shared" si="43"/>
        <v>Sunday</v>
      </c>
      <c r="H925" s="7" t="str">
        <f t="shared" si="44"/>
        <v>Jan</v>
      </c>
      <c r="I925" s="8">
        <v>43475</v>
      </c>
      <c r="J925" s="8" t="str">
        <f t="shared" si="42"/>
        <v>Morning</v>
      </c>
      <c r="K925" s="9">
        <v>0.4381944444444445</v>
      </c>
      <c r="L925" s="7" t="s">
        <v>28</v>
      </c>
      <c r="M925" s="10">
        <v>29.099</v>
      </c>
      <c r="N925" s="7">
        <v>6.6</v>
      </c>
    </row>
    <row r="926" spans="1:14" x14ac:dyDescent="0.25">
      <c r="A926" s="7" t="s">
        <v>955</v>
      </c>
      <c r="B926" s="7" t="s">
        <v>20</v>
      </c>
      <c r="C926" s="7" t="s">
        <v>21</v>
      </c>
      <c r="D926" s="7" t="s">
        <v>15</v>
      </c>
      <c r="E926" s="7" t="s">
        <v>16</v>
      </c>
      <c r="F926" s="7" t="s">
        <v>31</v>
      </c>
      <c r="G926" s="7" t="str">
        <f t="shared" si="43"/>
        <v>Tuesday</v>
      </c>
      <c r="H926" s="7" t="str">
        <f t="shared" si="44"/>
        <v>Mar</v>
      </c>
      <c r="I926" s="8">
        <v>43538</v>
      </c>
      <c r="J926" s="8" t="str">
        <f t="shared" si="42"/>
        <v>Afternoon</v>
      </c>
      <c r="K926" s="9">
        <v>0.5756944444444444</v>
      </c>
      <c r="L926" s="7" t="s">
        <v>18</v>
      </c>
      <c r="M926" s="10">
        <v>10.566000000000001</v>
      </c>
      <c r="N926" s="7">
        <v>6.5</v>
      </c>
    </row>
    <row r="927" spans="1:14" x14ac:dyDescent="0.25">
      <c r="A927" s="7" t="s">
        <v>956</v>
      </c>
      <c r="B927" s="7" t="s">
        <v>37</v>
      </c>
      <c r="C927" s="7" t="s">
        <v>38</v>
      </c>
      <c r="D927" s="7" t="s">
        <v>22</v>
      </c>
      <c r="E927" s="7" t="s">
        <v>16</v>
      </c>
      <c r="F927" s="7" t="s">
        <v>23</v>
      </c>
      <c r="G927" s="7" t="str">
        <f t="shared" si="43"/>
        <v>Sunday</v>
      </c>
      <c r="H927" s="7" t="str">
        <f t="shared" si="44"/>
        <v>Jan</v>
      </c>
      <c r="I927" s="8">
        <v>43475</v>
      </c>
      <c r="J927" s="8" t="str">
        <f t="shared" si="42"/>
        <v>Morning</v>
      </c>
      <c r="K927" s="9">
        <v>0.46527777777777773</v>
      </c>
      <c r="L927" s="7" t="s">
        <v>18</v>
      </c>
      <c r="M927" s="10">
        <v>2.7559999999999998</v>
      </c>
      <c r="N927" s="7">
        <v>9</v>
      </c>
    </row>
    <row r="928" spans="1:14" x14ac:dyDescent="0.25">
      <c r="A928" s="7" t="s">
        <v>957</v>
      </c>
      <c r="B928" s="7" t="s">
        <v>37</v>
      </c>
      <c r="C928" s="7" t="s">
        <v>38</v>
      </c>
      <c r="D928" s="7" t="s">
        <v>15</v>
      </c>
      <c r="E928" s="7" t="s">
        <v>26</v>
      </c>
      <c r="F928" s="7" t="s">
        <v>31</v>
      </c>
      <c r="G928" s="7" t="str">
        <f t="shared" si="43"/>
        <v>Friday</v>
      </c>
      <c r="H928" s="7" t="str">
        <f t="shared" si="44"/>
        <v>Feb</v>
      </c>
      <c r="I928" s="8">
        <v>43511</v>
      </c>
      <c r="J928" s="8" t="str">
        <f t="shared" si="42"/>
        <v>Evening</v>
      </c>
      <c r="K928" s="9">
        <v>0.73472222222222217</v>
      </c>
      <c r="L928" s="7" t="s">
        <v>28</v>
      </c>
      <c r="M928" s="10">
        <v>4.4154999999999998</v>
      </c>
      <c r="N928" s="7">
        <v>5.2</v>
      </c>
    </row>
    <row r="929" spans="1:14" x14ac:dyDescent="0.25">
      <c r="A929" s="7" t="s">
        <v>958</v>
      </c>
      <c r="B929" s="7" t="s">
        <v>13</v>
      </c>
      <c r="C929" s="7" t="s">
        <v>14</v>
      </c>
      <c r="D929" s="7" t="s">
        <v>15</v>
      </c>
      <c r="E929" s="7" t="s">
        <v>16</v>
      </c>
      <c r="F929" s="7" t="s">
        <v>17</v>
      </c>
      <c r="G929" s="7" t="str">
        <f t="shared" si="43"/>
        <v>Monday</v>
      </c>
      <c r="H929" s="7" t="str">
        <f t="shared" si="44"/>
        <v>Jan</v>
      </c>
      <c r="I929" s="8">
        <v>43478</v>
      </c>
      <c r="J929" s="8" t="str">
        <f t="shared" si="42"/>
        <v>Evening</v>
      </c>
      <c r="K929" s="9">
        <v>0.74583333333333324</v>
      </c>
      <c r="L929" s="7" t="s">
        <v>28</v>
      </c>
      <c r="M929" s="10">
        <v>17.829000000000001</v>
      </c>
      <c r="N929" s="7">
        <v>6.8</v>
      </c>
    </row>
    <row r="930" spans="1:14" x14ac:dyDescent="0.25">
      <c r="A930" s="7" t="s">
        <v>959</v>
      </c>
      <c r="B930" s="7" t="s">
        <v>37</v>
      </c>
      <c r="C930" s="7" t="s">
        <v>38</v>
      </c>
      <c r="D930" s="7" t="s">
        <v>22</v>
      </c>
      <c r="E930" s="7" t="s">
        <v>16</v>
      </c>
      <c r="F930" s="7" t="s">
        <v>23</v>
      </c>
      <c r="G930" s="7" t="str">
        <f t="shared" si="43"/>
        <v>Friday</v>
      </c>
      <c r="H930" s="7" t="str">
        <f t="shared" si="44"/>
        <v>Feb</v>
      </c>
      <c r="I930" s="8">
        <v>43511</v>
      </c>
      <c r="J930" s="8" t="str">
        <f t="shared" si="42"/>
        <v>Evening</v>
      </c>
      <c r="K930" s="9">
        <v>0.86875000000000002</v>
      </c>
      <c r="L930" s="7" t="s">
        <v>28</v>
      </c>
      <c r="M930" s="10">
        <v>39.712499999999999</v>
      </c>
      <c r="N930" s="7">
        <v>7.6</v>
      </c>
    </row>
    <row r="931" spans="1:14" x14ac:dyDescent="0.25">
      <c r="A931" s="7" t="s">
        <v>960</v>
      </c>
      <c r="B931" s="7" t="s">
        <v>37</v>
      </c>
      <c r="C931" s="7" t="s">
        <v>38</v>
      </c>
      <c r="D931" s="7" t="s">
        <v>22</v>
      </c>
      <c r="E931" s="7" t="s">
        <v>26</v>
      </c>
      <c r="F931" s="7" t="s">
        <v>31</v>
      </c>
      <c r="G931" s="7" t="str">
        <f t="shared" si="43"/>
        <v>Monday</v>
      </c>
      <c r="H931" s="7" t="str">
        <f t="shared" si="44"/>
        <v>Mar</v>
      </c>
      <c r="I931" s="8">
        <v>43526</v>
      </c>
      <c r="J931" s="8" t="str">
        <f t="shared" si="42"/>
        <v>Evening</v>
      </c>
      <c r="K931" s="9">
        <v>0.80972222222222223</v>
      </c>
      <c r="L931" s="7" t="s">
        <v>18</v>
      </c>
      <c r="M931" s="10">
        <v>2.5310000000000001</v>
      </c>
      <c r="N931" s="7">
        <v>7.2</v>
      </c>
    </row>
    <row r="932" spans="1:14" x14ac:dyDescent="0.25">
      <c r="A932" s="7" t="s">
        <v>961</v>
      </c>
      <c r="B932" s="7" t="s">
        <v>37</v>
      </c>
      <c r="C932" s="7" t="s">
        <v>38</v>
      </c>
      <c r="D932" s="7" t="s">
        <v>22</v>
      </c>
      <c r="E932" s="7" t="s">
        <v>26</v>
      </c>
      <c r="F932" s="7" t="s">
        <v>27</v>
      </c>
      <c r="G932" s="7" t="str">
        <f t="shared" si="43"/>
        <v>Thursday</v>
      </c>
      <c r="H932" s="7" t="str">
        <f t="shared" si="44"/>
        <v>Mar</v>
      </c>
      <c r="I932" s="8">
        <v>43548</v>
      </c>
      <c r="J932" s="8" t="str">
        <f t="shared" si="42"/>
        <v>Afternoon</v>
      </c>
      <c r="K932" s="9">
        <v>0.56458333333333333</v>
      </c>
      <c r="L932" s="7" t="s">
        <v>18</v>
      </c>
      <c r="M932" s="10">
        <v>29.975999999999999</v>
      </c>
      <c r="N932" s="7">
        <v>7.1</v>
      </c>
    </row>
    <row r="933" spans="1:14" x14ac:dyDescent="0.25">
      <c r="A933" s="7" t="s">
        <v>962</v>
      </c>
      <c r="B933" s="7" t="s">
        <v>20</v>
      </c>
      <c r="C933" s="7" t="s">
        <v>21</v>
      </c>
      <c r="D933" s="7" t="s">
        <v>15</v>
      </c>
      <c r="E933" s="7" t="s">
        <v>16</v>
      </c>
      <c r="F933" s="7" t="s">
        <v>41</v>
      </c>
      <c r="G933" s="7" t="str">
        <f t="shared" si="43"/>
        <v>Thursday</v>
      </c>
      <c r="H933" s="7" t="str">
        <f t="shared" si="44"/>
        <v>Feb</v>
      </c>
      <c r="I933" s="8">
        <v>43498</v>
      </c>
      <c r="J933" s="8" t="str">
        <f t="shared" si="42"/>
        <v>Afternoon</v>
      </c>
      <c r="K933" s="9">
        <v>0.58680555555555558</v>
      </c>
      <c r="L933" s="7" t="s">
        <v>28</v>
      </c>
      <c r="M933" s="10">
        <v>8.3350000000000009</v>
      </c>
      <c r="N933" s="7">
        <v>9.5</v>
      </c>
    </row>
    <row r="934" spans="1:14" x14ac:dyDescent="0.25">
      <c r="A934" s="7" t="s">
        <v>963</v>
      </c>
      <c r="B934" s="7" t="s">
        <v>13</v>
      </c>
      <c r="C934" s="7" t="s">
        <v>14</v>
      </c>
      <c r="D934" s="7" t="s">
        <v>22</v>
      </c>
      <c r="E934" s="7" t="s">
        <v>16</v>
      </c>
      <c r="F934" s="7" t="s">
        <v>39</v>
      </c>
      <c r="G934" s="7" t="str">
        <f t="shared" si="43"/>
        <v>Sunday</v>
      </c>
      <c r="H934" s="7" t="str">
        <f t="shared" si="44"/>
        <v>Feb</v>
      </c>
      <c r="I934" s="8">
        <v>43523</v>
      </c>
      <c r="J934" s="8" t="str">
        <f t="shared" si="42"/>
        <v>Morning</v>
      </c>
      <c r="K934" s="9">
        <v>0.4861111111111111</v>
      </c>
      <c r="L934" s="7" t="s">
        <v>18</v>
      </c>
      <c r="M934" s="10">
        <v>37.22</v>
      </c>
      <c r="N934" s="7">
        <v>5.0999999999999996</v>
      </c>
    </row>
    <row r="935" spans="1:14" x14ac:dyDescent="0.25">
      <c r="A935" s="7" t="s">
        <v>964</v>
      </c>
      <c r="B935" s="7" t="s">
        <v>20</v>
      </c>
      <c r="C935" s="7" t="s">
        <v>21</v>
      </c>
      <c r="D935" s="7" t="s">
        <v>22</v>
      </c>
      <c r="E935" s="7" t="s">
        <v>26</v>
      </c>
      <c r="F935" s="7" t="s">
        <v>17</v>
      </c>
      <c r="G935" s="7" t="str">
        <f t="shared" si="43"/>
        <v>Tuesday</v>
      </c>
      <c r="H935" s="7" t="str">
        <f t="shared" si="44"/>
        <v>Jan</v>
      </c>
      <c r="I935" s="8">
        <v>43485</v>
      </c>
      <c r="J935" s="8" t="str">
        <f t="shared" si="42"/>
        <v>Afternoon</v>
      </c>
      <c r="K935" s="9">
        <v>0.51874999999999993</v>
      </c>
      <c r="L935" s="7" t="s">
        <v>18</v>
      </c>
      <c r="M935" s="10">
        <v>22.428000000000001</v>
      </c>
      <c r="N935" s="7">
        <v>7.6</v>
      </c>
    </row>
    <row r="936" spans="1:14" x14ac:dyDescent="0.25">
      <c r="A936" s="7" t="s">
        <v>965</v>
      </c>
      <c r="B936" s="7" t="s">
        <v>37</v>
      </c>
      <c r="C936" s="7" t="s">
        <v>38</v>
      </c>
      <c r="D936" s="7" t="s">
        <v>22</v>
      </c>
      <c r="E936" s="7" t="s">
        <v>16</v>
      </c>
      <c r="F936" s="7" t="s">
        <v>27</v>
      </c>
      <c r="G936" s="7" t="str">
        <f t="shared" si="43"/>
        <v>Saturday</v>
      </c>
      <c r="H936" s="7" t="str">
        <f t="shared" si="44"/>
        <v>Jan</v>
      </c>
      <c r="I936" s="8">
        <v>43468</v>
      </c>
      <c r="J936" s="8" t="str">
        <f t="shared" si="42"/>
        <v>Evening</v>
      </c>
      <c r="K936" s="9">
        <v>0.85</v>
      </c>
      <c r="L936" s="7" t="s">
        <v>18</v>
      </c>
      <c r="M936" s="10">
        <v>18.945</v>
      </c>
      <c r="N936" s="7">
        <v>9.8000000000000007</v>
      </c>
    </row>
    <row r="937" spans="1:14" x14ac:dyDescent="0.25">
      <c r="A937" s="7" t="s">
        <v>966</v>
      </c>
      <c r="B937" s="7" t="s">
        <v>20</v>
      </c>
      <c r="C937" s="7" t="s">
        <v>21</v>
      </c>
      <c r="D937" s="7" t="s">
        <v>15</v>
      </c>
      <c r="E937" s="7" t="s">
        <v>26</v>
      </c>
      <c r="F937" s="7" t="s">
        <v>27</v>
      </c>
      <c r="G937" s="7" t="str">
        <f t="shared" si="43"/>
        <v>Tuesday</v>
      </c>
      <c r="H937" s="7" t="str">
        <f t="shared" si="44"/>
        <v>Jan</v>
      </c>
      <c r="I937" s="8">
        <v>43489</v>
      </c>
      <c r="J937" s="8" t="str">
        <f t="shared" si="42"/>
        <v>Evening</v>
      </c>
      <c r="K937" s="9">
        <v>0.87430555555555556</v>
      </c>
      <c r="L937" s="7" t="s">
        <v>18</v>
      </c>
      <c r="M937" s="10">
        <v>12.858000000000001</v>
      </c>
      <c r="N937" s="7">
        <v>5.0999999999999996</v>
      </c>
    </row>
    <row r="938" spans="1:14" x14ac:dyDescent="0.25">
      <c r="A938" s="7" t="s">
        <v>967</v>
      </c>
      <c r="B938" s="7" t="s">
        <v>20</v>
      </c>
      <c r="C938" s="7" t="s">
        <v>21</v>
      </c>
      <c r="D938" s="7" t="s">
        <v>22</v>
      </c>
      <c r="E938" s="7" t="s">
        <v>16</v>
      </c>
      <c r="F938" s="7" t="s">
        <v>17</v>
      </c>
      <c r="G938" s="7" t="str">
        <f t="shared" si="43"/>
        <v>Sunday</v>
      </c>
      <c r="H938" s="7" t="str">
        <f t="shared" si="44"/>
        <v>Jan</v>
      </c>
      <c r="I938" s="8">
        <v>43470</v>
      </c>
      <c r="J938" s="8" t="str">
        <f t="shared" si="42"/>
        <v>Evening</v>
      </c>
      <c r="K938" s="9">
        <v>0.82500000000000007</v>
      </c>
      <c r="L938" s="7" t="s">
        <v>18</v>
      </c>
      <c r="M938" s="10">
        <v>27.611499999999999</v>
      </c>
      <c r="N938" s="7">
        <v>7.5</v>
      </c>
    </row>
    <row r="939" spans="1:14" x14ac:dyDescent="0.25">
      <c r="A939" s="7" t="s">
        <v>968</v>
      </c>
      <c r="B939" s="7" t="s">
        <v>13</v>
      </c>
      <c r="C939" s="7" t="s">
        <v>14</v>
      </c>
      <c r="D939" s="7" t="s">
        <v>22</v>
      </c>
      <c r="E939" s="7" t="s">
        <v>16</v>
      </c>
      <c r="F939" s="7" t="s">
        <v>31</v>
      </c>
      <c r="G939" s="7" t="str">
        <f t="shared" si="43"/>
        <v>Friday</v>
      </c>
      <c r="H939" s="7" t="str">
        <f t="shared" si="44"/>
        <v>Mar</v>
      </c>
      <c r="I939" s="8">
        <v>43554</v>
      </c>
      <c r="J939" s="8" t="str">
        <f t="shared" si="42"/>
        <v>Morning</v>
      </c>
      <c r="K939" s="9">
        <v>0.4291666666666667</v>
      </c>
      <c r="L939" s="7" t="s">
        <v>24</v>
      </c>
      <c r="M939" s="10">
        <v>22.37</v>
      </c>
      <c r="N939" s="7">
        <v>7.4</v>
      </c>
    </row>
    <row r="940" spans="1:14" x14ac:dyDescent="0.25">
      <c r="A940" s="7" t="s">
        <v>969</v>
      </c>
      <c r="B940" s="7" t="s">
        <v>13</v>
      </c>
      <c r="C940" s="7" t="s">
        <v>14</v>
      </c>
      <c r="D940" s="7" t="s">
        <v>15</v>
      </c>
      <c r="E940" s="7" t="s">
        <v>16</v>
      </c>
      <c r="F940" s="7" t="s">
        <v>17</v>
      </c>
      <c r="G940" s="7" t="str">
        <f t="shared" si="43"/>
        <v>Saturday</v>
      </c>
      <c r="H940" s="7" t="str">
        <f t="shared" si="44"/>
        <v>Feb</v>
      </c>
      <c r="I940" s="8">
        <v>43513</v>
      </c>
      <c r="J940" s="8" t="str">
        <f t="shared" si="42"/>
        <v>Evening</v>
      </c>
      <c r="K940" s="9">
        <v>0.68541666666666667</v>
      </c>
      <c r="L940" s="7" t="s">
        <v>24</v>
      </c>
      <c r="M940" s="10">
        <v>13.813499999999999</v>
      </c>
      <c r="N940" s="7">
        <v>4.2</v>
      </c>
    </row>
    <row r="941" spans="1:14" x14ac:dyDescent="0.25">
      <c r="A941" s="7" t="s">
        <v>970</v>
      </c>
      <c r="B941" s="7" t="s">
        <v>20</v>
      </c>
      <c r="C941" s="7" t="s">
        <v>21</v>
      </c>
      <c r="D941" s="7" t="s">
        <v>22</v>
      </c>
      <c r="E941" s="7" t="s">
        <v>16</v>
      </c>
      <c r="F941" s="7" t="s">
        <v>39</v>
      </c>
      <c r="G941" s="7" t="str">
        <f t="shared" si="43"/>
        <v>Wednesday</v>
      </c>
      <c r="H941" s="7" t="str">
        <f t="shared" si="44"/>
        <v>Mar</v>
      </c>
      <c r="I941" s="8">
        <v>43545</v>
      </c>
      <c r="J941" s="8" t="str">
        <f t="shared" si="42"/>
        <v>Evening</v>
      </c>
      <c r="K941" s="9">
        <v>0.71111111111111114</v>
      </c>
      <c r="L941" s="7" t="s">
        <v>18</v>
      </c>
      <c r="M941" s="10">
        <v>17.187000000000001</v>
      </c>
      <c r="N941" s="7">
        <v>5.9</v>
      </c>
    </row>
    <row r="942" spans="1:14" x14ac:dyDescent="0.25">
      <c r="A942" s="7" t="s">
        <v>971</v>
      </c>
      <c r="B942" s="7" t="s">
        <v>13</v>
      </c>
      <c r="C942" s="7" t="s">
        <v>14</v>
      </c>
      <c r="D942" s="7" t="s">
        <v>22</v>
      </c>
      <c r="E942" s="7" t="s">
        <v>26</v>
      </c>
      <c r="F942" s="7" t="s">
        <v>39</v>
      </c>
      <c r="G942" s="7" t="str">
        <f t="shared" si="43"/>
        <v>Monday</v>
      </c>
      <c r="H942" s="7" t="str">
        <f t="shared" si="44"/>
        <v>Mar</v>
      </c>
      <c r="I942" s="8">
        <v>43526</v>
      </c>
      <c r="J942" s="8" t="str">
        <f t="shared" si="42"/>
        <v>Evening</v>
      </c>
      <c r="K942" s="9">
        <v>0.7597222222222223</v>
      </c>
      <c r="L942" s="7" t="s">
        <v>18</v>
      </c>
      <c r="M942" s="10">
        <v>13.304</v>
      </c>
      <c r="N942" s="7">
        <v>6.9</v>
      </c>
    </row>
    <row r="943" spans="1:14" x14ac:dyDescent="0.25">
      <c r="A943" s="7" t="s">
        <v>972</v>
      </c>
      <c r="B943" s="7" t="s">
        <v>20</v>
      </c>
      <c r="C943" s="7" t="s">
        <v>21</v>
      </c>
      <c r="D943" s="7" t="s">
        <v>15</v>
      </c>
      <c r="E943" s="7" t="s">
        <v>26</v>
      </c>
      <c r="F943" s="7" t="s">
        <v>41</v>
      </c>
      <c r="G943" s="7" t="str">
        <f t="shared" si="43"/>
        <v>Thursday</v>
      </c>
      <c r="H943" s="7" t="str">
        <f t="shared" si="44"/>
        <v>Mar</v>
      </c>
      <c r="I943" s="8">
        <v>43551</v>
      </c>
      <c r="J943" s="8" t="str">
        <f t="shared" si="42"/>
        <v>Morning</v>
      </c>
      <c r="K943" s="9">
        <v>0.4465277777777778</v>
      </c>
      <c r="L943" s="7" t="s">
        <v>24</v>
      </c>
      <c r="M943" s="10">
        <v>44.918999999999997</v>
      </c>
      <c r="N943" s="7">
        <v>6.6</v>
      </c>
    </row>
    <row r="944" spans="1:14" x14ac:dyDescent="0.25">
      <c r="A944" s="7" t="s">
        <v>973</v>
      </c>
      <c r="B944" s="7" t="s">
        <v>13</v>
      </c>
      <c r="C944" s="7" t="s">
        <v>14</v>
      </c>
      <c r="D944" s="7" t="s">
        <v>22</v>
      </c>
      <c r="E944" s="7" t="s">
        <v>16</v>
      </c>
      <c r="F944" s="7" t="s">
        <v>27</v>
      </c>
      <c r="G944" s="7" t="str">
        <f t="shared" si="43"/>
        <v>Tuesday</v>
      </c>
      <c r="H944" s="7" t="str">
        <f t="shared" si="44"/>
        <v>Jan</v>
      </c>
      <c r="I944" s="8">
        <v>43484</v>
      </c>
      <c r="J944" s="8" t="str">
        <f t="shared" si="42"/>
        <v>Evening</v>
      </c>
      <c r="K944" s="9">
        <v>0.8125</v>
      </c>
      <c r="L944" s="7" t="s">
        <v>18</v>
      </c>
      <c r="M944" s="10">
        <v>22.84</v>
      </c>
      <c r="N944" s="7">
        <v>5.7</v>
      </c>
    </row>
    <row r="945" spans="1:14" x14ac:dyDescent="0.25">
      <c r="A945" s="7" t="s">
        <v>974</v>
      </c>
      <c r="B945" s="7" t="s">
        <v>13</v>
      </c>
      <c r="C945" s="7" t="s">
        <v>14</v>
      </c>
      <c r="D945" s="7" t="s">
        <v>22</v>
      </c>
      <c r="E945" s="7" t="s">
        <v>26</v>
      </c>
      <c r="F945" s="7" t="s">
        <v>17</v>
      </c>
      <c r="G945" s="7" t="str">
        <f t="shared" si="43"/>
        <v>Saturday</v>
      </c>
      <c r="H945" s="7" t="str">
        <f t="shared" si="44"/>
        <v>Feb</v>
      </c>
      <c r="I945" s="8">
        <v>43515</v>
      </c>
      <c r="J945" s="8" t="str">
        <f t="shared" si="42"/>
        <v>Afternoon</v>
      </c>
      <c r="K945" s="9">
        <v>0.62013888888888891</v>
      </c>
      <c r="L945" s="7" t="s">
        <v>28</v>
      </c>
      <c r="M945" s="10">
        <v>12.6975</v>
      </c>
      <c r="N945" s="7">
        <v>5.3</v>
      </c>
    </row>
    <row r="946" spans="1:14" x14ac:dyDescent="0.25">
      <c r="A946" s="7" t="s">
        <v>975</v>
      </c>
      <c r="B946" s="7" t="s">
        <v>13</v>
      </c>
      <c r="C946" s="7" t="s">
        <v>14</v>
      </c>
      <c r="D946" s="7" t="s">
        <v>15</v>
      </c>
      <c r="E946" s="7" t="s">
        <v>26</v>
      </c>
      <c r="F946" s="7" t="s">
        <v>17</v>
      </c>
      <c r="G946" s="7" t="str">
        <f t="shared" si="43"/>
        <v>Thursday</v>
      </c>
      <c r="H946" s="7" t="str">
        <f t="shared" si="44"/>
        <v>Mar</v>
      </c>
      <c r="I946" s="8">
        <v>43552</v>
      </c>
      <c r="J946" s="8" t="str">
        <f t="shared" si="42"/>
        <v>Evening</v>
      </c>
      <c r="K946" s="9">
        <v>0.84305555555555556</v>
      </c>
      <c r="L946" s="7" t="s">
        <v>24</v>
      </c>
      <c r="M946" s="10">
        <v>3.528</v>
      </c>
      <c r="N946" s="7">
        <v>4.2</v>
      </c>
    </row>
    <row r="947" spans="1:14" x14ac:dyDescent="0.25">
      <c r="A947" s="7" t="s">
        <v>976</v>
      </c>
      <c r="B947" s="7" t="s">
        <v>13</v>
      </c>
      <c r="C947" s="7" t="s">
        <v>14</v>
      </c>
      <c r="D947" s="7" t="s">
        <v>22</v>
      </c>
      <c r="E947" s="7" t="s">
        <v>16</v>
      </c>
      <c r="F947" s="7" t="s">
        <v>23</v>
      </c>
      <c r="G947" s="7" t="str">
        <f t="shared" si="43"/>
        <v>Sunday</v>
      </c>
      <c r="H947" s="7" t="str">
        <f t="shared" si="44"/>
        <v>Jan</v>
      </c>
      <c r="I947" s="8">
        <v>43470</v>
      </c>
      <c r="J947" s="8" t="str">
        <f t="shared" si="42"/>
        <v>Morning</v>
      </c>
      <c r="K947" s="9">
        <v>0.49374999999999997</v>
      </c>
      <c r="L947" s="7" t="s">
        <v>28</v>
      </c>
      <c r="M947" s="10">
        <v>32.857999999999997</v>
      </c>
      <c r="N947" s="7">
        <v>7.3</v>
      </c>
    </row>
    <row r="948" spans="1:14" x14ac:dyDescent="0.25">
      <c r="A948" s="7" t="s">
        <v>977</v>
      </c>
      <c r="B948" s="7" t="s">
        <v>20</v>
      </c>
      <c r="C948" s="7" t="s">
        <v>21</v>
      </c>
      <c r="D948" s="7" t="s">
        <v>15</v>
      </c>
      <c r="E948" s="7" t="s">
        <v>26</v>
      </c>
      <c r="F948" s="7" t="s">
        <v>23</v>
      </c>
      <c r="G948" s="7" t="str">
        <f t="shared" si="43"/>
        <v>Thursday</v>
      </c>
      <c r="H948" s="7" t="str">
        <f t="shared" si="44"/>
        <v>Mar</v>
      </c>
      <c r="I948" s="8">
        <v>43550</v>
      </c>
      <c r="J948" s="8" t="str">
        <f t="shared" si="42"/>
        <v>Afternoon</v>
      </c>
      <c r="K948" s="9">
        <v>0.59236111111111112</v>
      </c>
      <c r="L948" s="7" t="s">
        <v>28</v>
      </c>
      <c r="M948" s="10">
        <v>8.4250000000000007</v>
      </c>
      <c r="N948" s="7">
        <v>5.3</v>
      </c>
    </row>
    <row r="949" spans="1:14" x14ac:dyDescent="0.25">
      <c r="A949" s="7" t="s">
        <v>978</v>
      </c>
      <c r="B949" s="7" t="s">
        <v>37</v>
      </c>
      <c r="C949" s="7" t="s">
        <v>38</v>
      </c>
      <c r="D949" s="7" t="s">
        <v>15</v>
      </c>
      <c r="E949" s="7" t="s">
        <v>26</v>
      </c>
      <c r="F949" s="7" t="s">
        <v>41</v>
      </c>
      <c r="G949" s="7" t="str">
        <f t="shared" si="43"/>
        <v>Thursday</v>
      </c>
      <c r="H949" s="7" t="str">
        <f t="shared" si="44"/>
        <v>Feb</v>
      </c>
      <c r="I949" s="8">
        <v>43499</v>
      </c>
      <c r="J949" s="8" t="str">
        <f t="shared" si="42"/>
        <v>Evening</v>
      </c>
      <c r="K949" s="9">
        <v>0.84236111111111101</v>
      </c>
      <c r="L949" s="7" t="s">
        <v>18</v>
      </c>
      <c r="M949" s="10">
        <v>2.6890000000000001</v>
      </c>
      <c r="N949" s="7">
        <v>4.7</v>
      </c>
    </row>
    <row r="950" spans="1:14" x14ac:dyDescent="0.25">
      <c r="A950" s="7" t="s">
        <v>979</v>
      </c>
      <c r="B950" s="7" t="s">
        <v>20</v>
      </c>
      <c r="C950" s="7" t="s">
        <v>21</v>
      </c>
      <c r="D950" s="7" t="s">
        <v>15</v>
      </c>
      <c r="E950" s="7" t="s">
        <v>26</v>
      </c>
      <c r="F950" s="7" t="s">
        <v>27</v>
      </c>
      <c r="G950" s="7" t="str">
        <f t="shared" si="43"/>
        <v>Thursday</v>
      </c>
      <c r="H950" s="7" t="str">
        <f t="shared" si="44"/>
        <v>Feb</v>
      </c>
      <c r="I950" s="8">
        <v>43502</v>
      </c>
      <c r="J950" s="8" t="str">
        <f t="shared" si="42"/>
        <v>Evening</v>
      </c>
      <c r="K950" s="9">
        <v>0.78055555555555556</v>
      </c>
      <c r="L950" s="7" t="s">
        <v>18</v>
      </c>
      <c r="M950" s="10">
        <v>8.9525000000000006</v>
      </c>
      <c r="N950" s="7">
        <v>7.9</v>
      </c>
    </row>
    <row r="951" spans="1:14" x14ac:dyDescent="0.25">
      <c r="A951" s="7" t="s">
        <v>980</v>
      </c>
      <c r="B951" s="7" t="s">
        <v>37</v>
      </c>
      <c r="C951" s="7" t="s">
        <v>38</v>
      </c>
      <c r="D951" s="7" t="s">
        <v>22</v>
      </c>
      <c r="E951" s="7" t="s">
        <v>16</v>
      </c>
      <c r="F951" s="7" t="s">
        <v>39</v>
      </c>
      <c r="G951" s="7" t="str">
        <f t="shared" si="43"/>
        <v>Sunday</v>
      </c>
      <c r="H951" s="7" t="str">
        <f t="shared" si="44"/>
        <v>Feb</v>
      </c>
      <c r="I951" s="8">
        <v>43520</v>
      </c>
      <c r="J951" s="8" t="str">
        <f t="shared" si="42"/>
        <v>Afternoon</v>
      </c>
      <c r="K951" s="9">
        <v>0.60138888888888886</v>
      </c>
      <c r="L951" s="7" t="s">
        <v>18</v>
      </c>
      <c r="M951" s="10">
        <v>10.571999999999999</v>
      </c>
      <c r="N951" s="7">
        <v>8.9</v>
      </c>
    </row>
    <row r="952" spans="1:14" x14ac:dyDescent="0.25">
      <c r="A952" s="7" t="s">
        <v>981</v>
      </c>
      <c r="B952" s="7" t="s">
        <v>37</v>
      </c>
      <c r="C952" s="7" t="s">
        <v>38</v>
      </c>
      <c r="D952" s="7" t="s">
        <v>15</v>
      </c>
      <c r="E952" s="7" t="s">
        <v>26</v>
      </c>
      <c r="F952" s="7" t="s">
        <v>17</v>
      </c>
      <c r="G952" s="7" t="str">
        <f t="shared" si="43"/>
        <v>Saturday</v>
      </c>
      <c r="H952" s="7" t="str">
        <f t="shared" si="44"/>
        <v>Feb</v>
      </c>
      <c r="I952" s="8">
        <v>43517</v>
      </c>
      <c r="J952" s="8" t="str">
        <f t="shared" si="42"/>
        <v>Afternoon</v>
      </c>
      <c r="K952" s="9">
        <v>0.52777777777777779</v>
      </c>
      <c r="L952" s="7" t="s">
        <v>18</v>
      </c>
      <c r="M952" s="10">
        <v>5.9865000000000004</v>
      </c>
      <c r="N952" s="7">
        <v>9.3000000000000007</v>
      </c>
    </row>
    <row r="953" spans="1:14" x14ac:dyDescent="0.25">
      <c r="A953" s="7" t="s">
        <v>982</v>
      </c>
      <c r="B953" s="7" t="s">
        <v>37</v>
      </c>
      <c r="C953" s="7" t="s">
        <v>38</v>
      </c>
      <c r="D953" s="7" t="s">
        <v>15</v>
      </c>
      <c r="E953" s="7" t="s">
        <v>16</v>
      </c>
      <c r="F953" s="7" t="s">
        <v>27</v>
      </c>
      <c r="G953" s="7" t="str">
        <f t="shared" si="43"/>
        <v>Sunday</v>
      </c>
      <c r="H953" s="7" t="str">
        <f t="shared" si="44"/>
        <v>Jan</v>
      </c>
      <c r="I953" s="8">
        <v>43474</v>
      </c>
      <c r="J953" s="8" t="str">
        <f t="shared" si="42"/>
        <v>Evening</v>
      </c>
      <c r="K953" s="9">
        <v>0.77986111111111101</v>
      </c>
      <c r="L953" s="7" t="s">
        <v>18</v>
      </c>
      <c r="M953" s="10">
        <v>3.2850000000000001</v>
      </c>
      <c r="N953" s="7">
        <v>4.7</v>
      </c>
    </row>
    <row r="954" spans="1:14" x14ac:dyDescent="0.25">
      <c r="A954" s="7" t="s">
        <v>983</v>
      </c>
      <c r="B954" s="7" t="s">
        <v>37</v>
      </c>
      <c r="C954" s="7" t="s">
        <v>38</v>
      </c>
      <c r="D954" s="7" t="s">
        <v>15</v>
      </c>
      <c r="E954" s="7" t="s">
        <v>16</v>
      </c>
      <c r="F954" s="7" t="s">
        <v>39</v>
      </c>
      <c r="G954" s="7" t="str">
        <f t="shared" si="43"/>
        <v>Sunday</v>
      </c>
      <c r="H954" s="7" t="str">
        <f t="shared" si="44"/>
        <v>Feb</v>
      </c>
      <c r="I954" s="8">
        <v>43521</v>
      </c>
      <c r="J954" s="8" t="str">
        <f t="shared" si="42"/>
        <v>Afternoon</v>
      </c>
      <c r="K954" s="9">
        <v>0.55694444444444446</v>
      </c>
      <c r="L954" s="7" t="s">
        <v>18</v>
      </c>
      <c r="M954" s="10">
        <v>12.57</v>
      </c>
      <c r="N954" s="7">
        <v>8.6999999999999993</v>
      </c>
    </row>
    <row r="955" spans="1:14" x14ac:dyDescent="0.25">
      <c r="A955" s="7" t="s">
        <v>984</v>
      </c>
      <c r="B955" s="7" t="s">
        <v>20</v>
      </c>
      <c r="C955" s="7" t="s">
        <v>21</v>
      </c>
      <c r="D955" s="7" t="s">
        <v>15</v>
      </c>
      <c r="E955" s="7" t="s">
        <v>16</v>
      </c>
      <c r="F955" s="7" t="s">
        <v>39</v>
      </c>
      <c r="G955" s="7" t="str">
        <f t="shared" si="43"/>
        <v>Monday</v>
      </c>
      <c r="H955" s="7" t="str">
        <f t="shared" si="44"/>
        <v>Jan</v>
      </c>
      <c r="I955" s="8">
        <v>43478</v>
      </c>
      <c r="J955" s="8" t="str">
        <f t="shared" si="42"/>
        <v>Afternoon</v>
      </c>
      <c r="K955" s="9">
        <v>0.58194444444444449</v>
      </c>
      <c r="L955" s="7" t="s">
        <v>24</v>
      </c>
      <c r="M955" s="10">
        <v>4.2080000000000002</v>
      </c>
      <c r="N955" s="7">
        <v>7.6</v>
      </c>
    </row>
    <row r="956" spans="1:14" x14ac:dyDescent="0.25">
      <c r="A956" s="7" t="s">
        <v>985</v>
      </c>
      <c r="B956" s="7" t="s">
        <v>37</v>
      </c>
      <c r="C956" s="7" t="s">
        <v>38</v>
      </c>
      <c r="D956" s="7" t="s">
        <v>15</v>
      </c>
      <c r="E956" s="7" t="s">
        <v>26</v>
      </c>
      <c r="F956" s="7" t="s">
        <v>27</v>
      </c>
      <c r="G956" s="7" t="str">
        <f t="shared" si="43"/>
        <v>Friday</v>
      </c>
      <c r="H956" s="7" t="str">
        <f t="shared" si="44"/>
        <v>Feb</v>
      </c>
      <c r="I956" s="8">
        <v>43505</v>
      </c>
      <c r="J956" s="8" t="str">
        <f t="shared" si="42"/>
        <v>Morning</v>
      </c>
      <c r="K956" s="9">
        <v>0.48958333333333331</v>
      </c>
      <c r="L956" s="7" t="s">
        <v>24</v>
      </c>
      <c r="M956" s="10">
        <v>19.773</v>
      </c>
      <c r="N956" s="7">
        <v>5.7</v>
      </c>
    </row>
    <row r="957" spans="1:14" x14ac:dyDescent="0.25">
      <c r="A957" s="7" t="s">
        <v>986</v>
      </c>
      <c r="B957" s="7" t="s">
        <v>13</v>
      </c>
      <c r="C957" s="7" t="s">
        <v>14</v>
      </c>
      <c r="D957" s="7" t="s">
        <v>22</v>
      </c>
      <c r="E957" s="7" t="s">
        <v>16</v>
      </c>
      <c r="F957" s="7" t="s">
        <v>41</v>
      </c>
      <c r="G957" s="7" t="str">
        <f t="shared" si="43"/>
        <v>Sunday</v>
      </c>
      <c r="H957" s="7" t="str">
        <f t="shared" si="44"/>
        <v>Jan</v>
      </c>
      <c r="I957" s="8">
        <v>43471</v>
      </c>
      <c r="J957" s="8" t="str">
        <f t="shared" si="42"/>
        <v>Morning</v>
      </c>
      <c r="K957" s="9">
        <v>0.49374999999999997</v>
      </c>
      <c r="L957" s="7" t="s">
        <v>24</v>
      </c>
      <c r="M957" s="10">
        <v>14.8995</v>
      </c>
      <c r="N957" s="7">
        <v>6.8</v>
      </c>
    </row>
    <row r="958" spans="1:14" x14ac:dyDescent="0.25">
      <c r="A958" s="7" t="s">
        <v>987</v>
      </c>
      <c r="B958" s="7" t="s">
        <v>20</v>
      </c>
      <c r="C958" s="7" t="s">
        <v>21</v>
      </c>
      <c r="D958" s="7" t="s">
        <v>15</v>
      </c>
      <c r="E958" s="7" t="s">
        <v>26</v>
      </c>
      <c r="F958" s="7" t="s">
        <v>39</v>
      </c>
      <c r="G958" s="7" t="str">
        <f t="shared" si="43"/>
        <v>Sunday</v>
      </c>
      <c r="H958" s="7" t="str">
        <f t="shared" si="44"/>
        <v>Jan</v>
      </c>
      <c r="I958" s="8">
        <v>43475</v>
      </c>
      <c r="J958" s="8" t="str">
        <f t="shared" si="42"/>
        <v>Evening</v>
      </c>
      <c r="K958" s="9">
        <v>0.71944444444444444</v>
      </c>
      <c r="L958" s="7" t="s">
        <v>24</v>
      </c>
      <c r="M958" s="10">
        <v>22.720500000000001</v>
      </c>
      <c r="N958" s="7">
        <v>5.4</v>
      </c>
    </row>
    <row r="959" spans="1:14" x14ac:dyDescent="0.25">
      <c r="A959" s="7" t="s">
        <v>988</v>
      </c>
      <c r="B959" s="7" t="s">
        <v>37</v>
      </c>
      <c r="C959" s="7" t="s">
        <v>38</v>
      </c>
      <c r="D959" s="7" t="s">
        <v>22</v>
      </c>
      <c r="E959" s="7" t="s">
        <v>26</v>
      </c>
      <c r="F959" s="7" t="s">
        <v>23</v>
      </c>
      <c r="G959" s="7" t="str">
        <f t="shared" si="43"/>
        <v>Thursday</v>
      </c>
      <c r="H959" s="7" t="str">
        <f t="shared" si="44"/>
        <v>Feb</v>
      </c>
      <c r="I959" s="8">
        <v>43503</v>
      </c>
      <c r="J959" s="8" t="str">
        <f t="shared" si="42"/>
        <v>Afternoon</v>
      </c>
      <c r="K959" s="9">
        <v>0.66319444444444442</v>
      </c>
      <c r="L959" s="7" t="s">
        <v>24</v>
      </c>
      <c r="M959" s="10">
        <v>13.805999999999999</v>
      </c>
      <c r="N959" s="7">
        <v>7.1</v>
      </c>
    </row>
    <row r="960" spans="1:14" x14ac:dyDescent="0.25">
      <c r="A960" s="7" t="s">
        <v>989</v>
      </c>
      <c r="B960" s="7" t="s">
        <v>20</v>
      </c>
      <c r="C960" s="7" t="s">
        <v>21</v>
      </c>
      <c r="D960" s="7" t="s">
        <v>22</v>
      </c>
      <c r="E960" s="7" t="s">
        <v>16</v>
      </c>
      <c r="F960" s="7" t="s">
        <v>27</v>
      </c>
      <c r="G960" s="7" t="str">
        <f t="shared" si="43"/>
        <v>Sunday</v>
      </c>
      <c r="H960" s="7" t="str">
        <f t="shared" si="44"/>
        <v>Jan</v>
      </c>
      <c r="I960" s="8">
        <v>43474</v>
      </c>
      <c r="J960" s="8" t="str">
        <f t="shared" si="42"/>
        <v>Afternoon</v>
      </c>
      <c r="K960" s="9">
        <v>0.50486111111111109</v>
      </c>
      <c r="L960" s="7" t="s">
        <v>24</v>
      </c>
      <c r="M960" s="10">
        <v>7.9</v>
      </c>
      <c r="N960" s="7">
        <v>7.8</v>
      </c>
    </row>
    <row r="961" spans="1:14" x14ac:dyDescent="0.25">
      <c r="A961" s="7" t="s">
        <v>990</v>
      </c>
      <c r="B961" s="7" t="s">
        <v>13</v>
      </c>
      <c r="C961" s="7" t="s">
        <v>14</v>
      </c>
      <c r="D961" s="7" t="s">
        <v>15</v>
      </c>
      <c r="E961" s="7" t="s">
        <v>16</v>
      </c>
      <c r="F961" s="7" t="s">
        <v>39</v>
      </c>
      <c r="G961" s="7" t="str">
        <f t="shared" si="43"/>
        <v>Saturday</v>
      </c>
      <c r="H961" s="7" t="str">
        <f t="shared" si="44"/>
        <v>Feb</v>
      </c>
      <c r="I961" s="8">
        <v>43515</v>
      </c>
      <c r="J961" s="8" t="str">
        <f t="shared" si="42"/>
        <v>Afternoon</v>
      </c>
      <c r="K961" s="9">
        <v>0.62986111111111109</v>
      </c>
      <c r="L961" s="7" t="s">
        <v>24</v>
      </c>
      <c r="M961" s="10">
        <v>44.396999999999998</v>
      </c>
      <c r="N961" s="7">
        <v>8.4</v>
      </c>
    </row>
    <row r="962" spans="1:14" x14ac:dyDescent="0.25">
      <c r="A962" s="7" t="s">
        <v>991</v>
      </c>
      <c r="B962" s="7" t="s">
        <v>20</v>
      </c>
      <c r="C962" s="7" t="s">
        <v>21</v>
      </c>
      <c r="D962" s="7" t="s">
        <v>15</v>
      </c>
      <c r="E962" s="7" t="s">
        <v>26</v>
      </c>
      <c r="F962" s="7" t="s">
        <v>41</v>
      </c>
      <c r="G962" s="7" t="str">
        <f t="shared" si="43"/>
        <v>Wednesday</v>
      </c>
      <c r="H962" s="7" t="str">
        <f t="shared" si="44"/>
        <v>Mar</v>
      </c>
      <c r="I962" s="8">
        <v>43542</v>
      </c>
      <c r="J962" s="8" t="str">
        <f t="shared" ref="J962:J1001" si="45">IF(AND(K962&gt;=TIME(9,0,0),K962&lt;TIME(12,0,0)),"Morning",IF(AND(K962&gt;=TIME(12,0,0),K962&lt;TIME(16,0,0)),"Afternoon","Evening"))</f>
        <v>Afternoon</v>
      </c>
      <c r="K962" s="9">
        <v>0.64513888888888882</v>
      </c>
      <c r="L962" s="7" t="s">
        <v>24</v>
      </c>
      <c r="M962" s="10">
        <v>4.5990000000000002</v>
      </c>
      <c r="N962" s="7">
        <v>9.8000000000000007</v>
      </c>
    </row>
    <row r="963" spans="1:14" x14ac:dyDescent="0.25">
      <c r="A963" s="7" t="s">
        <v>992</v>
      </c>
      <c r="B963" s="7" t="s">
        <v>13</v>
      </c>
      <c r="C963" s="7" t="s">
        <v>14</v>
      </c>
      <c r="D963" s="7" t="s">
        <v>15</v>
      </c>
      <c r="E963" s="7" t="s">
        <v>26</v>
      </c>
      <c r="F963" s="7" t="s">
        <v>23</v>
      </c>
      <c r="G963" s="7" t="str">
        <f t="shared" ref="G963:G1001" si="46">TEXT(I963/7,"dddd")</f>
        <v>Thursday</v>
      </c>
      <c r="H963" s="7" t="str">
        <f t="shared" ref="H963:H1001" si="47">TEXT(I963,"mmm")</f>
        <v>Feb</v>
      </c>
      <c r="I963" s="8">
        <v>43501</v>
      </c>
      <c r="J963" s="8" t="str">
        <f t="shared" si="45"/>
        <v>Evening</v>
      </c>
      <c r="K963" s="9">
        <v>0.78125</v>
      </c>
      <c r="L963" s="7" t="s">
        <v>24</v>
      </c>
      <c r="M963" s="10">
        <v>2.089</v>
      </c>
      <c r="N963" s="7">
        <v>9.8000000000000007</v>
      </c>
    </row>
    <row r="964" spans="1:14" x14ac:dyDescent="0.25">
      <c r="A964" s="7" t="s">
        <v>993</v>
      </c>
      <c r="B964" s="7" t="s">
        <v>13</v>
      </c>
      <c r="C964" s="7" t="s">
        <v>14</v>
      </c>
      <c r="D964" s="7" t="s">
        <v>22</v>
      </c>
      <c r="E964" s="7" t="s">
        <v>16</v>
      </c>
      <c r="F964" s="7" t="s">
        <v>41</v>
      </c>
      <c r="G964" s="7" t="str">
        <f t="shared" si="46"/>
        <v>Wednesday</v>
      </c>
      <c r="H964" s="7" t="str">
        <f t="shared" si="47"/>
        <v>Mar</v>
      </c>
      <c r="I964" s="8">
        <v>43543</v>
      </c>
      <c r="J964" s="8" t="str">
        <f t="shared" si="45"/>
        <v>Afternoon</v>
      </c>
      <c r="K964" s="9">
        <v>0.64097222222222217</v>
      </c>
      <c r="L964" s="7" t="s">
        <v>28</v>
      </c>
      <c r="M964" s="10">
        <v>0.77500000000000002</v>
      </c>
      <c r="N964" s="7">
        <v>7.4</v>
      </c>
    </row>
    <row r="965" spans="1:14" x14ac:dyDescent="0.25">
      <c r="A965" s="7" t="s">
        <v>994</v>
      </c>
      <c r="B965" s="7" t="s">
        <v>20</v>
      </c>
      <c r="C965" s="7" t="s">
        <v>21</v>
      </c>
      <c r="D965" s="7" t="s">
        <v>15</v>
      </c>
      <c r="E965" s="7" t="s">
        <v>26</v>
      </c>
      <c r="F965" s="7" t="s">
        <v>23</v>
      </c>
      <c r="G965" s="7" t="str">
        <f t="shared" si="46"/>
        <v>Friday</v>
      </c>
      <c r="H965" s="7" t="str">
        <f t="shared" si="47"/>
        <v>Mar</v>
      </c>
      <c r="I965" s="8">
        <v>43554</v>
      </c>
      <c r="J965" s="8" t="str">
        <f t="shared" si="45"/>
        <v>Evening</v>
      </c>
      <c r="K965" s="9">
        <v>0.85902777777777783</v>
      </c>
      <c r="L965" s="7" t="s">
        <v>24</v>
      </c>
      <c r="M965" s="10">
        <v>14.523</v>
      </c>
      <c r="N965" s="7">
        <v>6.7</v>
      </c>
    </row>
    <row r="966" spans="1:14" x14ac:dyDescent="0.25">
      <c r="A966" s="7" t="s">
        <v>995</v>
      </c>
      <c r="B966" s="7" t="s">
        <v>37</v>
      </c>
      <c r="C966" s="7" t="s">
        <v>38</v>
      </c>
      <c r="D966" s="7" t="s">
        <v>22</v>
      </c>
      <c r="E966" s="7" t="s">
        <v>26</v>
      </c>
      <c r="F966" s="7" t="s">
        <v>39</v>
      </c>
      <c r="G966" s="7" t="str">
        <f t="shared" si="46"/>
        <v>Wednesday</v>
      </c>
      <c r="H966" s="7" t="str">
        <f t="shared" si="47"/>
        <v>Jan</v>
      </c>
      <c r="I966" s="8">
        <v>43491</v>
      </c>
      <c r="J966" s="8" t="str">
        <f t="shared" si="45"/>
        <v>Afternoon</v>
      </c>
      <c r="K966" s="9">
        <v>0.6118055555555556</v>
      </c>
      <c r="L966" s="7" t="s">
        <v>28</v>
      </c>
      <c r="M966" s="10">
        <v>3.3330000000000002</v>
      </c>
      <c r="N966" s="7">
        <v>6.4</v>
      </c>
    </row>
    <row r="967" spans="1:14" x14ac:dyDescent="0.25">
      <c r="A967" s="7" t="s">
        <v>996</v>
      </c>
      <c r="B967" s="7" t="s">
        <v>37</v>
      </c>
      <c r="C967" s="7" t="s">
        <v>38</v>
      </c>
      <c r="D967" s="7" t="s">
        <v>22</v>
      </c>
      <c r="E967" s="7" t="s">
        <v>16</v>
      </c>
      <c r="F967" s="7" t="s">
        <v>23</v>
      </c>
      <c r="G967" s="7" t="str">
        <f t="shared" si="46"/>
        <v>Monday</v>
      </c>
      <c r="H967" s="7" t="str">
        <f t="shared" si="47"/>
        <v>Mar</v>
      </c>
      <c r="I967" s="8">
        <v>43526</v>
      </c>
      <c r="J967" s="8" t="str">
        <f t="shared" si="45"/>
        <v>Evening</v>
      </c>
      <c r="K967" s="9">
        <v>0.76250000000000007</v>
      </c>
      <c r="L967" s="7" t="s">
        <v>28</v>
      </c>
      <c r="M967" s="10">
        <v>3.827</v>
      </c>
      <c r="N967" s="7">
        <v>5.8</v>
      </c>
    </row>
    <row r="968" spans="1:14" x14ac:dyDescent="0.25">
      <c r="A968" s="7" t="s">
        <v>997</v>
      </c>
      <c r="B968" s="7" t="s">
        <v>13</v>
      </c>
      <c r="C968" s="7" t="s">
        <v>14</v>
      </c>
      <c r="D968" s="7" t="s">
        <v>22</v>
      </c>
      <c r="E968" s="7" t="s">
        <v>16</v>
      </c>
      <c r="F968" s="7" t="s">
        <v>27</v>
      </c>
      <c r="G968" s="7" t="str">
        <f t="shared" si="46"/>
        <v>Monday</v>
      </c>
      <c r="H968" s="7" t="str">
        <f t="shared" si="47"/>
        <v>Mar</v>
      </c>
      <c r="I968" s="8">
        <v>43528</v>
      </c>
      <c r="J968" s="8" t="str">
        <f t="shared" si="45"/>
        <v>Afternoon</v>
      </c>
      <c r="K968" s="9">
        <v>0.64374999999999993</v>
      </c>
      <c r="L968" s="7" t="s">
        <v>18</v>
      </c>
      <c r="M968" s="10">
        <v>14.984999999999999</v>
      </c>
      <c r="N968" s="7">
        <v>7.2</v>
      </c>
    </row>
    <row r="969" spans="1:14" x14ac:dyDescent="0.25">
      <c r="A969" s="7" t="s">
        <v>998</v>
      </c>
      <c r="B969" s="7" t="s">
        <v>13</v>
      </c>
      <c r="C969" s="7" t="s">
        <v>14</v>
      </c>
      <c r="D969" s="7" t="s">
        <v>15</v>
      </c>
      <c r="E969" s="7" t="s">
        <v>26</v>
      </c>
      <c r="F969" s="7" t="s">
        <v>27</v>
      </c>
      <c r="G969" s="7" t="str">
        <f t="shared" si="46"/>
        <v>Monday</v>
      </c>
      <c r="H969" s="7" t="str">
        <f t="shared" si="47"/>
        <v>Jan</v>
      </c>
      <c r="I969" s="8">
        <v>43478</v>
      </c>
      <c r="J969" s="8" t="str">
        <f t="shared" si="45"/>
        <v>Afternoon</v>
      </c>
      <c r="K969" s="9">
        <v>0.53819444444444442</v>
      </c>
      <c r="L969" s="7" t="s">
        <v>28</v>
      </c>
      <c r="M969" s="10">
        <v>12.1515</v>
      </c>
      <c r="N969" s="7">
        <v>9.3000000000000007</v>
      </c>
    </row>
    <row r="970" spans="1:14" x14ac:dyDescent="0.25">
      <c r="A970" s="7" t="s">
        <v>999</v>
      </c>
      <c r="B970" s="7" t="s">
        <v>13</v>
      </c>
      <c r="C970" s="7" t="s">
        <v>14</v>
      </c>
      <c r="D970" s="7" t="s">
        <v>22</v>
      </c>
      <c r="E970" s="7" t="s">
        <v>16</v>
      </c>
      <c r="F970" s="7" t="s">
        <v>17</v>
      </c>
      <c r="G970" s="7" t="str">
        <f t="shared" si="46"/>
        <v>Thursday</v>
      </c>
      <c r="H970" s="7" t="str">
        <f t="shared" si="47"/>
        <v>Mar</v>
      </c>
      <c r="I970" s="8">
        <v>43549</v>
      </c>
      <c r="J970" s="8" t="str">
        <f t="shared" si="45"/>
        <v>Evening</v>
      </c>
      <c r="K970" s="9">
        <v>0.75138888888888899</v>
      </c>
      <c r="L970" s="7" t="s">
        <v>24</v>
      </c>
      <c r="M970" s="10">
        <v>2.37</v>
      </c>
      <c r="N970" s="7">
        <v>9.5</v>
      </c>
    </row>
    <row r="971" spans="1:14" x14ac:dyDescent="0.25">
      <c r="A971" s="7" t="s">
        <v>1000</v>
      </c>
      <c r="B971" s="7" t="s">
        <v>37</v>
      </c>
      <c r="C971" s="7" t="s">
        <v>38</v>
      </c>
      <c r="D971" s="7" t="s">
        <v>15</v>
      </c>
      <c r="E971" s="7" t="s">
        <v>16</v>
      </c>
      <c r="F971" s="7" t="s">
        <v>23</v>
      </c>
      <c r="G971" s="7" t="str">
        <f t="shared" si="46"/>
        <v>Tuesday</v>
      </c>
      <c r="H971" s="7" t="str">
        <f t="shared" si="47"/>
        <v>Mar</v>
      </c>
      <c r="I971" s="8">
        <v>43535</v>
      </c>
      <c r="J971" s="8" t="str">
        <f t="shared" si="45"/>
        <v>Evening</v>
      </c>
      <c r="K971" s="9">
        <v>0.8222222222222223</v>
      </c>
      <c r="L971" s="7" t="s">
        <v>28</v>
      </c>
      <c r="M971" s="10">
        <v>8.6225000000000005</v>
      </c>
      <c r="N971" s="7">
        <v>9</v>
      </c>
    </row>
    <row r="972" spans="1:14" x14ac:dyDescent="0.25">
      <c r="A972" s="7" t="s">
        <v>1001</v>
      </c>
      <c r="B972" s="7" t="s">
        <v>37</v>
      </c>
      <c r="C972" s="7" t="s">
        <v>38</v>
      </c>
      <c r="D972" s="7" t="s">
        <v>15</v>
      </c>
      <c r="E972" s="7" t="s">
        <v>16</v>
      </c>
      <c r="F972" s="7" t="s">
        <v>39</v>
      </c>
      <c r="G972" s="7" t="str">
        <f t="shared" si="46"/>
        <v>Saturday</v>
      </c>
      <c r="H972" s="7" t="str">
        <f t="shared" si="47"/>
        <v>Jan</v>
      </c>
      <c r="I972" s="8">
        <v>43466</v>
      </c>
      <c r="J972" s="8" t="str">
        <f t="shared" si="45"/>
        <v>Morning</v>
      </c>
      <c r="K972" s="9">
        <v>0.48333333333333334</v>
      </c>
      <c r="L972" s="7" t="s">
        <v>28</v>
      </c>
      <c r="M972" s="10">
        <v>42.314999999999998</v>
      </c>
      <c r="N972" s="7">
        <v>9</v>
      </c>
    </row>
    <row r="973" spans="1:14" x14ac:dyDescent="0.25">
      <c r="A973" s="7" t="s">
        <v>1002</v>
      </c>
      <c r="B973" s="7" t="s">
        <v>37</v>
      </c>
      <c r="C973" s="7" t="s">
        <v>38</v>
      </c>
      <c r="D973" s="7" t="s">
        <v>15</v>
      </c>
      <c r="E973" s="7" t="s">
        <v>26</v>
      </c>
      <c r="F973" s="7" t="s">
        <v>27</v>
      </c>
      <c r="G973" s="7" t="str">
        <f t="shared" si="46"/>
        <v>Friday</v>
      </c>
      <c r="H973" s="7" t="str">
        <f t="shared" si="47"/>
        <v>Feb</v>
      </c>
      <c r="I973" s="8">
        <v>43506</v>
      </c>
      <c r="J973" s="8" t="str">
        <f t="shared" si="45"/>
        <v>Afternoon</v>
      </c>
      <c r="K973" s="9">
        <v>0.57708333333333328</v>
      </c>
      <c r="L973" s="7" t="s">
        <v>18</v>
      </c>
      <c r="M973" s="10">
        <v>12.9185</v>
      </c>
      <c r="N973" s="7">
        <v>6.7</v>
      </c>
    </row>
    <row r="974" spans="1:14" x14ac:dyDescent="0.25">
      <c r="A974" s="7" t="s">
        <v>1003</v>
      </c>
      <c r="B974" s="7" t="s">
        <v>37</v>
      </c>
      <c r="C974" s="7" t="s">
        <v>38</v>
      </c>
      <c r="D974" s="7" t="s">
        <v>22</v>
      </c>
      <c r="E974" s="7" t="s">
        <v>26</v>
      </c>
      <c r="F974" s="7" t="s">
        <v>23</v>
      </c>
      <c r="G974" s="7" t="str">
        <f t="shared" si="46"/>
        <v>Wednesday</v>
      </c>
      <c r="H974" s="7" t="str">
        <f t="shared" si="47"/>
        <v>Jan</v>
      </c>
      <c r="I974" s="8">
        <v>43491</v>
      </c>
      <c r="J974" s="8" t="str">
        <f t="shared" si="45"/>
        <v>Afternoon</v>
      </c>
      <c r="K974" s="9">
        <v>0.63680555555555551</v>
      </c>
      <c r="L974" s="7" t="s">
        <v>24</v>
      </c>
      <c r="M974" s="10">
        <v>30.478000000000002</v>
      </c>
      <c r="N974" s="7">
        <v>5.5</v>
      </c>
    </row>
    <row r="975" spans="1:14" x14ac:dyDescent="0.25">
      <c r="A975" s="7" t="s">
        <v>1004</v>
      </c>
      <c r="B975" s="7" t="s">
        <v>13</v>
      </c>
      <c r="C975" s="7" t="s">
        <v>14</v>
      </c>
      <c r="D975" s="7" t="s">
        <v>22</v>
      </c>
      <c r="E975" s="7" t="s">
        <v>26</v>
      </c>
      <c r="F975" s="7" t="s">
        <v>27</v>
      </c>
      <c r="G975" s="7" t="str">
        <f t="shared" si="46"/>
        <v>Friday</v>
      </c>
      <c r="H975" s="7" t="str">
        <f t="shared" si="47"/>
        <v>Feb</v>
      </c>
      <c r="I975" s="8">
        <v>43507</v>
      </c>
      <c r="J975" s="8" t="str">
        <f t="shared" si="45"/>
        <v>Afternoon</v>
      </c>
      <c r="K975" s="9">
        <v>0.64513888888888882</v>
      </c>
      <c r="L975" s="7" t="s">
        <v>24</v>
      </c>
      <c r="M975" s="10">
        <v>12.012</v>
      </c>
      <c r="N975" s="7">
        <v>5.4</v>
      </c>
    </row>
    <row r="976" spans="1:14" x14ac:dyDescent="0.25">
      <c r="A976" s="7" t="s">
        <v>1005</v>
      </c>
      <c r="B976" s="7" t="s">
        <v>20</v>
      </c>
      <c r="C976" s="7" t="s">
        <v>21</v>
      </c>
      <c r="D976" s="7" t="s">
        <v>22</v>
      </c>
      <c r="E976" s="7" t="s">
        <v>26</v>
      </c>
      <c r="F976" s="7" t="s">
        <v>41</v>
      </c>
      <c r="G976" s="7" t="str">
        <f t="shared" si="46"/>
        <v>Thursday</v>
      </c>
      <c r="H976" s="7" t="str">
        <f t="shared" si="47"/>
        <v>Feb</v>
      </c>
      <c r="I976" s="8">
        <v>43503</v>
      </c>
      <c r="J976" s="8" t="str">
        <f t="shared" si="45"/>
        <v>Evening</v>
      </c>
      <c r="K976" s="9">
        <v>0.74930555555555556</v>
      </c>
      <c r="L976" s="7" t="s">
        <v>24</v>
      </c>
      <c r="M976" s="10">
        <v>8.6129999999999995</v>
      </c>
      <c r="N976" s="7">
        <v>8.1999999999999993</v>
      </c>
    </row>
    <row r="977" spans="1:14" x14ac:dyDescent="0.25">
      <c r="A977" s="7" t="s">
        <v>1006</v>
      </c>
      <c r="B977" s="7" t="s">
        <v>37</v>
      </c>
      <c r="C977" s="7" t="s">
        <v>38</v>
      </c>
      <c r="D977" s="7" t="s">
        <v>15</v>
      </c>
      <c r="E977" s="7" t="s">
        <v>26</v>
      </c>
      <c r="F977" s="7" t="s">
        <v>41</v>
      </c>
      <c r="G977" s="7" t="str">
        <f t="shared" si="46"/>
        <v>Monday</v>
      </c>
      <c r="H977" s="7" t="str">
        <f t="shared" si="47"/>
        <v>Mar</v>
      </c>
      <c r="I977" s="8">
        <v>43530</v>
      </c>
      <c r="J977" s="8" t="str">
        <f t="shared" si="45"/>
        <v>Morning</v>
      </c>
      <c r="K977" s="9">
        <v>0.49652777777777773</v>
      </c>
      <c r="L977" s="7" t="s">
        <v>28</v>
      </c>
      <c r="M977" s="10">
        <v>4.992</v>
      </c>
      <c r="N977" s="7">
        <v>7</v>
      </c>
    </row>
    <row r="978" spans="1:14" x14ac:dyDescent="0.25">
      <c r="A978" s="7" t="s">
        <v>1007</v>
      </c>
      <c r="B978" s="7" t="s">
        <v>13</v>
      </c>
      <c r="C978" s="7" t="s">
        <v>14</v>
      </c>
      <c r="D978" s="7" t="s">
        <v>22</v>
      </c>
      <c r="E978" s="7" t="s">
        <v>16</v>
      </c>
      <c r="F978" s="7" t="s">
        <v>39</v>
      </c>
      <c r="G978" s="7" t="str">
        <f t="shared" si="46"/>
        <v>Monday</v>
      </c>
      <c r="H978" s="7" t="str">
        <f t="shared" si="47"/>
        <v>Mar</v>
      </c>
      <c r="I978" s="8">
        <v>43528</v>
      </c>
      <c r="J978" s="8" t="str">
        <f t="shared" si="45"/>
        <v>Morning</v>
      </c>
      <c r="K978" s="9">
        <v>0.44375000000000003</v>
      </c>
      <c r="L978" s="7" t="s">
        <v>24</v>
      </c>
      <c r="M978" s="10">
        <v>14.932</v>
      </c>
      <c r="N978" s="7">
        <v>8.5</v>
      </c>
    </row>
    <row r="979" spans="1:14" x14ac:dyDescent="0.25">
      <c r="A979" s="7" t="s">
        <v>1008</v>
      </c>
      <c r="B979" s="7" t="s">
        <v>37</v>
      </c>
      <c r="C979" s="7" t="s">
        <v>38</v>
      </c>
      <c r="D979" s="7" t="s">
        <v>15</v>
      </c>
      <c r="E979" s="7" t="s">
        <v>26</v>
      </c>
      <c r="F979" s="7" t="s">
        <v>39</v>
      </c>
      <c r="G979" s="7" t="str">
        <f t="shared" si="46"/>
        <v>Sunday</v>
      </c>
      <c r="H979" s="7" t="str">
        <f t="shared" si="47"/>
        <v>Feb</v>
      </c>
      <c r="I979" s="8">
        <v>43522</v>
      </c>
      <c r="J979" s="8" t="str">
        <f t="shared" si="45"/>
        <v>Afternoon</v>
      </c>
      <c r="K979" s="9">
        <v>0.63194444444444442</v>
      </c>
      <c r="L979" s="7" t="s">
        <v>18</v>
      </c>
      <c r="M979" s="10">
        <v>7.98</v>
      </c>
      <c r="N979" s="7">
        <v>4.9000000000000004</v>
      </c>
    </row>
    <row r="980" spans="1:14" x14ac:dyDescent="0.25">
      <c r="A980" s="7" t="s">
        <v>1009</v>
      </c>
      <c r="B980" s="7" t="s">
        <v>37</v>
      </c>
      <c r="C980" s="7" t="s">
        <v>38</v>
      </c>
      <c r="D980" s="7" t="s">
        <v>22</v>
      </c>
      <c r="E980" s="7" t="s">
        <v>16</v>
      </c>
      <c r="F980" s="7" t="s">
        <v>23</v>
      </c>
      <c r="G980" s="7" t="str">
        <f t="shared" si="46"/>
        <v>Tuesday</v>
      </c>
      <c r="H980" s="7" t="str">
        <f t="shared" si="47"/>
        <v>Mar</v>
      </c>
      <c r="I980" s="8">
        <v>43534</v>
      </c>
      <c r="J980" s="8" t="str">
        <f t="shared" si="45"/>
        <v>Evening</v>
      </c>
      <c r="K980" s="9">
        <v>0.75694444444444453</v>
      </c>
      <c r="L980" s="7" t="s">
        <v>28</v>
      </c>
      <c r="M980" s="10">
        <v>1.2725</v>
      </c>
      <c r="N980" s="7">
        <v>5.0999999999999996</v>
      </c>
    </row>
    <row r="981" spans="1:14" x14ac:dyDescent="0.25">
      <c r="A981" s="7" t="s">
        <v>1010</v>
      </c>
      <c r="B981" s="7" t="s">
        <v>37</v>
      </c>
      <c r="C981" s="7" t="s">
        <v>38</v>
      </c>
      <c r="D981" s="7" t="s">
        <v>22</v>
      </c>
      <c r="E981" s="7" t="s">
        <v>16</v>
      </c>
      <c r="F981" s="7" t="s">
        <v>39</v>
      </c>
      <c r="G981" s="7" t="str">
        <f t="shared" si="46"/>
        <v>Thursday</v>
      </c>
      <c r="H981" s="7" t="str">
        <f t="shared" si="47"/>
        <v>Feb</v>
      </c>
      <c r="I981" s="8">
        <v>43500</v>
      </c>
      <c r="J981" s="8" t="str">
        <f t="shared" si="45"/>
        <v>Evening</v>
      </c>
      <c r="K981" s="9">
        <v>0.86319444444444438</v>
      </c>
      <c r="L981" s="7" t="s">
        <v>28</v>
      </c>
      <c r="M981" s="10">
        <v>3.3885000000000001</v>
      </c>
      <c r="N981" s="7">
        <v>6.5</v>
      </c>
    </row>
    <row r="982" spans="1:14" x14ac:dyDescent="0.25">
      <c r="A982" s="7" t="s">
        <v>1011</v>
      </c>
      <c r="B982" s="7" t="s">
        <v>20</v>
      </c>
      <c r="C982" s="7" t="s">
        <v>21</v>
      </c>
      <c r="D982" s="7" t="s">
        <v>15</v>
      </c>
      <c r="E982" s="7" t="s">
        <v>26</v>
      </c>
      <c r="F982" s="7" t="s">
        <v>39</v>
      </c>
      <c r="G982" s="7" t="str">
        <f t="shared" si="46"/>
        <v>Tuesday</v>
      </c>
      <c r="H982" s="7" t="str">
        <f t="shared" si="47"/>
        <v>Jan</v>
      </c>
      <c r="I982" s="8">
        <v>43484</v>
      </c>
      <c r="J982" s="8" t="str">
        <f t="shared" si="45"/>
        <v>Afternoon</v>
      </c>
      <c r="K982" s="9">
        <v>0.53194444444444444</v>
      </c>
      <c r="L982" s="7" t="s">
        <v>24</v>
      </c>
      <c r="M982" s="10">
        <v>11.917999999999999</v>
      </c>
      <c r="N982" s="7">
        <v>9.8000000000000007</v>
      </c>
    </row>
    <row r="983" spans="1:14" x14ac:dyDescent="0.25">
      <c r="A983" s="7" t="s">
        <v>1012</v>
      </c>
      <c r="B983" s="7" t="s">
        <v>13</v>
      </c>
      <c r="C983" s="7" t="s">
        <v>14</v>
      </c>
      <c r="D983" s="7" t="s">
        <v>22</v>
      </c>
      <c r="E983" s="7" t="s">
        <v>26</v>
      </c>
      <c r="F983" s="7" t="s">
        <v>17</v>
      </c>
      <c r="G983" s="7" t="str">
        <f t="shared" si="46"/>
        <v>Tuesday</v>
      </c>
      <c r="H983" s="7" t="str">
        <f t="shared" si="47"/>
        <v>Jan</v>
      </c>
      <c r="I983" s="8">
        <v>43488</v>
      </c>
      <c r="J983" s="8" t="str">
        <f t="shared" si="45"/>
        <v>Evening</v>
      </c>
      <c r="K983" s="9">
        <v>0.73888888888888893</v>
      </c>
      <c r="L983" s="7" t="s">
        <v>24</v>
      </c>
      <c r="M983" s="10">
        <v>11.63</v>
      </c>
      <c r="N983" s="7">
        <v>8.4</v>
      </c>
    </row>
    <row r="984" spans="1:14" x14ac:dyDescent="0.25">
      <c r="A984" s="7" t="s">
        <v>1013</v>
      </c>
      <c r="B984" s="7" t="s">
        <v>13</v>
      </c>
      <c r="C984" s="7" t="s">
        <v>14</v>
      </c>
      <c r="D984" s="7" t="s">
        <v>15</v>
      </c>
      <c r="E984" s="7" t="s">
        <v>16</v>
      </c>
      <c r="F984" s="7" t="s">
        <v>31</v>
      </c>
      <c r="G984" s="7" t="str">
        <f>TEXT(I984/7,"dddd")</f>
        <v>Tuesday</v>
      </c>
      <c r="H984" s="7" t="str">
        <f t="shared" si="47"/>
        <v>Mar</v>
      </c>
      <c r="I984" s="8">
        <v>43538</v>
      </c>
      <c r="J984" s="8" t="str">
        <f t="shared" si="45"/>
        <v>Afternoon</v>
      </c>
      <c r="K984" s="9">
        <v>0.59652777777777777</v>
      </c>
      <c r="L984" s="7" t="s">
        <v>18</v>
      </c>
      <c r="M984" s="10">
        <v>43.866</v>
      </c>
      <c r="N984" s="7">
        <v>7.4</v>
      </c>
    </row>
    <row r="985" spans="1:14" x14ac:dyDescent="0.25">
      <c r="A985" s="7" t="s">
        <v>1014</v>
      </c>
      <c r="B985" s="7" t="s">
        <v>20</v>
      </c>
      <c r="C985" s="7" t="s">
        <v>21</v>
      </c>
      <c r="D985" s="7" t="s">
        <v>22</v>
      </c>
      <c r="E985" s="7" t="s">
        <v>26</v>
      </c>
      <c r="F985" s="7" t="s">
        <v>17</v>
      </c>
      <c r="G985" s="7" t="str">
        <f>TEXT(I985/7,"dddd")</f>
        <v>Tuesday</v>
      </c>
      <c r="H985" s="7" t="str">
        <f t="shared" si="47"/>
        <v>Jan</v>
      </c>
      <c r="I985" s="8">
        <v>43488</v>
      </c>
      <c r="J985" s="8" t="str">
        <f t="shared" si="45"/>
        <v>Morning</v>
      </c>
      <c r="K985" s="9">
        <v>0.43958333333333338</v>
      </c>
      <c r="L985" s="7" t="s">
        <v>24</v>
      </c>
      <c r="M985" s="10">
        <v>34.985999999999997</v>
      </c>
      <c r="N985" s="7">
        <v>6.1</v>
      </c>
    </row>
    <row r="986" spans="1:14" x14ac:dyDescent="0.25">
      <c r="A986" s="7" t="s">
        <v>1015</v>
      </c>
      <c r="B986" s="7" t="s">
        <v>20</v>
      </c>
      <c r="C986" s="7" t="s">
        <v>21</v>
      </c>
      <c r="D986" s="7" t="s">
        <v>22</v>
      </c>
      <c r="E986" s="7" t="s">
        <v>26</v>
      </c>
      <c r="F986" s="7" t="s">
        <v>23</v>
      </c>
      <c r="G986" s="7" t="str">
        <f>TEXT(I986/7,"dddd")</f>
        <v>Sunday</v>
      </c>
      <c r="H986" s="7" t="str">
        <f t="shared" si="47"/>
        <v>Jan</v>
      </c>
      <c r="I986" s="8">
        <v>43474</v>
      </c>
      <c r="J986" s="8" t="str">
        <f t="shared" si="45"/>
        <v>Morning</v>
      </c>
      <c r="K986" s="9">
        <v>0.4861111111111111</v>
      </c>
      <c r="L986" s="7" t="s">
        <v>24</v>
      </c>
      <c r="M986" s="10">
        <v>33.729500000000002</v>
      </c>
      <c r="N986" s="7">
        <v>6</v>
      </c>
    </row>
    <row r="987" spans="1:14" x14ac:dyDescent="0.25">
      <c r="A987" s="7" t="s">
        <v>1016</v>
      </c>
      <c r="B987" s="7" t="s">
        <v>37</v>
      </c>
      <c r="C987" s="7" t="s">
        <v>38</v>
      </c>
      <c r="D987" s="7" t="s">
        <v>22</v>
      </c>
      <c r="E987" s="7" t="s">
        <v>16</v>
      </c>
      <c r="F987" s="7" t="s">
        <v>41</v>
      </c>
      <c r="G987" s="7" t="str">
        <f t="shared" si="46"/>
        <v>Thursday</v>
      </c>
      <c r="H987" s="7" t="str">
        <f t="shared" si="47"/>
        <v>Feb</v>
      </c>
      <c r="I987" s="8">
        <v>43503</v>
      </c>
      <c r="J987" s="8" t="str">
        <f t="shared" si="45"/>
        <v>Evening</v>
      </c>
      <c r="K987" s="9">
        <v>0.8125</v>
      </c>
      <c r="L987" s="7" t="s">
        <v>18</v>
      </c>
      <c r="M987" s="10">
        <v>15.9275</v>
      </c>
      <c r="N987" s="7">
        <v>8.5</v>
      </c>
    </row>
    <row r="988" spans="1:14" x14ac:dyDescent="0.25">
      <c r="A988" s="7" t="s">
        <v>1017</v>
      </c>
      <c r="B988" s="7" t="s">
        <v>37</v>
      </c>
      <c r="C988" s="7" t="s">
        <v>38</v>
      </c>
      <c r="D988" s="7" t="s">
        <v>22</v>
      </c>
      <c r="E988" s="7" t="s">
        <v>16</v>
      </c>
      <c r="F988" s="7" t="s">
        <v>17</v>
      </c>
      <c r="G988" s="7" t="str">
        <f t="shared" si="46"/>
        <v>Saturday</v>
      </c>
      <c r="H988" s="7" t="str">
        <f t="shared" si="47"/>
        <v>Feb</v>
      </c>
      <c r="I988" s="8">
        <v>43514</v>
      </c>
      <c r="J988" s="8" t="str">
        <f t="shared" si="45"/>
        <v>Afternoon</v>
      </c>
      <c r="K988" s="9">
        <v>0.61249999999999993</v>
      </c>
      <c r="L988" s="7" t="s">
        <v>18</v>
      </c>
      <c r="M988" s="10">
        <v>1.476</v>
      </c>
      <c r="N988" s="7">
        <v>4.3</v>
      </c>
    </row>
    <row r="989" spans="1:14" x14ac:dyDescent="0.25">
      <c r="A989" s="7" t="s">
        <v>1018</v>
      </c>
      <c r="B989" s="7" t="s">
        <v>37</v>
      </c>
      <c r="C989" s="7" t="s">
        <v>38</v>
      </c>
      <c r="D989" s="7" t="s">
        <v>15</v>
      </c>
      <c r="E989" s="7" t="s">
        <v>26</v>
      </c>
      <c r="F989" s="7" t="s">
        <v>17</v>
      </c>
      <c r="G989" s="7" t="str">
        <f t="shared" si="46"/>
        <v>Saturday</v>
      </c>
      <c r="H989" s="7" t="str">
        <f t="shared" si="47"/>
        <v>Jan</v>
      </c>
      <c r="I989" s="8">
        <v>43468</v>
      </c>
      <c r="J989" s="8" t="str">
        <f t="shared" si="45"/>
        <v>Evening</v>
      </c>
      <c r="K989" s="9">
        <v>0.79722222222222217</v>
      </c>
      <c r="L989" s="7" t="s">
        <v>28</v>
      </c>
      <c r="M989" s="10">
        <v>24.8</v>
      </c>
      <c r="N989" s="7">
        <v>6.2</v>
      </c>
    </row>
    <row r="990" spans="1:14" x14ac:dyDescent="0.25">
      <c r="A990" s="7" t="s">
        <v>1019</v>
      </c>
      <c r="B990" s="7" t="s">
        <v>20</v>
      </c>
      <c r="C990" s="7" t="s">
        <v>21</v>
      </c>
      <c r="D990" s="7" t="s">
        <v>15</v>
      </c>
      <c r="E990" s="7" t="s">
        <v>26</v>
      </c>
      <c r="F990" s="7" t="s">
        <v>23</v>
      </c>
      <c r="G990" s="7" t="str">
        <f>TEXT(I990/7,"dddd")</f>
        <v>Thursday</v>
      </c>
      <c r="H990" s="7" t="str">
        <f t="shared" si="47"/>
        <v>Mar</v>
      </c>
      <c r="I990" s="8">
        <v>43553</v>
      </c>
      <c r="J990" s="8" t="str">
        <f t="shared" si="45"/>
        <v>Evening</v>
      </c>
      <c r="K990" s="9">
        <v>0.79999999999999993</v>
      </c>
      <c r="L990" s="7" t="s">
        <v>18</v>
      </c>
      <c r="M990" s="10">
        <v>41.17</v>
      </c>
      <c r="N990" s="7">
        <v>4.3</v>
      </c>
    </row>
    <row r="991" spans="1:14" x14ac:dyDescent="0.25">
      <c r="A991" s="7" t="s">
        <v>1020</v>
      </c>
      <c r="B991" s="7" t="s">
        <v>37</v>
      </c>
      <c r="C991" s="7" t="s">
        <v>38</v>
      </c>
      <c r="D991" s="7" t="s">
        <v>15</v>
      </c>
      <c r="E991" s="7" t="s">
        <v>26</v>
      </c>
      <c r="F991" s="7" t="s">
        <v>17</v>
      </c>
      <c r="G991" s="7" t="str">
        <f t="shared" si="46"/>
        <v>Wednesday</v>
      </c>
      <c r="H991" s="7" t="str">
        <f t="shared" si="47"/>
        <v>Jan</v>
      </c>
      <c r="I991" s="8">
        <v>43493</v>
      </c>
      <c r="J991" s="8" t="str">
        <f t="shared" si="45"/>
        <v>Afternoon</v>
      </c>
      <c r="K991" s="9">
        <v>0.65694444444444444</v>
      </c>
      <c r="L991" s="7" t="s">
        <v>28</v>
      </c>
      <c r="M991" s="10">
        <v>30.148</v>
      </c>
      <c r="N991" s="7">
        <v>8.4</v>
      </c>
    </row>
    <row r="992" spans="1:14" x14ac:dyDescent="0.25">
      <c r="A992" s="7" t="s">
        <v>1021</v>
      </c>
      <c r="B992" s="7" t="s">
        <v>13</v>
      </c>
      <c r="C992" s="7" t="s">
        <v>14</v>
      </c>
      <c r="D992" s="7" t="s">
        <v>22</v>
      </c>
      <c r="E992" s="7" t="s">
        <v>16</v>
      </c>
      <c r="F992" s="7" t="s">
        <v>39</v>
      </c>
      <c r="G992" s="7" t="str">
        <f t="shared" si="46"/>
        <v>Wednesday</v>
      </c>
      <c r="H992" s="7" t="str">
        <f t="shared" si="47"/>
        <v>Mar</v>
      </c>
      <c r="I992" s="8">
        <v>43546</v>
      </c>
      <c r="J992" s="8" t="str">
        <f t="shared" si="45"/>
        <v>Evening</v>
      </c>
      <c r="K992" s="9">
        <v>0.79583333333333339</v>
      </c>
      <c r="L992" s="7" t="s">
        <v>28</v>
      </c>
      <c r="M992" s="10">
        <v>14.14</v>
      </c>
      <c r="N992" s="7">
        <v>4.5</v>
      </c>
    </row>
    <row r="993" spans="1:14" x14ac:dyDescent="0.25">
      <c r="A993" s="7" t="s">
        <v>1022</v>
      </c>
      <c r="B993" s="7" t="s">
        <v>37</v>
      </c>
      <c r="C993" s="7" t="s">
        <v>38</v>
      </c>
      <c r="D993" s="7" t="s">
        <v>22</v>
      </c>
      <c r="E993" s="7" t="s">
        <v>16</v>
      </c>
      <c r="F993" s="7" t="s">
        <v>31</v>
      </c>
      <c r="G993" s="7"/>
      <c r="H993" s="7" t="str">
        <f t="shared" si="47"/>
        <v>Jan</v>
      </c>
      <c r="I993" s="8">
        <v>43489</v>
      </c>
      <c r="J993" s="8" t="str">
        <f t="shared" si="45"/>
        <v>Evening</v>
      </c>
      <c r="K993" s="9">
        <v>0.75694444444444453</v>
      </c>
      <c r="L993" s="7" t="s">
        <v>18</v>
      </c>
      <c r="M993" s="10">
        <v>38.299999999999997</v>
      </c>
      <c r="N993" s="7">
        <v>6</v>
      </c>
    </row>
    <row r="994" spans="1:14" x14ac:dyDescent="0.25">
      <c r="A994" s="7" t="s">
        <v>1023</v>
      </c>
      <c r="B994" s="7" t="s">
        <v>13</v>
      </c>
      <c r="C994" s="7" t="s">
        <v>14</v>
      </c>
      <c r="D994" s="7" t="s">
        <v>22</v>
      </c>
      <c r="E994" s="7" t="s">
        <v>26</v>
      </c>
      <c r="F994" s="7" t="s">
        <v>23</v>
      </c>
      <c r="G994" s="7" t="str">
        <f t="shared" si="46"/>
        <v>Tuesday</v>
      </c>
      <c r="H994" s="7" t="str">
        <f t="shared" si="47"/>
        <v>Mar</v>
      </c>
      <c r="I994" s="8">
        <v>43534</v>
      </c>
      <c r="J994" s="8" t="str">
        <f t="shared" si="45"/>
        <v>Evening</v>
      </c>
      <c r="K994" s="9">
        <v>0.8652777777777777</v>
      </c>
      <c r="L994" s="7" t="s">
        <v>18</v>
      </c>
      <c r="M994" s="10">
        <v>5.8029999999999999</v>
      </c>
      <c r="N994" s="7">
        <v>8.8000000000000007</v>
      </c>
    </row>
    <row r="995" spans="1:14" x14ac:dyDescent="0.25">
      <c r="A995" s="7" t="s">
        <v>1024</v>
      </c>
      <c r="B995" s="7" t="s">
        <v>37</v>
      </c>
      <c r="C995" s="7" t="s">
        <v>38</v>
      </c>
      <c r="D995" s="7" t="s">
        <v>22</v>
      </c>
      <c r="E995" s="7" t="s">
        <v>26</v>
      </c>
      <c r="F995" s="7" t="s">
        <v>41</v>
      </c>
      <c r="G995" s="7" t="str">
        <f t="shared" si="46"/>
        <v>Saturday</v>
      </c>
      <c r="H995" s="7" t="str">
        <f t="shared" si="47"/>
        <v>Feb</v>
      </c>
      <c r="I995" s="8">
        <v>43518</v>
      </c>
      <c r="J995" s="8" t="str">
        <f t="shared" si="45"/>
        <v>Evening</v>
      </c>
      <c r="K995" s="9">
        <v>0.77430555555555547</v>
      </c>
      <c r="L995" s="7" t="s">
        <v>18</v>
      </c>
      <c r="M995" s="10">
        <v>8.7449999999999992</v>
      </c>
      <c r="N995" s="7">
        <v>6.6</v>
      </c>
    </row>
    <row r="996" spans="1:14" x14ac:dyDescent="0.25">
      <c r="A996" s="7" t="s">
        <v>1025</v>
      </c>
      <c r="B996" s="7" t="s">
        <v>20</v>
      </c>
      <c r="C996" s="7" t="s">
        <v>21</v>
      </c>
      <c r="D996" s="7" t="s">
        <v>15</v>
      </c>
      <c r="E996" s="7" t="s">
        <v>16</v>
      </c>
      <c r="F996" s="7" t="s">
        <v>23</v>
      </c>
      <c r="G996" s="7" t="str">
        <f t="shared" si="46"/>
        <v>Saturday</v>
      </c>
      <c r="H996" s="7" t="str">
        <f t="shared" si="47"/>
        <v>Feb</v>
      </c>
      <c r="I996" s="8">
        <v>43514</v>
      </c>
      <c r="J996" s="8" t="str">
        <f t="shared" si="45"/>
        <v>Morning</v>
      </c>
      <c r="K996" s="9">
        <v>0.4861111111111111</v>
      </c>
      <c r="L996" s="7" t="s">
        <v>18</v>
      </c>
      <c r="M996" s="10">
        <v>3.0474999999999999</v>
      </c>
      <c r="N996" s="7">
        <v>5.9</v>
      </c>
    </row>
    <row r="997" spans="1:14" x14ac:dyDescent="0.25">
      <c r="A997" s="7" t="s">
        <v>1026</v>
      </c>
      <c r="B997" s="7" t="s">
        <v>20</v>
      </c>
      <c r="C997" s="7" t="s">
        <v>21</v>
      </c>
      <c r="D997" s="7" t="s">
        <v>22</v>
      </c>
      <c r="E997" s="7" t="s">
        <v>26</v>
      </c>
      <c r="F997" s="7" t="s">
        <v>17</v>
      </c>
      <c r="G997" s="7" t="str">
        <f t="shared" si="46"/>
        <v>Wednesday</v>
      </c>
      <c r="H997" s="7" t="str">
        <f t="shared" si="47"/>
        <v>Jan</v>
      </c>
      <c r="I997" s="8">
        <v>43494</v>
      </c>
      <c r="J997" s="8" t="str">
        <f t="shared" si="45"/>
        <v>Afternoon</v>
      </c>
      <c r="K997" s="9">
        <v>0.57361111111111118</v>
      </c>
      <c r="L997" s="7" t="s">
        <v>18</v>
      </c>
      <c r="M997" s="10">
        <v>2.0175000000000001</v>
      </c>
      <c r="N997" s="7">
        <v>6.2</v>
      </c>
    </row>
    <row r="998" spans="1:14" x14ac:dyDescent="0.25">
      <c r="A998" s="7" t="s">
        <v>1027</v>
      </c>
      <c r="B998" s="7" t="s">
        <v>37</v>
      </c>
      <c r="C998" s="7" t="s">
        <v>38</v>
      </c>
      <c r="D998" s="7" t="s">
        <v>22</v>
      </c>
      <c r="E998" s="7" t="s">
        <v>16</v>
      </c>
      <c r="F998" s="7" t="s">
        <v>27</v>
      </c>
      <c r="G998" s="7" t="str">
        <f t="shared" si="46"/>
        <v>Monday</v>
      </c>
      <c r="H998" s="7" t="str">
        <f t="shared" si="47"/>
        <v>Mar</v>
      </c>
      <c r="I998" s="8">
        <v>43526</v>
      </c>
      <c r="J998" s="8" t="str">
        <f t="shared" si="45"/>
        <v>Evening</v>
      </c>
      <c r="K998" s="9">
        <v>0.71944444444444444</v>
      </c>
      <c r="L998" s="7" t="s">
        <v>18</v>
      </c>
      <c r="M998" s="10">
        <v>48.69</v>
      </c>
      <c r="N998" s="7">
        <v>4.4000000000000004</v>
      </c>
    </row>
    <row r="999" spans="1:14" x14ac:dyDescent="0.25">
      <c r="A999" s="7" t="s">
        <v>1028</v>
      </c>
      <c r="B999" s="7" t="s">
        <v>13</v>
      </c>
      <c r="C999" s="7" t="s">
        <v>14</v>
      </c>
      <c r="D999" s="7" t="s">
        <v>15</v>
      </c>
      <c r="E999" s="7" t="s">
        <v>26</v>
      </c>
      <c r="F999" s="7" t="s">
        <v>39</v>
      </c>
      <c r="G999" s="7" t="str">
        <f t="shared" si="46"/>
        <v>Friday</v>
      </c>
      <c r="H999" s="7" t="str">
        <f t="shared" si="47"/>
        <v>Feb</v>
      </c>
      <c r="I999" s="8">
        <v>43505</v>
      </c>
      <c r="J999" s="8" t="str">
        <f t="shared" si="45"/>
        <v>Afternoon</v>
      </c>
      <c r="K999" s="9">
        <v>0.55694444444444446</v>
      </c>
      <c r="L999" s="7" t="s">
        <v>24</v>
      </c>
      <c r="M999" s="10">
        <v>1.5920000000000001</v>
      </c>
      <c r="N999" s="7">
        <v>7.7</v>
      </c>
    </row>
    <row r="1000" spans="1:14" x14ac:dyDescent="0.25">
      <c r="A1000" s="7" t="s">
        <v>1029</v>
      </c>
      <c r="B1000" s="7" t="s">
        <v>13</v>
      </c>
      <c r="C1000" s="7" t="s">
        <v>14</v>
      </c>
      <c r="D1000" s="7" t="s">
        <v>22</v>
      </c>
      <c r="E1000" s="7" t="s">
        <v>26</v>
      </c>
      <c r="F1000" s="7" t="s">
        <v>27</v>
      </c>
      <c r="G1000" s="7" t="str">
        <f t="shared" si="46"/>
        <v>Saturday</v>
      </c>
      <c r="H1000" s="7" t="str">
        <f t="shared" si="47"/>
        <v>Feb</v>
      </c>
      <c r="I1000" s="8">
        <v>43518</v>
      </c>
      <c r="J1000" s="8" t="str">
        <f t="shared" si="45"/>
        <v>Afternoon</v>
      </c>
      <c r="K1000" s="9">
        <v>0.6479166666666667</v>
      </c>
      <c r="L1000" s="7" t="s">
        <v>24</v>
      </c>
      <c r="M1000" s="10">
        <v>3.2909999999999999</v>
      </c>
      <c r="N1000" s="7">
        <v>4.0999999999999996</v>
      </c>
    </row>
    <row r="1001" spans="1:14" x14ac:dyDescent="0.25">
      <c r="A1001" s="7" t="s">
        <v>1030</v>
      </c>
      <c r="B1001" s="7" t="s">
        <v>13</v>
      </c>
      <c r="C1001" s="7" t="s">
        <v>14</v>
      </c>
      <c r="D1001" s="7" t="s">
        <v>15</v>
      </c>
      <c r="E1001" s="7" t="s">
        <v>16</v>
      </c>
      <c r="F1001" s="7" t="s">
        <v>41</v>
      </c>
      <c r="G1001" s="7" t="str">
        <f t="shared" si="46"/>
        <v>Saturday</v>
      </c>
      <c r="H1001" s="7" t="str">
        <f t="shared" si="47"/>
        <v>Feb</v>
      </c>
      <c r="I1001" s="8">
        <v>43514</v>
      </c>
      <c r="J1001" s="8" t="str">
        <f t="shared" si="45"/>
        <v>Afternoon</v>
      </c>
      <c r="K1001" s="9">
        <v>0.56111111111111112</v>
      </c>
      <c r="L1001" s="7" t="s">
        <v>24</v>
      </c>
      <c r="M1001" s="10">
        <v>30.919</v>
      </c>
      <c r="N1001" s="7">
        <v>6.6</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80"/>
  <sheetViews>
    <sheetView showGridLines="0" topLeftCell="A6" zoomScale="42" zoomScaleNormal="42" workbookViewId="0">
      <selection activeCell="AM13" sqref="AM13"/>
    </sheetView>
  </sheetViews>
  <sheetFormatPr defaultColWidth="0" defaultRowHeight="15" zeroHeight="1" x14ac:dyDescent="0.25"/>
  <cols>
    <col min="1" max="6" width="9.140625" customWidth="1"/>
    <col min="7" max="14" width="9.140625" hidden="1" customWidth="1"/>
    <col min="15" max="39" width="9.140625" customWidth="1"/>
    <col min="40" max="16384" width="9.140625" hidden="1"/>
  </cols>
  <sheetData>
    <row r="1" spans="6:31" hidden="1" x14ac:dyDescent="0.25">
      <c r="G1">
        <f>'Dashboard Pivot'!G1</f>
        <v>6.9727000000000032</v>
      </c>
    </row>
    <row r="3" spans="6:31" hidden="1" x14ac:dyDescent="0.25">
      <c r="F3">
        <f>'Dashboard Pivot'!G1</f>
        <v>6.9727000000000032</v>
      </c>
    </row>
    <row r="6" spans="6:31" x14ac:dyDescent="0.25"/>
    <row r="7" spans="6:31" x14ac:dyDescent="0.25"/>
    <row r="8" spans="6:31" x14ac:dyDescent="0.25"/>
    <row r="9" spans="6:31" x14ac:dyDescent="0.25"/>
    <row r="10" spans="6:31" x14ac:dyDescent="0.25"/>
    <row r="11" spans="6:31" x14ac:dyDescent="0.25"/>
    <row r="12" spans="6:31" x14ac:dyDescent="0.25"/>
    <row r="13" spans="6:31" x14ac:dyDescent="0.25"/>
    <row r="14" spans="6:31" x14ac:dyDescent="0.25">
      <c r="AE14">
        <f>GETPIVOTDATA("Rating",'Dashboard Pivot'!$F$2)+'Dashboard Pivot'!G1</f>
        <v>13.945400000000006</v>
      </c>
    </row>
    <row r="15" spans="6:31" x14ac:dyDescent="0.25"/>
    <row r="16" spans="6:31"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hidden="1" x14ac:dyDescent="0.25"/>
    <row r="59" hidden="1" x14ac:dyDescent="0.25"/>
    <row r="60" hidden="1" x14ac:dyDescent="0.25"/>
    <row r="61" hidden="1" x14ac:dyDescent="0.25"/>
    <row r="62" hidden="1" x14ac:dyDescent="0.25"/>
    <row r="63" hidden="1" x14ac:dyDescent="0.25"/>
    <row r="64"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sheetData>
  <pageMargins left="0.25" right="0.25" top="0.75" bottom="0.75" header="0.3" footer="0.3"/>
  <pageSetup paperSize="13" scale="43"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Supermarket_Sales</vt:lpstr>
      <vt:lpstr>Cleaning</vt:lpstr>
      <vt:lpstr>Sheet5</vt:lpstr>
      <vt:lpstr>Sheet6</vt:lpstr>
      <vt:lpstr>Sheet7</vt:lpstr>
      <vt:lpstr>Dashboard Pivot</vt:lpstr>
      <vt:lpstr>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 PC</dc:creator>
  <cp:lastModifiedBy>USER</cp:lastModifiedBy>
  <cp:lastPrinted>2023-08-07T02:33:28Z</cp:lastPrinted>
  <dcterms:created xsi:type="dcterms:W3CDTF">2023-08-06T16:49:44Z</dcterms:created>
  <dcterms:modified xsi:type="dcterms:W3CDTF">2023-11-03T09:02:03Z</dcterms:modified>
</cp:coreProperties>
</file>